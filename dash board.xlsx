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64011"/>
  <mc:AlternateContent xmlns:mc="http://schemas.openxmlformats.org/markup-compatibility/2006">
    <mc:Choice Requires="x15">
      <x15ac:absPath xmlns:x15ac="http://schemas.microsoft.com/office/spreadsheetml/2010/11/ac" url="C:\Users\beat\Downloads\"/>
    </mc:Choice>
  </mc:AlternateContent>
  <bookViews>
    <workbookView xWindow="-120" yWindow="-120" windowWidth="15600" windowHeight="11310" activeTab="1"/>
  </bookViews>
  <sheets>
    <sheet name="pivot table" sheetId="10" r:id="rId1"/>
    <sheet name="dash board" sheetId="11" r:id="rId2"/>
    <sheet name="worksheet1" sheetId="8" r:id="rId3"/>
    <sheet name="Orders (2)" sheetId="4" r:id="rId4"/>
    <sheet name="Orders" sheetId="1" r:id="rId5"/>
    <sheet name="Customers (2)" sheetId="5" r:id="rId6"/>
    <sheet name="Customers" sheetId="2" r:id="rId7"/>
    <sheet name="Products (2)" sheetId="6" r:id="rId8"/>
    <sheet name="Products" sheetId="3" r:id="rId9"/>
  </sheets>
  <externalReferences>
    <externalReference r:id="rId10"/>
  </externalReferences>
  <definedNames>
    <definedName name="Slicer_Coffee_type1">#N/A</definedName>
    <definedName name="Slicer_Roast_type1">#N/A</definedName>
    <definedName name="Slicer_year">#N/A</definedName>
  </definedNames>
  <calcPr calcId="162913"/>
  <pivotCaches>
    <pivotCache cacheId="0" r:id="rId11"/>
  </pivotCaches>
  <extLs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1001" i="1" l="1"/>
  <c r="G1001" i="1"/>
  <c r="F1001" i="1"/>
  <c r="H1000" i="1"/>
  <c r="G1000" i="1"/>
  <c r="F1000" i="1"/>
  <c r="H999" i="1"/>
  <c r="G999" i="1"/>
  <c r="F999" i="1"/>
  <c r="H998" i="1"/>
  <c r="G998" i="1"/>
  <c r="F998" i="1"/>
  <c r="H997" i="1"/>
  <c r="G997" i="1"/>
  <c r="F997" i="1"/>
  <c r="H996" i="1"/>
  <c r="G996" i="1"/>
  <c r="F996" i="1"/>
  <c r="H995" i="1"/>
  <c r="G995" i="1"/>
  <c r="F995" i="1"/>
  <c r="H994" i="1"/>
  <c r="G994" i="1"/>
  <c r="F994" i="1"/>
  <c r="H993" i="1"/>
  <c r="G993" i="1"/>
  <c r="F993" i="1"/>
  <c r="H992" i="1"/>
  <c r="G992" i="1"/>
  <c r="F992" i="1"/>
  <c r="H991" i="1"/>
  <c r="G991" i="1"/>
  <c r="F991" i="1"/>
  <c r="H990" i="1"/>
  <c r="G990" i="1"/>
  <c r="F990" i="1"/>
  <c r="H989" i="1"/>
  <c r="G989" i="1"/>
  <c r="F989" i="1"/>
  <c r="H988" i="1"/>
  <c r="G988" i="1"/>
  <c r="F988" i="1"/>
  <c r="H987" i="1"/>
  <c r="G987" i="1"/>
  <c r="F987" i="1"/>
  <c r="H986" i="1"/>
  <c r="G986" i="1"/>
  <c r="F986" i="1"/>
  <c r="H985" i="1"/>
  <c r="G985" i="1"/>
  <c r="F985" i="1"/>
  <c r="H984" i="1"/>
  <c r="G984" i="1"/>
  <c r="F984" i="1"/>
  <c r="H983" i="1"/>
  <c r="G983" i="1"/>
  <c r="F983" i="1"/>
  <c r="H982" i="1"/>
  <c r="G982" i="1"/>
  <c r="F982" i="1"/>
  <c r="H981" i="1"/>
  <c r="G981" i="1"/>
  <c r="F981" i="1"/>
  <c r="H980" i="1"/>
  <c r="G980" i="1"/>
  <c r="F980" i="1"/>
  <c r="H979" i="1"/>
  <c r="G979" i="1"/>
  <c r="F979" i="1"/>
  <c r="H978" i="1"/>
  <c r="G978" i="1"/>
  <c r="F978" i="1"/>
  <c r="H977" i="1"/>
  <c r="G977" i="1"/>
  <c r="F977" i="1"/>
  <c r="H976" i="1"/>
  <c r="G976" i="1"/>
  <c r="F976" i="1"/>
  <c r="H975" i="1"/>
  <c r="G975" i="1"/>
  <c r="F975" i="1"/>
  <c r="H974" i="1"/>
  <c r="G974" i="1"/>
  <c r="F974" i="1"/>
  <c r="H973" i="1"/>
  <c r="G973" i="1"/>
  <c r="F973" i="1"/>
  <c r="H972" i="1"/>
  <c r="G972" i="1"/>
  <c r="F972" i="1"/>
  <c r="H971" i="1"/>
  <c r="G971" i="1"/>
  <c r="F971" i="1"/>
  <c r="H970" i="1"/>
  <c r="G970" i="1"/>
  <c r="F970" i="1"/>
  <c r="H969" i="1"/>
  <c r="G969" i="1"/>
  <c r="F969" i="1"/>
  <c r="H968" i="1"/>
  <c r="G968" i="1"/>
  <c r="F968" i="1"/>
  <c r="H967" i="1"/>
  <c r="G967" i="1"/>
  <c r="F967" i="1"/>
  <c r="H966" i="1"/>
  <c r="G966" i="1"/>
  <c r="F966" i="1"/>
  <c r="H965" i="1"/>
  <c r="G965" i="1"/>
  <c r="F965" i="1"/>
  <c r="H964" i="1"/>
  <c r="G964" i="1"/>
  <c r="F964" i="1"/>
  <c r="H963" i="1"/>
  <c r="G963" i="1"/>
  <c r="F963" i="1"/>
  <c r="H962" i="1"/>
  <c r="G962" i="1"/>
  <c r="F962" i="1"/>
  <c r="H961" i="1"/>
  <c r="G961" i="1"/>
  <c r="F961" i="1"/>
  <c r="H960" i="1"/>
  <c r="G960" i="1"/>
  <c r="F960" i="1"/>
  <c r="H959" i="1"/>
  <c r="G959" i="1"/>
  <c r="F959" i="1"/>
  <c r="H958" i="1"/>
  <c r="G958" i="1"/>
  <c r="F958" i="1"/>
  <c r="H957" i="1"/>
  <c r="G957" i="1"/>
  <c r="F957" i="1"/>
  <c r="H956" i="1"/>
  <c r="G956" i="1"/>
  <c r="F956" i="1"/>
  <c r="H955" i="1"/>
  <c r="G955" i="1"/>
  <c r="F955" i="1"/>
  <c r="H954" i="1"/>
  <c r="G954" i="1"/>
  <c r="F954" i="1"/>
  <c r="H953" i="1"/>
  <c r="G953" i="1"/>
  <c r="F953" i="1"/>
  <c r="H952" i="1"/>
  <c r="G952" i="1"/>
  <c r="F952" i="1"/>
  <c r="H951" i="1"/>
  <c r="G951" i="1"/>
  <c r="F951" i="1"/>
  <c r="H950" i="1"/>
  <c r="G950" i="1"/>
  <c r="F950" i="1"/>
  <c r="H949" i="1"/>
  <c r="G949" i="1"/>
  <c r="F949" i="1"/>
  <c r="H948" i="1"/>
  <c r="G948" i="1"/>
  <c r="F948" i="1"/>
  <c r="H947" i="1"/>
  <c r="G947" i="1"/>
  <c r="F947" i="1"/>
  <c r="H946" i="1"/>
  <c r="G946" i="1"/>
  <c r="F946" i="1"/>
  <c r="H945" i="1"/>
  <c r="G945" i="1"/>
  <c r="F945" i="1"/>
  <c r="H944" i="1"/>
  <c r="G944" i="1"/>
  <c r="F944" i="1"/>
  <c r="H943" i="1"/>
  <c r="G943" i="1"/>
  <c r="F943" i="1"/>
  <c r="H942" i="1"/>
  <c r="G942" i="1"/>
  <c r="F942" i="1"/>
  <c r="H941" i="1"/>
  <c r="G941" i="1"/>
  <c r="F941" i="1"/>
  <c r="H940" i="1"/>
  <c r="G940" i="1"/>
  <c r="F940" i="1"/>
  <c r="H939" i="1"/>
  <c r="G939" i="1"/>
  <c r="F939" i="1"/>
  <c r="H938" i="1"/>
  <c r="G938" i="1"/>
  <c r="F938" i="1"/>
  <c r="H937" i="1"/>
  <c r="G937" i="1"/>
  <c r="F937" i="1"/>
  <c r="H936" i="1"/>
  <c r="G936" i="1"/>
  <c r="F936" i="1"/>
  <c r="H935" i="1"/>
  <c r="G935" i="1"/>
  <c r="F935" i="1"/>
  <c r="H934" i="1"/>
  <c r="G934" i="1"/>
  <c r="F934" i="1"/>
  <c r="H933" i="1"/>
  <c r="G933" i="1"/>
  <c r="F933" i="1"/>
  <c r="H932" i="1"/>
  <c r="G932" i="1"/>
  <c r="F932" i="1"/>
  <c r="H931" i="1"/>
  <c r="G931" i="1"/>
  <c r="F931" i="1"/>
  <c r="H930" i="1"/>
  <c r="G930" i="1"/>
  <c r="F930" i="1"/>
  <c r="H929" i="1"/>
  <c r="G929" i="1"/>
  <c r="F929" i="1"/>
  <c r="H928" i="1"/>
  <c r="G928" i="1"/>
  <c r="F928" i="1"/>
  <c r="H927" i="1"/>
  <c r="G927" i="1"/>
  <c r="F927" i="1"/>
  <c r="H926" i="1"/>
  <c r="G926" i="1"/>
  <c r="F926" i="1"/>
  <c r="H925" i="1"/>
  <c r="G925" i="1"/>
  <c r="F925" i="1"/>
  <c r="H924" i="1"/>
  <c r="G924" i="1"/>
  <c r="F924" i="1"/>
  <c r="H923" i="1"/>
  <c r="G923" i="1"/>
  <c r="F923" i="1"/>
  <c r="H922" i="1"/>
  <c r="G922" i="1"/>
  <c r="F922" i="1"/>
  <c r="H921" i="1"/>
  <c r="G921" i="1"/>
  <c r="F921" i="1"/>
  <c r="H920" i="1"/>
  <c r="G920" i="1"/>
  <c r="F920" i="1"/>
  <c r="H919" i="1"/>
  <c r="G919" i="1"/>
  <c r="F919" i="1"/>
  <c r="H918" i="1"/>
  <c r="G918" i="1"/>
  <c r="F918" i="1"/>
  <c r="H917" i="1"/>
  <c r="G917" i="1"/>
  <c r="F917" i="1"/>
  <c r="H916" i="1"/>
  <c r="G916" i="1"/>
  <c r="F916" i="1"/>
  <c r="H915" i="1"/>
  <c r="G915" i="1"/>
  <c r="F915" i="1"/>
  <c r="H914" i="1"/>
  <c r="G914" i="1"/>
  <c r="F914" i="1"/>
  <c r="H913" i="1"/>
  <c r="G913" i="1"/>
  <c r="F913" i="1"/>
  <c r="H912" i="1"/>
  <c r="G912" i="1"/>
  <c r="F912" i="1"/>
  <c r="H911" i="1"/>
  <c r="G911" i="1"/>
  <c r="F911" i="1"/>
  <c r="H910" i="1"/>
  <c r="G910" i="1"/>
  <c r="F910" i="1"/>
  <c r="H909" i="1"/>
  <c r="G909" i="1"/>
  <c r="F909" i="1"/>
  <c r="H908" i="1"/>
  <c r="G908" i="1"/>
  <c r="F908" i="1"/>
  <c r="H907" i="1"/>
  <c r="G907" i="1"/>
  <c r="F907" i="1"/>
  <c r="H906" i="1"/>
  <c r="G906" i="1"/>
  <c r="F906" i="1"/>
  <c r="H905" i="1"/>
  <c r="G905" i="1"/>
  <c r="F905" i="1"/>
  <c r="H904" i="1"/>
  <c r="G904" i="1"/>
  <c r="F904" i="1"/>
  <c r="H903" i="1"/>
  <c r="G903" i="1"/>
  <c r="F903" i="1"/>
  <c r="H902" i="1"/>
  <c r="G902" i="1"/>
  <c r="F902" i="1"/>
  <c r="H901" i="1"/>
  <c r="G901" i="1"/>
  <c r="F901" i="1"/>
  <c r="H900" i="1"/>
  <c r="G900" i="1"/>
  <c r="F900" i="1"/>
  <c r="H899" i="1"/>
  <c r="G899" i="1"/>
  <c r="F899" i="1"/>
  <c r="H898" i="1"/>
  <c r="G898" i="1"/>
  <c r="F898" i="1"/>
  <c r="H897" i="1"/>
  <c r="G897" i="1"/>
  <c r="F897" i="1"/>
  <c r="H896" i="1"/>
  <c r="G896" i="1"/>
  <c r="F896" i="1"/>
  <c r="H895" i="1"/>
  <c r="G895" i="1"/>
  <c r="F895" i="1"/>
  <c r="H894" i="1"/>
  <c r="G894" i="1"/>
  <c r="F894" i="1"/>
  <c r="H893" i="1"/>
  <c r="G893" i="1"/>
  <c r="F893" i="1"/>
  <c r="H892" i="1"/>
  <c r="G892" i="1"/>
  <c r="F892" i="1"/>
  <c r="H891" i="1"/>
  <c r="G891" i="1"/>
  <c r="F891" i="1"/>
  <c r="H890" i="1"/>
  <c r="G890" i="1"/>
  <c r="F890" i="1"/>
  <c r="H889" i="1"/>
  <c r="G889" i="1"/>
  <c r="F889" i="1"/>
  <c r="H888" i="1"/>
  <c r="G888" i="1"/>
  <c r="F888" i="1"/>
  <c r="H887" i="1"/>
  <c r="G887" i="1"/>
  <c r="F887" i="1"/>
  <c r="H886" i="1"/>
  <c r="G886" i="1"/>
  <c r="F886" i="1"/>
  <c r="H885" i="1"/>
  <c r="G885" i="1"/>
  <c r="F885" i="1"/>
  <c r="H884" i="1"/>
  <c r="G884" i="1"/>
  <c r="F884" i="1"/>
  <c r="H883" i="1"/>
  <c r="G883" i="1"/>
  <c r="F883" i="1"/>
  <c r="H882" i="1"/>
  <c r="G882" i="1"/>
  <c r="F882" i="1"/>
  <c r="H881" i="1"/>
  <c r="G881" i="1"/>
  <c r="F881" i="1"/>
  <c r="H880" i="1"/>
  <c r="G880" i="1"/>
  <c r="F880" i="1"/>
  <c r="H879" i="1"/>
  <c r="G879" i="1"/>
  <c r="F879" i="1"/>
  <c r="H878" i="1"/>
  <c r="G878" i="1"/>
  <c r="F878" i="1"/>
  <c r="H877" i="1"/>
  <c r="G877" i="1"/>
  <c r="F877" i="1"/>
  <c r="H876" i="1"/>
  <c r="G876" i="1"/>
  <c r="F876" i="1"/>
  <c r="H875" i="1"/>
  <c r="G875" i="1"/>
  <c r="F875" i="1"/>
  <c r="H874" i="1"/>
  <c r="G874" i="1"/>
  <c r="F874" i="1"/>
  <c r="H873" i="1"/>
  <c r="G873" i="1"/>
  <c r="F873" i="1"/>
  <c r="H872" i="1"/>
  <c r="G872" i="1"/>
  <c r="F872" i="1"/>
  <c r="H871" i="1"/>
  <c r="G871" i="1"/>
  <c r="F871" i="1"/>
  <c r="H870" i="1"/>
  <c r="G870" i="1"/>
  <c r="F870" i="1"/>
  <c r="H869" i="1"/>
  <c r="G869" i="1"/>
  <c r="F869" i="1"/>
  <c r="H868" i="1"/>
  <c r="G868" i="1"/>
  <c r="F868" i="1"/>
  <c r="H867" i="1"/>
  <c r="G867" i="1"/>
  <c r="F867" i="1"/>
  <c r="H866" i="1"/>
  <c r="G866" i="1"/>
  <c r="F866" i="1"/>
  <c r="H865" i="1"/>
  <c r="G865" i="1"/>
  <c r="F865" i="1"/>
  <c r="H864" i="1"/>
  <c r="G864" i="1"/>
  <c r="F864" i="1"/>
  <c r="H863" i="1"/>
  <c r="G863" i="1"/>
  <c r="F863" i="1"/>
  <c r="H862" i="1"/>
  <c r="G862" i="1"/>
  <c r="F862" i="1"/>
  <c r="H861" i="1"/>
  <c r="G861" i="1"/>
  <c r="F861" i="1"/>
  <c r="H860" i="1"/>
  <c r="G860" i="1"/>
  <c r="F860" i="1"/>
  <c r="H859" i="1"/>
  <c r="G859" i="1"/>
  <c r="F859" i="1"/>
  <c r="H858" i="1"/>
  <c r="G858" i="1"/>
  <c r="F858" i="1"/>
  <c r="H857" i="1"/>
  <c r="G857" i="1"/>
  <c r="F857" i="1"/>
  <c r="H856" i="1"/>
  <c r="G856" i="1"/>
  <c r="F856" i="1"/>
  <c r="H855" i="1"/>
  <c r="G855" i="1"/>
  <c r="F855" i="1"/>
  <c r="H854" i="1"/>
  <c r="G854" i="1"/>
  <c r="F854" i="1"/>
  <c r="H853" i="1"/>
  <c r="G853" i="1"/>
  <c r="F853" i="1"/>
  <c r="H852" i="1"/>
  <c r="G852" i="1"/>
  <c r="F852" i="1"/>
  <c r="H851" i="1"/>
  <c r="G851" i="1"/>
  <c r="F851" i="1"/>
  <c r="H850" i="1"/>
  <c r="G850" i="1"/>
  <c r="F850" i="1"/>
  <c r="H849" i="1"/>
  <c r="G849" i="1"/>
  <c r="F849" i="1"/>
  <c r="H848" i="1"/>
  <c r="G848" i="1"/>
  <c r="F848" i="1"/>
  <c r="H847" i="1"/>
  <c r="G847" i="1"/>
  <c r="F847" i="1"/>
  <c r="H846" i="1"/>
  <c r="G846" i="1"/>
  <c r="F846" i="1"/>
  <c r="H845" i="1"/>
  <c r="G845" i="1"/>
  <c r="F845" i="1"/>
  <c r="H844" i="1"/>
  <c r="G844" i="1"/>
  <c r="F844" i="1"/>
  <c r="H843" i="1"/>
  <c r="G843" i="1"/>
  <c r="F843" i="1"/>
  <c r="H842" i="1"/>
  <c r="G842" i="1"/>
  <c r="F842" i="1"/>
  <c r="H841" i="1"/>
  <c r="G841" i="1"/>
  <c r="F841" i="1"/>
  <c r="H840" i="1"/>
  <c r="G840" i="1"/>
  <c r="F840" i="1"/>
  <c r="H839" i="1"/>
  <c r="G839" i="1"/>
  <c r="F839" i="1"/>
  <c r="H838" i="1"/>
  <c r="G838" i="1"/>
  <c r="F838" i="1"/>
  <c r="H837" i="1"/>
  <c r="G837" i="1"/>
  <c r="F837" i="1"/>
  <c r="H836" i="1"/>
  <c r="G836" i="1"/>
  <c r="F836" i="1"/>
  <c r="H835" i="1"/>
  <c r="G835" i="1"/>
  <c r="F835" i="1"/>
  <c r="H834" i="1"/>
  <c r="G834" i="1"/>
  <c r="F834" i="1"/>
  <c r="H833" i="1"/>
  <c r="G833" i="1"/>
  <c r="F833" i="1"/>
  <c r="H832" i="1"/>
  <c r="G832" i="1"/>
  <c r="F832" i="1"/>
  <c r="H831" i="1"/>
  <c r="G831" i="1"/>
  <c r="F831" i="1"/>
  <c r="H830" i="1"/>
  <c r="G830" i="1"/>
  <c r="F830" i="1"/>
  <c r="H829" i="1"/>
  <c r="G829" i="1"/>
  <c r="F829" i="1"/>
  <c r="H828" i="1"/>
  <c r="G828" i="1"/>
  <c r="F828" i="1"/>
  <c r="H827" i="1"/>
  <c r="G827" i="1"/>
  <c r="F827" i="1"/>
  <c r="H826" i="1"/>
  <c r="G826" i="1"/>
  <c r="F826" i="1"/>
  <c r="H825" i="1"/>
  <c r="G825" i="1"/>
  <c r="F825" i="1"/>
  <c r="H824" i="1"/>
  <c r="G824" i="1"/>
  <c r="F824" i="1"/>
  <c r="H823" i="1"/>
  <c r="G823" i="1"/>
  <c r="F823" i="1"/>
  <c r="H822" i="1"/>
  <c r="G822" i="1"/>
  <c r="F822" i="1"/>
  <c r="H821" i="1"/>
  <c r="G821" i="1"/>
  <c r="F821" i="1"/>
  <c r="H820" i="1"/>
  <c r="G820" i="1"/>
  <c r="F820" i="1"/>
  <c r="H819" i="1"/>
  <c r="G819" i="1"/>
  <c r="F819" i="1"/>
  <c r="H818" i="1"/>
  <c r="G818" i="1"/>
  <c r="F818" i="1"/>
  <c r="H817" i="1"/>
  <c r="G817" i="1"/>
  <c r="F817" i="1"/>
  <c r="H816" i="1"/>
  <c r="G816" i="1"/>
  <c r="F816" i="1"/>
  <c r="H815" i="1"/>
  <c r="G815" i="1"/>
  <c r="F815" i="1"/>
  <c r="H814" i="1"/>
  <c r="G814" i="1"/>
  <c r="F814" i="1"/>
  <c r="H813" i="1"/>
  <c r="G813" i="1"/>
  <c r="F813" i="1"/>
  <c r="H812" i="1"/>
  <c r="G812" i="1"/>
  <c r="F812" i="1"/>
  <c r="H811" i="1"/>
  <c r="G811" i="1"/>
  <c r="F811" i="1"/>
  <c r="H810" i="1"/>
  <c r="G810" i="1"/>
  <c r="F810" i="1"/>
  <c r="H809" i="1"/>
  <c r="G809" i="1"/>
  <c r="F809" i="1"/>
  <c r="H808" i="1"/>
  <c r="G808" i="1"/>
  <c r="F808" i="1"/>
  <c r="H807" i="1"/>
  <c r="G807" i="1"/>
  <c r="F807" i="1"/>
  <c r="H806" i="1"/>
  <c r="G806" i="1"/>
  <c r="F806" i="1"/>
  <c r="H805" i="1"/>
  <c r="G805" i="1"/>
  <c r="F805" i="1"/>
  <c r="H804" i="1"/>
  <c r="G804" i="1"/>
  <c r="F804" i="1"/>
  <c r="H803" i="1"/>
  <c r="G803" i="1"/>
  <c r="F803" i="1"/>
  <c r="H802" i="1"/>
  <c r="G802" i="1"/>
  <c r="F802" i="1"/>
  <c r="H801" i="1"/>
  <c r="G801" i="1"/>
  <c r="F801" i="1"/>
  <c r="H800" i="1"/>
  <c r="G800" i="1"/>
  <c r="F800" i="1"/>
  <c r="H799" i="1"/>
  <c r="G799" i="1"/>
  <c r="F799" i="1"/>
  <c r="H798" i="1"/>
  <c r="G798" i="1"/>
  <c r="F798" i="1"/>
  <c r="H797" i="1"/>
  <c r="G797" i="1"/>
  <c r="F797" i="1"/>
  <c r="H796" i="1"/>
  <c r="G796" i="1"/>
  <c r="F796" i="1"/>
  <c r="H795" i="1"/>
  <c r="G795" i="1"/>
  <c r="F795" i="1"/>
  <c r="H794" i="1"/>
  <c r="G794" i="1"/>
  <c r="F794" i="1"/>
  <c r="H793" i="1"/>
  <c r="G793" i="1"/>
  <c r="F793" i="1"/>
  <c r="H792" i="1"/>
  <c r="G792" i="1"/>
  <c r="F792" i="1"/>
  <c r="H791" i="1"/>
  <c r="G791" i="1"/>
  <c r="F791" i="1"/>
  <c r="H790" i="1"/>
  <c r="G790" i="1"/>
  <c r="F790" i="1"/>
  <c r="H789" i="1"/>
  <c r="G789" i="1"/>
  <c r="F789" i="1"/>
  <c r="H788" i="1"/>
  <c r="G788" i="1"/>
  <c r="F788" i="1"/>
  <c r="H787" i="1"/>
  <c r="G787" i="1"/>
  <c r="F787" i="1"/>
  <c r="H786" i="1"/>
  <c r="G786" i="1"/>
  <c r="F786" i="1"/>
  <c r="H785" i="1"/>
  <c r="G785" i="1"/>
  <c r="F785" i="1"/>
  <c r="H784" i="1"/>
  <c r="G784" i="1"/>
  <c r="F784" i="1"/>
  <c r="H783" i="1"/>
  <c r="G783" i="1"/>
  <c r="F783" i="1"/>
  <c r="H782" i="1"/>
  <c r="G782" i="1"/>
  <c r="F782" i="1"/>
  <c r="H781" i="1"/>
  <c r="G781" i="1"/>
  <c r="F781" i="1"/>
  <c r="H780" i="1"/>
  <c r="G780" i="1"/>
  <c r="F780" i="1"/>
  <c r="H779" i="1"/>
  <c r="G779" i="1"/>
  <c r="F779" i="1"/>
  <c r="H778" i="1"/>
  <c r="G778" i="1"/>
  <c r="F778" i="1"/>
  <c r="H777" i="1"/>
  <c r="G777" i="1"/>
  <c r="F777" i="1"/>
  <c r="H776" i="1"/>
  <c r="G776" i="1"/>
  <c r="F776" i="1"/>
  <c r="H775" i="1"/>
  <c r="G775" i="1"/>
  <c r="F775" i="1"/>
  <c r="H774" i="1"/>
  <c r="G774" i="1"/>
  <c r="F774" i="1"/>
  <c r="H773" i="1"/>
  <c r="G773" i="1"/>
  <c r="F773" i="1"/>
  <c r="H772" i="1"/>
  <c r="G772" i="1"/>
  <c r="F772" i="1"/>
  <c r="H771" i="1"/>
  <c r="G771" i="1"/>
  <c r="F771" i="1"/>
  <c r="H770" i="1"/>
  <c r="G770" i="1"/>
  <c r="F770" i="1"/>
  <c r="H769" i="1"/>
  <c r="G769" i="1"/>
  <c r="F769" i="1"/>
  <c r="H768" i="1"/>
  <c r="G768" i="1"/>
  <c r="F768" i="1"/>
  <c r="H767" i="1"/>
  <c r="G767" i="1"/>
  <c r="F767" i="1"/>
  <c r="H766" i="1"/>
  <c r="G766" i="1"/>
  <c r="F766" i="1"/>
  <c r="H765" i="1"/>
  <c r="G765" i="1"/>
  <c r="F765" i="1"/>
  <c r="H764" i="1"/>
  <c r="G764" i="1"/>
  <c r="F764" i="1"/>
  <c r="H763" i="1"/>
  <c r="G763" i="1"/>
  <c r="F763" i="1"/>
  <c r="H762" i="1"/>
  <c r="G762" i="1"/>
  <c r="F762" i="1"/>
  <c r="H761" i="1"/>
  <c r="G761" i="1"/>
  <c r="F761" i="1"/>
  <c r="H760" i="1"/>
  <c r="G760" i="1"/>
  <c r="F760" i="1"/>
  <c r="H759" i="1"/>
  <c r="G759" i="1"/>
  <c r="F759" i="1"/>
  <c r="H758" i="1"/>
  <c r="G758" i="1"/>
  <c r="F758" i="1"/>
  <c r="H757" i="1"/>
  <c r="G757" i="1"/>
  <c r="F757" i="1"/>
  <c r="H756" i="1"/>
  <c r="G756" i="1"/>
  <c r="F756" i="1"/>
  <c r="H755" i="1"/>
  <c r="G755" i="1"/>
  <c r="F755" i="1"/>
  <c r="H754" i="1"/>
  <c r="G754" i="1"/>
  <c r="F754" i="1"/>
  <c r="H753" i="1"/>
  <c r="G753" i="1"/>
  <c r="F753" i="1"/>
  <c r="H752" i="1"/>
  <c r="G752" i="1"/>
  <c r="F752" i="1"/>
  <c r="H751" i="1"/>
  <c r="G751" i="1"/>
  <c r="F751" i="1"/>
  <c r="H750" i="1"/>
  <c r="G750" i="1"/>
  <c r="F750" i="1"/>
  <c r="H749" i="1"/>
  <c r="G749" i="1"/>
  <c r="F749" i="1"/>
  <c r="H748" i="1"/>
  <c r="G748" i="1"/>
  <c r="F748" i="1"/>
  <c r="H747" i="1"/>
  <c r="G747" i="1"/>
  <c r="F747" i="1"/>
  <c r="H746" i="1"/>
  <c r="G746" i="1"/>
  <c r="F746" i="1"/>
  <c r="H745" i="1"/>
  <c r="G745" i="1"/>
  <c r="F745" i="1"/>
  <c r="H744" i="1"/>
  <c r="G744" i="1"/>
  <c r="F744" i="1"/>
  <c r="H743" i="1"/>
  <c r="G743" i="1"/>
  <c r="F743" i="1"/>
  <c r="H742" i="1"/>
  <c r="G742" i="1"/>
  <c r="F742" i="1"/>
  <c r="H741" i="1"/>
  <c r="G741" i="1"/>
  <c r="F741" i="1"/>
  <c r="H740" i="1"/>
  <c r="G740" i="1"/>
  <c r="F740" i="1"/>
  <c r="H739" i="1"/>
  <c r="G739" i="1"/>
  <c r="F739" i="1"/>
  <c r="H738" i="1"/>
  <c r="G738" i="1"/>
  <c r="F738" i="1"/>
  <c r="H737" i="1"/>
  <c r="G737" i="1"/>
  <c r="F737" i="1"/>
  <c r="H736" i="1"/>
  <c r="G736" i="1"/>
  <c r="F736" i="1"/>
  <c r="H735" i="1"/>
  <c r="G735" i="1"/>
  <c r="F735" i="1"/>
  <c r="H734" i="1"/>
  <c r="G734" i="1"/>
  <c r="F734" i="1"/>
  <c r="H733" i="1"/>
  <c r="G733" i="1"/>
  <c r="F733" i="1"/>
  <c r="H732" i="1"/>
  <c r="G732" i="1"/>
  <c r="F732" i="1"/>
  <c r="H731" i="1"/>
  <c r="G731" i="1"/>
  <c r="F731" i="1"/>
  <c r="H730" i="1"/>
  <c r="G730" i="1"/>
  <c r="F730" i="1"/>
  <c r="H729" i="1"/>
  <c r="G729" i="1"/>
  <c r="F729" i="1"/>
  <c r="H728" i="1"/>
  <c r="G728" i="1"/>
  <c r="F728" i="1"/>
  <c r="H727" i="1"/>
  <c r="G727" i="1"/>
  <c r="F727" i="1"/>
  <c r="H726" i="1"/>
  <c r="G726" i="1"/>
  <c r="F726" i="1"/>
  <c r="H725" i="1"/>
  <c r="G725" i="1"/>
  <c r="F725" i="1"/>
  <c r="H724" i="1"/>
  <c r="G724" i="1"/>
  <c r="F724" i="1"/>
  <c r="H723" i="1"/>
  <c r="G723" i="1"/>
  <c r="F723" i="1"/>
  <c r="H722" i="1"/>
  <c r="G722" i="1"/>
  <c r="F722" i="1"/>
  <c r="H721" i="1"/>
  <c r="G721" i="1"/>
  <c r="F721" i="1"/>
  <c r="H720" i="1"/>
  <c r="G720" i="1"/>
  <c r="F720" i="1"/>
  <c r="H719" i="1"/>
  <c r="G719" i="1"/>
  <c r="F719" i="1"/>
  <c r="H718" i="1"/>
  <c r="G718" i="1"/>
  <c r="F718" i="1"/>
  <c r="H717" i="1"/>
  <c r="G717" i="1"/>
  <c r="F717" i="1"/>
  <c r="H716" i="1"/>
  <c r="G716" i="1"/>
  <c r="F716" i="1"/>
  <c r="H715" i="1"/>
  <c r="G715" i="1"/>
  <c r="F715" i="1"/>
  <c r="H714" i="1"/>
  <c r="G714" i="1"/>
  <c r="F714" i="1"/>
  <c r="H713" i="1"/>
  <c r="G713" i="1"/>
  <c r="F713" i="1"/>
  <c r="H712" i="1"/>
  <c r="G712" i="1"/>
  <c r="F712" i="1"/>
  <c r="H711" i="1"/>
  <c r="G711" i="1"/>
  <c r="F711" i="1"/>
  <c r="H710" i="1"/>
  <c r="G710" i="1"/>
  <c r="F710" i="1"/>
  <c r="H709" i="1"/>
  <c r="G709" i="1"/>
  <c r="F709" i="1"/>
  <c r="H708" i="1"/>
  <c r="G708" i="1"/>
  <c r="F708" i="1"/>
  <c r="H707" i="1"/>
  <c r="G707" i="1"/>
  <c r="F707" i="1"/>
  <c r="H706" i="1"/>
  <c r="G706" i="1"/>
  <c r="F706" i="1"/>
  <c r="H705" i="1"/>
  <c r="G705" i="1"/>
  <c r="F705" i="1"/>
  <c r="H704" i="1"/>
  <c r="G704" i="1"/>
  <c r="F704" i="1"/>
  <c r="H703" i="1"/>
  <c r="G703" i="1"/>
  <c r="F703" i="1"/>
  <c r="H702" i="1"/>
  <c r="G702" i="1"/>
  <c r="F702" i="1"/>
  <c r="H701" i="1"/>
  <c r="G701" i="1"/>
  <c r="F701" i="1"/>
  <c r="H700" i="1"/>
  <c r="G700" i="1"/>
  <c r="F700" i="1"/>
  <c r="H699" i="1"/>
  <c r="G699" i="1"/>
  <c r="F699" i="1"/>
  <c r="H698" i="1"/>
  <c r="G698" i="1"/>
  <c r="F698" i="1"/>
  <c r="H697" i="1"/>
  <c r="G697" i="1"/>
  <c r="F697" i="1"/>
  <c r="H696" i="1"/>
  <c r="G696" i="1"/>
  <c r="F696" i="1"/>
  <c r="H695" i="1"/>
  <c r="G695" i="1"/>
  <c r="F695" i="1"/>
  <c r="H694" i="1"/>
  <c r="G694" i="1"/>
  <c r="F694" i="1"/>
  <c r="H693" i="1"/>
  <c r="G693" i="1"/>
  <c r="F693" i="1"/>
  <c r="H692" i="1"/>
  <c r="G692" i="1"/>
  <c r="F692" i="1"/>
  <c r="H691" i="1"/>
  <c r="G691" i="1"/>
  <c r="F691" i="1"/>
  <c r="H690" i="1"/>
  <c r="G690" i="1"/>
  <c r="F690" i="1"/>
  <c r="H689" i="1"/>
  <c r="G689" i="1"/>
  <c r="F689" i="1"/>
  <c r="H688" i="1"/>
  <c r="G688" i="1"/>
  <c r="F688" i="1"/>
  <c r="H687" i="1"/>
  <c r="G687" i="1"/>
  <c r="F687" i="1"/>
  <c r="H686" i="1"/>
  <c r="G686" i="1"/>
  <c r="F686" i="1"/>
  <c r="H685" i="1"/>
  <c r="G685" i="1"/>
  <c r="F685" i="1"/>
  <c r="H684" i="1"/>
  <c r="G684" i="1"/>
  <c r="F684" i="1"/>
  <c r="H683" i="1"/>
  <c r="G683" i="1"/>
  <c r="F683" i="1"/>
  <c r="H682" i="1"/>
  <c r="G682" i="1"/>
  <c r="F682" i="1"/>
  <c r="H681" i="1"/>
  <c r="G681" i="1"/>
  <c r="F681" i="1"/>
  <c r="H680" i="1"/>
  <c r="G680" i="1"/>
  <c r="F680" i="1"/>
  <c r="H679" i="1"/>
  <c r="G679" i="1"/>
  <c r="F679" i="1"/>
  <c r="H678" i="1"/>
  <c r="G678" i="1"/>
  <c r="F678" i="1"/>
  <c r="H677" i="1"/>
  <c r="G677" i="1"/>
  <c r="F677" i="1"/>
  <c r="H676" i="1"/>
  <c r="G676" i="1"/>
  <c r="F676" i="1"/>
  <c r="H675" i="1"/>
  <c r="G675" i="1"/>
  <c r="F675" i="1"/>
  <c r="H674" i="1"/>
  <c r="G674" i="1"/>
  <c r="F674" i="1"/>
  <c r="H673" i="1"/>
  <c r="G673" i="1"/>
  <c r="F673" i="1"/>
  <c r="H672" i="1"/>
  <c r="G672" i="1"/>
  <c r="F672" i="1"/>
  <c r="H671" i="1"/>
  <c r="G671" i="1"/>
  <c r="F671" i="1"/>
  <c r="H670" i="1"/>
  <c r="G670" i="1"/>
  <c r="F670" i="1"/>
  <c r="H669" i="1"/>
  <c r="G669" i="1"/>
  <c r="F669" i="1"/>
  <c r="H668" i="1"/>
  <c r="G668" i="1"/>
  <c r="F668" i="1"/>
  <c r="H667" i="1"/>
  <c r="G667" i="1"/>
  <c r="F667" i="1"/>
  <c r="H666" i="1"/>
  <c r="G666" i="1"/>
  <c r="F666" i="1"/>
  <c r="H665" i="1"/>
  <c r="G665" i="1"/>
  <c r="F665" i="1"/>
  <c r="H664" i="1"/>
  <c r="G664" i="1"/>
  <c r="F664" i="1"/>
  <c r="H663" i="1"/>
  <c r="G663" i="1"/>
  <c r="F663" i="1"/>
  <c r="H662" i="1"/>
  <c r="G662" i="1"/>
  <c r="F662" i="1"/>
  <c r="H661" i="1"/>
  <c r="G661" i="1"/>
  <c r="F661" i="1"/>
  <c r="H660" i="1"/>
  <c r="G660" i="1"/>
  <c r="F660" i="1"/>
  <c r="H659" i="1"/>
  <c r="G659" i="1"/>
  <c r="F659" i="1"/>
  <c r="H658" i="1"/>
  <c r="G658" i="1"/>
  <c r="F658" i="1"/>
  <c r="H657" i="1"/>
  <c r="G657" i="1"/>
  <c r="F657" i="1"/>
  <c r="H656" i="1"/>
  <c r="G656" i="1"/>
  <c r="F656" i="1"/>
  <c r="H655" i="1"/>
  <c r="G655" i="1"/>
  <c r="F655" i="1"/>
  <c r="H654" i="1"/>
  <c r="G654" i="1"/>
  <c r="F654" i="1"/>
  <c r="H653" i="1"/>
  <c r="G653" i="1"/>
  <c r="F653" i="1"/>
  <c r="H652" i="1"/>
  <c r="G652" i="1"/>
  <c r="F652" i="1"/>
  <c r="H651" i="1"/>
  <c r="G651" i="1"/>
  <c r="F651" i="1"/>
  <c r="H650" i="1"/>
  <c r="G650" i="1"/>
  <c r="F650" i="1"/>
  <c r="H649" i="1"/>
  <c r="G649" i="1"/>
  <c r="F649" i="1"/>
  <c r="H648" i="1"/>
  <c r="G648" i="1"/>
  <c r="F648" i="1"/>
  <c r="H647" i="1"/>
  <c r="G647" i="1"/>
  <c r="F647" i="1"/>
  <c r="H646" i="1"/>
  <c r="G646" i="1"/>
  <c r="F646" i="1"/>
  <c r="H645" i="1"/>
  <c r="G645" i="1"/>
  <c r="F645" i="1"/>
  <c r="H644" i="1"/>
  <c r="G644" i="1"/>
  <c r="F644" i="1"/>
  <c r="H643" i="1"/>
  <c r="G643" i="1"/>
  <c r="F643" i="1"/>
  <c r="H642" i="1"/>
  <c r="G642" i="1"/>
  <c r="F642" i="1"/>
  <c r="H641" i="1"/>
  <c r="G641" i="1"/>
  <c r="F641" i="1"/>
  <c r="H640" i="1"/>
  <c r="G640" i="1"/>
  <c r="F640" i="1"/>
  <c r="H639" i="1"/>
  <c r="G639" i="1"/>
  <c r="F639" i="1"/>
  <c r="H638" i="1"/>
  <c r="G638" i="1"/>
  <c r="F638" i="1"/>
  <c r="H637" i="1"/>
  <c r="G637" i="1"/>
  <c r="F637" i="1"/>
  <c r="H636" i="1"/>
  <c r="G636" i="1"/>
  <c r="F636" i="1"/>
  <c r="H635" i="1"/>
  <c r="G635" i="1"/>
  <c r="F635" i="1"/>
  <c r="H634" i="1"/>
  <c r="G634" i="1"/>
  <c r="F634" i="1"/>
  <c r="H633" i="1"/>
  <c r="G633" i="1"/>
  <c r="F633" i="1"/>
  <c r="H632" i="1"/>
  <c r="G632" i="1"/>
  <c r="F632" i="1"/>
  <c r="H631" i="1"/>
  <c r="G631" i="1"/>
  <c r="F631" i="1"/>
  <c r="H630" i="1"/>
  <c r="G630" i="1"/>
  <c r="F630" i="1"/>
  <c r="H629" i="1"/>
  <c r="G629" i="1"/>
  <c r="F629" i="1"/>
  <c r="H628" i="1"/>
  <c r="G628" i="1"/>
  <c r="F628" i="1"/>
  <c r="H627" i="1"/>
  <c r="G627" i="1"/>
  <c r="F627" i="1"/>
  <c r="H626" i="1"/>
  <c r="G626" i="1"/>
  <c r="F626" i="1"/>
  <c r="H625" i="1"/>
  <c r="G625" i="1"/>
  <c r="F625" i="1"/>
  <c r="H624" i="1"/>
  <c r="G624" i="1"/>
  <c r="F624" i="1"/>
  <c r="H623" i="1"/>
  <c r="G623" i="1"/>
  <c r="F623" i="1"/>
  <c r="H622" i="1"/>
  <c r="G622" i="1"/>
  <c r="F622" i="1"/>
  <c r="H621" i="1"/>
  <c r="G621" i="1"/>
  <c r="F621" i="1"/>
  <c r="H620" i="1"/>
  <c r="G620" i="1"/>
  <c r="F620" i="1"/>
  <c r="H619" i="1"/>
  <c r="G619" i="1"/>
  <c r="F619" i="1"/>
  <c r="H618" i="1"/>
  <c r="G618" i="1"/>
  <c r="F618" i="1"/>
  <c r="H617" i="1"/>
  <c r="G617" i="1"/>
  <c r="F617" i="1"/>
  <c r="H616" i="1"/>
  <c r="G616" i="1"/>
  <c r="F616" i="1"/>
  <c r="H615" i="1"/>
  <c r="G615" i="1"/>
  <c r="F615" i="1"/>
  <c r="H614" i="1"/>
  <c r="G614" i="1"/>
  <c r="F614" i="1"/>
  <c r="H613" i="1"/>
  <c r="G613" i="1"/>
  <c r="F613" i="1"/>
  <c r="H612" i="1"/>
  <c r="G612" i="1"/>
  <c r="F612" i="1"/>
  <c r="H611" i="1"/>
  <c r="G611" i="1"/>
  <c r="F611" i="1"/>
  <c r="H610" i="1"/>
  <c r="G610" i="1"/>
  <c r="F610" i="1"/>
  <c r="H609" i="1"/>
  <c r="G609" i="1"/>
  <c r="F609" i="1"/>
  <c r="H608" i="1"/>
  <c r="G608" i="1"/>
  <c r="F608" i="1"/>
  <c r="H607" i="1"/>
  <c r="G607" i="1"/>
  <c r="F607" i="1"/>
  <c r="H606" i="1"/>
  <c r="G606" i="1"/>
  <c r="F606" i="1"/>
  <c r="H605" i="1"/>
  <c r="G605" i="1"/>
  <c r="F605" i="1"/>
  <c r="H604" i="1"/>
  <c r="G604" i="1"/>
  <c r="F604" i="1"/>
  <c r="H603" i="1"/>
  <c r="G603" i="1"/>
  <c r="F603" i="1"/>
  <c r="H602" i="1"/>
  <c r="G602" i="1"/>
  <c r="F602" i="1"/>
  <c r="H601" i="1"/>
  <c r="G601" i="1"/>
  <c r="F601" i="1"/>
  <c r="H600" i="1"/>
  <c r="G600" i="1"/>
  <c r="F600" i="1"/>
  <c r="H599" i="1"/>
  <c r="G599" i="1"/>
  <c r="F599" i="1"/>
  <c r="H598" i="1"/>
  <c r="G598" i="1"/>
  <c r="F598" i="1"/>
  <c r="H597" i="1"/>
  <c r="G597" i="1"/>
  <c r="F597" i="1"/>
  <c r="H596" i="1"/>
  <c r="G596" i="1"/>
  <c r="F596" i="1"/>
  <c r="H595" i="1"/>
  <c r="G595" i="1"/>
  <c r="F595" i="1"/>
  <c r="H594" i="1"/>
  <c r="G594" i="1"/>
  <c r="F594" i="1"/>
  <c r="H593" i="1"/>
  <c r="G593" i="1"/>
  <c r="F593" i="1"/>
  <c r="H592" i="1"/>
  <c r="G592" i="1"/>
  <c r="F592" i="1"/>
  <c r="H591" i="1"/>
  <c r="G591" i="1"/>
  <c r="F591" i="1"/>
  <c r="H590" i="1"/>
  <c r="G590" i="1"/>
  <c r="F590" i="1"/>
  <c r="H589" i="1"/>
  <c r="G589" i="1"/>
  <c r="F589" i="1"/>
  <c r="H588" i="1"/>
  <c r="G588" i="1"/>
  <c r="F588" i="1"/>
  <c r="H587" i="1"/>
  <c r="G587" i="1"/>
  <c r="F587" i="1"/>
  <c r="H586" i="1"/>
  <c r="G586" i="1"/>
  <c r="F586" i="1"/>
  <c r="H585" i="1"/>
  <c r="G585" i="1"/>
  <c r="F585" i="1"/>
  <c r="H584" i="1"/>
  <c r="G584" i="1"/>
  <c r="F584" i="1"/>
  <c r="H583" i="1"/>
  <c r="G583" i="1"/>
  <c r="F583" i="1"/>
  <c r="H582" i="1"/>
  <c r="G582" i="1"/>
  <c r="F582" i="1"/>
  <c r="H581" i="1"/>
  <c r="G581" i="1"/>
  <c r="F581" i="1"/>
  <c r="H580" i="1"/>
  <c r="G580" i="1"/>
  <c r="F580" i="1"/>
  <c r="H579" i="1"/>
  <c r="G579" i="1"/>
  <c r="F579" i="1"/>
  <c r="H578" i="1"/>
  <c r="G578" i="1"/>
  <c r="F578" i="1"/>
  <c r="H577" i="1"/>
  <c r="G577" i="1"/>
  <c r="F577" i="1"/>
  <c r="H576" i="1"/>
  <c r="G576" i="1"/>
  <c r="F576" i="1"/>
  <c r="H575" i="1"/>
  <c r="G575" i="1"/>
  <c r="F575" i="1"/>
  <c r="H574" i="1"/>
  <c r="G574" i="1"/>
  <c r="F574" i="1"/>
  <c r="H573" i="1"/>
  <c r="G573" i="1"/>
  <c r="F573" i="1"/>
  <c r="H572" i="1"/>
  <c r="G572" i="1"/>
  <c r="F572" i="1"/>
  <c r="H571" i="1"/>
  <c r="G571" i="1"/>
  <c r="F571" i="1"/>
  <c r="H570" i="1"/>
  <c r="G570" i="1"/>
  <c r="F570" i="1"/>
  <c r="H569" i="1"/>
  <c r="G569" i="1"/>
  <c r="F569" i="1"/>
  <c r="H568" i="1"/>
  <c r="G568" i="1"/>
  <c r="F568" i="1"/>
  <c r="H567" i="1"/>
  <c r="G567" i="1"/>
  <c r="F567" i="1"/>
  <c r="H566" i="1"/>
  <c r="G566" i="1"/>
  <c r="F566" i="1"/>
  <c r="H565" i="1"/>
  <c r="G565" i="1"/>
  <c r="F565" i="1"/>
  <c r="H564" i="1"/>
  <c r="G564" i="1"/>
  <c r="F564" i="1"/>
  <c r="H563" i="1"/>
  <c r="G563" i="1"/>
  <c r="F563" i="1"/>
  <c r="H562" i="1"/>
  <c r="G562" i="1"/>
  <c r="F562" i="1"/>
  <c r="H561" i="1"/>
  <c r="G561" i="1"/>
  <c r="F561" i="1"/>
  <c r="H560" i="1"/>
  <c r="G560" i="1"/>
  <c r="F560" i="1"/>
  <c r="H559" i="1"/>
  <c r="G559" i="1"/>
  <c r="F559" i="1"/>
  <c r="H558" i="1"/>
  <c r="G558" i="1"/>
  <c r="F558" i="1"/>
  <c r="H557" i="1"/>
  <c r="G557" i="1"/>
  <c r="F557" i="1"/>
  <c r="H556" i="1"/>
  <c r="G556" i="1"/>
  <c r="F556" i="1"/>
  <c r="H555" i="1"/>
  <c r="G555" i="1"/>
  <c r="F555" i="1"/>
  <c r="H554" i="1"/>
  <c r="G554" i="1"/>
  <c r="F554" i="1"/>
  <c r="H553" i="1"/>
  <c r="G553" i="1"/>
  <c r="F553" i="1"/>
  <c r="H552" i="1"/>
  <c r="G552" i="1"/>
  <c r="F552" i="1"/>
  <c r="H551" i="1"/>
  <c r="G551" i="1"/>
  <c r="F551" i="1"/>
  <c r="H550" i="1"/>
  <c r="G550" i="1"/>
  <c r="F550" i="1"/>
  <c r="H549" i="1"/>
  <c r="G549" i="1"/>
  <c r="F549" i="1"/>
  <c r="H548" i="1"/>
  <c r="G548" i="1"/>
  <c r="F548" i="1"/>
  <c r="H547" i="1"/>
  <c r="G547" i="1"/>
  <c r="F547" i="1"/>
  <c r="H546" i="1"/>
  <c r="G546" i="1"/>
  <c r="F546" i="1"/>
  <c r="H545" i="1"/>
  <c r="G545" i="1"/>
  <c r="F545" i="1"/>
  <c r="H544" i="1"/>
  <c r="G544" i="1"/>
  <c r="F544" i="1"/>
  <c r="H543" i="1"/>
  <c r="G543" i="1"/>
  <c r="F543" i="1"/>
  <c r="H542" i="1"/>
  <c r="G542" i="1"/>
  <c r="F542" i="1"/>
  <c r="H541" i="1"/>
  <c r="G541" i="1"/>
  <c r="F541" i="1"/>
  <c r="H540" i="1"/>
  <c r="G540" i="1"/>
  <c r="F540" i="1"/>
  <c r="H539" i="1"/>
  <c r="G539" i="1"/>
  <c r="F539" i="1"/>
  <c r="H538" i="1"/>
  <c r="G538" i="1"/>
  <c r="F538" i="1"/>
  <c r="H537" i="1"/>
  <c r="G537" i="1"/>
  <c r="F537" i="1"/>
  <c r="H536" i="1"/>
  <c r="G536" i="1"/>
  <c r="F536" i="1"/>
  <c r="H535" i="1"/>
  <c r="G535" i="1"/>
  <c r="F535" i="1"/>
  <c r="H534" i="1"/>
  <c r="G534" i="1"/>
  <c r="F534" i="1"/>
  <c r="H533" i="1"/>
  <c r="G533" i="1"/>
  <c r="F533" i="1"/>
  <c r="H532" i="1"/>
  <c r="G532" i="1"/>
  <c r="F532" i="1"/>
  <c r="H531" i="1"/>
  <c r="G531" i="1"/>
  <c r="F531" i="1"/>
  <c r="H530" i="1"/>
  <c r="G530" i="1"/>
  <c r="F530" i="1"/>
  <c r="H529" i="1"/>
  <c r="G529" i="1"/>
  <c r="F529" i="1"/>
  <c r="H528" i="1"/>
  <c r="G528" i="1"/>
  <c r="F528" i="1"/>
  <c r="H527" i="1"/>
  <c r="G527" i="1"/>
  <c r="F527" i="1"/>
  <c r="H526" i="1"/>
  <c r="G526" i="1"/>
  <c r="F526" i="1"/>
  <c r="H525" i="1"/>
  <c r="G525" i="1"/>
  <c r="F525" i="1"/>
  <c r="H524" i="1"/>
  <c r="G524" i="1"/>
  <c r="F524" i="1"/>
  <c r="H523" i="1"/>
  <c r="G523" i="1"/>
  <c r="F523" i="1"/>
  <c r="H522" i="1"/>
  <c r="G522" i="1"/>
  <c r="F522" i="1"/>
  <c r="H521" i="1"/>
  <c r="G521" i="1"/>
  <c r="F521" i="1"/>
  <c r="H520" i="1"/>
  <c r="G520" i="1"/>
  <c r="F520" i="1"/>
  <c r="H519" i="1"/>
  <c r="G519" i="1"/>
  <c r="F519" i="1"/>
  <c r="H518" i="1"/>
  <c r="G518" i="1"/>
  <c r="F518" i="1"/>
  <c r="H517" i="1"/>
  <c r="G517" i="1"/>
  <c r="F517" i="1"/>
  <c r="H516" i="1"/>
  <c r="G516" i="1"/>
  <c r="F516" i="1"/>
  <c r="H515" i="1"/>
  <c r="G515" i="1"/>
  <c r="F515" i="1"/>
  <c r="H514" i="1"/>
  <c r="G514" i="1"/>
  <c r="F514" i="1"/>
  <c r="H513" i="1"/>
  <c r="G513" i="1"/>
  <c r="F513" i="1"/>
  <c r="H512" i="1"/>
  <c r="G512" i="1"/>
  <c r="F512" i="1"/>
  <c r="H511" i="1"/>
  <c r="G511" i="1"/>
  <c r="F511" i="1"/>
  <c r="H510" i="1"/>
  <c r="G510" i="1"/>
  <c r="F510" i="1"/>
  <c r="H509" i="1"/>
  <c r="G509" i="1"/>
  <c r="F509" i="1"/>
  <c r="H508" i="1"/>
  <c r="G508" i="1"/>
  <c r="F508" i="1"/>
  <c r="H507" i="1"/>
  <c r="G507" i="1"/>
  <c r="F507" i="1"/>
  <c r="H506" i="1"/>
  <c r="G506" i="1"/>
  <c r="F506" i="1"/>
  <c r="H505" i="1"/>
  <c r="G505" i="1"/>
  <c r="F505" i="1"/>
  <c r="H504" i="1"/>
  <c r="G504" i="1"/>
  <c r="F504" i="1"/>
  <c r="H503" i="1"/>
  <c r="G503" i="1"/>
  <c r="F503" i="1"/>
  <c r="H502" i="1"/>
  <c r="G502" i="1"/>
  <c r="F502" i="1"/>
  <c r="H501" i="1"/>
  <c r="G501" i="1"/>
  <c r="F501" i="1"/>
  <c r="H500" i="1"/>
  <c r="G500" i="1"/>
  <c r="F500" i="1"/>
  <c r="H499" i="1"/>
  <c r="G499" i="1"/>
  <c r="F499" i="1"/>
  <c r="H498" i="1"/>
  <c r="G498" i="1"/>
  <c r="F498" i="1"/>
  <c r="H497" i="1"/>
  <c r="G497" i="1"/>
  <c r="F497" i="1"/>
  <c r="H496" i="1"/>
  <c r="G496" i="1"/>
  <c r="F496" i="1"/>
  <c r="H495" i="1"/>
  <c r="G495" i="1"/>
  <c r="F495" i="1"/>
  <c r="H494" i="1"/>
  <c r="G494" i="1"/>
  <c r="F494" i="1"/>
  <c r="H493" i="1"/>
  <c r="G493" i="1"/>
  <c r="F493" i="1"/>
  <c r="H492" i="1"/>
  <c r="G492" i="1"/>
  <c r="F492" i="1"/>
  <c r="H491" i="1"/>
  <c r="G491" i="1"/>
  <c r="F491" i="1"/>
  <c r="H490" i="1"/>
  <c r="G490" i="1"/>
  <c r="F490" i="1"/>
  <c r="H489" i="1"/>
  <c r="G489" i="1"/>
  <c r="F489" i="1"/>
  <c r="H488" i="1"/>
  <c r="G488" i="1"/>
  <c r="F488" i="1"/>
  <c r="H487" i="1"/>
  <c r="G487" i="1"/>
  <c r="F487" i="1"/>
  <c r="H486" i="1"/>
  <c r="G486" i="1"/>
  <c r="F486" i="1"/>
  <c r="H485" i="1"/>
  <c r="G485" i="1"/>
  <c r="F485" i="1"/>
  <c r="H484" i="1"/>
  <c r="G484" i="1"/>
  <c r="F484" i="1"/>
  <c r="H483" i="1"/>
  <c r="G483" i="1"/>
  <c r="F483" i="1"/>
  <c r="H482" i="1"/>
  <c r="G482" i="1"/>
  <c r="F482" i="1"/>
  <c r="H481" i="1"/>
  <c r="G481" i="1"/>
  <c r="F481" i="1"/>
  <c r="H480" i="1"/>
  <c r="G480" i="1"/>
  <c r="F480" i="1"/>
  <c r="H479" i="1"/>
  <c r="G479" i="1"/>
  <c r="F479" i="1"/>
  <c r="H478" i="1"/>
  <c r="G478" i="1"/>
  <c r="F478" i="1"/>
  <c r="H477" i="1"/>
  <c r="G477" i="1"/>
  <c r="F477" i="1"/>
  <c r="H476" i="1"/>
  <c r="G476" i="1"/>
  <c r="F476" i="1"/>
  <c r="H475" i="1"/>
  <c r="G475" i="1"/>
  <c r="F475" i="1"/>
  <c r="H474" i="1"/>
  <c r="G474" i="1"/>
  <c r="F474" i="1"/>
  <c r="H473" i="1"/>
  <c r="G473" i="1"/>
  <c r="F473" i="1"/>
  <c r="H472" i="1"/>
  <c r="G472" i="1"/>
  <c r="F472" i="1"/>
  <c r="H471" i="1"/>
  <c r="G471" i="1"/>
  <c r="F471" i="1"/>
  <c r="H470" i="1"/>
  <c r="G470" i="1"/>
  <c r="F470" i="1"/>
  <c r="H469" i="1"/>
  <c r="G469" i="1"/>
  <c r="F469" i="1"/>
  <c r="H468" i="1"/>
  <c r="G468" i="1"/>
  <c r="F468" i="1"/>
  <c r="H467" i="1"/>
  <c r="G467" i="1"/>
  <c r="F467" i="1"/>
  <c r="H466" i="1"/>
  <c r="G466" i="1"/>
  <c r="F466" i="1"/>
  <c r="H465" i="1"/>
  <c r="G465" i="1"/>
  <c r="F465" i="1"/>
  <c r="H464" i="1"/>
  <c r="G464" i="1"/>
  <c r="F464" i="1"/>
  <c r="H463" i="1"/>
  <c r="G463" i="1"/>
  <c r="F463" i="1"/>
  <c r="H462" i="1"/>
  <c r="G462" i="1"/>
  <c r="F462" i="1"/>
  <c r="H461" i="1"/>
  <c r="G461" i="1"/>
  <c r="F461" i="1"/>
  <c r="H460" i="1"/>
  <c r="G460" i="1"/>
  <c r="F460" i="1"/>
  <c r="H459" i="1"/>
  <c r="G459" i="1"/>
  <c r="F459" i="1"/>
  <c r="H458" i="1"/>
  <c r="G458" i="1"/>
  <c r="F458" i="1"/>
  <c r="H457" i="1"/>
  <c r="G457" i="1"/>
  <c r="F457" i="1"/>
  <c r="H456" i="1"/>
  <c r="G456" i="1"/>
  <c r="F456" i="1"/>
  <c r="H455" i="1"/>
  <c r="G455" i="1"/>
  <c r="F455" i="1"/>
  <c r="H454" i="1"/>
  <c r="G454" i="1"/>
  <c r="F454" i="1"/>
  <c r="H453" i="1"/>
  <c r="G453" i="1"/>
  <c r="F453" i="1"/>
  <c r="H452" i="1"/>
  <c r="G452" i="1"/>
  <c r="F452" i="1"/>
  <c r="H451" i="1"/>
  <c r="G451" i="1"/>
  <c r="F451" i="1"/>
  <c r="H450" i="1"/>
  <c r="G450" i="1"/>
  <c r="F450" i="1"/>
  <c r="H449" i="1"/>
  <c r="G449" i="1"/>
  <c r="F449" i="1"/>
  <c r="H448" i="1"/>
  <c r="G448" i="1"/>
  <c r="F448" i="1"/>
  <c r="H447" i="1"/>
  <c r="G447" i="1"/>
  <c r="F447" i="1"/>
  <c r="H446" i="1"/>
  <c r="G446" i="1"/>
  <c r="F446" i="1"/>
  <c r="H445" i="1"/>
  <c r="G445" i="1"/>
  <c r="F445" i="1"/>
  <c r="H444" i="1"/>
  <c r="G444" i="1"/>
  <c r="F444" i="1"/>
  <c r="H443" i="1"/>
  <c r="G443" i="1"/>
  <c r="F443" i="1"/>
  <c r="H442" i="1"/>
  <c r="G442" i="1"/>
  <c r="F442" i="1"/>
  <c r="H441" i="1"/>
  <c r="G441" i="1"/>
  <c r="F441" i="1"/>
  <c r="H440" i="1"/>
  <c r="G440" i="1"/>
  <c r="F440" i="1"/>
  <c r="H439" i="1"/>
  <c r="G439" i="1"/>
  <c r="F439" i="1"/>
  <c r="H438" i="1"/>
  <c r="G438" i="1"/>
  <c r="F438" i="1"/>
  <c r="H437" i="1"/>
  <c r="G437" i="1"/>
  <c r="F437" i="1"/>
  <c r="H436" i="1"/>
  <c r="G436" i="1"/>
  <c r="F436" i="1"/>
  <c r="H435" i="1"/>
  <c r="G435" i="1"/>
  <c r="F435" i="1"/>
  <c r="H434" i="1"/>
  <c r="G434" i="1"/>
  <c r="F434" i="1"/>
  <c r="H433" i="1"/>
  <c r="G433" i="1"/>
  <c r="F433" i="1"/>
  <c r="H432" i="1"/>
  <c r="G432" i="1"/>
  <c r="F432" i="1"/>
  <c r="H431" i="1"/>
  <c r="G431" i="1"/>
  <c r="F431" i="1"/>
  <c r="H430" i="1"/>
  <c r="G430" i="1"/>
  <c r="F430" i="1"/>
  <c r="H429" i="1"/>
  <c r="G429" i="1"/>
  <c r="F429" i="1"/>
  <c r="H428" i="1"/>
  <c r="G428" i="1"/>
  <c r="F428" i="1"/>
  <c r="H427" i="1"/>
  <c r="G427" i="1"/>
  <c r="F427" i="1"/>
  <c r="H426" i="1"/>
  <c r="G426" i="1"/>
  <c r="F426" i="1"/>
  <c r="H425" i="1"/>
  <c r="G425" i="1"/>
  <c r="F425" i="1"/>
  <c r="H424" i="1"/>
  <c r="G424" i="1"/>
  <c r="F424" i="1"/>
  <c r="H423" i="1"/>
  <c r="G423" i="1"/>
  <c r="F423" i="1"/>
  <c r="H422" i="1"/>
  <c r="G422" i="1"/>
  <c r="F422" i="1"/>
  <c r="H421" i="1"/>
  <c r="G421" i="1"/>
  <c r="F421" i="1"/>
  <c r="H420" i="1"/>
  <c r="G420" i="1"/>
  <c r="F420" i="1"/>
  <c r="H419" i="1"/>
  <c r="G419" i="1"/>
  <c r="F419" i="1"/>
  <c r="H418" i="1"/>
  <c r="G418" i="1"/>
  <c r="F418" i="1"/>
  <c r="H417" i="1"/>
  <c r="G417" i="1"/>
  <c r="F417" i="1"/>
  <c r="H416" i="1"/>
  <c r="G416" i="1"/>
  <c r="F416" i="1"/>
  <c r="H415" i="1"/>
  <c r="G415" i="1"/>
  <c r="F415" i="1"/>
  <c r="H414" i="1"/>
  <c r="G414" i="1"/>
  <c r="F414" i="1"/>
  <c r="H413" i="1"/>
  <c r="G413" i="1"/>
  <c r="F413" i="1"/>
  <c r="H412" i="1"/>
  <c r="G412" i="1"/>
  <c r="F412" i="1"/>
  <c r="H411" i="1"/>
  <c r="G411" i="1"/>
  <c r="F411" i="1"/>
  <c r="H410" i="1"/>
  <c r="G410" i="1"/>
  <c r="F410" i="1"/>
  <c r="H409" i="1"/>
  <c r="G409" i="1"/>
  <c r="F409" i="1"/>
  <c r="H408" i="1"/>
  <c r="G408" i="1"/>
  <c r="F408" i="1"/>
  <c r="H407" i="1"/>
  <c r="G407" i="1"/>
  <c r="F407" i="1"/>
  <c r="H406" i="1"/>
  <c r="G406" i="1"/>
  <c r="F406" i="1"/>
  <c r="H405" i="1"/>
  <c r="G405" i="1"/>
  <c r="F405" i="1"/>
  <c r="H404" i="1"/>
  <c r="G404" i="1"/>
  <c r="F404" i="1"/>
  <c r="H403" i="1"/>
  <c r="G403" i="1"/>
  <c r="F403" i="1"/>
  <c r="H402" i="1"/>
  <c r="G402" i="1"/>
  <c r="F402" i="1"/>
  <c r="H401" i="1"/>
  <c r="G401" i="1"/>
  <c r="F401" i="1"/>
  <c r="H400" i="1"/>
  <c r="G400" i="1"/>
  <c r="F400" i="1"/>
  <c r="H399" i="1"/>
  <c r="G399" i="1"/>
  <c r="F399" i="1"/>
  <c r="H398" i="1"/>
  <c r="G398" i="1"/>
  <c r="F398" i="1"/>
  <c r="H397" i="1"/>
  <c r="G397" i="1"/>
  <c r="F397" i="1"/>
  <c r="H396" i="1"/>
  <c r="G396" i="1"/>
  <c r="F396" i="1"/>
  <c r="H395" i="1"/>
  <c r="G395" i="1"/>
  <c r="F395" i="1"/>
  <c r="H394" i="1"/>
  <c r="G394" i="1"/>
  <c r="F394" i="1"/>
  <c r="H393" i="1"/>
  <c r="G393" i="1"/>
  <c r="F393" i="1"/>
  <c r="H392" i="1"/>
  <c r="G392" i="1"/>
  <c r="F392" i="1"/>
  <c r="H391" i="1"/>
  <c r="G391" i="1"/>
  <c r="F391" i="1"/>
  <c r="H390" i="1"/>
  <c r="G390" i="1"/>
  <c r="F390" i="1"/>
  <c r="H389" i="1"/>
  <c r="G389" i="1"/>
  <c r="F389" i="1"/>
  <c r="H388" i="1"/>
  <c r="G388" i="1"/>
  <c r="F388" i="1"/>
  <c r="H387" i="1"/>
  <c r="G387" i="1"/>
  <c r="F387" i="1"/>
  <c r="H386" i="1"/>
  <c r="G386" i="1"/>
  <c r="F386" i="1"/>
  <c r="H385" i="1"/>
  <c r="G385" i="1"/>
  <c r="F385" i="1"/>
  <c r="H384" i="1"/>
  <c r="G384" i="1"/>
  <c r="F384" i="1"/>
  <c r="H383" i="1"/>
  <c r="G383" i="1"/>
  <c r="F383" i="1"/>
  <c r="H382" i="1"/>
  <c r="G382" i="1"/>
  <c r="F382" i="1"/>
  <c r="H381" i="1"/>
  <c r="G381" i="1"/>
  <c r="F381" i="1"/>
  <c r="H380" i="1"/>
  <c r="G380" i="1"/>
  <c r="F380" i="1"/>
  <c r="H379" i="1"/>
  <c r="G379" i="1"/>
  <c r="F379" i="1"/>
  <c r="H378" i="1"/>
  <c r="G378" i="1"/>
  <c r="F378" i="1"/>
  <c r="H377" i="1"/>
  <c r="G377" i="1"/>
  <c r="F377" i="1"/>
  <c r="H376" i="1"/>
  <c r="G376" i="1"/>
  <c r="F376" i="1"/>
  <c r="H375" i="1"/>
  <c r="G375" i="1"/>
  <c r="F375" i="1"/>
  <c r="H374" i="1"/>
  <c r="G374" i="1"/>
  <c r="F374" i="1"/>
  <c r="H373" i="1"/>
  <c r="G373" i="1"/>
  <c r="F373" i="1"/>
  <c r="H372" i="1"/>
  <c r="G372" i="1"/>
  <c r="F372" i="1"/>
  <c r="H371" i="1"/>
  <c r="G371" i="1"/>
  <c r="F371" i="1"/>
  <c r="H370" i="1"/>
  <c r="G370" i="1"/>
  <c r="F370" i="1"/>
  <c r="H369" i="1"/>
  <c r="G369" i="1"/>
  <c r="F369" i="1"/>
  <c r="H368" i="1"/>
  <c r="G368" i="1"/>
  <c r="F368" i="1"/>
  <c r="H367" i="1"/>
  <c r="G367" i="1"/>
  <c r="F367" i="1"/>
  <c r="H366" i="1"/>
  <c r="G366" i="1"/>
  <c r="F366" i="1"/>
  <c r="H365" i="1"/>
  <c r="G365" i="1"/>
  <c r="F365" i="1"/>
  <c r="H364" i="1"/>
  <c r="G364" i="1"/>
  <c r="F364" i="1"/>
  <c r="H363" i="1"/>
  <c r="G363" i="1"/>
  <c r="F363" i="1"/>
  <c r="H362" i="1"/>
  <c r="G362" i="1"/>
  <c r="F362" i="1"/>
  <c r="H361" i="1"/>
  <c r="G361" i="1"/>
  <c r="F361" i="1"/>
  <c r="H360" i="1"/>
  <c r="G360" i="1"/>
  <c r="F360" i="1"/>
  <c r="H359" i="1"/>
  <c r="G359" i="1"/>
  <c r="F359" i="1"/>
  <c r="H358" i="1"/>
  <c r="G358" i="1"/>
  <c r="F358" i="1"/>
  <c r="H357" i="1"/>
  <c r="G357" i="1"/>
  <c r="F357" i="1"/>
  <c r="H356" i="1"/>
  <c r="G356" i="1"/>
  <c r="F356" i="1"/>
  <c r="H355" i="1"/>
  <c r="G355" i="1"/>
  <c r="F355" i="1"/>
  <c r="H354" i="1"/>
  <c r="G354" i="1"/>
  <c r="F354" i="1"/>
  <c r="H353" i="1"/>
  <c r="G353" i="1"/>
  <c r="F353" i="1"/>
  <c r="H352" i="1"/>
  <c r="G352" i="1"/>
  <c r="F352" i="1"/>
  <c r="H351" i="1"/>
  <c r="G351" i="1"/>
  <c r="F351" i="1"/>
  <c r="H350" i="1"/>
  <c r="G350" i="1"/>
  <c r="F350" i="1"/>
  <c r="H349" i="1"/>
  <c r="G349" i="1"/>
  <c r="F349" i="1"/>
  <c r="H348" i="1"/>
  <c r="G348" i="1"/>
  <c r="F348" i="1"/>
  <c r="H347" i="1"/>
  <c r="G347" i="1"/>
  <c r="F347" i="1"/>
  <c r="H346" i="1"/>
  <c r="G346" i="1"/>
  <c r="F346" i="1"/>
  <c r="H345" i="1"/>
  <c r="G345" i="1"/>
  <c r="F345" i="1"/>
  <c r="H344" i="1"/>
  <c r="G344" i="1"/>
  <c r="F344" i="1"/>
  <c r="H343" i="1"/>
  <c r="G343" i="1"/>
  <c r="F343" i="1"/>
  <c r="H342" i="1"/>
  <c r="G342" i="1"/>
  <c r="F342" i="1"/>
  <c r="H341" i="1"/>
  <c r="G341" i="1"/>
  <c r="F341" i="1"/>
  <c r="H340" i="1"/>
  <c r="G340" i="1"/>
  <c r="F340" i="1"/>
  <c r="H339" i="1"/>
  <c r="G339" i="1"/>
  <c r="F339" i="1"/>
  <c r="H338" i="1"/>
  <c r="G338" i="1"/>
  <c r="F338" i="1"/>
  <c r="H337" i="1"/>
  <c r="G337" i="1"/>
  <c r="F337" i="1"/>
  <c r="H336" i="1"/>
  <c r="G336" i="1"/>
  <c r="F336" i="1"/>
  <c r="H335" i="1"/>
  <c r="G335" i="1"/>
  <c r="F335" i="1"/>
  <c r="H334" i="1"/>
  <c r="G334" i="1"/>
  <c r="F334" i="1"/>
  <c r="H333" i="1"/>
  <c r="G333" i="1"/>
  <c r="F333" i="1"/>
  <c r="H332" i="1"/>
  <c r="G332" i="1"/>
  <c r="F332" i="1"/>
  <c r="H331" i="1"/>
  <c r="G331" i="1"/>
  <c r="F331" i="1"/>
  <c r="H330" i="1"/>
  <c r="G330" i="1"/>
  <c r="F330" i="1"/>
  <c r="H329" i="1"/>
  <c r="G329" i="1"/>
  <c r="F329" i="1"/>
  <c r="H328" i="1"/>
  <c r="G328" i="1"/>
  <c r="F328" i="1"/>
  <c r="H327" i="1"/>
  <c r="G327" i="1"/>
  <c r="F327" i="1"/>
  <c r="H326" i="1"/>
  <c r="G326" i="1"/>
  <c r="F326" i="1"/>
  <c r="H325" i="1"/>
  <c r="G325" i="1"/>
  <c r="F325" i="1"/>
  <c r="H324" i="1"/>
  <c r="G324" i="1"/>
  <c r="F324" i="1"/>
  <c r="H323" i="1"/>
  <c r="G323" i="1"/>
  <c r="F323" i="1"/>
  <c r="H322" i="1"/>
  <c r="G322" i="1"/>
  <c r="F322" i="1"/>
  <c r="H321" i="1"/>
  <c r="G321" i="1"/>
  <c r="F321" i="1"/>
  <c r="H320" i="1"/>
  <c r="G320" i="1"/>
  <c r="F320" i="1"/>
  <c r="H319" i="1"/>
  <c r="G319" i="1"/>
  <c r="F319" i="1"/>
  <c r="H318" i="1"/>
  <c r="G318" i="1"/>
  <c r="F318" i="1"/>
  <c r="H317" i="1"/>
  <c r="G317" i="1"/>
  <c r="F317" i="1"/>
  <c r="H316" i="1"/>
  <c r="G316" i="1"/>
  <c r="F316" i="1"/>
  <c r="H315" i="1"/>
  <c r="G315" i="1"/>
  <c r="F315" i="1"/>
  <c r="H314" i="1"/>
  <c r="G314" i="1"/>
  <c r="F314" i="1"/>
  <c r="H313" i="1"/>
  <c r="G313" i="1"/>
  <c r="F313" i="1"/>
  <c r="H312" i="1"/>
  <c r="G312" i="1"/>
  <c r="F312" i="1"/>
  <c r="H311" i="1"/>
  <c r="G311" i="1"/>
  <c r="F311" i="1"/>
  <c r="H310" i="1"/>
  <c r="G310" i="1"/>
  <c r="F310" i="1"/>
  <c r="H309" i="1"/>
  <c r="G309" i="1"/>
  <c r="F309" i="1"/>
  <c r="H308" i="1"/>
  <c r="G308" i="1"/>
  <c r="F308" i="1"/>
  <c r="H307" i="1"/>
  <c r="G307" i="1"/>
  <c r="F307" i="1"/>
  <c r="H306" i="1"/>
  <c r="G306" i="1"/>
  <c r="F306" i="1"/>
  <c r="H305" i="1"/>
  <c r="G305" i="1"/>
  <c r="F305" i="1"/>
  <c r="H304" i="1"/>
  <c r="G304" i="1"/>
  <c r="F304" i="1"/>
  <c r="H303" i="1"/>
  <c r="G303" i="1"/>
  <c r="F303" i="1"/>
  <c r="H302" i="1"/>
  <c r="G302" i="1"/>
  <c r="F302" i="1"/>
  <c r="H301" i="1"/>
  <c r="G301" i="1"/>
  <c r="F301" i="1"/>
  <c r="H300" i="1"/>
  <c r="G300" i="1"/>
  <c r="F300" i="1"/>
  <c r="H299" i="1"/>
  <c r="G299" i="1"/>
  <c r="F299" i="1"/>
  <c r="H298" i="1"/>
  <c r="G298" i="1"/>
  <c r="F298" i="1"/>
  <c r="H297" i="1"/>
  <c r="G297" i="1"/>
  <c r="F297" i="1"/>
  <c r="H296" i="1"/>
  <c r="G296" i="1"/>
  <c r="F296" i="1"/>
  <c r="H295" i="1"/>
  <c r="G295" i="1"/>
  <c r="F295" i="1"/>
  <c r="H294" i="1"/>
  <c r="G294" i="1"/>
  <c r="F294" i="1"/>
  <c r="H293" i="1"/>
  <c r="G293" i="1"/>
  <c r="F293" i="1"/>
  <c r="H292" i="1"/>
  <c r="G292" i="1"/>
  <c r="F292" i="1"/>
  <c r="H291" i="1"/>
  <c r="G291" i="1"/>
  <c r="F291" i="1"/>
  <c r="H290" i="1"/>
  <c r="G290" i="1"/>
  <c r="F290" i="1"/>
  <c r="H289" i="1"/>
  <c r="G289" i="1"/>
  <c r="F289" i="1"/>
  <c r="H288" i="1"/>
  <c r="G288" i="1"/>
  <c r="F288" i="1"/>
  <c r="H287" i="1"/>
  <c r="G287" i="1"/>
  <c r="F287" i="1"/>
  <c r="H286" i="1"/>
  <c r="G286" i="1"/>
  <c r="F286" i="1"/>
  <c r="H285" i="1"/>
  <c r="G285" i="1"/>
  <c r="F285" i="1"/>
  <c r="H284" i="1"/>
  <c r="G284" i="1"/>
  <c r="F284" i="1"/>
  <c r="H283" i="1"/>
  <c r="G283" i="1"/>
  <c r="F283" i="1"/>
  <c r="H282" i="1"/>
  <c r="G282" i="1"/>
  <c r="F282" i="1"/>
  <c r="H281" i="1"/>
  <c r="G281" i="1"/>
  <c r="F281" i="1"/>
  <c r="H280" i="1"/>
  <c r="G280" i="1"/>
  <c r="F280" i="1"/>
  <c r="H279" i="1"/>
  <c r="G279" i="1"/>
  <c r="F279" i="1"/>
  <c r="H278" i="1"/>
  <c r="G278" i="1"/>
  <c r="F278" i="1"/>
  <c r="H277" i="1"/>
  <c r="G277" i="1"/>
  <c r="F277" i="1"/>
  <c r="H276" i="1"/>
  <c r="G276" i="1"/>
  <c r="F276" i="1"/>
  <c r="H275" i="1"/>
  <c r="G275" i="1"/>
  <c r="F275" i="1"/>
  <c r="H274" i="1"/>
  <c r="G274" i="1"/>
  <c r="F274" i="1"/>
  <c r="H273" i="1"/>
  <c r="G273" i="1"/>
  <c r="F273" i="1"/>
  <c r="H272" i="1"/>
  <c r="G272" i="1"/>
  <c r="F272" i="1"/>
  <c r="H271" i="1"/>
  <c r="G271" i="1"/>
  <c r="F271" i="1"/>
  <c r="H270" i="1"/>
  <c r="G270" i="1"/>
  <c r="F270" i="1"/>
  <c r="H269" i="1"/>
  <c r="G269" i="1"/>
  <c r="F269" i="1"/>
  <c r="H268" i="1"/>
  <c r="G268" i="1"/>
  <c r="F268" i="1"/>
  <c r="H267" i="1"/>
  <c r="G267" i="1"/>
  <c r="F267" i="1"/>
  <c r="H266" i="1"/>
  <c r="G266" i="1"/>
  <c r="F266" i="1"/>
  <c r="H265" i="1"/>
  <c r="G265" i="1"/>
  <c r="F265" i="1"/>
  <c r="H264" i="1"/>
  <c r="G264" i="1"/>
  <c r="F264" i="1"/>
  <c r="H263" i="1"/>
  <c r="G263" i="1"/>
  <c r="F263" i="1"/>
  <c r="H262" i="1"/>
  <c r="G262" i="1"/>
  <c r="F262" i="1"/>
  <c r="H261" i="1"/>
  <c r="G261" i="1"/>
  <c r="F261" i="1"/>
  <c r="H260" i="1"/>
  <c r="G260" i="1"/>
  <c r="F260" i="1"/>
  <c r="H259" i="1"/>
  <c r="G259" i="1"/>
  <c r="F259" i="1"/>
  <c r="H258" i="1"/>
  <c r="G258" i="1"/>
  <c r="F258" i="1"/>
  <c r="H257" i="1"/>
  <c r="G257" i="1"/>
  <c r="F257" i="1"/>
  <c r="H256" i="1"/>
  <c r="G256" i="1"/>
  <c r="F256" i="1"/>
  <c r="H255" i="1"/>
  <c r="G255" i="1"/>
  <c r="F255" i="1"/>
  <c r="H254" i="1"/>
  <c r="G254" i="1"/>
  <c r="F254" i="1"/>
  <c r="H253" i="1"/>
  <c r="G253" i="1"/>
  <c r="F253" i="1"/>
  <c r="H252" i="1"/>
  <c r="G252" i="1"/>
  <c r="F252" i="1"/>
  <c r="H251" i="1"/>
  <c r="G251" i="1"/>
  <c r="F251" i="1"/>
  <c r="H250" i="1"/>
  <c r="G250" i="1"/>
  <c r="F250" i="1"/>
  <c r="H249" i="1"/>
  <c r="G249" i="1"/>
  <c r="F249" i="1"/>
  <c r="H248" i="1"/>
  <c r="G248" i="1"/>
  <c r="F248" i="1"/>
  <c r="H247" i="1"/>
  <c r="G247" i="1"/>
  <c r="F247" i="1"/>
  <c r="H246" i="1"/>
  <c r="G246" i="1"/>
  <c r="F246" i="1"/>
  <c r="H245" i="1"/>
  <c r="G245" i="1"/>
  <c r="F245" i="1"/>
  <c r="H244" i="1"/>
  <c r="G244" i="1"/>
  <c r="F244" i="1"/>
  <c r="H243" i="1"/>
  <c r="G243" i="1"/>
  <c r="F243" i="1"/>
  <c r="H242" i="1"/>
  <c r="G242" i="1"/>
  <c r="F242" i="1"/>
  <c r="H241" i="1"/>
  <c r="G241" i="1"/>
  <c r="F241" i="1"/>
  <c r="H240" i="1"/>
  <c r="G240" i="1"/>
  <c r="F240" i="1"/>
  <c r="H239" i="1"/>
  <c r="G239" i="1"/>
  <c r="F239" i="1"/>
  <c r="H238" i="1"/>
  <c r="G238" i="1"/>
  <c r="F238" i="1"/>
  <c r="H237" i="1"/>
  <c r="G237" i="1"/>
  <c r="F237" i="1"/>
  <c r="H236" i="1"/>
  <c r="G236" i="1"/>
  <c r="F236" i="1"/>
  <c r="H235" i="1"/>
  <c r="G235" i="1"/>
  <c r="F235" i="1"/>
  <c r="H234" i="1"/>
  <c r="G234" i="1"/>
  <c r="F234" i="1"/>
  <c r="H233" i="1"/>
  <c r="G233" i="1"/>
  <c r="F233" i="1"/>
  <c r="H232" i="1"/>
  <c r="G232" i="1"/>
  <c r="F232" i="1"/>
  <c r="H231" i="1"/>
  <c r="G231" i="1"/>
  <c r="F231" i="1"/>
  <c r="H230" i="1"/>
  <c r="G230" i="1"/>
  <c r="F230" i="1"/>
  <c r="H229" i="1"/>
  <c r="G229" i="1"/>
  <c r="F229" i="1"/>
  <c r="H228" i="1"/>
  <c r="G228" i="1"/>
  <c r="F228" i="1"/>
  <c r="H227" i="1"/>
  <c r="G227" i="1"/>
  <c r="F227" i="1"/>
  <c r="H226" i="1"/>
  <c r="G226" i="1"/>
  <c r="F226" i="1"/>
  <c r="H225" i="1"/>
  <c r="G225" i="1"/>
  <c r="F225" i="1"/>
  <c r="H224" i="1"/>
  <c r="G224" i="1"/>
  <c r="F224" i="1"/>
  <c r="H223" i="1"/>
  <c r="G223" i="1"/>
  <c r="F223" i="1"/>
  <c r="H222" i="1"/>
  <c r="G222" i="1"/>
  <c r="F222" i="1"/>
  <c r="H221" i="1"/>
  <c r="G221" i="1"/>
  <c r="F221" i="1"/>
  <c r="H220" i="1"/>
  <c r="G220" i="1"/>
  <c r="F220" i="1"/>
  <c r="H219" i="1"/>
  <c r="G219" i="1"/>
  <c r="F219" i="1"/>
  <c r="H218" i="1"/>
  <c r="G218" i="1"/>
  <c r="F218" i="1"/>
  <c r="H217" i="1"/>
  <c r="G217" i="1"/>
  <c r="F217" i="1"/>
  <c r="H216" i="1"/>
  <c r="G216" i="1"/>
  <c r="F216" i="1"/>
  <c r="H215" i="1"/>
  <c r="G215" i="1"/>
  <c r="F215" i="1"/>
  <c r="H214" i="1"/>
  <c r="G214" i="1"/>
  <c r="F214" i="1"/>
  <c r="H213" i="1"/>
  <c r="G213" i="1"/>
  <c r="F213" i="1"/>
  <c r="H212" i="1"/>
  <c r="G212" i="1"/>
  <c r="F212" i="1"/>
  <c r="H211" i="1"/>
  <c r="G211" i="1"/>
  <c r="F211" i="1"/>
  <c r="H210" i="1"/>
  <c r="G210" i="1"/>
  <c r="F210" i="1"/>
  <c r="H209" i="1"/>
  <c r="G209" i="1"/>
  <c r="F209" i="1"/>
  <c r="H208" i="1"/>
  <c r="G208" i="1"/>
  <c r="F208" i="1"/>
  <c r="H207" i="1"/>
  <c r="G207" i="1"/>
  <c r="F207" i="1"/>
  <c r="H206" i="1"/>
  <c r="G206" i="1"/>
  <c r="F206" i="1"/>
  <c r="H205" i="1"/>
  <c r="G205" i="1"/>
  <c r="F205" i="1"/>
  <c r="H204" i="1"/>
  <c r="G204" i="1"/>
  <c r="F204" i="1"/>
  <c r="H203" i="1"/>
  <c r="G203" i="1"/>
  <c r="F203" i="1"/>
  <c r="H202" i="1"/>
  <c r="G202" i="1"/>
  <c r="F202" i="1"/>
  <c r="H201" i="1"/>
  <c r="G201" i="1"/>
  <c r="F201" i="1"/>
  <c r="H200" i="1"/>
  <c r="G200" i="1"/>
  <c r="F200" i="1"/>
  <c r="H199" i="1"/>
  <c r="G199" i="1"/>
  <c r="F199" i="1"/>
  <c r="H198" i="1"/>
  <c r="G198" i="1"/>
  <c r="F198" i="1"/>
  <c r="H197" i="1"/>
  <c r="G197" i="1"/>
  <c r="F197" i="1"/>
  <c r="H196" i="1"/>
  <c r="G196" i="1"/>
  <c r="F196" i="1"/>
  <c r="H195" i="1"/>
  <c r="G195" i="1"/>
  <c r="F195" i="1"/>
  <c r="H194" i="1"/>
  <c r="G194" i="1"/>
  <c r="F194" i="1"/>
  <c r="H193" i="1"/>
  <c r="G193" i="1"/>
  <c r="F193" i="1"/>
  <c r="H192" i="1"/>
  <c r="G192" i="1"/>
  <c r="F192" i="1"/>
  <c r="H191" i="1"/>
  <c r="G191" i="1"/>
  <c r="F191" i="1"/>
  <c r="H190" i="1"/>
  <c r="G190" i="1"/>
  <c r="F190" i="1"/>
  <c r="H189" i="1"/>
  <c r="G189" i="1"/>
  <c r="F189" i="1"/>
  <c r="H188" i="1"/>
  <c r="G188" i="1"/>
  <c r="F188" i="1"/>
  <c r="H187" i="1"/>
  <c r="G187" i="1"/>
  <c r="F187" i="1"/>
  <c r="H186" i="1"/>
  <c r="G186" i="1"/>
  <c r="F186" i="1"/>
  <c r="H185" i="1"/>
  <c r="G185" i="1"/>
  <c r="F185" i="1"/>
  <c r="H184" i="1"/>
  <c r="G184" i="1"/>
  <c r="F184" i="1"/>
  <c r="H183" i="1"/>
  <c r="G183" i="1"/>
  <c r="F183" i="1"/>
  <c r="H182" i="1"/>
  <c r="G182" i="1"/>
  <c r="F182" i="1"/>
  <c r="H181" i="1"/>
  <c r="G181" i="1"/>
  <c r="F181" i="1"/>
  <c r="H180" i="1"/>
  <c r="G180" i="1"/>
  <c r="F180" i="1"/>
  <c r="H179" i="1"/>
  <c r="G179" i="1"/>
  <c r="F179" i="1"/>
  <c r="H178" i="1"/>
  <c r="G178" i="1"/>
  <c r="F178" i="1"/>
  <c r="H177" i="1"/>
  <c r="G177" i="1"/>
  <c r="F177" i="1"/>
  <c r="H176" i="1"/>
  <c r="G176" i="1"/>
  <c r="F176" i="1"/>
  <c r="H175" i="1"/>
  <c r="G175" i="1"/>
  <c r="F175" i="1"/>
  <c r="H174" i="1"/>
  <c r="G174" i="1"/>
  <c r="F174" i="1"/>
  <c r="H173" i="1"/>
  <c r="G173" i="1"/>
  <c r="F173" i="1"/>
  <c r="H172" i="1"/>
  <c r="G172" i="1"/>
  <c r="F172" i="1"/>
  <c r="H171" i="1"/>
  <c r="G171" i="1"/>
  <c r="F171" i="1"/>
  <c r="H170" i="1"/>
  <c r="G170" i="1"/>
  <c r="F170" i="1"/>
  <c r="H169" i="1"/>
  <c r="G169" i="1"/>
  <c r="F169" i="1"/>
  <c r="H168" i="1"/>
  <c r="G168" i="1"/>
  <c r="F168" i="1"/>
  <c r="H167" i="1"/>
  <c r="G167" i="1"/>
  <c r="F167" i="1"/>
  <c r="H166" i="1"/>
  <c r="G166" i="1"/>
  <c r="F166" i="1"/>
  <c r="H165" i="1"/>
  <c r="G165" i="1"/>
  <c r="F165" i="1"/>
  <c r="H164" i="1"/>
  <c r="G164" i="1"/>
  <c r="F164" i="1"/>
  <c r="H163" i="1"/>
  <c r="G163" i="1"/>
  <c r="F163" i="1"/>
  <c r="H162" i="1"/>
  <c r="G162" i="1"/>
  <c r="F162" i="1"/>
  <c r="H161" i="1"/>
  <c r="G161" i="1"/>
  <c r="F161" i="1"/>
  <c r="H160" i="1"/>
  <c r="G160" i="1"/>
  <c r="F160" i="1"/>
  <c r="H159" i="1"/>
  <c r="G159" i="1"/>
  <c r="F159" i="1"/>
  <c r="H158" i="1"/>
  <c r="G158" i="1"/>
  <c r="F158" i="1"/>
  <c r="H157" i="1"/>
  <c r="G157" i="1"/>
  <c r="F157" i="1"/>
  <c r="H156" i="1"/>
  <c r="G156" i="1"/>
  <c r="F156" i="1"/>
  <c r="H155" i="1"/>
  <c r="G155" i="1"/>
  <c r="F155" i="1"/>
  <c r="H154" i="1"/>
  <c r="G154" i="1"/>
  <c r="F154" i="1"/>
  <c r="H153" i="1"/>
  <c r="G153" i="1"/>
  <c r="F153" i="1"/>
  <c r="H152" i="1"/>
  <c r="G152" i="1"/>
  <c r="F152" i="1"/>
  <c r="H151" i="1"/>
  <c r="G151" i="1"/>
  <c r="F151" i="1"/>
  <c r="H150" i="1"/>
  <c r="G150" i="1"/>
  <c r="F150" i="1"/>
  <c r="H149" i="1"/>
  <c r="G149" i="1"/>
  <c r="F149" i="1"/>
  <c r="H148" i="1"/>
  <c r="G148" i="1"/>
  <c r="F148" i="1"/>
  <c r="H147" i="1"/>
  <c r="G147" i="1"/>
  <c r="F147" i="1"/>
  <c r="H146" i="1"/>
  <c r="G146" i="1"/>
  <c r="F146" i="1"/>
  <c r="H145" i="1"/>
  <c r="G145" i="1"/>
  <c r="F145" i="1"/>
  <c r="H144" i="1"/>
  <c r="G144" i="1"/>
  <c r="F144" i="1"/>
  <c r="H143" i="1"/>
  <c r="G143" i="1"/>
  <c r="F143" i="1"/>
  <c r="H142" i="1"/>
  <c r="G142" i="1"/>
  <c r="F142" i="1"/>
  <c r="H141" i="1"/>
  <c r="G141" i="1"/>
  <c r="F141" i="1"/>
  <c r="H140" i="1"/>
  <c r="G140" i="1"/>
  <c r="F140" i="1"/>
  <c r="H139" i="1"/>
  <c r="G139" i="1"/>
  <c r="F139" i="1"/>
  <c r="H138" i="1"/>
  <c r="G138" i="1"/>
  <c r="F138" i="1"/>
  <c r="H137" i="1"/>
  <c r="G137" i="1"/>
  <c r="F137" i="1"/>
  <c r="H136" i="1"/>
  <c r="G136" i="1"/>
  <c r="F136" i="1"/>
  <c r="H135" i="1"/>
  <c r="G135" i="1"/>
  <c r="F135" i="1"/>
  <c r="H134" i="1"/>
  <c r="G134" i="1"/>
  <c r="F134" i="1"/>
  <c r="H133" i="1"/>
  <c r="G133" i="1"/>
  <c r="F133" i="1"/>
  <c r="H132" i="1"/>
  <c r="G132" i="1"/>
  <c r="F132" i="1"/>
  <c r="H131" i="1"/>
  <c r="G131" i="1"/>
  <c r="F131" i="1"/>
  <c r="H130" i="1"/>
  <c r="G130" i="1"/>
  <c r="F130" i="1"/>
  <c r="H129" i="1"/>
  <c r="G129" i="1"/>
  <c r="F129" i="1"/>
  <c r="H128" i="1"/>
  <c r="G128" i="1"/>
  <c r="F128" i="1"/>
  <c r="H127" i="1"/>
  <c r="G127" i="1"/>
  <c r="F127" i="1"/>
  <c r="H126" i="1"/>
  <c r="G126" i="1"/>
  <c r="F126" i="1"/>
  <c r="H125" i="1"/>
  <c r="G125" i="1"/>
  <c r="F125" i="1"/>
  <c r="H124" i="1"/>
  <c r="G124" i="1"/>
  <c r="F124" i="1"/>
  <c r="H123" i="1"/>
  <c r="G123" i="1"/>
  <c r="F123" i="1"/>
  <c r="H122" i="1"/>
  <c r="G122" i="1"/>
  <c r="F122" i="1"/>
  <c r="H121" i="1"/>
  <c r="G121" i="1"/>
  <c r="F121" i="1"/>
  <c r="H120" i="1"/>
  <c r="G120" i="1"/>
  <c r="F120" i="1"/>
  <c r="H119" i="1"/>
  <c r="G119" i="1"/>
  <c r="F119" i="1"/>
  <c r="H118" i="1"/>
  <c r="G118" i="1"/>
  <c r="F118" i="1"/>
  <c r="H117" i="1"/>
  <c r="G117" i="1"/>
  <c r="F117" i="1"/>
  <c r="H116" i="1"/>
  <c r="G116" i="1"/>
  <c r="F116" i="1"/>
  <c r="H115" i="1"/>
  <c r="G115" i="1"/>
  <c r="F115" i="1"/>
  <c r="H114" i="1"/>
  <c r="G114" i="1"/>
  <c r="F114" i="1"/>
  <c r="H113" i="1"/>
  <c r="G113" i="1"/>
  <c r="F113" i="1"/>
  <c r="H112" i="1"/>
  <c r="G112" i="1"/>
  <c r="F112" i="1"/>
  <c r="H111" i="1"/>
  <c r="G111" i="1"/>
  <c r="F111" i="1"/>
  <c r="H110" i="1"/>
  <c r="G110" i="1"/>
  <c r="F110" i="1"/>
  <c r="H109" i="1"/>
  <c r="G109" i="1"/>
  <c r="F109" i="1"/>
  <c r="H108" i="1"/>
  <c r="G108" i="1"/>
  <c r="F108" i="1"/>
  <c r="H107" i="1"/>
  <c r="G107" i="1"/>
  <c r="F107" i="1"/>
  <c r="H106" i="1"/>
  <c r="G106" i="1"/>
  <c r="F106" i="1"/>
  <c r="H105" i="1"/>
  <c r="G105" i="1"/>
  <c r="F105" i="1"/>
  <c r="H104" i="1"/>
  <c r="G104" i="1"/>
  <c r="F104" i="1"/>
  <c r="H103" i="1"/>
  <c r="G103" i="1"/>
  <c r="F103" i="1"/>
  <c r="H102" i="1"/>
  <c r="G102" i="1"/>
  <c r="F102" i="1"/>
  <c r="H101" i="1"/>
  <c r="G101" i="1"/>
  <c r="F101" i="1"/>
  <c r="H100" i="1"/>
  <c r="G100" i="1"/>
  <c r="F100" i="1"/>
  <c r="H99" i="1"/>
  <c r="G99" i="1"/>
  <c r="F99" i="1"/>
  <c r="H98" i="1"/>
  <c r="G98" i="1"/>
  <c r="F98" i="1"/>
  <c r="H97" i="1"/>
  <c r="G97" i="1"/>
  <c r="F97" i="1"/>
  <c r="H96" i="1"/>
  <c r="G96" i="1"/>
  <c r="F96" i="1"/>
  <c r="H95" i="1"/>
  <c r="G95" i="1"/>
  <c r="F95" i="1"/>
  <c r="H94" i="1"/>
  <c r="G94" i="1"/>
  <c r="F94" i="1"/>
  <c r="H93" i="1"/>
  <c r="G93" i="1"/>
  <c r="F93" i="1"/>
  <c r="H92" i="1"/>
  <c r="G92" i="1"/>
  <c r="F92" i="1"/>
  <c r="H91" i="1"/>
  <c r="G91" i="1"/>
  <c r="F91" i="1"/>
  <c r="H90" i="1"/>
  <c r="G90" i="1"/>
  <c r="F90" i="1"/>
  <c r="H89" i="1"/>
  <c r="G89" i="1"/>
  <c r="F89" i="1"/>
  <c r="H88" i="1"/>
  <c r="G88" i="1"/>
  <c r="F88" i="1"/>
  <c r="H87" i="1"/>
  <c r="G87" i="1"/>
  <c r="F87" i="1"/>
  <c r="H86" i="1"/>
  <c r="G86" i="1"/>
  <c r="F86" i="1"/>
  <c r="H85" i="1"/>
  <c r="G85" i="1"/>
  <c r="F85" i="1"/>
  <c r="H84" i="1"/>
  <c r="G84" i="1"/>
  <c r="F84" i="1"/>
  <c r="H83" i="1"/>
  <c r="G83" i="1"/>
  <c r="F83" i="1"/>
  <c r="H82" i="1"/>
  <c r="G82" i="1"/>
  <c r="F82" i="1"/>
  <c r="H81" i="1"/>
  <c r="G81" i="1"/>
  <c r="F81" i="1"/>
  <c r="H80" i="1"/>
  <c r="G80" i="1"/>
  <c r="F80" i="1"/>
  <c r="H79" i="1"/>
  <c r="G79" i="1"/>
  <c r="F79" i="1"/>
  <c r="H78" i="1"/>
  <c r="G78" i="1"/>
  <c r="F78" i="1"/>
  <c r="H77" i="1"/>
  <c r="G77" i="1"/>
  <c r="F77" i="1"/>
  <c r="H76" i="1"/>
  <c r="G76" i="1"/>
  <c r="F76" i="1"/>
  <c r="H75" i="1"/>
  <c r="G75" i="1"/>
  <c r="F75" i="1"/>
  <c r="H74" i="1"/>
  <c r="G74" i="1"/>
  <c r="F74" i="1"/>
  <c r="H73" i="1"/>
  <c r="G73" i="1"/>
  <c r="F73" i="1"/>
  <c r="H72" i="1"/>
  <c r="G72" i="1"/>
  <c r="F72" i="1"/>
  <c r="H71" i="1"/>
  <c r="G71" i="1"/>
  <c r="F71" i="1"/>
  <c r="H70" i="1"/>
  <c r="G70" i="1"/>
  <c r="F70" i="1"/>
  <c r="H69" i="1"/>
  <c r="G69" i="1"/>
  <c r="F69" i="1"/>
  <c r="H68" i="1"/>
  <c r="G68" i="1"/>
  <c r="F68" i="1"/>
  <c r="H67" i="1"/>
  <c r="G67" i="1"/>
  <c r="F67" i="1"/>
  <c r="H66" i="1"/>
  <c r="G66" i="1"/>
  <c r="F66" i="1"/>
  <c r="H65" i="1"/>
  <c r="G65" i="1"/>
  <c r="F65" i="1"/>
  <c r="H64" i="1"/>
  <c r="G64" i="1"/>
  <c r="F64" i="1"/>
  <c r="H63" i="1"/>
  <c r="G63" i="1"/>
  <c r="F63" i="1"/>
  <c r="H62" i="1"/>
  <c r="G62" i="1"/>
  <c r="F62" i="1"/>
  <c r="H61" i="1"/>
  <c r="G61" i="1"/>
  <c r="F61" i="1"/>
  <c r="H60" i="1"/>
  <c r="G60" i="1"/>
  <c r="F60" i="1"/>
  <c r="H59" i="1"/>
  <c r="G59" i="1"/>
  <c r="F59" i="1"/>
  <c r="H58" i="1"/>
  <c r="G58" i="1"/>
  <c r="F58" i="1"/>
  <c r="H57" i="1"/>
  <c r="G57" i="1"/>
  <c r="F57" i="1"/>
  <c r="H56" i="1"/>
  <c r="G56" i="1"/>
  <c r="F56" i="1"/>
  <c r="H55" i="1"/>
  <c r="G55" i="1"/>
  <c r="F55" i="1"/>
  <c r="H54" i="1"/>
  <c r="G54" i="1"/>
  <c r="F54" i="1"/>
  <c r="H53" i="1"/>
  <c r="G53" i="1"/>
  <c r="F53" i="1"/>
  <c r="H52" i="1"/>
  <c r="G52" i="1"/>
  <c r="F52" i="1"/>
  <c r="H51" i="1"/>
  <c r="G51" i="1"/>
  <c r="F51" i="1"/>
  <c r="H50" i="1"/>
  <c r="G50" i="1"/>
  <c r="F50" i="1"/>
  <c r="H49" i="1"/>
  <c r="G49" i="1"/>
  <c r="F49" i="1"/>
  <c r="H48" i="1"/>
  <c r="G48" i="1"/>
  <c r="F48" i="1"/>
  <c r="H47" i="1"/>
  <c r="G47" i="1"/>
  <c r="F47" i="1"/>
  <c r="H46" i="1"/>
  <c r="G46" i="1"/>
  <c r="F46" i="1"/>
  <c r="H45" i="1"/>
  <c r="G45" i="1"/>
  <c r="F45" i="1"/>
  <c r="H44" i="1"/>
  <c r="G44" i="1"/>
  <c r="F44" i="1"/>
  <c r="H43" i="1"/>
  <c r="G43" i="1"/>
  <c r="F43" i="1"/>
  <c r="H42" i="1"/>
  <c r="G42" i="1"/>
  <c r="F42" i="1"/>
  <c r="H41" i="1"/>
  <c r="G41" i="1"/>
  <c r="F41" i="1"/>
  <c r="H40" i="1"/>
  <c r="G40" i="1"/>
  <c r="F40" i="1"/>
  <c r="H39" i="1"/>
  <c r="G39" i="1"/>
  <c r="F39" i="1"/>
  <c r="H38" i="1"/>
  <c r="G38" i="1"/>
  <c r="F38" i="1"/>
  <c r="H37" i="1"/>
  <c r="G37" i="1"/>
  <c r="F37" i="1"/>
  <c r="H36" i="1"/>
  <c r="G36" i="1"/>
  <c r="F36" i="1"/>
  <c r="H35" i="1"/>
  <c r="G35" i="1"/>
  <c r="F35" i="1"/>
  <c r="H34" i="1"/>
  <c r="G34" i="1"/>
  <c r="F34" i="1"/>
  <c r="H33" i="1"/>
  <c r="G33" i="1"/>
  <c r="F33" i="1"/>
  <c r="H32" i="1"/>
  <c r="G32" i="1"/>
  <c r="F32" i="1"/>
  <c r="H31" i="1"/>
  <c r="G31" i="1"/>
  <c r="F31" i="1"/>
  <c r="H30" i="1"/>
  <c r="G30" i="1"/>
  <c r="F30" i="1"/>
  <c r="H29" i="1"/>
  <c r="G29" i="1"/>
  <c r="F29" i="1"/>
  <c r="H28" i="1"/>
  <c r="G28" i="1"/>
  <c r="F28" i="1"/>
  <c r="H27" i="1"/>
  <c r="G27" i="1"/>
  <c r="F27" i="1"/>
  <c r="H26" i="1"/>
  <c r="G26" i="1"/>
  <c r="F26" i="1"/>
  <c r="H25" i="1"/>
  <c r="G25" i="1"/>
  <c r="F25" i="1"/>
  <c r="H24" i="1"/>
  <c r="G24" i="1"/>
  <c r="F24" i="1"/>
  <c r="H23" i="1"/>
  <c r="G23" i="1"/>
  <c r="F23" i="1"/>
  <c r="H22" i="1"/>
  <c r="G22" i="1"/>
  <c r="F22" i="1"/>
  <c r="H21" i="1"/>
  <c r="G21" i="1"/>
  <c r="F21" i="1"/>
  <c r="H20" i="1"/>
  <c r="G20" i="1"/>
  <c r="F20" i="1"/>
  <c r="H19" i="1"/>
  <c r="G19" i="1"/>
  <c r="F19" i="1"/>
  <c r="H18" i="1"/>
  <c r="G18" i="1"/>
  <c r="F18" i="1"/>
  <c r="H17" i="1"/>
  <c r="G17" i="1"/>
  <c r="F17" i="1"/>
  <c r="H16" i="1"/>
  <c r="G16" i="1"/>
  <c r="F16" i="1"/>
  <c r="H15" i="1"/>
  <c r="G15" i="1"/>
  <c r="F15" i="1"/>
  <c r="H14" i="1"/>
  <c r="G14" i="1"/>
  <c r="F14" i="1"/>
  <c r="H13" i="1"/>
  <c r="G13" i="1"/>
  <c r="F13" i="1"/>
  <c r="H12" i="1"/>
  <c r="G12" i="1"/>
  <c r="F12" i="1"/>
  <c r="H11" i="1"/>
  <c r="G11" i="1"/>
  <c r="F11" i="1"/>
  <c r="H10" i="1"/>
  <c r="G10" i="1"/>
  <c r="F10" i="1"/>
  <c r="H9" i="1"/>
  <c r="G9" i="1"/>
  <c r="F9" i="1"/>
  <c r="H8" i="1"/>
  <c r="G8" i="1"/>
  <c r="F8" i="1"/>
  <c r="H7" i="1"/>
  <c r="G7" i="1"/>
  <c r="F7" i="1"/>
  <c r="H6" i="1"/>
  <c r="G6" i="1"/>
  <c r="F6" i="1"/>
  <c r="H5" i="1"/>
  <c r="G5" i="1"/>
  <c r="F5" i="1"/>
  <c r="H4" i="1"/>
  <c r="G4" i="1"/>
  <c r="F4" i="1"/>
  <c r="H3" i="1"/>
  <c r="G3" i="1"/>
  <c r="F3" i="1"/>
  <c r="H2" i="1"/>
  <c r="G2" i="1"/>
  <c r="F2" i="1"/>
  <c r="I1001" i="4"/>
  <c r="H1001" i="4"/>
  <c r="G1001" i="4"/>
  <c r="D1001" i="4"/>
  <c r="I1000" i="4"/>
  <c r="H1000" i="4"/>
  <c r="G1000" i="4"/>
  <c r="D1000" i="4"/>
  <c r="I999" i="4"/>
  <c r="H999" i="4"/>
  <c r="G999" i="4"/>
  <c r="D999" i="4"/>
  <c r="I998" i="4"/>
  <c r="H998" i="4"/>
  <c r="G998" i="4"/>
  <c r="D998" i="4"/>
  <c r="I997" i="4"/>
  <c r="H997" i="4"/>
  <c r="G997" i="4"/>
  <c r="D997" i="4"/>
  <c r="I996" i="4"/>
  <c r="H996" i="4"/>
  <c r="G996" i="4"/>
  <c r="D996" i="4"/>
  <c r="I995" i="4"/>
  <c r="H995" i="4"/>
  <c r="G995" i="4"/>
  <c r="D995" i="4"/>
  <c r="I994" i="4"/>
  <c r="H994" i="4"/>
  <c r="G994" i="4"/>
  <c r="D994" i="4"/>
  <c r="I993" i="4"/>
  <c r="H993" i="4"/>
  <c r="G993" i="4"/>
  <c r="D993" i="4"/>
  <c r="I992" i="4"/>
  <c r="H992" i="4"/>
  <c r="G992" i="4"/>
  <c r="D992" i="4"/>
  <c r="I991" i="4"/>
  <c r="H991" i="4"/>
  <c r="G991" i="4"/>
  <c r="D991" i="4"/>
  <c r="I990" i="4"/>
  <c r="H990" i="4"/>
  <c r="G990" i="4"/>
  <c r="D990" i="4"/>
  <c r="I989" i="4"/>
  <c r="H989" i="4"/>
  <c r="G989" i="4"/>
  <c r="D989" i="4"/>
  <c r="I988" i="4"/>
  <c r="H988" i="4"/>
  <c r="G988" i="4"/>
  <c r="D988" i="4"/>
  <c r="I987" i="4"/>
  <c r="H987" i="4"/>
  <c r="G987" i="4"/>
  <c r="D987" i="4"/>
  <c r="I986" i="4"/>
  <c r="H986" i="4"/>
  <c r="G986" i="4"/>
  <c r="D986" i="4"/>
  <c r="I985" i="4"/>
  <c r="H985" i="4"/>
  <c r="G985" i="4"/>
  <c r="D985" i="4"/>
  <c r="I984" i="4"/>
  <c r="H984" i="4"/>
  <c r="G984" i="4"/>
  <c r="D984" i="4"/>
  <c r="I983" i="4"/>
  <c r="H983" i="4"/>
  <c r="G983" i="4"/>
  <c r="D983" i="4"/>
  <c r="I982" i="4"/>
  <c r="H982" i="4"/>
  <c r="G982" i="4"/>
  <c r="D982" i="4"/>
  <c r="I981" i="4"/>
  <c r="H981" i="4"/>
  <c r="G981" i="4"/>
  <c r="D981" i="4"/>
  <c r="I980" i="4"/>
  <c r="H980" i="4"/>
  <c r="G980" i="4"/>
  <c r="D980" i="4"/>
  <c r="I979" i="4"/>
  <c r="H979" i="4"/>
  <c r="G979" i="4"/>
  <c r="D979" i="4"/>
  <c r="I978" i="4"/>
  <c r="H978" i="4"/>
  <c r="G978" i="4"/>
  <c r="D978" i="4"/>
  <c r="I977" i="4"/>
  <c r="H977" i="4"/>
  <c r="G977" i="4"/>
  <c r="D977" i="4"/>
  <c r="I976" i="4"/>
  <c r="H976" i="4"/>
  <c r="G976" i="4"/>
  <c r="D976" i="4"/>
  <c r="I975" i="4"/>
  <c r="H975" i="4"/>
  <c r="G975" i="4"/>
  <c r="D975" i="4"/>
  <c r="I974" i="4"/>
  <c r="H974" i="4"/>
  <c r="G974" i="4"/>
  <c r="D974" i="4"/>
  <c r="I973" i="4"/>
  <c r="H973" i="4"/>
  <c r="G973" i="4"/>
  <c r="D973" i="4"/>
  <c r="I972" i="4"/>
  <c r="H972" i="4"/>
  <c r="G972" i="4"/>
  <c r="D972" i="4"/>
  <c r="I971" i="4"/>
  <c r="H971" i="4"/>
  <c r="G971" i="4"/>
  <c r="D971" i="4"/>
  <c r="I970" i="4"/>
  <c r="H970" i="4"/>
  <c r="G970" i="4"/>
  <c r="D970" i="4"/>
  <c r="I969" i="4"/>
  <c r="H969" i="4"/>
  <c r="G969" i="4"/>
  <c r="D969" i="4"/>
  <c r="I968" i="4"/>
  <c r="H968" i="4"/>
  <c r="G968" i="4"/>
  <c r="D968" i="4"/>
  <c r="I967" i="4"/>
  <c r="H967" i="4"/>
  <c r="G967" i="4"/>
  <c r="D967" i="4"/>
  <c r="I966" i="4"/>
  <c r="H966" i="4"/>
  <c r="G966" i="4"/>
  <c r="D966" i="4"/>
  <c r="I965" i="4"/>
  <c r="H965" i="4"/>
  <c r="G965" i="4"/>
  <c r="D965" i="4"/>
  <c r="I964" i="4"/>
  <c r="H964" i="4"/>
  <c r="G964" i="4"/>
  <c r="D964" i="4"/>
  <c r="I963" i="4"/>
  <c r="H963" i="4"/>
  <c r="G963" i="4"/>
  <c r="D963" i="4"/>
  <c r="I962" i="4"/>
  <c r="H962" i="4"/>
  <c r="G962" i="4"/>
  <c r="D962" i="4"/>
  <c r="I961" i="4"/>
  <c r="H961" i="4"/>
  <c r="G961" i="4"/>
  <c r="D961" i="4"/>
  <c r="I960" i="4"/>
  <c r="H960" i="4"/>
  <c r="G960" i="4"/>
  <c r="D960" i="4"/>
  <c r="I959" i="4"/>
  <c r="H959" i="4"/>
  <c r="G959" i="4"/>
  <c r="D959" i="4"/>
  <c r="I958" i="4"/>
  <c r="H958" i="4"/>
  <c r="G958" i="4"/>
  <c r="D958" i="4"/>
  <c r="I957" i="4"/>
  <c r="H957" i="4"/>
  <c r="G957" i="4"/>
  <c r="D957" i="4"/>
  <c r="I956" i="4"/>
  <c r="H956" i="4"/>
  <c r="G956" i="4"/>
  <c r="D956" i="4"/>
  <c r="I955" i="4"/>
  <c r="H955" i="4"/>
  <c r="G955" i="4"/>
  <c r="D955" i="4"/>
  <c r="I954" i="4"/>
  <c r="H954" i="4"/>
  <c r="G954" i="4"/>
  <c r="D954" i="4"/>
  <c r="I953" i="4"/>
  <c r="H953" i="4"/>
  <c r="G953" i="4"/>
  <c r="D953" i="4"/>
  <c r="I952" i="4"/>
  <c r="H952" i="4"/>
  <c r="G952" i="4"/>
  <c r="D952" i="4"/>
  <c r="I951" i="4"/>
  <c r="H951" i="4"/>
  <c r="G951" i="4"/>
  <c r="D951" i="4"/>
  <c r="I950" i="4"/>
  <c r="H950" i="4"/>
  <c r="G950" i="4"/>
  <c r="D950" i="4"/>
  <c r="I949" i="4"/>
  <c r="H949" i="4"/>
  <c r="G949" i="4"/>
  <c r="D949" i="4"/>
  <c r="I948" i="4"/>
  <c r="H948" i="4"/>
  <c r="G948" i="4"/>
  <c r="D948" i="4"/>
  <c r="I947" i="4"/>
  <c r="H947" i="4"/>
  <c r="G947" i="4"/>
  <c r="D947" i="4"/>
  <c r="I946" i="4"/>
  <c r="H946" i="4"/>
  <c r="G946" i="4"/>
  <c r="D946" i="4"/>
  <c r="I945" i="4"/>
  <c r="H945" i="4"/>
  <c r="G945" i="4"/>
  <c r="D945" i="4"/>
  <c r="I944" i="4"/>
  <c r="H944" i="4"/>
  <c r="G944" i="4"/>
  <c r="D944" i="4"/>
  <c r="I943" i="4"/>
  <c r="H943" i="4"/>
  <c r="G943" i="4"/>
  <c r="D943" i="4"/>
  <c r="I942" i="4"/>
  <c r="H942" i="4"/>
  <c r="G942" i="4"/>
  <c r="D942" i="4"/>
  <c r="I941" i="4"/>
  <c r="H941" i="4"/>
  <c r="G941" i="4"/>
  <c r="D941" i="4"/>
  <c r="I940" i="4"/>
  <c r="H940" i="4"/>
  <c r="G940" i="4"/>
  <c r="D940" i="4"/>
  <c r="I939" i="4"/>
  <c r="H939" i="4"/>
  <c r="G939" i="4"/>
  <c r="D939" i="4"/>
  <c r="I938" i="4"/>
  <c r="H938" i="4"/>
  <c r="G938" i="4"/>
  <c r="D938" i="4"/>
  <c r="I937" i="4"/>
  <c r="H937" i="4"/>
  <c r="G937" i="4"/>
  <c r="D937" i="4"/>
  <c r="I936" i="4"/>
  <c r="H936" i="4"/>
  <c r="G936" i="4"/>
  <c r="D936" i="4"/>
  <c r="I935" i="4"/>
  <c r="H935" i="4"/>
  <c r="G935" i="4"/>
  <c r="D935" i="4"/>
  <c r="I934" i="4"/>
  <c r="H934" i="4"/>
  <c r="G934" i="4"/>
  <c r="D934" i="4"/>
  <c r="I933" i="4"/>
  <c r="H933" i="4"/>
  <c r="G933" i="4"/>
  <c r="D933" i="4"/>
  <c r="I932" i="4"/>
  <c r="H932" i="4"/>
  <c r="G932" i="4"/>
  <c r="D932" i="4"/>
  <c r="I931" i="4"/>
  <c r="H931" i="4"/>
  <c r="G931" i="4"/>
  <c r="D931" i="4"/>
  <c r="I930" i="4"/>
  <c r="H930" i="4"/>
  <c r="G930" i="4"/>
  <c r="D930" i="4"/>
  <c r="I929" i="4"/>
  <c r="H929" i="4"/>
  <c r="G929" i="4"/>
  <c r="D929" i="4"/>
  <c r="I928" i="4"/>
  <c r="H928" i="4"/>
  <c r="G928" i="4"/>
  <c r="D928" i="4"/>
  <c r="I927" i="4"/>
  <c r="H927" i="4"/>
  <c r="G927" i="4"/>
  <c r="D927" i="4"/>
  <c r="I926" i="4"/>
  <c r="H926" i="4"/>
  <c r="G926" i="4"/>
  <c r="D926" i="4"/>
  <c r="I925" i="4"/>
  <c r="H925" i="4"/>
  <c r="G925" i="4"/>
  <c r="D925" i="4"/>
  <c r="I924" i="4"/>
  <c r="H924" i="4"/>
  <c r="G924" i="4"/>
  <c r="D924" i="4"/>
  <c r="I923" i="4"/>
  <c r="H923" i="4"/>
  <c r="G923" i="4"/>
  <c r="D923" i="4"/>
  <c r="I922" i="4"/>
  <c r="H922" i="4"/>
  <c r="G922" i="4"/>
  <c r="D922" i="4"/>
  <c r="I921" i="4"/>
  <c r="H921" i="4"/>
  <c r="G921" i="4"/>
  <c r="D921" i="4"/>
  <c r="I920" i="4"/>
  <c r="H920" i="4"/>
  <c r="G920" i="4"/>
  <c r="D920" i="4"/>
  <c r="I919" i="4"/>
  <c r="H919" i="4"/>
  <c r="G919" i="4"/>
  <c r="D919" i="4"/>
  <c r="I918" i="4"/>
  <c r="H918" i="4"/>
  <c r="G918" i="4"/>
  <c r="D918" i="4"/>
  <c r="I917" i="4"/>
  <c r="H917" i="4"/>
  <c r="G917" i="4"/>
  <c r="D917" i="4"/>
  <c r="I916" i="4"/>
  <c r="H916" i="4"/>
  <c r="G916" i="4"/>
  <c r="D916" i="4"/>
  <c r="I915" i="4"/>
  <c r="H915" i="4"/>
  <c r="G915" i="4"/>
  <c r="D915" i="4"/>
  <c r="I914" i="4"/>
  <c r="H914" i="4"/>
  <c r="G914" i="4"/>
  <c r="D914" i="4"/>
  <c r="I913" i="4"/>
  <c r="H913" i="4"/>
  <c r="G913" i="4"/>
  <c r="D913" i="4"/>
  <c r="I912" i="4"/>
  <c r="H912" i="4"/>
  <c r="G912" i="4"/>
  <c r="D912" i="4"/>
  <c r="I911" i="4"/>
  <c r="H911" i="4"/>
  <c r="G911" i="4"/>
  <c r="D911" i="4"/>
  <c r="I910" i="4"/>
  <c r="H910" i="4"/>
  <c r="G910" i="4"/>
  <c r="D910" i="4"/>
  <c r="I909" i="4"/>
  <c r="H909" i="4"/>
  <c r="G909" i="4"/>
  <c r="D909" i="4"/>
  <c r="I908" i="4"/>
  <c r="H908" i="4"/>
  <c r="G908" i="4"/>
  <c r="D908" i="4"/>
  <c r="I907" i="4"/>
  <c r="H907" i="4"/>
  <c r="G907" i="4"/>
  <c r="D907" i="4"/>
  <c r="I906" i="4"/>
  <c r="H906" i="4"/>
  <c r="G906" i="4"/>
  <c r="D906" i="4"/>
  <c r="I905" i="4"/>
  <c r="H905" i="4"/>
  <c r="G905" i="4"/>
  <c r="D905" i="4"/>
  <c r="I904" i="4"/>
  <c r="H904" i="4"/>
  <c r="G904" i="4"/>
  <c r="D904" i="4"/>
  <c r="I903" i="4"/>
  <c r="H903" i="4"/>
  <c r="G903" i="4"/>
  <c r="D903" i="4"/>
  <c r="I902" i="4"/>
  <c r="H902" i="4"/>
  <c r="G902" i="4"/>
  <c r="D902" i="4"/>
  <c r="I901" i="4"/>
  <c r="H901" i="4"/>
  <c r="G901" i="4"/>
  <c r="D901" i="4"/>
  <c r="I900" i="4"/>
  <c r="H900" i="4"/>
  <c r="G900" i="4"/>
  <c r="D900" i="4"/>
  <c r="I899" i="4"/>
  <c r="H899" i="4"/>
  <c r="G899" i="4"/>
  <c r="D899" i="4"/>
  <c r="I898" i="4"/>
  <c r="H898" i="4"/>
  <c r="G898" i="4"/>
  <c r="D898" i="4"/>
  <c r="I897" i="4"/>
  <c r="H897" i="4"/>
  <c r="G897" i="4"/>
  <c r="D897" i="4"/>
  <c r="I896" i="4"/>
  <c r="H896" i="4"/>
  <c r="G896" i="4"/>
  <c r="D896" i="4"/>
  <c r="I895" i="4"/>
  <c r="H895" i="4"/>
  <c r="G895" i="4"/>
  <c r="D895" i="4"/>
  <c r="I894" i="4"/>
  <c r="H894" i="4"/>
  <c r="G894" i="4"/>
  <c r="D894" i="4"/>
  <c r="I893" i="4"/>
  <c r="H893" i="4"/>
  <c r="G893" i="4"/>
  <c r="D893" i="4"/>
  <c r="I892" i="4"/>
  <c r="H892" i="4"/>
  <c r="G892" i="4"/>
  <c r="D892" i="4"/>
  <c r="I891" i="4"/>
  <c r="H891" i="4"/>
  <c r="G891" i="4"/>
  <c r="D891" i="4"/>
  <c r="I890" i="4"/>
  <c r="H890" i="4"/>
  <c r="G890" i="4"/>
  <c r="D890" i="4"/>
  <c r="I889" i="4"/>
  <c r="H889" i="4"/>
  <c r="G889" i="4"/>
  <c r="D889" i="4"/>
  <c r="I888" i="4"/>
  <c r="H888" i="4"/>
  <c r="G888" i="4"/>
  <c r="D888" i="4"/>
  <c r="I887" i="4"/>
  <c r="H887" i="4"/>
  <c r="G887" i="4"/>
  <c r="D887" i="4"/>
  <c r="I886" i="4"/>
  <c r="H886" i="4"/>
  <c r="G886" i="4"/>
  <c r="D886" i="4"/>
  <c r="I885" i="4"/>
  <c r="H885" i="4"/>
  <c r="G885" i="4"/>
  <c r="D885" i="4"/>
  <c r="I884" i="4"/>
  <c r="H884" i="4"/>
  <c r="G884" i="4"/>
  <c r="D884" i="4"/>
  <c r="I883" i="4"/>
  <c r="H883" i="4"/>
  <c r="G883" i="4"/>
  <c r="D883" i="4"/>
  <c r="I882" i="4"/>
  <c r="H882" i="4"/>
  <c r="G882" i="4"/>
  <c r="D882" i="4"/>
  <c r="I881" i="4"/>
  <c r="H881" i="4"/>
  <c r="G881" i="4"/>
  <c r="D881" i="4"/>
  <c r="I880" i="4"/>
  <c r="H880" i="4"/>
  <c r="G880" i="4"/>
  <c r="D880" i="4"/>
  <c r="I879" i="4"/>
  <c r="H879" i="4"/>
  <c r="G879" i="4"/>
  <c r="D879" i="4"/>
  <c r="I878" i="4"/>
  <c r="H878" i="4"/>
  <c r="G878" i="4"/>
  <c r="D878" i="4"/>
  <c r="I877" i="4"/>
  <c r="H877" i="4"/>
  <c r="G877" i="4"/>
  <c r="D877" i="4"/>
  <c r="I876" i="4"/>
  <c r="H876" i="4"/>
  <c r="G876" i="4"/>
  <c r="D876" i="4"/>
  <c r="I875" i="4"/>
  <c r="H875" i="4"/>
  <c r="G875" i="4"/>
  <c r="D875" i="4"/>
  <c r="I874" i="4"/>
  <c r="H874" i="4"/>
  <c r="G874" i="4"/>
  <c r="D874" i="4"/>
  <c r="I873" i="4"/>
  <c r="H873" i="4"/>
  <c r="G873" i="4"/>
  <c r="D873" i="4"/>
  <c r="I872" i="4"/>
  <c r="H872" i="4"/>
  <c r="G872" i="4"/>
  <c r="D872" i="4"/>
  <c r="I871" i="4"/>
  <c r="H871" i="4"/>
  <c r="G871" i="4"/>
  <c r="D871" i="4"/>
  <c r="I870" i="4"/>
  <c r="H870" i="4"/>
  <c r="G870" i="4"/>
  <c r="D870" i="4"/>
  <c r="I869" i="4"/>
  <c r="H869" i="4"/>
  <c r="G869" i="4"/>
  <c r="D869" i="4"/>
  <c r="I868" i="4"/>
  <c r="H868" i="4"/>
  <c r="G868" i="4"/>
  <c r="D868" i="4"/>
  <c r="I867" i="4"/>
  <c r="H867" i="4"/>
  <c r="G867" i="4"/>
  <c r="D867" i="4"/>
  <c r="I866" i="4"/>
  <c r="H866" i="4"/>
  <c r="G866" i="4"/>
  <c r="D866" i="4"/>
  <c r="I865" i="4"/>
  <c r="H865" i="4"/>
  <c r="G865" i="4"/>
  <c r="D865" i="4"/>
  <c r="I864" i="4"/>
  <c r="H864" i="4"/>
  <c r="G864" i="4"/>
  <c r="D864" i="4"/>
  <c r="I863" i="4"/>
  <c r="H863" i="4"/>
  <c r="G863" i="4"/>
  <c r="D863" i="4"/>
  <c r="I862" i="4"/>
  <c r="H862" i="4"/>
  <c r="G862" i="4"/>
  <c r="D862" i="4"/>
  <c r="I861" i="4"/>
  <c r="H861" i="4"/>
  <c r="G861" i="4"/>
  <c r="D861" i="4"/>
  <c r="I860" i="4"/>
  <c r="H860" i="4"/>
  <c r="G860" i="4"/>
  <c r="D860" i="4"/>
  <c r="I859" i="4"/>
  <c r="H859" i="4"/>
  <c r="G859" i="4"/>
  <c r="D859" i="4"/>
  <c r="I858" i="4"/>
  <c r="H858" i="4"/>
  <c r="G858" i="4"/>
  <c r="D858" i="4"/>
  <c r="I857" i="4"/>
  <c r="H857" i="4"/>
  <c r="G857" i="4"/>
  <c r="D857" i="4"/>
  <c r="I856" i="4"/>
  <c r="H856" i="4"/>
  <c r="G856" i="4"/>
  <c r="D856" i="4"/>
  <c r="I855" i="4"/>
  <c r="H855" i="4"/>
  <c r="G855" i="4"/>
  <c r="D855" i="4"/>
  <c r="I854" i="4"/>
  <c r="H854" i="4"/>
  <c r="G854" i="4"/>
  <c r="D854" i="4"/>
  <c r="I853" i="4"/>
  <c r="H853" i="4"/>
  <c r="G853" i="4"/>
  <c r="D853" i="4"/>
  <c r="I852" i="4"/>
  <c r="H852" i="4"/>
  <c r="G852" i="4"/>
  <c r="D852" i="4"/>
  <c r="I851" i="4"/>
  <c r="H851" i="4"/>
  <c r="G851" i="4"/>
  <c r="D851" i="4"/>
  <c r="I850" i="4"/>
  <c r="H850" i="4"/>
  <c r="G850" i="4"/>
  <c r="D850" i="4"/>
  <c r="I849" i="4"/>
  <c r="H849" i="4"/>
  <c r="G849" i="4"/>
  <c r="D849" i="4"/>
  <c r="I848" i="4"/>
  <c r="H848" i="4"/>
  <c r="G848" i="4"/>
  <c r="D848" i="4"/>
  <c r="I847" i="4"/>
  <c r="H847" i="4"/>
  <c r="G847" i="4"/>
  <c r="D847" i="4"/>
  <c r="I846" i="4"/>
  <c r="H846" i="4"/>
  <c r="G846" i="4"/>
  <c r="D846" i="4"/>
  <c r="I845" i="4"/>
  <c r="H845" i="4"/>
  <c r="G845" i="4"/>
  <c r="D845" i="4"/>
  <c r="I844" i="4"/>
  <c r="H844" i="4"/>
  <c r="G844" i="4"/>
  <c r="D844" i="4"/>
  <c r="I843" i="4"/>
  <c r="H843" i="4"/>
  <c r="G843" i="4"/>
  <c r="D843" i="4"/>
  <c r="I842" i="4"/>
  <c r="H842" i="4"/>
  <c r="G842" i="4"/>
  <c r="D842" i="4"/>
  <c r="I841" i="4"/>
  <c r="H841" i="4"/>
  <c r="G841" i="4"/>
  <c r="D841" i="4"/>
  <c r="I840" i="4"/>
  <c r="H840" i="4"/>
  <c r="G840" i="4"/>
  <c r="D840" i="4"/>
  <c r="I839" i="4"/>
  <c r="H839" i="4"/>
  <c r="G839" i="4"/>
  <c r="D839" i="4"/>
  <c r="I838" i="4"/>
  <c r="H838" i="4"/>
  <c r="G838" i="4"/>
  <c r="D838" i="4"/>
  <c r="I837" i="4"/>
  <c r="H837" i="4"/>
  <c r="G837" i="4"/>
  <c r="D837" i="4"/>
  <c r="I836" i="4"/>
  <c r="H836" i="4"/>
  <c r="G836" i="4"/>
  <c r="D836" i="4"/>
  <c r="I835" i="4"/>
  <c r="H835" i="4"/>
  <c r="G835" i="4"/>
  <c r="D835" i="4"/>
  <c r="I834" i="4"/>
  <c r="H834" i="4"/>
  <c r="G834" i="4"/>
  <c r="D834" i="4"/>
  <c r="I833" i="4"/>
  <c r="H833" i="4"/>
  <c r="G833" i="4"/>
  <c r="D833" i="4"/>
  <c r="I832" i="4"/>
  <c r="H832" i="4"/>
  <c r="G832" i="4"/>
  <c r="D832" i="4"/>
  <c r="I831" i="4"/>
  <c r="H831" i="4"/>
  <c r="G831" i="4"/>
  <c r="D831" i="4"/>
  <c r="I830" i="4"/>
  <c r="H830" i="4"/>
  <c r="G830" i="4"/>
  <c r="D830" i="4"/>
  <c r="I829" i="4"/>
  <c r="H829" i="4"/>
  <c r="G829" i="4"/>
  <c r="D829" i="4"/>
  <c r="I828" i="4"/>
  <c r="H828" i="4"/>
  <c r="G828" i="4"/>
  <c r="D828" i="4"/>
  <c r="I827" i="4"/>
  <c r="H827" i="4"/>
  <c r="G827" i="4"/>
  <c r="D827" i="4"/>
  <c r="I826" i="4"/>
  <c r="H826" i="4"/>
  <c r="G826" i="4"/>
  <c r="D826" i="4"/>
  <c r="I825" i="4"/>
  <c r="H825" i="4"/>
  <c r="G825" i="4"/>
  <c r="D825" i="4"/>
  <c r="I824" i="4"/>
  <c r="H824" i="4"/>
  <c r="G824" i="4"/>
  <c r="D824" i="4"/>
  <c r="I823" i="4"/>
  <c r="H823" i="4"/>
  <c r="G823" i="4"/>
  <c r="D823" i="4"/>
  <c r="I822" i="4"/>
  <c r="H822" i="4"/>
  <c r="G822" i="4"/>
  <c r="D822" i="4"/>
  <c r="I821" i="4"/>
  <c r="H821" i="4"/>
  <c r="G821" i="4"/>
  <c r="D821" i="4"/>
  <c r="I820" i="4"/>
  <c r="H820" i="4"/>
  <c r="G820" i="4"/>
  <c r="D820" i="4"/>
  <c r="I819" i="4"/>
  <c r="H819" i="4"/>
  <c r="G819" i="4"/>
  <c r="D819" i="4"/>
  <c r="I818" i="4"/>
  <c r="H818" i="4"/>
  <c r="G818" i="4"/>
  <c r="D818" i="4"/>
  <c r="I817" i="4"/>
  <c r="H817" i="4"/>
  <c r="G817" i="4"/>
  <c r="D817" i="4"/>
  <c r="I816" i="4"/>
  <c r="H816" i="4"/>
  <c r="G816" i="4"/>
  <c r="D816" i="4"/>
  <c r="I815" i="4"/>
  <c r="H815" i="4"/>
  <c r="G815" i="4"/>
  <c r="D815" i="4"/>
  <c r="I814" i="4"/>
  <c r="H814" i="4"/>
  <c r="G814" i="4"/>
  <c r="D814" i="4"/>
  <c r="I813" i="4"/>
  <c r="H813" i="4"/>
  <c r="G813" i="4"/>
  <c r="D813" i="4"/>
  <c r="I812" i="4"/>
  <c r="H812" i="4"/>
  <c r="G812" i="4"/>
  <c r="D812" i="4"/>
  <c r="I811" i="4"/>
  <c r="H811" i="4"/>
  <c r="G811" i="4"/>
  <c r="D811" i="4"/>
  <c r="I810" i="4"/>
  <c r="H810" i="4"/>
  <c r="G810" i="4"/>
  <c r="D810" i="4"/>
  <c r="I809" i="4"/>
  <c r="H809" i="4"/>
  <c r="G809" i="4"/>
  <c r="D809" i="4"/>
  <c r="I808" i="4"/>
  <c r="H808" i="4"/>
  <c r="G808" i="4"/>
  <c r="D808" i="4"/>
  <c r="I807" i="4"/>
  <c r="H807" i="4"/>
  <c r="G807" i="4"/>
  <c r="D807" i="4"/>
  <c r="I806" i="4"/>
  <c r="H806" i="4"/>
  <c r="G806" i="4"/>
  <c r="D806" i="4"/>
  <c r="I805" i="4"/>
  <c r="H805" i="4"/>
  <c r="G805" i="4"/>
  <c r="D805" i="4"/>
  <c r="I804" i="4"/>
  <c r="H804" i="4"/>
  <c r="G804" i="4"/>
  <c r="D804" i="4"/>
  <c r="I803" i="4"/>
  <c r="H803" i="4"/>
  <c r="G803" i="4"/>
  <c r="D803" i="4"/>
  <c r="I802" i="4"/>
  <c r="H802" i="4"/>
  <c r="G802" i="4"/>
  <c r="D802" i="4"/>
  <c r="I801" i="4"/>
  <c r="H801" i="4"/>
  <c r="G801" i="4"/>
  <c r="D801" i="4"/>
  <c r="I800" i="4"/>
  <c r="H800" i="4"/>
  <c r="G800" i="4"/>
  <c r="D800" i="4"/>
  <c r="I799" i="4"/>
  <c r="H799" i="4"/>
  <c r="G799" i="4"/>
  <c r="D799" i="4"/>
  <c r="I798" i="4"/>
  <c r="H798" i="4"/>
  <c r="G798" i="4"/>
  <c r="D798" i="4"/>
  <c r="I797" i="4"/>
  <c r="H797" i="4"/>
  <c r="G797" i="4"/>
  <c r="D797" i="4"/>
  <c r="I796" i="4"/>
  <c r="H796" i="4"/>
  <c r="G796" i="4"/>
  <c r="D796" i="4"/>
  <c r="I795" i="4"/>
  <c r="H795" i="4"/>
  <c r="G795" i="4"/>
  <c r="D795" i="4"/>
  <c r="I794" i="4"/>
  <c r="H794" i="4"/>
  <c r="G794" i="4"/>
  <c r="D794" i="4"/>
  <c r="I793" i="4"/>
  <c r="H793" i="4"/>
  <c r="G793" i="4"/>
  <c r="D793" i="4"/>
  <c r="I792" i="4"/>
  <c r="H792" i="4"/>
  <c r="G792" i="4"/>
  <c r="D792" i="4"/>
  <c r="I791" i="4"/>
  <c r="H791" i="4"/>
  <c r="G791" i="4"/>
  <c r="D791" i="4"/>
  <c r="I790" i="4"/>
  <c r="H790" i="4"/>
  <c r="G790" i="4"/>
  <c r="D790" i="4"/>
  <c r="I789" i="4"/>
  <c r="H789" i="4"/>
  <c r="G789" i="4"/>
  <c r="D789" i="4"/>
  <c r="I788" i="4"/>
  <c r="H788" i="4"/>
  <c r="G788" i="4"/>
  <c r="D788" i="4"/>
  <c r="I787" i="4"/>
  <c r="H787" i="4"/>
  <c r="G787" i="4"/>
  <c r="D787" i="4"/>
  <c r="I786" i="4"/>
  <c r="H786" i="4"/>
  <c r="G786" i="4"/>
  <c r="D786" i="4"/>
  <c r="I785" i="4"/>
  <c r="H785" i="4"/>
  <c r="G785" i="4"/>
  <c r="D785" i="4"/>
  <c r="I784" i="4"/>
  <c r="H784" i="4"/>
  <c r="G784" i="4"/>
  <c r="D784" i="4"/>
  <c r="I783" i="4"/>
  <c r="H783" i="4"/>
  <c r="G783" i="4"/>
  <c r="D783" i="4"/>
  <c r="I782" i="4"/>
  <c r="H782" i="4"/>
  <c r="G782" i="4"/>
  <c r="D782" i="4"/>
  <c r="I781" i="4"/>
  <c r="H781" i="4"/>
  <c r="G781" i="4"/>
  <c r="D781" i="4"/>
  <c r="I780" i="4"/>
  <c r="H780" i="4"/>
  <c r="G780" i="4"/>
  <c r="D780" i="4"/>
  <c r="I779" i="4"/>
  <c r="H779" i="4"/>
  <c r="G779" i="4"/>
  <c r="D779" i="4"/>
  <c r="I778" i="4"/>
  <c r="H778" i="4"/>
  <c r="G778" i="4"/>
  <c r="D778" i="4"/>
  <c r="I777" i="4"/>
  <c r="H777" i="4"/>
  <c r="G777" i="4"/>
  <c r="D777" i="4"/>
  <c r="I776" i="4"/>
  <c r="H776" i="4"/>
  <c r="G776" i="4"/>
  <c r="D776" i="4"/>
  <c r="I775" i="4"/>
  <c r="H775" i="4"/>
  <c r="G775" i="4"/>
  <c r="D775" i="4"/>
  <c r="I774" i="4"/>
  <c r="H774" i="4"/>
  <c r="G774" i="4"/>
  <c r="D774" i="4"/>
  <c r="I773" i="4"/>
  <c r="H773" i="4"/>
  <c r="G773" i="4"/>
  <c r="D773" i="4"/>
  <c r="I772" i="4"/>
  <c r="H772" i="4"/>
  <c r="G772" i="4"/>
  <c r="D772" i="4"/>
  <c r="I771" i="4"/>
  <c r="H771" i="4"/>
  <c r="G771" i="4"/>
  <c r="D771" i="4"/>
  <c r="I770" i="4"/>
  <c r="H770" i="4"/>
  <c r="G770" i="4"/>
  <c r="D770" i="4"/>
  <c r="I769" i="4"/>
  <c r="H769" i="4"/>
  <c r="G769" i="4"/>
  <c r="D769" i="4"/>
  <c r="I768" i="4"/>
  <c r="H768" i="4"/>
  <c r="G768" i="4"/>
  <c r="D768" i="4"/>
  <c r="I767" i="4"/>
  <c r="H767" i="4"/>
  <c r="G767" i="4"/>
  <c r="D767" i="4"/>
  <c r="I766" i="4"/>
  <c r="H766" i="4"/>
  <c r="G766" i="4"/>
  <c r="D766" i="4"/>
  <c r="I765" i="4"/>
  <c r="H765" i="4"/>
  <c r="G765" i="4"/>
  <c r="D765" i="4"/>
  <c r="I764" i="4"/>
  <c r="H764" i="4"/>
  <c r="G764" i="4"/>
  <c r="D764" i="4"/>
  <c r="I763" i="4"/>
  <c r="H763" i="4"/>
  <c r="G763" i="4"/>
  <c r="D763" i="4"/>
  <c r="I762" i="4"/>
  <c r="H762" i="4"/>
  <c r="G762" i="4"/>
  <c r="D762" i="4"/>
  <c r="I761" i="4"/>
  <c r="H761" i="4"/>
  <c r="G761" i="4"/>
  <c r="D761" i="4"/>
  <c r="I760" i="4"/>
  <c r="H760" i="4"/>
  <c r="G760" i="4"/>
  <c r="D760" i="4"/>
  <c r="I759" i="4"/>
  <c r="H759" i="4"/>
  <c r="G759" i="4"/>
  <c r="D759" i="4"/>
  <c r="I758" i="4"/>
  <c r="H758" i="4"/>
  <c r="G758" i="4"/>
  <c r="D758" i="4"/>
  <c r="I757" i="4"/>
  <c r="H757" i="4"/>
  <c r="G757" i="4"/>
  <c r="D757" i="4"/>
  <c r="I756" i="4"/>
  <c r="H756" i="4"/>
  <c r="G756" i="4"/>
  <c r="D756" i="4"/>
  <c r="I755" i="4"/>
  <c r="H755" i="4"/>
  <c r="G755" i="4"/>
  <c r="D755" i="4"/>
  <c r="I754" i="4"/>
  <c r="H754" i="4"/>
  <c r="G754" i="4"/>
  <c r="D754" i="4"/>
  <c r="I753" i="4"/>
  <c r="H753" i="4"/>
  <c r="G753" i="4"/>
  <c r="D753" i="4"/>
  <c r="I752" i="4"/>
  <c r="H752" i="4"/>
  <c r="G752" i="4"/>
  <c r="D752" i="4"/>
  <c r="I751" i="4"/>
  <c r="H751" i="4"/>
  <c r="G751" i="4"/>
  <c r="D751" i="4"/>
  <c r="I750" i="4"/>
  <c r="H750" i="4"/>
  <c r="G750" i="4"/>
  <c r="D750" i="4"/>
  <c r="I749" i="4"/>
  <c r="H749" i="4"/>
  <c r="G749" i="4"/>
  <c r="D749" i="4"/>
  <c r="I748" i="4"/>
  <c r="H748" i="4"/>
  <c r="G748" i="4"/>
  <c r="D748" i="4"/>
  <c r="I747" i="4"/>
  <c r="H747" i="4"/>
  <c r="G747" i="4"/>
  <c r="D747" i="4"/>
  <c r="I746" i="4"/>
  <c r="H746" i="4"/>
  <c r="G746" i="4"/>
  <c r="D746" i="4"/>
  <c r="I745" i="4"/>
  <c r="H745" i="4"/>
  <c r="G745" i="4"/>
  <c r="D745" i="4"/>
  <c r="I744" i="4"/>
  <c r="H744" i="4"/>
  <c r="G744" i="4"/>
  <c r="D744" i="4"/>
  <c r="I743" i="4"/>
  <c r="H743" i="4"/>
  <c r="G743" i="4"/>
  <c r="D743" i="4"/>
  <c r="I742" i="4"/>
  <c r="H742" i="4"/>
  <c r="G742" i="4"/>
  <c r="D742" i="4"/>
  <c r="I741" i="4"/>
  <c r="H741" i="4"/>
  <c r="G741" i="4"/>
  <c r="D741" i="4"/>
  <c r="I740" i="4"/>
  <c r="H740" i="4"/>
  <c r="G740" i="4"/>
  <c r="D740" i="4"/>
  <c r="I739" i="4"/>
  <c r="H739" i="4"/>
  <c r="G739" i="4"/>
  <c r="D739" i="4"/>
  <c r="I738" i="4"/>
  <c r="H738" i="4"/>
  <c r="G738" i="4"/>
  <c r="D738" i="4"/>
  <c r="I737" i="4"/>
  <c r="H737" i="4"/>
  <c r="G737" i="4"/>
  <c r="D737" i="4"/>
  <c r="I736" i="4"/>
  <c r="H736" i="4"/>
  <c r="G736" i="4"/>
  <c r="D736" i="4"/>
  <c r="I735" i="4"/>
  <c r="H735" i="4"/>
  <c r="G735" i="4"/>
  <c r="D735" i="4"/>
  <c r="I734" i="4"/>
  <c r="H734" i="4"/>
  <c r="G734" i="4"/>
  <c r="D734" i="4"/>
  <c r="I733" i="4"/>
  <c r="H733" i="4"/>
  <c r="G733" i="4"/>
  <c r="D733" i="4"/>
  <c r="I732" i="4"/>
  <c r="H732" i="4"/>
  <c r="G732" i="4"/>
  <c r="D732" i="4"/>
  <c r="I731" i="4"/>
  <c r="H731" i="4"/>
  <c r="G731" i="4"/>
  <c r="D731" i="4"/>
  <c r="I730" i="4"/>
  <c r="H730" i="4"/>
  <c r="G730" i="4"/>
  <c r="D730" i="4"/>
  <c r="I729" i="4"/>
  <c r="H729" i="4"/>
  <c r="G729" i="4"/>
  <c r="D729" i="4"/>
  <c r="I728" i="4"/>
  <c r="H728" i="4"/>
  <c r="G728" i="4"/>
  <c r="D728" i="4"/>
  <c r="I727" i="4"/>
  <c r="H727" i="4"/>
  <c r="G727" i="4"/>
  <c r="D727" i="4"/>
  <c r="I726" i="4"/>
  <c r="H726" i="4"/>
  <c r="G726" i="4"/>
  <c r="D726" i="4"/>
  <c r="I725" i="4"/>
  <c r="H725" i="4"/>
  <c r="G725" i="4"/>
  <c r="D725" i="4"/>
  <c r="I724" i="4"/>
  <c r="H724" i="4"/>
  <c r="G724" i="4"/>
  <c r="D724" i="4"/>
  <c r="I723" i="4"/>
  <c r="H723" i="4"/>
  <c r="G723" i="4"/>
  <c r="D723" i="4"/>
  <c r="I722" i="4"/>
  <c r="H722" i="4"/>
  <c r="G722" i="4"/>
  <c r="D722" i="4"/>
  <c r="I721" i="4"/>
  <c r="H721" i="4"/>
  <c r="G721" i="4"/>
  <c r="D721" i="4"/>
  <c r="I720" i="4"/>
  <c r="H720" i="4"/>
  <c r="G720" i="4"/>
  <c r="D720" i="4"/>
  <c r="I719" i="4"/>
  <c r="H719" i="4"/>
  <c r="G719" i="4"/>
  <c r="D719" i="4"/>
  <c r="I718" i="4"/>
  <c r="H718" i="4"/>
  <c r="G718" i="4"/>
  <c r="D718" i="4"/>
  <c r="I717" i="4"/>
  <c r="H717" i="4"/>
  <c r="G717" i="4"/>
  <c r="D717" i="4"/>
  <c r="I716" i="4"/>
  <c r="H716" i="4"/>
  <c r="G716" i="4"/>
  <c r="D716" i="4"/>
  <c r="I715" i="4"/>
  <c r="H715" i="4"/>
  <c r="G715" i="4"/>
  <c r="D715" i="4"/>
  <c r="I714" i="4"/>
  <c r="H714" i="4"/>
  <c r="G714" i="4"/>
  <c r="D714" i="4"/>
  <c r="I713" i="4"/>
  <c r="H713" i="4"/>
  <c r="G713" i="4"/>
  <c r="D713" i="4"/>
  <c r="I712" i="4"/>
  <c r="H712" i="4"/>
  <c r="G712" i="4"/>
  <c r="D712" i="4"/>
  <c r="I711" i="4"/>
  <c r="H711" i="4"/>
  <c r="G711" i="4"/>
  <c r="D711" i="4"/>
  <c r="I710" i="4"/>
  <c r="H710" i="4"/>
  <c r="G710" i="4"/>
  <c r="D710" i="4"/>
  <c r="I709" i="4"/>
  <c r="H709" i="4"/>
  <c r="G709" i="4"/>
  <c r="D709" i="4"/>
  <c r="I708" i="4"/>
  <c r="H708" i="4"/>
  <c r="G708" i="4"/>
  <c r="D708" i="4"/>
  <c r="I707" i="4"/>
  <c r="H707" i="4"/>
  <c r="G707" i="4"/>
  <c r="D707" i="4"/>
  <c r="I706" i="4"/>
  <c r="H706" i="4"/>
  <c r="G706" i="4"/>
  <c r="D706" i="4"/>
  <c r="I705" i="4"/>
  <c r="H705" i="4"/>
  <c r="G705" i="4"/>
  <c r="D705" i="4"/>
  <c r="I704" i="4"/>
  <c r="H704" i="4"/>
  <c r="G704" i="4"/>
  <c r="D704" i="4"/>
  <c r="I703" i="4"/>
  <c r="H703" i="4"/>
  <c r="G703" i="4"/>
  <c r="D703" i="4"/>
  <c r="I702" i="4"/>
  <c r="H702" i="4"/>
  <c r="G702" i="4"/>
  <c r="D702" i="4"/>
  <c r="I701" i="4"/>
  <c r="H701" i="4"/>
  <c r="G701" i="4"/>
  <c r="D701" i="4"/>
  <c r="I700" i="4"/>
  <c r="H700" i="4"/>
  <c r="G700" i="4"/>
  <c r="D700" i="4"/>
  <c r="I699" i="4"/>
  <c r="H699" i="4"/>
  <c r="G699" i="4"/>
  <c r="D699" i="4"/>
  <c r="I698" i="4"/>
  <c r="H698" i="4"/>
  <c r="G698" i="4"/>
  <c r="D698" i="4"/>
  <c r="I697" i="4"/>
  <c r="H697" i="4"/>
  <c r="G697" i="4"/>
  <c r="D697" i="4"/>
  <c r="I696" i="4"/>
  <c r="H696" i="4"/>
  <c r="G696" i="4"/>
  <c r="D696" i="4"/>
  <c r="I695" i="4"/>
  <c r="H695" i="4"/>
  <c r="G695" i="4"/>
  <c r="D695" i="4"/>
  <c r="I694" i="4"/>
  <c r="H694" i="4"/>
  <c r="G694" i="4"/>
  <c r="D694" i="4"/>
  <c r="I693" i="4"/>
  <c r="H693" i="4"/>
  <c r="G693" i="4"/>
  <c r="D693" i="4"/>
  <c r="I692" i="4"/>
  <c r="H692" i="4"/>
  <c r="G692" i="4"/>
  <c r="D692" i="4"/>
  <c r="I691" i="4"/>
  <c r="H691" i="4"/>
  <c r="G691" i="4"/>
  <c r="D691" i="4"/>
  <c r="I690" i="4"/>
  <c r="H690" i="4"/>
  <c r="G690" i="4"/>
  <c r="D690" i="4"/>
  <c r="I689" i="4"/>
  <c r="H689" i="4"/>
  <c r="G689" i="4"/>
  <c r="D689" i="4"/>
  <c r="I688" i="4"/>
  <c r="H688" i="4"/>
  <c r="G688" i="4"/>
  <c r="D688" i="4"/>
  <c r="I687" i="4"/>
  <c r="H687" i="4"/>
  <c r="G687" i="4"/>
  <c r="D687" i="4"/>
  <c r="I686" i="4"/>
  <c r="H686" i="4"/>
  <c r="G686" i="4"/>
  <c r="D686" i="4"/>
  <c r="I685" i="4"/>
  <c r="H685" i="4"/>
  <c r="G685" i="4"/>
  <c r="D685" i="4"/>
  <c r="I684" i="4"/>
  <c r="H684" i="4"/>
  <c r="G684" i="4"/>
  <c r="D684" i="4"/>
  <c r="I683" i="4"/>
  <c r="H683" i="4"/>
  <c r="G683" i="4"/>
  <c r="D683" i="4"/>
  <c r="I682" i="4"/>
  <c r="H682" i="4"/>
  <c r="G682" i="4"/>
  <c r="D682" i="4"/>
  <c r="I681" i="4"/>
  <c r="H681" i="4"/>
  <c r="G681" i="4"/>
  <c r="D681" i="4"/>
  <c r="I680" i="4"/>
  <c r="H680" i="4"/>
  <c r="G680" i="4"/>
  <c r="D680" i="4"/>
  <c r="I679" i="4"/>
  <c r="H679" i="4"/>
  <c r="G679" i="4"/>
  <c r="D679" i="4"/>
  <c r="I678" i="4"/>
  <c r="H678" i="4"/>
  <c r="G678" i="4"/>
  <c r="D678" i="4"/>
  <c r="I677" i="4"/>
  <c r="H677" i="4"/>
  <c r="G677" i="4"/>
  <c r="D677" i="4"/>
  <c r="I676" i="4"/>
  <c r="H676" i="4"/>
  <c r="G676" i="4"/>
  <c r="D676" i="4"/>
  <c r="I675" i="4"/>
  <c r="H675" i="4"/>
  <c r="G675" i="4"/>
  <c r="D675" i="4"/>
  <c r="I674" i="4"/>
  <c r="H674" i="4"/>
  <c r="G674" i="4"/>
  <c r="D674" i="4"/>
  <c r="I673" i="4"/>
  <c r="H673" i="4"/>
  <c r="G673" i="4"/>
  <c r="D673" i="4"/>
  <c r="I672" i="4"/>
  <c r="H672" i="4"/>
  <c r="G672" i="4"/>
  <c r="D672" i="4"/>
  <c r="I671" i="4"/>
  <c r="H671" i="4"/>
  <c r="G671" i="4"/>
  <c r="D671" i="4"/>
  <c r="I670" i="4"/>
  <c r="H670" i="4"/>
  <c r="G670" i="4"/>
  <c r="D670" i="4"/>
  <c r="I669" i="4"/>
  <c r="H669" i="4"/>
  <c r="G669" i="4"/>
  <c r="D669" i="4"/>
  <c r="I668" i="4"/>
  <c r="H668" i="4"/>
  <c r="G668" i="4"/>
  <c r="D668" i="4"/>
  <c r="I667" i="4"/>
  <c r="H667" i="4"/>
  <c r="G667" i="4"/>
  <c r="D667" i="4"/>
  <c r="I666" i="4"/>
  <c r="H666" i="4"/>
  <c r="G666" i="4"/>
  <c r="D666" i="4"/>
  <c r="I665" i="4"/>
  <c r="H665" i="4"/>
  <c r="G665" i="4"/>
  <c r="D665" i="4"/>
  <c r="I664" i="4"/>
  <c r="H664" i="4"/>
  <c r="G664" i="4"/>
  <c r="D664" i="4"/>
  <c r="I663" i="4"/>
  <c r="H663" i="4"/>
  <c r="G663" i="4"/>
  <c r="D663" i="4"/>
  <c r="I662" i="4"/>
  <c r="H662" i="4"/>
  <c r="G662" i="4"/>
  <c r="D662" i="4"/>
  <c r="I661" i="4"/>
  <c r="H661" i="4"/>
  <c r="G661" i="4"/>
  <c r="D661" i="4"/>
  <c r="I660" i="4"/>
  <c r="H660" i="4"/>
  <c r="G660" i="4"/>
  <c r="D660" i="4"/>
  <c r="I659" i="4"/>
  <c r="H659" i="4"/>
  <c r="G659" i="4"/>
  <c r="D659" i="4"/>
  <c r="I658" i="4"/>
  <c r="H658" i="4"/>
  <c r="G658" i="4"/>
  <c r="D658" i="4"/>
  <c r="I657" i="4"/>
  <c r="H657" i="4"/>
  <c r="G657" i="4"/>
  <c r="D657" i="4"/>
  <c r="I656" i="4"/>
  <c r="H656" i="4"/>
  <c r="G656" i="4"/>
  <c r="D656" i="4"/>
  <c r="I655" i="4"/>
  <c r="H655" i="4"/>
  <c r="G655" i="4"/>
  <c r="D655" i="4"/>
  <c r="I654" i="4"/>
  <c r="H654" i="4"/>
  <c r="G654" i="4"/>
  <c r="D654" i="4"/>
  <c r="I653" i="4"/>
  <c r="H653" i="4"/>
  <c r="G653" i="4"/>
  <c r="D653" i="4"/>
  <c r="I652" i="4"/>
  <c r="H652" i="4"/>
  <c r="G652" i="4"/>
  <c r="D652" i="4"/>
  <c r="I651" i="4"/>
  <c r="H651" i="4"/>
  <c r="G651" i="4"/>
  <c r="D651" i="4"/>
  <c r="I650" i="4"/>
  <c r="H650" i="4"/>
  <c r="G650" i="4"/>
  <c r="D650" i="4"/>
  <c r="I649" i="4"/>
  <c r="H649" i="4"/>
  <c r="G649" i="4"/>
  <c r="D649" i="4"/>
  <c r="I648" i="4"/>
  <c r="H648" i="4"/>
  <c r="G648" i="4"/>
  <c r="D648" i="4"/>
  <c r="I647" i="4"/>
  <c r="H647" i="4"/>
  <c r="G647" i="4"/>
  <c r="D647" i="4"/>
  <c r="I646" i="4"/>
  <c r="H646" i="4"/>
  <c r="G646" i="4"/>
  <c r="D646" i="4"/>
  <c r="I645" i="4"/>
  <c r="H645" i="4"/>
  <c r="G645" i="4"/>
  <c r="D645" i="4"/>
  <c r="I644" i="4"/>
  <c r="H644" i="4"/>
  <c r="G644" i="4"/>
  <c r="D644" i="4"/>
  <c r="I643" i="4"/>
  <c r="H643" i="4"/>
  <c r="G643" i="4"/>
  <c r="D643" i="4"/>
  <c r="I642" i="4"/>
  <c r="H642" i="4"/>
  <c r="G642" i="4"/>
  <c r="D642" i="4"/>
  <c r="I641" i="4"/>
  <c r="H641" i="4"/>
  <c r="G641" i="4"/>
  <c r="D641" i="4"/>
  <c r="I640" i="4"/>
  <c r="H640" i="4"/>
  <c r="G640" i="4"/>
  <c r="D640" i="4"/>
  <c r="I639" i="4"/>
  <c r="H639" i="4"/>
  <c r="G639" i="4"/>
  <c r="D639" i="4"/>
  <c r="I638" i="4"/>
  <c r="H638" i="4"/>
  <c r="G638" i="4"/>
  <c r="D638" i="4"/>
  <c r="I637" i="4"/>
  <c r="H637" i="4"/>
  <c r="G637" i="4"/>
  <c r="D637" i="4"/>
  <c r="I636" i="4"/>
  <c r="H636" i="4"/>
  <c r="G636" i="4"/>
  <c r="D636" i="4"/>
  <c r="I635" i="4"/>
  <c r="H635" i="4"/>
  <c r="G635" i="4"/>
  <c r="D635" i="4"/>
  <c r="I634" i="4"/>
  <c r="H634" i="4"/>
  <c r="G634" i="4"/>
  <c r="D634" i="4"/>
  <c r="I633" i="4"/>
  <c r="H633" i="4"/>
  <c r="G633" i="4"/>
  <c r="D633" i="4"/>
  <c r="I632" i="4"/>
  <c r="H632" i="4"/>
  <c r="G632" i="4"/>
  <c r="D632" i="4"/>
  <c r="I631" i="4"/>
  <c r="H631" i="4"/>
  <c r="G631" i="4"/>
  <c r="D631" i="4"/>
  <c r="I630" i="4"/>
  <c r="H630" i="4"/>
  <c r="G630" i="4"/>
  <c r="D630" i="4"/>
  <c r="I629" i="4"/>
  <c r="H629" i="4"/>
  <c r="G629" i="4"/>
  <c r="D629" i="4"/>
  <c r="I628" i="4"/>
  <c r="H628" i="4"/>
  <c r="G628" i="4"/>
  <c r="D628" i="4"/>
  <c r="I627" i="4"/>
  <c r="H627" i="4"/>
  <c r="G627" i="4"/>
  <c r="D627" i="4"/>
  <c r="I626" i="4"/>
  <c r="H626" i="4"/>
  <c r="G626" i="4"/>
  <c r="D626" i="4"/>
  <c r="I625" i="4"/>
  <c r="H625" i="4"/>
  <c r="G625" i="4"/>
  <c r="D625" i="4"/>
  <c r="I624" i="4"/>
  <c r="H624" i="4"/>
  <c r="G624" i="4"/>
  <c r="D624" i="4"/>
  <c r="I623" i="4"/>
  <c r="H623" i="4"/>
  <c r="G623" i="4"/>
  <c r="D623" i="4"/>
  <c r="I622" i="4"/>
  <c r="H622" i="4"/>
  <c r="G622" i="4"/>
  <c r="D622" i="4"/>
  <c r="I621" i="4"/>
  <c r="H621" i="4"/>
  <c r="G621" i="4"/>
  <c r="D621" i="4"/>
  <c r="I620" i="4"/>
  <c r="H620" i="4"/>
  <c r="G620" i="4"/>
  <c r="D620" i="4"/>
  <c r="I619" i="4"/>
  <c r="H619" i="4"/>
  <c r="G619" i="4"/>
  <c r="D619" i="4"/>
  <c r="I618" i="4"/>
  <c r="H618" i="4"/>
  <c r="G618" i="4"/>
  <c r="D618" i="4"/>
  <c r="I617" i="4"/>
  <c r="H617" i="4"/>
  <c r="G617" i="4"/>
  <c r="D617" i="4"/>
  <c r="I616" i="4"/>
  <c r="H616" i="4"/>
  <c r="G616" i="4"/>
  <c r="D616" i="4"/>
  <c r="I615" i="4"/>
  <c r="H615" i="4"/>
  <c r="G615" i="4"/>
  <c r="D615" i="4"/>
  <c r="I614" i="4"/>
  <c r="H614" i="4"/>
  <c r="G614" i="4"/>
  <c r="D614" i="4"/>
  <c r="I613" i="4"/>
  <c r="H613" i="4"/>
  <c r="G613" i="4"/>
  <c r="D613" i="4"/>
  <c r="I612" i="4"/>
  <c r="H612" i="4"/>
  <c r="G612" i="4"/>
  <c r="D612" i="4"/>
  <c r="I611" i="4"/>
  <c r="H611" i="4"/>
  <c r="G611" i="4"/>
  <c r="D611" i="4"/>
  <c r="I610" i="4"/>
  <c r="H610" i="4"/>
  <c r="G610" i="4"/>
  <c r="D610" i="4"/>
  <c r="I609" i="4"/>
  <c r="H609" i="4"/>
  <c r="G609" i="4"/>
  <c r="D609" i="4"/>
  <c r="I608" i="4"/>
  <c r="H608" i="4"/>
  <c r="G608" i="4"/>
  <c r="D608" i="4"/>
  <c r="I607" i="4"/>
  <c r="H607" i="4"/>
  <c r="G607" i="4"/>
  <c r="D607" i="4"/>
  <c r="I606" i="4"/>
  <c r="H606" i="4"/>
  <c r="G606" i="4"/>
  <c r="D606" i="4"/>
  <c r="I605" i="4"/>
  <c r="H605" i="4"/>
  <c r="G605" i="4"/>
  <c r="D605" i="4"/>
  <c r="I604" i="4"/>
  <c r="H604" i="4"/>
  <c r="G604" i="4"/>
  <c r="D604" i="4"/>
  <c r="I603" i="4"/>
  <c r="H603" i="4"/>
  <c r="G603" i="4"/>
  <c r="D603" i="4"/>
  <c r="I602" i="4"/>
  <c r="H602" i="4"/>
  <c r="G602" i="4"/>
  <c r="D602" i="4"/>
  <c r="I601" i="4"/>
  <c r="H601" i="4"/>
  <c r="G601" i="4"/>
  <c r="D601" i="4"/>
  <c r="I600" i="4"/>
  <c r="H600" i="4"/>
  <c r="G600" i="4"/>
  <c r="D600" i="4"/>
  <c r="I599" i="4"/>
  <c r="H599" i="4"/>
  <c r="G599" i="4"/>
  <c r="D599" i="4"/>
  <c r="I598" i="4"/>
  <c r="H598" i="4"/>
  <c r="G598" i="4"/>
  <c r="D598" i="4"/>
  <c r="I597" i="4"/>
  <c r="H597" i="4"/>
  <c r="G597" i="4"/>
  <c r="D597" i="4"/>
  <c r="I596" i="4"/>
  <c r="H596" i="4"/>
  <c r="G596" i="4"/>
  <c r="D596" i="4"/>
  <c r="I595" i="4"/>
  <c r="H595" i="4"/>
  <c r="G595" i="4"/>
  <c r="D595" i="4"/>
  <c r="I594" i="4"/>
  <c r="H594" i="4"/>
  <c r="G594" i="4"/>
  <c r="D594" i="4"/>
  <c r="I593" i="4"/>
  <c r="H593" i="4"/>
  <c r="G593" i="4"/>
  <c r="D593" i="4"/>
  <c r="I592" i="4"/>
  <c r="H592" i="4"/>
  <c r="G592" i="4"/>
  <c r="D592" i="4"/>
  <c r="I591" i="4"/>
  <c r="H591" i="4"/>
  <c r="G591" i="4"/>
  <c r="D591" i="4"/>
  <c r="I590" i="4"/>
  <c r="H590" i="4"/>
  <c r="G590" i="4"/>
  <c r="D590" i="4"/>
  <c r="I589" i="4"/>
  <c r="H589" i="4"/>
  <c r="G589" i="4"/>
  <c r="D589" i="4"/>
  <c r="I588" i="4"/>
  <c r="H588" i="4"/>
  <c r="G588" i="4"/>
  <c r="D588" i="4"/>
  <c r="I587" i="4"/>
  <c r="H587" i="4"/>
  <c r="G587" i="4"/>
  <c r="D587" i="4"/>
  <c r="I586" i="4"/>
  <c r="H586" i="4"/>
  <c r="G586" i="4"/>
  <c r="D586" i="4"/>
  <c r="I585" i="4"/>
  <c r="H585" i="4"/>
  <c r="G585" i="4"/>
  <c r="D585" i="4"/>
  <c r="I584" i="4"/>
  <c r="H584" i="4"/>
  <c r="G584" i="4"/>
  <c r="D584" i="4"/>
  <c r="I583" i="4"/>
  <c r="H583" i="4"/>
  <c r="G583" i="4"/>
  <c r="D583" i="4"/>
  <c r="I582" i="4"/>
  <c r="H582" i="4"/>
  <c r="G582" i="4"/>
  <c r="D582" i="4"/>
  <c r="I581" i="4"/>
  <c r="H581" i="4"/>
  <c r="G581" i="4"/>
  <c r="D581" i="4"/>
  <c r="I580" i="4"/>
  <c r="H580" i="4"/>
  <c r="G580" i="4"/>
  <c r="D580" i="4"/>
  <c r="I579" i="4"/>
  <c r="H579" i="4"/>
  <c r="G579" i="4"/>
  <c r="D579" i="4"/>
  <c r="I578" i="4"/>
  <c r="H578" i="4"/>
  <c r="G578" i="4"/>
  <c r="D578" i="4"/>
  <c r="I577" i="4"/>
  <c r="H577" i="4"/>
  <c r="G577" i="4"/>
  <c r="D577" i="4"/>
  <c r="I576" i="4"/>
  <c r="H576" i="4"/>
  <c r="G576" i="4"/>
  <c r="D576" i="4"/>
  <c r="I575" i="4"/>
  <c r="H575" i="4"/>
  <c r="G575" i="4"/>
  <c r="D575" i="4"/>
  <c r="I574" i="4"/>
  <c r="H574" i="4"/>
  <c r="G574" i="4"/>
  <c r="D574" i="4"/>
  <c r="I573" i="4"/>
  <c r="H573" i="4"/>
  <c r="G573" i="4"/>
  <c r="D573" i="4"/>
  <c r="I572" i="4"/>
  <c r="H572" i="4"/>
  <c r="G572" i="4"/>
  <c r="D572" i="4"/>
  <c r="I571" i="4"/>
  <c r="H571" i="4"/>
  <c r="G571" i="4"/>
  <c r="D571" i="4"/>
  <c r="I570" i="4"/>
  <c r="H570" i="4"/>
  <c r="G570" i="4"/>
  <c r="D570" i="4"/>
  <c r="I569" i="4"/>
  <c r="H569" i="4"/>
  <c r="G569" i="4"/>
  <c r="D569" i="4"/>
  <c r="I568" i="4"/>
  <c r="H568" i="4"/>
  <c r="G568" i="4"/>
  <c r="D568" i="4"/>
  <c r="I567" i="4"/>
  <c r="H567" i="4"/>
  <c r="G567" i="4"/>
  <c r="D567" i="4"/>
  <c r="I566" i="4"/>
  <c r="H566" i="4"/>
  <c r="G566" i="4"/>
  <c r="D566" i="4"/>
  <c r="I565" i="4"/>
  <c r="H565" i="4"/>
  <c r="G565" i="4"/>
  <c r="D565" i="4"/>
  <c r="I564" i="4"/>
  <c r="H564" i="4"/>
  <c r="G564" i="4"/>
  <c r="D564" i="4"/>
  <c r="I563" i="4"/>
  <c r="H563" i="4"/>
  <c r="G563" i="4"/>
  <c r="D563" i="4"/>
  <c r="I562" i="4"/>
  <c r="H562" i="4"/>
  <c r="G562" i="4"/>
  <c r="D562" i="4"/>
  <c r="I561" i="4"/>
  <c r="H561" i="4"/>
  <c r="G561" i="4"/>
  <c r="D561" i="4"/>
  <c r="I560" i="4"/>
  <c r="H560" i="4"/>
  <c r="G560" i="4"/>
  <c r="D560" i="4"/>
  <c r="I559" i="4"/>
  <c r="H559" i="4"/>
  <c r="G559" i="4"/>
  <c r="D559" i="4"/>
  <c r="I558" i="4"/>
  <c r="H558" i="4"/>
  <c r="G558" i="4"/>
  <c r="D558" i="4"/>
  <c r="I557" i="4"/>
  <c r="H557" i="4"/>
  <c r="G557" i="4"/>
  <c r="D557" i="4"/>
  <c r="I556" i="4"/>
  <c r="H556" i="4"/>
  <c r="G556" i="4"/>
  <c r="D556" i="4"/>
  <c r="I555" i="4"/>
  <c r="H555" i="4"/>
  <c r="G555" i="4"/>
  <c r="D555" i="4"/>
  <c r="I554" i="4"/>
  <c r="H554" i="4"/>
  <c r="G554" i="4"/>
  <c r="D554" i="4"/>
  <c r="I553" i="4"/>
  <c r="H553" i="4"/>
  <c r="G553" i="4"/>
  <c r="D553" i="4"/>
  <c r="I552" i="4"/>
  <c r="H552" i="4"/>
  <c r="G552" i="4"/>
  <c r="D552" i="4"/>
  <c r="I551" i="4"/>
  <c r="H551" i="4"/>
  <c r="G551" i="4"/>
  <c r="D551" i="4"/>
  <c r="I550" i="4"/>
  <c r="H550" i="4"/>
  <c r="G550" i="4"/>
  <c r="D550" i="4"/>
  <c r="I549" i="4"/>
  <c r="H549" i="4"/>
  <c r="G549" i="4"/>
  <c r="D549" i="4"/>
  <c r="I548" i="4"/>
  <c r="H548" i="4"/>
  <c r="G548" i="4"/>
  <c r="D548" i="4"/>
  <c r="I547" i="4"/>
  <c r="H547" i="4"/>
  <c r="G547" i="4"/>
  <c r="D547" i="4"/>
  <c r="I546" i="4"/>
  <c r="H546" i="4"/>
  <c r="G546" i="4"/>
  <c r="D546" i="4"/>
  <c r="I545" i="4"/>
  <c r="H545" i="4"/>
  <c r="G545" i="4"/>
  <c r="D545" i="4"/>
  <c r="I544" i="4"/>
  <c r="H544" i="4"/>
  <c r="G544" i="4"/>
  <c r="D544" i="4"/>
  <c r="I543" i="4"/>
  <c r="H543" i="4"/>
  <c r="G543" i="4"/>
  <c r="D543" i="4"/>
  <c r="I542" i="4"/>
  <c r="H542" i="4"/>
  <c r="G542" i="4"/>
  <c r="D542" i="4"/>
  <c r="I541" i="4"/>
  <c r="H541" i="4"/>
  <c r="G541" i="4"/>
  <c r="D541" i="4"/>
  <c r="I540" i="4"/>
  <c r="H540" i="4"/>
  <c r="G540" i="4"/>
  <c r="D540" i="4"/>
  <c r="I539" i="4"/>
  <c r="H539" i="4"/>
  <c r="G539" i="4"/>
  <c r="D539" i="4"/>
  <c r="I538" i="4"/>
  <c r="H538" i="4"/>
  <c r="G538" i="4"/>
  <c r="D538" i="4"/>
  <c r="I537" i="4"/>
  <c r="H537" i="4"/>
  <c r="G537" i="4"/>
  <c r="D537" i="4"/>
  <c r="I536" i="4"/>
  <c r="H536" i="4"/>
  <c r="G536" i="4"/>
  <c r="D536" i="4"/>
  <c r="I535" i="4"/>
  <c r="H535" i="4"/>
  <c r="G535" i="4"/>
  <c r="D535" i="4"/>
  <c r="I534" i="4"/>
  <c r="H534" i="4"/>
  <c r="G534" i="4"/>
  <c r="D534" i="4"/>
  <c r="I533" i="4"/>
  <c r="H533" i="4"/>
  <c r="G533" i="4"/>
  <c r="D533" i="4"/>
  <c r="I532" i="4"/>
  <c r="H532" i="4"/>
  <c r="G532" i="4"/>
  <c r="D532" i="4"/>
  <c r="I531" i="4"/>
  <c r="H531" i="4"/>
  <c r="G531" i="4"/>
  <c r="D531" i="4"/>
  <c r="I530" i="4"/>
  <c r="H530" i="4"/>
  <c r="G530" i="4"/>
  <c r="D530" i="4"/>
  <c r="I529" i="4"/>
  <c r="H529" i="4"/>
  <c r="G529" i="4"/>
  <c r="D529" i="4"/>
  <c r="I528" i="4"/>
  <c r="H528" i="4"/>
  <c r="G528" i="4"/>
  <c r="D528" i="4"/>
  <c r="I527" i="4"/>
  <c r="H527" i="4"/>
  <c r="G527" i="4"/>
  <c r="D527" i="4"/>
  <c r="I526" i="4"/>
  <c r="H526" i="4"/>
  <c r="G526" i="4"/>
  <c r="D526" i="4"/>
  <c r="I525" i="4"/>
  <c r="H525" i="4"/>
  <c r="G525" i="4"/>
  <c r="D525" i="4"/>
  <c r="I524" i="4"/>
  <c r="H524" i="4"/>
  <c r="G524" i="4"/>
  <c r="D524" i="4"/>
  <c r="I523" i="4"/>
  <c r="H523" i="4"/>
  <c r="G523" i="4"/>
  <c r="D523" i="4"/>
  <c r="I522" i="4"/>
  <c r="H522" i="4"/>
  <c r="G522" i="4"/>
  <c r="D522" i="4"/>
  <c r="I521" i="4"/>
  <c r="H521" i="4"/>
  <c r="G521" i="4"/>
  <c r="D521" i="4"/>
  <c r="I520" i="4"/>
  <c r="H520" i="4"/>
  <c r="G520" i="4"/>
  <c r="D520" i="4"/>
  <c r="I519" i="4"/>
  <c r="H519" i="4"/>
  <c r="G519" i="4"/>
  <c r="D519" i="4"/>
  <c r="I518" i="4"/>
  <c r="H518" i="4"/>
  <c r="G518" i="4"/>
  <c r="D518" i="4"/>
  <c r="I517" i="4"/>
  <c r="H517" i="4"/>
  <c r="G517" i="4"/>
  <c r="D517" i="4"/>
  <c r="I516" i="4"/>
  <c r="H516" i="4"/>
  <c r="G516" i="4"/>
  <c r="D516" i="4"/>
  <c r="I515" i="4"/>
  <c r="H515" i="4"/>
  <c r="G515" i="4"/>
  <c r="D515" i="4"/>
  <c r="I514" i="4"/>
  <c r="H514" i="4"/>
  <c r="G514" i="4"/>
  <c r="D514" i="4"/>
  <c r="I513" i="4"/>
  <c r="H513" i="4"/>
  <c r="G513" i="4"/>
  <c r="D513" i="4"/>
  <c r="I512" i="4"/>
  <c r="H512" i="4"/>
  <c r="G512" i="4"/>
  <c r="D512" i="4"/>
  <c r="I511" i="4"/>
  <c r="H511" i="4"/>
  <c r="G511" i="4"/>
  <c r="D511" i="4"/>
  <c r="I510" i="4"/>
  <c r="H510" i="4"/>
  <c r="G510" i="4"/>
  <c r="D510" i="4"/>
  <c r="I509" i="4"/>
  <c r="H509" i="4"/>
  <c r="G509" i="4"/>
  <c r="D509" i="4"/>
  <c r="I508" i="4"/>
  <c r="H508" i="4"/>
  <c r="G508" i="4"/>
  <c r="D508" i="4"/>
  <c r="I507" i="4"/>
  <c r="H507" i="4"/>
  <c r="G507" i="4"/>
  <c r="D507" i="4"/>
  <c r="I506" i="4"/>
  <c r="H506" i="4"/>
  <c r="G506" i="4"/>
  <c r="D506" i="4"/>
  <c r="I505" i="4"/>
  <c r="H505" i="4"/>
  <c r="G505" i="4"/>
  <c r="D505" i="4"/>
  <c r="I504" i="4"/>
  <c r="H504" i="4"/>
  <c r="G504" i="4"/>
  <c r="D504" i="4"/>
  <c r="I503" i="4"/>
  <c r="H503" i="4"/>
  <c r="G503" i="4"/>
  <c r="D503" i="4"/>
  <c r="I502" i="4"/>
  <c r="H502" i="4"/>
  <c r="G502" i="4"/>
  <c r="D502" i="4"/>
  <c r="I501" i="4"/>
  <c r="H501" i="4"/>
  <c r="G501" i="4"/>
  <c r="D501" i="4"/>
  <c r="I500" i="4"/>
  <c r="H500" i="4"/>
  <c r="G500" i="4"/>
  <c r="D500" i="4"/>
  <c r="I499" i="4"/>
  <c r="H499" i="4"/>
  <c r="G499" i="4"/>
  <c r="D499" i="4"/>
  <c r="I498" i="4"/>
  <c r="H498" i="4"/>
  <c r="G498" i="4"/>
  <c r="D498" i="4"/>
  <c r="I497" i="4"/>
  <c r="H497" i="4"/>
  <c r="G497" i="4"/>
  <c r="D497" i="4"/>
  <c r="I496" i="4"/>
  <c r="H496" i="4"/>
  <c r="G496" i="4"/>
  <c r="D496" i="4"/>
  <c r="I495" i="4"/>
  <c r="H495" i="4"/>
  <c r="G495" i="4"/>
  <c r="D495" i="4"/>
  <c r="I494" i="4"/>
  <c r="H494" i="4"/>
  <c r="G494" i="4"/>
  <c r="D494" i="4"/>
  <c r="I493" i="4"/>
  <c r="H493" i="4"/>
  <c r="G493" i="4"/>
  <c r="D493" i="4"/>
  <c r="I492" i="4"/>
  <c r="H492" i="4"/>
  <c r="G492" i="4"/>
  <c r="D492" i="4"/>
  <c r="I491" i="4"/>
  <c r="H491" i="4"/>
  <c r="G491" i="4"/>
  <c r="D491" i="4"/>
  <c r="I490" i="4"/>
  <c r="H490" i="4"/>
  <c r="G490" i="4"/>
  <c r="D490" i="4"/>
  <c r="I489" i="4"/>
  <c r="H489" i="4"/>
  <c r="G489" i="4"/>
  <c r="D489" i="4"/>
  <c r="I488" i="4"/>
  <c r="H488" i="4"/>
  <c r="G488" i="4"/>
  <c r="D488" i="4"/>
  <c r="I487" i="4"/>
  <c r="H487" i="4"/>
  <c r="G487" i="4"/>
  <c r="D487" i="4"/>
  <c r="I486" i="4"/>
  <c r="H486" i="4"/>
  <c r="G486" i="4"/>
  <c r="D486" i="4"/>
  <c r="I485" i="4"/>
  <c r="H485" i="4"/>
  <c r="G485" i="4"/>
  <c r="D485" i="4"/>
  <c r="I484" i="4"/>
  <c r="H484" i="4"/>
  <c r="G484" i="4"/>
  <c r="D484" i="4"/>
  <c r="I483" i="4"/>
  <c r="H483" i="4"/>
  <c r="G483" i="4"/>
  <c r="D483" i="4"/>
  <c r="I482" i="4"/>
  <c r="H482" i="4"/>
  <c r="G482" i="4"/>
  <c r="D482" i="4"/>
  <c r="I481" i="4"/>
  <c r="H481" i="4"/>
  <c r="G481" i="4"/>
  <c r="D481" i="4"/>
  <c r="I480" i="4"/>
  <c r="H480" i="4"/>
  <c r="G480" i="4"/>
  <c r="D480" i="4"/>
  <c r="I479" i="4"/>
  <c r="H479" i="4"/>
  <c r="G479" i="4"/>
  <c r="D479" i="4"/>
  <c r="I478" i="4"/>
  <c r="H478" i="4"/>
  <c r="G478" i="4"/>
  <c r="D478" i="4"/>
  <c r="I477" i="4"/>
  <c r="H477" i="4"/>
  <c r="G477" i="4"/>
  <c r="D477" i="4"/>
  <c r="I476" i="4"/>
  <c r="H476" i="4"/>
  <c r="G476" i="4"/>
  <c r="D476" i="4"/>
  <c r="I475" i="4"/>
  <c r="H475" i="4"/>
  <c r="G475" i="4"/>
  <c r="D475" i="4"/>
  <c r="I474" i="4"/>
  <c r="H474" i="4"/>
  <c r="G474" i="4"/>
  <c r="D474" i="4"/>
  <c r="I473" i="4"/>
  <c r="H473" i="4"/>
  <c r="G473" i="4"/>
  <c r="D473" i="4"/>
  <c r="I472" i="4"/>
  <c r="H472" i="4"/>
  <c r="G472" i="4"/>
  <c r="D472" i="4"/>
  <c r="I471" i="4"/>
  <c r="H471" i="4"/>
  <c r="G471" i="4"/>
  <c r="D471" i="4"/>
  <c r="I470" i="4"/>
  <c r="H470" i="4"/>
  <c r="G470" i="4"/>
  <c r="D470" i="4"/>
  <c r="I469" i="4"/>
  <c r="H469" i="4"/>
  <c r="G469" i="4"/>
  <c r="D469" i="4"/>
  <c r="I468" i="4"/>
  <c r="H468" i="4"/>
  <c r="G468" i="4"/>
  <c r="D468" i="4"/>
  <c r="I467" i="4"/>
  <c r="H467" i="4"/>
  <c r="G467" i="4"/>
  <c r="D467" i="4"/>
  <c r="I466" i="4"/>
  <c r="H466" i="4"/>
  <c r="G466" i="4"/>
  <c r="D466" i="4"/>
  <c r="I465" i="4"/>
  <c r="H465" i="4"/>
  <c r="G465" i="4"/>
  <c r="D465" i="4"/>
  <c r="I464" i="4"/>
  <c r="H464" i="4"/>
  <c r="G464" i="4"/>
  <c r="D464" i="4"/>
  <c r="I463" i="4"/>
  <c r="H463" i="4"/>
  <c r="G463" i="4"/>
  <c r="D463" i="4"/>
  <c r="I462" i="4"/>
  <c r="H462" i="4"/>
  <c r="G462" i="4"/>
  <c r="D462" i="4"/>
  <c r="I461" i="4"/>
  <c r="H461" i="4"/>
  <c r="G461" i="4"/>
  <c r="D461" i="4"/>
  <c r="I460" i="4"/>
  <c r="H460" i="4"/>
  <c r="G460" i="4"/>
  <c r="D460" i="4"/>
  <c r="I459" i="4"/>
  <c r="H459" i="4"/>
  <c r="G459" i="4"/>
  <c r="D459" i="4"/>
  <c r="I458" i="4"/>
  <c r="H458" i="4"/>
  <c r="G458" i="4"/>
  <c r="D458" i="4"/>
  <c r="I457" i="4"/>
  <c r="H457" i="4"/>
  <c r="G457" i="4"/>
  <c r="D457" i="4"/>
  <c r="I456" i="4"/>
  <c r="H456" i="4"/>
  <c r="G456" i="4"/>
  <c r="D456" i="4"/>
  <c r="I455" i="4"/>
  <c r="H455" i="4"/>
  <c r="G455" i="4"/>
  <c r="D455" i="4"/>
  <c r="I454" i="4"/>
  <c r="H454" i="4"/>
  <c r="G454" i="4"/>
  <c r="D454" i="4"/>
  <c r="I453" i="4"/>
  <c r="H453" i="4"/>
  <c r="G453" i="4"/>
  <c r="D453" i="4"/>
  <c r="I452" i="4"/>
  <c r="H452" i="4"/>
  <c r="G452" i="4"/>
  <c r="D452" i="4"/>
  <c r="I451" i="4"/>
  <c r="H451" i="4"/>
  <c r="G451" i="4"/>
  <c r="D451" i="4"/>
  <c r="I450" i="4"/>
  <c r="H450" i="4"/>
  <c r="G450" i="4"/>
  <c r="D450" i="4"/>
  <c r="I449" i="4"/>
  <c r="H449" i="4"/>
  <c r="G449" i="4"/>
  <c r="D449" i="4"/>
  <c r="I448" i="4"/>
  <c r="H448" i="4"/>
  <c r="G448" i="4"/>
  <c r="D448" i="4"/>
  <c r="I447" i="4"/>
  <c r="H447" i="4"/>
  <c r="G447" i="4"/>
  <c r="D447" i="4"/>
  <c r="I446" i="4"/>
  <c r="H446" i="4"/>
  <c r="G446" i="4"/>
  <c r="D446" i="4"/>
  <c r="I445" i="4"/>
  <c r="H445" i="4"/>
  <c r="G445" i="4"/>
  <c r="D445" i="4"/>
  <c r="I444" i="4"/>
  <c r="H444" i="4"/>
  <c r="G444" i="4"/>
  <c r="D444" i="4"/>
  <c r="I443" i="4"/>
  <c r="H443" i="4"/>
  <c r="G443" i="4"/>
  <c r="D443" i="4"/>
  <c r="I442" i="4"/>
  <c r="H442" i="4"/>
  <c r="G442" i="4"/>
  <c r="D442" i="4"/>
  <c r="I441" i="4"/>
  <c r="H441" i="4"/>
  <c r="G441" i="4"/>
  <c r="D441" i="4"/>
  <c r="I440" i="4"/>
  <c r="H440" i="4"/>
  <c r="G440" i="4"/>
  <c r="D440" i="4"/>
  <c r="I439" i="4"/>
  <c r="H439" i="4"/>
  <c r="G439" i="4"/>
  <c r="D439" i="4"/>
  <c r="I438" i="4"/>
  <c r="H438" i="4"/>
  <c r="G438" i="4"/>
  <c r="D438" i="4"/>
  <c r="I437" i="4"/>
  <c r="H437" i="4"/>
  <c r="G437" i="4"/>
  <c r="D437" i="4"/>
  <c r="I436" i="4"/>
  <c r="H436" i="4"/>
  <c r="G436" i="4"/>
  <c r="D436" i="4"/>
  <c r="I435" i="4"/>
  <c r="H435" i="4"/>
  <c r="G435" i="4"/>
  <c r="D435" i="4"/>
  <c r="I434" i="4"/>
  <c r="H434" i="4"/>
  <c r="G434" i="4"/>
  <c r="D434" i="4"/>
  <c r="I433" i="4"/>
  <c r="H433" i="4"/>
  <c r="G433" i="4"/>
  <c r="D433" i="4"/>
  <c r="I432" i="4"/>
  <c r="H432" i="4"/>
  <c r="G432" i="4"/>
  <c r="D432" i="4"/>
  <c r="I431" i="4"/>
  <c r="H431" i="4"/>
  <c r="G431" i="4"/>
  <c r="D431" i="4"/>
  <c r="I430" i="4"/>
  <c r="H430" i="4"/>
  <c r="G430" i="4"/>
  <c r="D430" i="4"/>
  <c r="I429" i="4"/>
  <c r="H429" i="4"/>
  <c r="G429" i="4"/>
  <c r="D429" i="4"/>
  <c r="I428" i="4"/>
  <c r="H428" i="4"/>
  <c r="G428" i="4"/>
  <c r="D428" i="4"/>
  <c r="I427" i="4"/>
  <c r="H427" i="4"/>
  <c r="G427" i="4"/>
  <c r="D427" i="4"/>
  <c r="I426" i="4"/>
  <c r="H426" i="4"/>
  <c r="G426" i="4"/>
  <c r="D426" i="4"/>
  <c r="I425" i="4"/>
  <c r="H425" i="4"/>
  <c r="G425" i="4"/>
  <c r="D425" i="4"/>
  <c r="I424" i="4"/>
  <c r="H424" i="4"/>
  <c r="G424" i="4"/>
  <c r="D424" i="4"/>
  <c r="I423" i="4"/>
  <c r="H423" i="4"/>
  <c r="G423" i="4"/>
  <c r="D423" i="4"/>
  <c r="I422" i="4"/>
  <c r="H422" i="4"/>
  <c r="G422" i="4"/>
  <c r="D422" i="4"/>
  <c r="I421" i="4"/>
  <c r="H421" i="4"/>
  <c r="G421" i="4"/>
  <c r="D421" i="4"/>
  <c r="I420" i="4"/>
  <c r="H420" i="4"/>
  <c r="G420" i="4"/>
  <c r="D420" i="4"/>
  <c r="I419" i="4"/>
  <c r="H419" i="4"/>
  <c r="G419" i="4"/>
  <c r="D419" i="4"/>
  <c r="I418" i="4"/>
  <c r="H418" i="4"/>
  <c r="G418" i="4"/>
  <c r="D418" i="4"/>
  <c r="I417" i="4"/>
  <c r="H417" i="4"/>
  <c r="G417" i="4"/>
  <c r="D417" i="4"/>
  <c r="I416" i="4"/>
  <c r="H416" i="4"/>
  <c r="G416" i="4"/>
  <c r="D416" i="4"/>
  <c r="I415" i="4"/>
  <c r="H415" i="4"/>
  <c r="G415" i="4"/>
  <c r="D415" i="4"/>
  <c r="I414" i="4"/>
  <c r="H414" i="4"/>
  <c r="G414" i="4"/>
  <c r="D414" i="4"/>
  <c r="I413" i="4"/>
  <c r="H413" i="4"/>
  <c r="G413" i="4"/>
  <c r="D413" i="4"/>
  <c r="I412" i="4"/>
  <c r="H412" i="4"/>
  <c r="G412" i="4"/>
  <c r="D412" i="4"/>
  <c r="I411" i="4"/>
  <c r="H411" i="4"/>
  <c r="G411" i="4"/>
  <c r="D411" i="4"/>
  <c r="I410" i="4"/>
  <c r="H410" i="4"/>
  <c r="G410" i="4"/>
  <c r="D410" i="4"/>
  <c r="I409" i="4"/>
  <c r="H409" i="4"/>
  <c r="G409" i="4"/>
  <c r="D409" i="4"/>
  <c r="I408" i="4"/>
  <c r="H408" i="4"/>
  <c r="G408" i="4"/>
  <c r="D408" i="4"/>
  <c r="I407" i="4"/>
  <c r="H407" i="4"/>
  <c r="G407" i="4"/>
  <c r="D407" i="4"/>
  <c r="I406" i="4"/>
  <c r="H406" i="4"/>
  <c r="G406" i="4"/>
  <c r="D406" i="4"/>
  <c r="I405" i="4"/>
  <c r="H405" i="4"/>
  <c r="G405" i="4"/>
  <c r="D405" i="4"/>
  <c r="I404" i="4"/>
  <c r="H404" i="4"/>
  <c r="G404" i="4"/>
  <c r="D404" i="4"/>
  <c r="I403" i="4"/>
  <c r="H403" i="4"/>
  <c r="G403" i="4"/>
  <c r="D403" i="4"/>
  <c r="I402" i="4"/>
  <c r="H402" i="4"/>
  <c r="G402" i="4"/>
  <c r="D402" i="4"/>
  <c r="I401" i="4"/>
  <c r="H401" i="4"/>
  <c r="G401" i="4"/>
  <c r="D401" i="4"/>
  <c r="I400" i="4"/>
  <c r="H400" i="4"/>
  <c r="G400" i="4"/>
  <c r="D400" i="4"/>
  <c r="I399" i="4"/>
  <c r="H399" i="4"/>
  <c r="G399" i="4"/>
  <c r="D399" i="4"/>
  <c r="I398" i="4"/>
  <c r="H398" i="4"/>
  <c r="G398" i="4"/>
  <c r="D398" i="4"/>
  <c r="I397" i="4"/>
  <c r="H397" i="4"/>
  <c r="G397" i="4"/>
  <c r="D397" i="4"/>
  <c r="I396" i="4"/>
  <c r="H396" i="4"/>
  <c r="G396" i="4"/>
  <c r="D396" i="4"/>
  <c r="I395" i="4"/>
  <c r="H395" i="4"/>
  <c r="G395" i="4"/>
  <c r="D395" i="4"/>
  <c r="I394" i="4"/>
  <c r="H394" i="4"/>
  <c r="G394" i="4"/>
  <c r="D394" i="4"/>
  <c r="I393" i="4"/>
  <c r="H393" i="4"/>
  <c r="G393" i="4"/>
  <c r="D393" i="4"/>
  <c r="I392" i="4"/>
  <c r="H392" i="4"/>
  <c r="G392" i="4"/>
  <c r="D392" i="4"/>
  <c r="I391" i="4"/>
  <c r="H391" i="4"/>
  <c r="G391" i="4"/>
  <c r="D391" i="4"/>
  <c r="I390" i="4"/>
  <c r="H390" i="4"/>
  <c r="G390" i="4"/>
  <c r="D390" i="4"/>
  <c r="I389" i="4"/>
  <c r="H389" i="4"/>
  <c r="G389" i="4"/>
  <c r="D389" i="4"/>
  <c r="I388" i="4"/>
  <c r="H388" i="4"/>
  <c r="G388" i="4"/>
  <c r="D388" i="4"/>
  <c r="I387" i="4"/>
  <c r="H387" i="4"/>
  <c r="G387" i="4"/>
  <c r="D387" i="4"/>
  <c r="I386" i="4"/>
  <c r="H386" i="4"/>
  <c r="G386" i="4"/>
  <c r="D386" i="4"/>
  <c r="I385" i="4"/>
  <c r="H385" i="4"/>
  <c r="G385" i="4"/>
  <c r="D385" i="4"/>
  <c r="I384" i="4"/>
  <c r="H384" i="4"/>
  <c r="G384" i="4"/>
  <c r="D384" i="4"/>
  <c r="I383" i="4"/>
  <c r="H383" i="4"/>
  <c r="G383" i="4"/>
  <c r="D383" i="4"/>
  <c r="I382" i="4"/>
  <c r="H382" i="4"/>
  <c r="G382" i="4"/>
  <c r="D382" i="4"/>
  <c r="I381" i="4"/>
  <c r="H381" i="4"/>
  <c r="G381" i="4"/>
  <c r="D381" i="4"/>
  <c r="I380" i="4"/>
  <c r="H380" i="4"/>
  <c r="G380" i="4"/>
  <c r="D380" i="4"/>
  <c r="I379" i="4"/>
  <c r="H379" i="4"/>
  <c r="G379" i="4"/>
  <c r="D379" i="4"/>
  <c r="I378" i="4"/>
  <c r="H378" i="4"/>
  <c r="G378" i="4"/>
  <c r="D378" i="4"/>
  <c r="I377" i="4"/>
  <c r="H377" i="4"/>
  <c r="G377" i="4"/>
  <c r="D377" i="4"/>
  <c r="I376" i="4"/>
  <c r="H376" i="4"/>
  <c r="G376" i="4"/>
  <c r="D376" i="4"/>
  <c r="I375" i="4"/>
  <c r="H375" i="4"/>
  <c r="G375" i="4"/>
  <c r="D375" i="4"/>
  <c r="I374" i="4"/>
  <c r="H374" i="4"/>
  <c r="G374" i="4"/>
  <c r="D374" i="4"/>
  <c r="I373" i="4"/>
  <c r="H373" i="4"/>
  <c r="G373" i="4"/>
  <c r="D373" i="4"/>
  <c r="I372" i="4"/>
  <c r="H372" i="4"/>
  <c r="G372" i="4"/>
  <c r="D372" i="4"/>
  <c r="I371" i="4"/>
  <c r="H371" i="4"/>
  <c r="G371" i="4"/>
  <c r="D371" i="4"/>
  <c r="I370" i="4"/>
  <c r="H370" i="4"/>
  <c r="G370" i="4"/>
  <c r="D370" i="4"/>
  <c r="I369" i="4"/>
  <c r="H369" i="4"/>
  <c r="G369" i="4"/>
  <c r="D369" i="4"/>
  <c r="I368" i="4"/>
  <c r="H368" i="4"/>
  <c r="G368" i="4"/>
  <c r="D368" i="4"/>
  <c r="I367" i="4"/>
  <c r="H367" i="4"/>
  <c r="G367" i="4"/>
  <c r="D367" i="4"/>
  <c r="I366" i="4"/>
  <c r="H366" i="4"/>
  <c r="G366" i="4"/>
  <c r="D366" i="4"/>
  <c r="I365" i="4"/>
  <c r="H365" i="4"/>
  <c r="G365" i="4"/>
  <c r="D365" i="4"/>
  <c r="I364" i="4"/>
  <c r="H364" i="4"/>
  <c r="G364" i="4"/>
  <c r="D364" i="4"/>
  <c r="I363" i="4"/>
  <c r="H363" i="4"/>
  <c r="G363" i="4"/>
  <c r="D363" i="4"/>
  <c r="I362" i="4"/>
  <c r="H362" i="4"/>
  <c r="G362" i="4"/>
  <c r="D362" i="4"/>
  <c r="I361" i="4"/>
  <c r="H361" i="4"/>
  <c r="G361" i="4"/>
  <c r="D361" i="4"/>
  <c r="I360" i="4"/>
  <c r="H360" i="4"/>
  <c r="G360" i="4"/>
  <c r="D360" i="4"/>
  <c r="I359" i="4"/>
  <c r="H359" i="4"/>
  <c r="G359" i="4"/>
  <c r="D359" i="4"/>
  <c r="I358" i="4"/>
  <c r="H358" i="4"/>
  <c r="G358" i="4"/>
  <c r="D358" i="4"/>
  <c r="I357" i="4"/>
  <c r="H357" i="4"/>
  <c r="G357" i="4"/>
  <c r="D357" i="4"/>
  <c r="I356" i="4"/>
  <c r="H356" i="4"/>
  <c r="G356" i="4"/>
  <c r="D356" i="4"/>
  <c r="I355" i="4"/>
  <c r="H355" i="4"/>
  <c r="G355" i="4"/>
  <c r="D355" i="4"/>
  <c r="I354" i="4"/>
  <c r="H354" i="4"/>
  <c r="G354" i="4"/>
  <c r="D354" i="4"/>
  <c r="I353" i="4"/>
  <c r="H353" i="4"/>
  <c r="G353" i="4"/>
  <c r="D353" i="4"/>
  <c r="I352" i="4"/>
  <c r="H352" i="4"/>
  <c r="G352" i="4"/>
  <c r="D352" i="4"/>
  <c r="I351" i="4"/>
  <c r="H351" i="4"/>
  <c r="G351" i="4"/>
  <c r="D351" i="4"/>
  <c r="I350" i="4"/>
  <c r="H350" i="4"/>
  <c r="G350" i="4"/>
  <c r="D350" i="4"/>
  <c r="I349" i="4"/>
  <c r="H349" i="4"/>
  <c r="G349" i="4"/>
  <c r="D349" i="4"/>
  <c r="I348" i="4"/>
  <c r="H348" i="4"/>
  <c r="G348" i="4"/>
  <c r="D348" i="4"/>
  <c r="I347" i="4"/>
  <c r="H347" i="4"/>
  <c r="G347" i="4"/>
  <c r="D347" i="4"/>
  <c r="I346" i="4"/>
  <c r="H346" i="4"/>
  <c r="G346" i="4"/>
  <c r="D346" i="4"/>
  <c r="I345" i="4"/>
  <c r="H345" i="4"/>
  <c r="G345" i="4"/>
  <c r="D345" i="4"/>
  <c r="I344" i="4"/>
  <c r="H344" i="4"/>
  <c r="G344" i="4"/>
  <c r="D344" i="4"/>
  <c r="I343" i="4"/>
  <c r="H343" i="4"/>
  <c r="G343" i="4"/>
  <c r="D343" i="4"/>
  <c r="I342" i="4"/>
  <c r="H342" i="4"/>
  <c r="G342" i="4"/>
  <c r="D342" i="4"/>
  <c r="I341" i="4"/>
  <c r="H341" i="4"/>
  <c r="G341" i="4"/>
  <c r="D341" i="4"/>
  <c r="I340" i="4"/>
  <c r="H340" i="4"/>
  <c r="G340" i="4"/>
  <c r="D340" i="4"/>
  <c r="I339" i="4"/>
  <c r="H339" i="4"/>
  <c r="G339" i="4"/>
  <c r="D339" i="4"/>
  <c r="I338" i="4"/>
  <c r="H338" i="4"/>
  <c r="G338" i="4"/>
  <c r="D338" i="4"/>
  <c r="I337" i="4"/>
  <c r="H337" i="4"/>
  <c r="G337" i="4"/>
  <c r="D337" i="4"/>
  <c r="I336" i="4"/>
  <c r="H336" i="4"/>
  <c r="G336" i="4"/>
  <c r="D336" i="4"/>
  <c r="I335" i="4"/>
  <c r="H335" i="4"/>
  <c r="G335" i="4"/>
  <c r="D335" i="4"/>
  <c r="I334" i="4"/>
  <c r="H334" i="4"/>
  <c r="G334" i="4"/>
  <c r="D334" i="4"/>
  <c r="I333" i="4"/>
  <c r="H333" i="4"/>
  <c r="G333" i="4"/>
  <c r="D333" i="4"/>
  <c r="I332" i="4"/>
  <c r="H332" i="4"/>
  <c r="G332" i="4"/>
  <c r="D332" i="4"/>
  <c r="I331" i="4"/>
  <c r="H331" i="4"/>
  <c r="G331" i="4"/>
  <c r="D331" i="4"/>
  <c r="I330" i="4"/>
  <c r="H330" i="4"/>
  <c r="G330" i="4"/>
  <c r="D330" i="4"/>
  <c r="I329" i="4"/>
  <c r="H329" i="4"/>
  <c r="G329" i="4"/>
  <c r="D329" i="4"/>
  <c r="I328" i="4"/>
  <c r="H328" i="4"/>
  <c r="G328" i="4"/>
  <c r="D328" i="4"/>
  <c r="I327" i="4"/>
  <c r="H327" i="4"/>
  <c r="G327" i="4"/>
  <c r="D327" i="4"/>
  <c r="I326" i="4"/>
  <c r="H326" i="4"/>
  <c r="G326" i="4"/>
  <c r="D326" i="4"/>
  <c r="I325" i="4"/>
  <c r="H325" i="4"/>
  <c r="G325" i="4"/>
  <c r="D325" i="4"/>
  <c r="I324" i="4"/>
  <c r="H324" i="4"/>
  <c r="G324" i="4"/>
  <c r="D324" i="4"/>
  <c r="I323" i="4"/>
  <c r="H323" i="4"/>
  <c r="G323" i="4"/>
  <c r="D323" i="4"/>
  <c r="I322" i="4"/>
  <c r="H322" i="4"/>
  <c r="G322" i="4"/>
  <c r="D322" i="4"/>
  <c r="I321" i="4"/>
  <c r="H321" i="4"/>
  <c r="G321" i="4"/>
  <c r="D321" i="4"/>
  <c r="I320" i="4"/>
  <c r="H320" i="4"/>
  <c r="G320" i="4"/>
  <c r="D320" i="4"/>
  <c r="I319" i="4"/>
  <c r="H319" i="4"/>
  <c r="G319" i="4"/>
  <c r="D319" i="4"/>
  <c r="I318" i="4"/>
  <c r="H318" i="4"/>
  <c r="G318" i="4"/>
  <c r="D318" i="4"/>
  <c r="I317" i="4"/>
  <c r="H317" i="4"/>
  <c r="G317" i="4"/>
  <c r="D317" i="4"/>
  <c r="I316" i="4"/>
  <c r="H316" i="4"/>
  <c r="G316" i="4"/>
  <c r="D316" i="4"/>
  <c r="I315" i="4"/>
  <c r="H315" i="4"/>
  <c r="G315" i="4"/>
  <c r="D315" i="4"/>
  <c r="I314" i="4"/>
  <c r="H314" i="4"/>
  <c r="G314" i="4"/>
  <c r="D314" i="4"/>
  <c r="I313" i="4"/>
  <c r="H313" i="4"/>
  <c r="G313" i="4"/>
  <c r="D313" i="4"/>
  <c r="I312" i="4"/>
  <c r="H312" i="4"/>
  <c r="G312" i="4"/>
  <c r="D312" i="4"/>
  <c r="I311" i="4"/>
  <c r="H311" i="4"/>
  <c r="G311" i="4"/>
  <c r="D311" i="4"/>
  <c r="I310" i="4"/>
  <c r="H310" i="4"/>
  <c r="G310" i="4"/>
  <c r="D310" i="4"/>
  <c r="I309" i="4"/>
  <c r="H309" i="4"/>
  <c r="G309" i="4"/>
  <c r="D309" i="4"/>
  <c r="I308" i="4"/>
  <c r="H308" i="4"/>
  <c r="G308" i="4"/>
  <c r="D308" i="4"/>
  <c r="I307" i="4"/>
  <c r="H307" i="4"/>
  <c r="G307" i="4"/>
  <c r="D307" i="4"/>
  <c r="I306" i="4"/>
  <c r="H306" i="4"/>
  <c r="G306" i="4"/>
  <c r="D306" i="4"/>
  <c r="I305" i="4"/>
  <c r="H305" i="4"/>
  <c r="G305" i="4"/>
  <c r="D305" i="4"/>
  <c r="I304" i="4"/>
  <c r="H304" i="4"/>
  <c r="G304" i="4"/>
  <c r="D304" i="4"/>
  <c r="I303" i="4"/>
  <c r="H303" i="4"/>
  <c r="G303" i="4"/>
  <c r="D303" i="4"/>
  <c r="I302" i="4"/>
  <c r="H302" i="4"/>
  <c r="G302" i="4"/>
  <c r="D302" i="4"/>
  <c r="I301" i="4"/>
  <c r="H301" i="4"/>
  <c r="G301" i="4"/>
  <c r="D301" i="4"/>
  <c r="I300" i="4"/>
  <c r="H300" i="4"/>
  <c r="G300" i="4"/>
  <c r="D300" i="4"/>
  <c r="I299" i="4"/>
  <c r="H299" i="4"/>
  <c r="G299" i="4"/>
  <c r="D299" i="4"/>
  <c r="I298" i="4"/>
  <c r="H298" i="4"/>
  <c r="G298" i="4"/>
  <c r="D298" i="4"/>
  <c r="I297" i="4"/>
  <c r="H297" i="4"/>
  <c r="G297" i="4"/>
  <c r="D297" i="4"/>
  <c r="I296" i="4"/>
  <c r="H296" i="4"/>
  <c r="G296" i="4"/>
  <c r="D296" i="4"/>
  <c r="I295" i="4"/>
  <c r="H295" i="4"/>
  <c r="G295" i="4"/>
  <c r="D295" i="4"/>
  <c r="I294" i="4"/>
  <c r="H294" i="4"/>
  <c r="G294" i="4"/>
  <c r="D294" i="4"/>
  <c r="I293" i="4"/>
  <c r="H293" i="4"/>
  <c r="G293" i="4"/>
  <c r="D293" i="4"/>
  <c r="I292" i="4"/>
  <c r="H292" i="4"/>
  <c r="G292" i="4"/>
  <c r="D292" i="4"/>
  <c r="I291" i="4"/>
  <c r="H291" i="4"/>
  <c r="G291" i="4"/>
  <c r="D291" i="4"/>
  <c r="I290" i="4"/>
  <c r="H290" i="4"/>
  <c r="G290" i="4"/>
  <c r="D290" i="4"/>
  <c r="I289" i="4"/>
  <c r="H289" i="4"/>
  <c r="G289" i="4"/>
  <c r="D289" i="4"/>
  <c r="I288" i="4"/>
  <c r="H288" i="4"/>
  <c r="G288" i="4"/>
  <c r="D288" i="4"/>
  <c r="I287" i="4"/>
  <c r="H287" i="4"/>
  <c r="G287" i="4"/>
  <c r="D287" i="4"/>
  <c r="I286" i="4"/>
  <c r="H286" i="4"/>
  <c r="G286" i="4"/>
  <c r="D286" i="4"/>
  <c r="I285" i="4"/>
  <c r="H285" i="4"/>
  <c r="G285" i="4"/>
  <c r="D285" i="4"/>
  <c r="I284" i="4"/>
  <c r="H284" i="4"/>
  <c r="G284" i="4"/>
  <c r="D284" i="4"/>
  <c r="I283" i="4"/>
  <c r="H283" i="4"/>
  <c r="G283" i="4"/>
  <c r="D283" i="4"/>
  <c r="I282" i="4"/>
  <c r="H282" i="4"/>
  <c r="G282" i="4"/>
  <c r="D282" i="4"/>
  <c r="I281" i="4"/>
  <c r="H281" i="4"/>
  <c r="G281" i="4"/>
  <c r="D281" i="4"/>
  <c r="I280" i="4"/>
  <c r="H280" i="4"/>
  <c r="G280" i="4"/>
  <c r="D280" i="4"/>
  <c r="I279" i="4"/>
  <c r="H279" i="4"/>
  <c r="G279" i="4"/>
  <c r="D279" i="4"/>
  <c r="I278" i="4"/>
  <c r="H278" i="4"/>
  <c r="G278" i="4"/>
  <c r="D278" i="4"/>
  <c r="I277" i="4"/>
  <c r="H277" i="4"/>
  <c r="G277" i="4"/>
  <c r="D277" i="4"/>
  <c r="I276" i="4"/>
  <c r="H276" i="4"/>
  <c r="G276" i="4"/>
  <c r="D276" i="4"/>
  <c r="I275" i="4"/>
  <c r="H275" i="4"/>
  <c r="G275" i="4"/>
  <c r="D275" i="4"/>
  <c r="I274" i="4"/>
  <c r="H274" i="4"/>
  <c r="G274" i="4"/>
  <c r="D274" i="4"/>
  <c r="I273" i="4"/>
  <c r="H273" i="4"/>
  <c r="G273" i="4"/>
  <c r="D273" i="4"/>
  <c r="I272" i="4"/>
  <c r="H272" i="4"/>
  <c r="G272" i="4"/>
  <c r="D272" i="4"/>
  <c r="I271" i="4"/>
  <c r="H271" i="4"/>
  <c r="G271" i="4"/>
  <c r="D271" i="4"/>
  <c r="I270" i="4"/>
  <c r="H270" i="4"/>
  <c r="G270" i="4"/>
  <c r="D270" i="4"/>
  <c r="I269" i="4"/>
  <c r="H269" i="4"/>
  <c r="G269" i="4"/>
  <c r="D269" i="4"/>
  <c r="I268" i="4"/>
  <c r="H268" i="4"/>
  <c r="G268" i="4"/>
  <c r="D268" i="4"/>
  <c r="I267" i="4"/>
  <c r="H267" i="4"/>
  <c r="G267" i="4"/>
  <c r="D267" i="4"/>
  <c r="I266" i="4"/>
  <c r="H266" i="4"/>
  <c r="G266" i="4"/>
  <c r="D266" i="4"/>
  <c r="I265" i="4"/>
  <c r="H265" i="4"/>
  <c r="G265" i="4"/>
  <c r="D265" i="4"/>
  <c r="I264" i="4"/>
  <c r="H264" i="4"/>
  <c r="G264" i="4"/>
  <c r="D264" i="4"/>
  <c r="I263" i="4"/>
  <c r="H263" i="4"/>
  <c r="G263" i="4"/>
  <c r="D263" i="4"/>
  <c r="I262" i="4"/>
  <c r="H262" i="4"/>
  <c r="G262" i="4"/>
  <c r="D262" i="4"/>
  <c r="I261" i="4"/>
  <c r="H261" i="4"/>
  <c r="G261" i="4"/>
  <c r="D261" i="4"/>
  <c r="I260" i="4"/>
  <c r="H260" i="4"/>
  <c r="G260" i="4"/>
  <c r="D260" i="4"/>
  <c r="I259" i="4"/>
  <c r="H259" i="4"/>
  <c r="G259" i="4"/>
  <c r="D259" i="4"/>
  <c r="I258" i="4"/>
  <c r="H258" i="4"/>
  <c r="G258" i="4"/>
  <c r="D258" i="4"/>
  <c r="I257" i="4"/>
  <c r="H257" i="4"/>
  <c r="G257" i="4"/>
  <c r="D257" i="4"/>
  <c r="I256" i="4"/>
  <c r="H256" i="4"/>
  <c r="G256" i="4"/>
  <c r="D256" i="4"/>
  <c r="I255" i="4"/>
  <c r="H255" i="4"/>
  <c r="G255" i="4"/>
  <c r="D255" i="4"/>
  <c r="I254" i="4"/>
  <c r="H254" i="4"/>
  <c r="G254" i="4"/>
  <c r="D254" i="4"/>
  <c r="I253" i="4"/>
  <c r="H253" i="4"/>
  <c r="G253" i="4"/>
  <c r="D253" i="4"/>
  <c r="I252" i="4"/>
  <c r="H252" i="4"/>
  <c r="G252" i="4"/>
  <c r="D252" i="4"/>
  <c r="I251" i="4"/>
  <c r="H251" i="4"/>
  <c r="G251" i="4"/>
  <c r="D251" i="4"/>
  <c r="I250" i="4"/>
  <c r="H250" i="4"/>
  <c r="G250" i="4"/>
  <c r="D250" i="4"/>
  <c r="I249" i="4"/>
  <c r="H249" i="4"/>
  <c r="G249" i="4"/>
  <c r="D249" i="4"/>
  <c r="I248" i="4"/>
  <c r="H248" i="4"/>
  <c r="G248" i="4"/>
  <c r="D248" i="4"/>
  <c r="I247" i="4"/>
  <c r="H247" i="4"/>
  <c r="G247" i="4"/>
  <c r="D247" i="4"/>
  <c r="I246" i="4"/>
  <c r="H246" i="4"/>
  <c r="G246" i="4"/>
  <c r="D246" i="4"/>
  <c r="I245" i="4"/>
  <c r="H245" i="4"/>
  <c r="G245" i="4"/>
  <c r="D245" i="4"/>
  <c r="I244" i="4"/>
  <c r="H244" i="4"/>
  <c r="G244" i="4"/>
  <c r="D244" i="4"/>
  <c r="I243" i="4"/>
  <c r="H243" i="4"/>
  <c r="G243" i="4"/>
  <c r="D243" i="4"/>
  <c r="I242" i="4"/>
  <c r="H242" i="4"/>
  <c r="G242" i="4"/>
  <c r="D242" i="4"/>
  <c r="I241" i="4"/>
  <c r="H241" i="4"/>
  <c r="G241" i="4"/>
  <c r="D241" i="4"/>
  <c r="I240" i="4"/>
  <c r="H240" i="4"/>
  <c r="G240" i="4"/>
  <c r="D240" i="4"/>
  <c r="I239" i="4"/>
  <c r="H239" i="4"/>
  <c r="G239" i="4"/>
  <c r="D239" i="4"/>
  <c r="I238" i="4"/>
  <c r="H238" i="4"/>
  <c r="G238" i="4"/>
  <c r="D238" i="4"/>
  <c r="I237" i="4"/>
  <c r="H237" i="4"/>
  <c r="G237" i="4"/>
  <c r="D237" i="4"/>
  <c r="I236" i="4"/>
  <c r="H236" i="4"/>
  <c r="G236" i="4"/>
  <c r="D236" i="4"/>
  <c r="I235" i="4"/>
  <c r="H235" i="4"/>
  <c r="G235" i="4"/>
  <c r="D235" i="4"/>
  <c r="I234" i="4"/>
  <c r="H234" i="4"/>
  <c r="G234" i="4"/>
  <c r="D234" i="4"/>
  <c r="I233" i="4"/>
  <c r="H233" i="4"/>
  <c r="G233" i="4"/>
  <c r="D233" i="4"/>
  <c r="I232" i="4"/>
  <c r="H232" i="4"/>
  <c r="G232" i="4"/>
  <c r="D232" i="4"/>
  <c r="I231" i="4"/>
  <c r="H231" i="4"/>
  <c r="G231" i="4"/>
  <c r="D231" i="4"/>
  <c r="I230" i="4"/>
  <c r="H230" i="4"/>
  <c r="G230" i="4"/>
  <c r="D230" i="4"/>
  <c r="I229" i="4"/>
  <c r="H229" i="4"/>
  <c r="G229" i="4"/>
  <c r="D229" i="4"/>
  <c r="I228" i="4"/>
  <c r="H228" i="4"/>
  <c r="G228" i="4"/>
  <c r="D228" i="4"/>
  <c r="I227" i="4"/>
  <c r="H227" i="4"/>
  <c r="G227" i="4"/>
  <c r="D227" i="4"/>
  <c r="I226" i="4"/>
  <c r="H226" i="4"/>
  <c r="G226" i="4"/>
  <c r="D226" i="4"/>
  <c r="I225" i="4"/>
  <c r="H225" i="4"/>
  <c r="G225" i="4"/>
  <c r="D225" i="4"/>
  <c r="I224" i="4"/>
  <c r="H224" i="4"/>
  <c r="G224" i="4"/>
  <c r="D224" i="4"/>
  <c r="I223" i="4"/>
  <c r="H223" i="4"/>
  <c r="G223" i="4"/>
  <c r="D223" i="4"/>
  <c r="I222" i="4"/>
  <c r="H222" i="4"/>
  <c r="G222" i="4"/>
  <c r="D222" i="4"/>
  <c r="I221" i="4"/>
  <c r="H221" i="4"/>
  <c r="G221" i="4"/>
  <c r="D221" i="4"/>
  <c r="I220" i="4"/>
  <c r="H220" i="4"/>
  <c r="G220" i="4"/>
  <c r="D220" i="4"/>
  <c r="I219" i="4"/>
  <c r="H219" i="4"/>
  <c r="G219" i="4"/>
  <c r="D219" i="4"/>
  <c r="I218" i="4"/>
  <c r="H218" i="4"/>
  <c r="G218" i="4"/>
  <c r="D218" i="4"/>
  <c r="I217" i="4"/>
  <c r="H217" i="4"/>
  <c r="G217" i="4"/>
  <c r="D217" i="4"/>
  <c r="I216" i="4"/>
  <c r="H216" i="4"/>
  <c r="G216" i="4"/>
  <c r="D216" i="4"/>
  <c r="I215" i="4"/>
  <c r="H215" i="4"/>
  <c r="G215" i="4"/>
  <c r="D215" i="4"/>
  <c r="I214" i="4"/>
  <c r="H214" i="4"/>
  <c r="G214" i="4"/>
  <c r="D214" i="4"/>
  <c r="I213" i="4"/>
  <c r="H213" i="4"/>
  <c r="G213" i="4"/>
  <c r="D213" i="4"/>
  <c r="I212" i="4"/>
  <c r="H212" i="4"/>
  <c r="G212" i="4"/>
  <c r="D212" i="4"/>
  <c r="I211" i="4"/>
  <c r="H211" i="4"/>
  <c r="G211" i="4"/>
  <c r="D211" i="4"/>
  <c r="I210" i="4"/>
  <c r="H210" i="4"/>
  <c r="G210" i="4"/>
  <c r="D210" i="4"/>
  <c r="I209" i="4"/>
  <c r="H209" i="4"/>
  <c r="G209" i="4"/>
  <c r="D209" i="4"/>
  <c r="I208" i="4"/>
  <c r="H208" i="4"/>
  <c r="G208" i="4"/>
  <c r="D208" i="4"/>
  <c r="I207" i="4"/>
  <c r="H207" i="4"/>
  <c r="G207" i="4"/>
  <c r="D207" i="4"/>
  <c r="I206" i="4"/>
  <c r="H206" i="4"/>
  <c r="G206" i="4"/>
  <c r="D206" i="4"/>
  <c r="I205" i="4"/>
  <c r="H205" i="4"/>
  <c r="G205" i="4"/>
  <c r="D205" i="4"/>
  <c r="I204" i="4"/>
  <c r="H204" i="4"/>
  <c r="G204" i="4"/>
  <c r="D204" i="4"/>
  <c r="I203" i="4"/>
  <c r="H203" i="4"/>
  <c r="G203" i="4"/>
  <c r="D203" i="4"/>
  <c r="I202" i="4"/>
  <c r="H202" i="4"/>
  <c r="G202" i="4"/>
  <c r="D202" i="4"/>
  <c r="I201" i="4"/>
  <c r="H201" i="4"/>
  <c r="G201" i="4"/>
  <c r="D201" i="4"/>
  <c r="I200" i="4"/>
  <c r="H200" i="4"/>
  <c r="G200" i="4"/>
  <c r="D200" i="4"/>
  <c r="I199" i="4"/>
  <c r="H199" i="4"/>
  <c r="G199" i="4"/>
  <c r="D199" i="4"/>
  <c r="I198" i="4"/>
  <c r="H198" i="4"/>
  <c r="G198" i="4"/>
  <c r="D198" i="4"/>
  <c r="I197" i="4"/>
  <c r="H197" i="4"/>
  <c r="G197" i="4"/>
  <c r="D197" i="4"/>
  <c r="I196" i="4"/>
  <c r="H196" i="4"/>
  <c r="G196" i="4"/>
  <c r="D196" i="4"/>
  <c r="I195" i="4"/>
  <c r="H195" i="4"/>
  <c r="G195" i="4"/>
  <c r="D195" i="4"/>
  <c r="I194" i="4"/>
  <c r="H194" i="4"/>
  <c r="G194" i="4"/>
  <c r="D194" i="4"/>
  <c r="I193" i="4"/>
  <c r="H193" i="4"/>
  <c r="G193" i="4"/>
  <c r="D193" i="4"/>
  <c r="I192" i="4"/>
  <c r="H192" i="4"/>
  <c r="G192" i="4"/>
  <c r="D192" i="4"/>
  <c r="I191" i="4"/>
  <c r="H191" i="4"/>
  <c r="G191" i="4"/>
  <c r="D191" i="4"/>
  <c r="I190" i="4"/>
  <c r="H190" i="4"/>
  <c r="G190" i="4"/>
  <c r="D190" i="4"/>
  <c r="I189" i="4"/>
  <c r="H189" i="4"/>
  <c r="G189" i="4"/>
  <c r="D189" i="4"/>
  <c r="I188" i="4"/>
  <c r="H188" i="4"/>
  <c r="G188" i="4"/>
  <c r="D188" i="4"/>
  <c r="I187" i="4"/>
  <c r="H187" i="4"/>
  <c r="G187" i="4"/>
  <c r="D187" i="4"/>
  <c r="I186" i="4"/>
  <c r="H186" i="4"/>
  <c r="G186" i="4"/>
  <c r="D186" i="4"/>
  <c r="I185" i="4"/>
  <c r="H185" i="4"/>
  <c r="G185" i="4"/>
  <c r="D185" i="4"/>
  <c r="I184" i="4"/>
  <c r="H184" i="4"/>
  <c r="G184" i="4"/>
  <c r="D184" i="4"/>
  <c r="I183" i="4"/>
  <c r="H183" i="4"/>
  <c r="G183" i="4"/>
  <c r="D183" i="4"/>
  <c r="I182" i="4"/>
  <c r="H182" i="4"/>
  <c r="G182" i="4"/>
  <c r="D182" i="4"/>
  <c r="I181" i="4"/>
  <c r="H181" i="4"/>
  <c r="G181" i="4"/>
  <c r="D181" i="4"/>
  <c r="I180" i="4"/>
  <c r="H180" i="4"/>
  <c r="G180" i="4"/>
  <c r="D180" i="4"/>
  <c r="I179" i="4"/>
  <c r="H179" i="4"/>
  <c r="G179" i="4"/>
  <c r="D179" i="4"/>
  <c r="I178" i="4"/>
  <c r="H178" i="4"/>
  <c r="G178" i="4"/>
  <c r="D178" i="4"/>
  <c r="I177" i="4"/>
  <c r="H177" i="4"/>
  <c r="G177" i="4"/>
  <c r="D177" i="4"/>
  <c r="I176" i="4"/>
  <c r="H176" i="4"/>
  <c r="G176" i="4"/>
  <c r="D176" i="4"/>
  <c r="I175" i="4"/>
  <c r="H175" i="4"/>
  <c r="G175" i="4"/>
  <c r="D175" i="4"/>
  <c r="I174" i="4"/>
  <c r="H174" i="4"/>
  <c r="G174" i="4"/>
  <c r="D174" i="4"/>
  <c r="I173" i="4"/>
  <c r="H173" i="4"/>
  <c r="G173" i="4"/>
  <c r="D173" i="4"/>
  <c r="I172" i="4"/>
  <c r="H172" i="4"/>
  <c r="G172" i="4"/>
  <c r="D172" i="4"/>
  <c r="I171" i="4"/>
  <c r="H171" i="4"/>
  <c r="G171" i="4"/>
  <c r="D171" i="4"/>
  <c r="I170" i="4"/>
  <c r="H170" i="4"/>
  <c r="G170" i="4"/>
  <c r="D170" i="4"/>
  <c r="I169" i="4"/>
  <c r="H169" i="4"/>
  <c r="G169" i="4"/>
  <c r="D169" i="4"/>
  <c r="I168" i="4"/>
  <c r="H168" i="4"/>
  <c r="G168" i="4"/>
  <c r="D168" i="4"/>
  <c r="I167" i="4"/>
  <c r="H167" i="4"/>
  <c r="G167" i="4"/>
  <c r="D167" i="4"/>
  <c r="I166" i="4"/>
  <c r="H166" i="4"/>
  <c r="G166" i="4"/>
  <c r="D166" i="4"/>
  <c r="I165" i="4"/>
  <c r="H165" i="4"/>
  <c r="G165" i="4"/>
  <c r="D165" i="4"/>
  <c r="I164" i="4"/>
  <c r="H164" i="4"/>
  <c r="G164" i="4"/>
  <c r="D164" i="4"/>
  <c r="I163" i="4"/>
  <c r="H163" i="4"/>
  <c r="G163" i="4"/>
  <c r="D163" i="4"/>
  <c r="I162" i="4"/>
  <c r="H162" i="4"/>
  <c r="G162" i="4"/>
  <c r="D162" i="4"/>
  <c r="I161" i="4"/>
  <c r="H161" i="4"/>
  <c r="G161" i="4"/>
  <c r="D161" i="4"/>
  <c r="I160" i="4"/>
  <c r="H160" i="4"/>
  <c r="G160" i="4"/>
  <c r="D160" i="4"/>
  <c r="I159" i="4"/>
  <c r="H159" i="4"/>
  <c r="G159" i="4"/>
  <c r="D159" i="4"/>
  <c r="I158" i="4"/>
  <c r="H158" i="4"/>
  <c r="G158" i="4"/>
  <c r="D158" i="4"/>
  <c r="I157" i="4"/>
  <c r="H157" i="4"/>
  <c r="G157" i="4"/>
  <c r="D157" i="4"/>
  <c r="I156" i="4"/>
  <c r="H156" i="4"/>
  <c r="G156" i="4"/>
  <c r="D156" i="4"/>
  <c r="I155" i="4"/>
  <c r="H155" i="4"/>
  <c r="G155" i="4"/>
  <c r="D155" i="4"/>
  <c r="I154" i="4"/>
  <c r="H154" i="4"/>
  <c r="G154" i="4"/>
  <c r="D154" i="4"/>
  <c r="I153" i="4"/>
  <c r="H153" i="4"/>
  <c r="G153" i="4"/>
  <c r="D153" i="4"/>
  <c r="I152" i="4"/>
  <c r="H152" i="4"/>
  <c r="G152" i="4"/>
  <c r="D152" i="4"/>
  <c r="I151" i="4"/>
  <c r="H151" i="4"/>
  <c r="G151" i="4"/>
  <c r="D151" i="4"/>
  <c r="I150" i="4"/>
  <c r="H150" i="4"/>
  <c r="G150" i="4"/>
  <c r="D150" i="4"/>
  <c r="I149" i="4"/>
  <c r="H149" i="4"/>
  <c r="G149" i="4"/>
  <c r="D149" i="4"/>
  <c r="I148" i="4"/>
  <c r="H148" i="4"/>
  <c r="G148" i="4"/>
  <c r="D148" i="4"/>
  <c r="I147" i="4"/>
  <c r="H147" i="4"/>
  <c r="G147" i="4"/>
  <c r="D147" i="4"/>
  <c r="I146" i="4"/>
  <c r="H146" i="4"/>
  <c r="G146" i="4"/>
  <c r="D146" i="4"/>
  <c r="I145" i="4"/>
  <c r="H145" i="4"/>
  <c r="G145" i="4"/>
  <c r="D145" i="4"/>
  <c r="I144" i="4"/>
  <c r="H144" i="4"/>
  <c r="G144" i="4"/>
  <c r="D144" i="4"/>
  <c r="I143" i="4"/>
  <c r="H143" i="4"/>
  <c r="G143" i="4"/>
  <c r="D143" i="4"/>
  <c r="I142" i="4"/>
  <c r="H142" i="4"/>
  <c r="G142" i="4"/>
  <c r="D142" i="4"/>
  <c r="I141" i="4"/>
  <c r="H141" i="4"/>
  <c r="G141" i="4"/>
  <c r="D141" i="4"/>
  <c r="I140" i="4"/>
  <c r="H140" i="4"/>
  <c r="G140" i="4"/>
  <c r="D140" i="4"/>
  <c r="I139" i="4"/>
  <c r="H139" i="4"/>
  <c r="G139" i="4"/>
  <c r="D139" i="4"/>
  <c r="I138" i="4"/>
  <c r="H138" i="4"/>
  <c r="G138" i="4"/>
  <c r="D138" i="4"/>
  <c r="I137" i="4"/>
  <c r="H137" i="4"/>
  <c r="G137" i="4"/>
  <c r="D137" i="4"/>
  <c r="I136" i="4"/>
  <c r="H136" i="4"/>
  <c r="G136" i="4"/>
  <c r="D136" i="4"/>
  <c r="I135" i="4"/>
  <c r="H135" i="4"/>
  <c r="G135" i="4"/>
  <c r="D135" i="4"/>
  <c r="I134" i="4"/>
  <c r="H134" i="4"/>
  <c r="G134" i="4"/>
  <c r="D134" i="4"/>
  <c r="I133" i="4"/>
  <c r="H133" i="4"/>
  <c r="G133" i="4"/>
  <c r="D133" i="4"/>
  <c r="I132" i="4"/>
  <c r="H132" i="4"/>
  <c r="G132" i="4"/>
  <c r="D132" i="4"/>
  <c r="I131" i="4"/>
  <c r="H131" i="4"/>
  <c r="G131" i="4"/>
  <c r="D131" i="4"/>
  <c r="I130" i="4"/>
  <c r="H130" i="4"/>
  <c r="G130" i="4"/>
  <c r="D130" i="4"/>
  <c r="I129" i="4"/>
  <c r="H129" i="4"/>
  <c r="G129" i="4"/>
  <c r="D129" i="4"/>
  <c r="I128" i="4"/>
  <c r="H128" i="4"/>
  <c r="G128" i="4"/>
  <c r="D128" i="4"/>
  <c r="I127" i="4"/>
  <c r="H127" i="4"/>
  <c r="G127" i="4"/>
  <c r="D127" i="4"/>
  <c r="I126" i="4"/>
  <c r="H126" i="4"/>
  <c r="G126" i="4"/>
  <c r="D126" i="4"/>
  <c r="I125" i="4"/>
  <c r="H125" i="4"/>
  <c r="G125" i="4"/>
  <c r="D125" i="4"/>
  <c r="I124" i="4"/>
  <c r="H124" i="4"/>
  <c r="G124" i="4"/>
  <c r="D124" i="4"/>
  <c r="I123" i="4"/>
  <c r="H123" i="4"/>
  <c r="G123" i="4"/>
  <c r="D123" i="4"/>
  <c r="I122" i="4"/>
  <c r="H122" i="4"/>
  <c r="G122" i="4"/>
  <c r="D122" i="4"/>
  <c r="I121" i="4"/>
  <c r="H121" i="4"/>
  <c r="G121" i="4"/>
  <c r="D121" i="4"/>
  <c r="I120" i="4"/>
  <c r="H120" i="4"/>
  <c r="G120" i="4"/>
  <c r="D120" i="4"/>
  <c r="I119" i="4"/>
  <c r="H119" i="4"/>
  <c r="G119" i="4"/>
  <c r="D119" i="4"/>
  <c r="I118" i="4"/>
  <c r="H118" i="4"/>
  <c r="G118" i="4"/>
  <c r="D118" i="4"/>
  <c r="I117" i="4"/>
  <c r="H117" i="4"/>
  <c r="G117" i="4"/>
  <c r="D117" i="4"/>
  <c r="I116" i="4"/>
  <c r="H116" i="4"/>
  <c r="G116" i="4"/>
  <c r="D116" i="4"/>
  <c r="I115" i="4"/>
  <c r="H115" i="4"/>
  <c r="G115" i="4"/>
  <c r="D115" i="4"/>
  <c r="I114" i="4"/>
  <c r="H114" i="4"/>
  <c r="G114" i="4"/>
  <c r="D114" i="4"/>
  <c r="I113" i="4"/>
  <c r="H113" i="4"/>
  <c r="G113" i="4"/>
  <c r="D113" i="4"/>
  <c r="I112" i="4"/>
  <c r="H112" i="4"/>
  <c r="G112" i="4"/>
  <c r="D112" i="4"/>
  <c r="I111" i="4"/>
  <c r="H111" i="4"/>
  <c r="G111" i="4"/>
  <c r="D111" i="4"/>
  <c r="I110" i="4"/>
  <c r="H110" i="4"/>
  <c r="G110" i="4"/>
  <c r="D110" i="4"/>
  <c r="I109" i="4"/>
  <c r="H109" i="4"/>
  <c r="G109" i="4"/>
  <c r="D109" i="4"/>
  <c r="I108" i="4"/>
  <c r="H108" i="4"/>
  <c r="G108" i="4"/>
  <c r="D108" i="4"/>
  <c r="I107" i="4"/>
  <c r="H107" i="4"/>
  <c r="G107" i="4"/>
  <c r="D107" i="4"/>
  <c r="I106" i="4"/>
  <c r="H106" i="4"/>
  <c r="G106" i="4"/>
  <c r="D106" i="4"/>
  <c r="I105" i="4"/>
  <c r="H105" i="4"/>
  <c r="G105" i="4"/>
  <c r="D105" i="4"/>
  <c r="I104" i="4"/>
  <c r="H104" i="4"/>
  <c r="G104" i="4"/>
  <c r="D104" i="4"/>
  <c r="I103" i="4"/>
  <c r="H103" i="4"/>
  <c r="G103" i="4"/>
  <c r="D103" i="4"/>
  <c r="I102" i="4"/>
  <c r="H102" i="4"/>
  <c r="G102" i="4"/>
  <c r="D102" i="4"/>
  <c r="I101" i="4"/>
  <c r="H101" i="4"/>
  <c r="G101" i="4"/>
  <c r="D101" i="4"/>
  <c r="I100" i="4"/>
  <c r="H100" i="4"/>
  <c r="G100" i="4"/>
  <c r="D100" i="4"/>
  <c r="I99" i="4"/>
  <c r="H99" i="4"/>
  <c r="G99" i="4"/>
  <c r="D99" i="4"/>
  <c r="I98" i="4"/>
  <c r="H98" i="4"/>
  <c r="G98" i="4"/>
  <c r="D98" i="4"/>
  <c r="I97" i="4"/>
  <c r="H97" i="4"/>
  <c r="G97" i="4"/>
  <c r="D97" i="4"/>
  <c r="I96" i="4"/>
  <c r="H96" i="4"/>
  <c r="G96" i="4"/>
  <c r="D96" i="4"/>
  <c r="I95" i="4"/>
  <c r="H95" i="4"/>
  <c r="G95" i="4"/>
  <c r="D95" i="4"/>
  <c r="I94" i="4"/>
  <c r="H94" i="4"/>
  <c r="G94" i="4"/>
  <c r="D94" i="4"/>
  <c r="I93" i="4"/>
  <c r="H93" i="4"/>
  <c r="G93" i="4"/>
  <c r="D93" i="4"/>
  <c r="I92" i="4"/>
  <c r="H92" i="4"/>
  <c r="G92" i="4"/>
  <c r="D92" i="4"/>
  <c r="I91" i="4"/>
  <c r="H91" i="4"/>
  <c r="G91" i="4"/>
  <c r="D91" i="4"/>
  <c r="I90" i="4"/>
  <c r="H90" i="4"/>
  <c r="G90" i="4"/>
  <c r="D90" i="4"/>
  <c r="I89" i="4"/>
  <c r="H89" i="4"/>
  <c r="G89" i="4"/>
  <c r="D89" i="4"/>
  <c r="I88" i="4"/>
  <c r="H88" i="4"/>
  <c r="G88" i="4"/>
  <c r="D88" i="4"/>
  <c r="I87" i="4"/>
  <c r="H87" i="4"/>
  <c r="G87" i="4"/>
  <c r="D87" i="4"/>
  <c r="I86" i="4"/>
  <c r="H86" i="4"/>
  <c r="G86" i="4"/>
  <c r="D86" i="4"/>
  <c r="I85" i="4"/>
  <c r="H85" i="4"/>
  <c r="G85" i="4"/>
  <c r="D85" i="4"/>
  <c r="I84" i="4"/>
  <c r="H84" i="4"/>
  <c r="G84" i="4"/>
  <c r="D84" i="4"/>
  <c r="I83" i="4"/>
  <c r="H83" i="4"/>
  <c r="G83" i="4"/>
  <c r="D83" i="4"/>
  <c r="I82" i="4"/>
  <c r="H82" i="4"/>
  <c r="G82" i="4"/>
  <c r="D82" i="4"/>
  <c r="I81" i="4"/>
  <c r="H81" i="4"/>
  <c r="G81" i="4"/>
  <c r="D81" i="4"/>
  <c r="I80" i="4"/>
  <c r="H80" i="4"/>
  <c r="G80" i="4"/>
  <c r="D80" i="4"/>
  <c r="I79" i="4"/>
  <c r="H79" i="4"/>
  <c r="G79" i="4"/>
  <c r="D79" i="4"/>
  <c r="I78" i="4"/>
  <c r="H78" i="4"/>
  <c r="G78" i="4"/>
  <c r="D78" i="4"/>
  <c r="I77" i="4"/>
  <c r="H77" i="4"/>
  <c r="G77" i="4"/>
  <c r="D77" i="4"/>
  <c r="I76" i="4"/>
  <c r="H76" i="4"/>
  <c r="G76" i="4"/>
  <c r="D76" i="4"/>
  <c r="I75" i="4"/>
  <c r="H75" i="4"/>
  <c r="G75" i="4"/>
  <c r="D75" i="4"/>
  <c r="I74" i="4"/>
  <c r="H74" i="4"/>
  <c r="G74" i="4"/>
  <c r="D74" i="4"/>
  <c r="I73" i="4"/>
  <c r="H73" i="4"/>
  <c r="G73" i="4"/>
  <c r="D73" i="4"/>
  <c r="I72" i="4"/>
  <c r="H72" i="4"/>
  <c r="G72" i="4"/>
  <c r="D72" i="4"/>
  <c r="I71" i="4"/>
  <c r="H71" i="4"/>
  <c r="G71" i="4"/>
  <c r="D71" i="4"/>
  <c r="I70" i="4"/>
  <c r="H70" i="4"/>
  <c r="G70" i="4"/>
  <c r="D70" i="4"/>
  <c r="I69" i="4"/>
  <c r="H69" i="4"/>
  <c r="G69" i="4"/>
  <c r="D69" i="4"/>
  <c r="I68" i="4"/>
  <c r="H68" i="4"/>
  <c r="G68" i="4"/>
  <c r="D68" i="4"/>
  <c r="I67" i="4"/>
  <c r="H67" i="4"/>
  <c r="G67" i="4"/>
  <c r="D67" i="4"/>
  <c r="I66" i="4"/>
  <c r="H66" i="4"/>
  <c r="G66" i="4"/>
  <c r="D66" i="4"/>
  <c r="I65" i="4"/>
  <c r="H65" i="4"/>
  <c r="G65" i="4"/>
  <c r="D65" i="4"/>
  <c r="I64" i="4"/>
  <c r="H64" i="4"/>
  <c r="G64" i="4"/>
  <c r="D64" i="4"/>
  <c r="I63" i="4"/>
  <c r="H63" i="4"/>
  <c r="G63" i="4"/>
  <c r="D63" i="4"/>
  <c r="I62" i="4"/>
  <c r="H62" i="4"/>
  <c r="G62" i="4"/>
  <c r="D62" i="4"/>
  <c r="I61" i="4"/>
  <c r="H61" i="4"/>
  <c r="G61" i="4"/>
  <c r="D61" i="4"/>
  <c r="I60" i="4"/>
  <c r="H60" i="4"/>
  <c r="G60" i="4"/>
  <c r="D60" i="4"/>
  <c r="I59" i="4"/>
  <c r="H59" i="4"/>
  <c r="G59" i="4"/>
  <c r="D59" i="4"/>
  <c r="I58" i="4"/>
  <c r="H58" i="4"/>
  <c r="G58" i="4"/>
  <c r="D58" i="4"/>
  <c r="I57" i="4"/>
  <c r="H57" i="4"/>
  <c r="G57" i="4"/>
  <c r="D57" i="4"/>
  <c r="I56" i="4"/>
  <c r="H56" i="4"/>
  <c r="G56" i="4"/>
  <c r="D56" i="4"/>
  <c r="I55" i="4"/>
  <c r="H55" i="4"/>
  <c r="G55" i="4"/>
  <c r="D55" i="4"/>
  <c r="I54" i="4"/>
  <c r="H54" i="4"/>
  <c r="G54" i="4"/>
  <c r="D54" i="4"/>
  <c r="I53" i="4"/>
  <c r="H53" i="4"/>
  <c r="G53" i="4"/>
  <c r="D53" i="4"/>
  <c r="I52" i="4"/>
  <c r="H52" i="4"/>
  <c r="G52" i="4"/>
  <c r="D52" i="4"/>
  <c r="I51" i="4"/>
  <c r="H51" i="4"/>
  <c r="G51" i="4"/>
  <c r="D51" i="4"/>
  <c r="I50" i="4"/>
  <c r="H50" i="4"/>
  <c r="G50" i="4"/>
  <c r="D50" i="4"/>
  <c r="I49" i="4"/>
  <c r="H49" i="4"/>
  <c r="G49" i="4"/>
  <c r="D49" i="4"/>
  <c r="I48" i="4"/>
  <c r="H48" i="4"/>
  <c r="G48" i="4"/>
  <c r="D48" i="4"/>
  <c r="I47" i="4"/>
  <c r="H47" i="4"/>
  <c r="G47" i="4"/>
  <c r="D47" i="4"/>
  <c r="I46" i="4"/>
  <c r="H46" i="4"/>
  <c r="G46" i="4"/>
  <c r="D46" i="4"/>
  <c r="I45" i="4"/>
  <c r="H45" i="4"/>
  <c r="G45" i="4"/>
  <c r="D45" i="4"/>
  <c r="I44" i="4"/>
  <c r="H44" i="4"/>
  <c r="G44" i="4"/>
  <c r="D44" i="4"/>
  <c r="I43" i="4"/>
  <c r="H43" i="4"/>
  <c r="G43" i="4"/>
  <c r="D43" i="4"/>
  <c r="I42" i="4"/>
  <c r="H42" i="4"/>
  <c r="G42" i="4"/>
  <c r="D42" i="4"/>
  <c r="I41" i="4"/>
  <c r="H41" i="4"/>
  <c r="G41" i="4"/>
  <c r="D41" i="4"/>
  <c r="I40" i="4"/>
  <c r="H40" i="4"/>
  <c r="G40" i="4"/>
  <c r="D40" i="4"/>
  <c r="I39" i="4"/>
  <c r="H39" i="4"/>
  <c r="G39" i="4"/>
  <c r="D39" i="4"/>
  <c r="I38" i="4"/>
  <c r="H38" i="4"/>
  <c r="G38" i="4"/>
  <c r="D38" i="4"/>
  <c r="I37" i="4"/>
  <c r="H37" i="4"/>
  <c r="G37" i="4"/>
  <c r="D37" i="4"/>
  <c r="I36" i="4"/>
  <c r="H36" i="4"/>
  <c r="G36" i="4"/>
  <c r="D36" i="4"/>
  <c r="I35" i="4"/>
  <c r="H35" i="4"/>
  <c r="G35" i="4"/>
  <c r="D35" i="4"/>
  <c r="I34" i="4"/>
  <c r="H34" i="4"/>
  <c r="G34" i="4"/>
  <c r="D34" i="4"/>
  <c r="I33" i="4"/>
  <c r="H33" i="4"/>
  <c r="G33" i="4"/>
  <c r="D33" i="4"/>
  <c r="I32" i="4"/>
  <c r="H32" i="4"/>
  <c r="G32" i="4"/>
  <c r="D32" i="4"/>
  <c r="I31" i="4"/>
  <c r="H31" i="4"/>
  <c r="G31" i="4"/>
  <c r="D31" i="4"/>
  <c r="I30" i="4"/>
  <c r="H30" i="4"/>
  <c r="G30" i="4"/>
  <c r="D30" i="4"/>
  <c r="I29" i="4"/>
  <c r="H29" i="4"/>
  <c r="G29" i="4"/>
  <c r="D29" i="4"/>
  <c r="I28" i="4"/>
  <c r="H28" i="4"/>
  <c r="G28" i="4"/>
  <c r="D28" i="4"/>
  <c r="I27" i="4"/>
  <c r="H27" i="4"/>
  <c r="G27" i="4"/>
  <c r="D27" i="4"/>
  <c r="I26" i="4"/>
  <c r="H26" i="4"/>
  <c r="G26" i="4"/>
  <c r="D26" i="4"/>
  <c r="I25" i="4"/>
  <c r="H25" i="4"/>
  <c r="G25" i="4"/>
  <c r="D25" i="4"/>
  <c r="I24" i="4"/>
  <c r="H24" i="4"/>
  <c r="G24" i="4"/>
  <c r="D24" i="4"/>
  <c r="I23" i="4"/>
  <c r="H23" i="4"/>
  <c r="G23" i="4"/>
  <c r="D23" i="4"/>
  <c r="I22" i="4"/>
  <c r="H22" i="4"/>
  <c r="G22" i="4"/>
  <c r="D22" i="4"/>
  <c r="I21" i="4"/>
  <c r="H21" i="4"/>
  <c r="G21" i="4"/>
  <c r="D21" i="4"/>
  <c r="I20" i="4"/>
  <c r="H20" i="4"/>
  <c r="G20" i="4"/>
  <c r="D20" i="4"/>
  <c r="I19" i="4"/>
  <c r="H19" i="4"/>
  <c r="G19" i="4"/>
  <c r="D19" i="4"/>
  <c r="I18" i="4"/>
  <c r="H18" i="4"/>
  <c r="G18" i="4"/>
  <c r="D18" i="4"/>
  <c r="I17" i="4"/>
  <c r="H17" i="4"/>
  <c r="G17" i="4"/>
  <c r="D17" i="4"/>
  <c r="I16" i="4"/>
  <c r="H16" i="4"/>
  <c r="G16" i="4"/>
  <c r="D16" i="4"/>
  <c r="I15" i="4"/>
  <c r="H15" i="4"/>
  <c r="G15" i="4"/>
  <c r="D15" i="4"/>
  <c r="I14" i="4"/>
  <c r="H14" i="4"/>
  <c r="G14" i="4"/>
  <c r="D14" i="4"/>
  <c r="I13" i="4"/>
  <c r="H13" i="4"/>
  <c r="G13" i="4"/>
  <c r="D13" i="4"/>
  <c r="I12" i="4"/>
  <c r="H12" i="4"/>
  <c r="G12" i="4"/>
  <c r="D12" i="4"/>
  <c r="I11" i="4"/>
  <c r="H11" i="4"/>
  <c r="G11" i="4"/>
  <c r="D11" i="4"/>
  <c r="I10" i="4"/>
  <c r="H10" i="4"/>
  <c r="G10" i="4"/>
  <c r="D10" i="4"/>
  <c r="I9" i="4"/>
  <c r="H9" i="4"/>
  <c r="G9" i="4"/>
  <c r="D9" i="4"/>
  <c r="I8" i="4"/>
  <c r="H8" i="4"/>
  <c r="G8" i="4"/>
  <c r="D8" i="4"/>
  <c r="I7" i="4"/>
  <c r="H7" i="4"/>
  <c r="G7" i="4"/>
  <c r="D7" i="4"/>
  <c r="I6" i="4"/>
  <c r="H6" i="4"/>
  <c r="G6" i="4"/>
  <c r="D6" i="4"/>
  <c r="I5" i="4"/>
  <c r="H5" i="4"/>
  <c r="G5" i="4"/>
  <c r="D5" i="4"/>
  <c r="I4" i="4"/>
  <c r="H4" i="4"/>
  <c r="G4" i="4"/>
  <c r="D4" i="4"/>
  <c r="I3" i="4"/>
  <c r="H3" i="4"/>
  <c r="G3" i="4"/>
  <c r="D3" i="4"/>
  <c r="I2" i="4"/>
  <c r="H2" i="4"/>
  <c r="G2" i="4"/>
  <c r="D2" i="4"/>
  <c r="D1" i="4"/>
  <c r="V1001" i="8"/>
  <c r="U1001" i="8"/>
  <c r="T1001" i="8"/>
  <c r="S1001" i="8"/>
  <c r="R1001" i="8"/>
  <c r="P1001" i="8"/>
  <c r="O1001" i="8"/>
  <c r="M1001" i="8"/>
  <c r="L1001" i="8"/>
  <c r="K1001" i="8"/>
  <c r="J1001" i="8"/>
  <c r="I1001" i="8"/>
  <c r="H1001" i="8"/>
  <c r="G1001" i="8"/>
  <c r="E1001" i="8"/>
  <c r="D1001" i="8"/>
  <c r="C1001" i="8"/>
  <c r="V1000" i="8"/>
  <c r="U1000" i="8"/>
  <c r="T1000" i="8"/>
  <c r="S1000" i="8"/>
  <c r="R1000" i="8"/>
  <c r="P1000" i="8"/>
  <c r="O1000" i="8"/>
  <c r="M1000" i="8"/>
  <c r="L1000" i="8"/>
  <c r="K1000" i="8"/>
  <c r="J1000" i="8"/>
  <c r="I1000" i="8"/>
  <c r="H1000" i="8"/>
  <c r="G1000" i="8"/>
  <c r="E1000" i="8"/>
  <c r="D1000" i="8"/>
  <c r="C1000" i="8"/>
  <c r="V999" i="8"/>
  <c r="U999" i="8"/>
  <c r="T999" i="8"/>
  <c r="S999" i="8"/>
  <c r="R999" i="8"/>
  <c r="P999" i="8"/>
  <c r="O999" i="8"/>
  <c r="M999" i="8"/>
  <c r="L999" i="8"/>
  <c r="K999" i="8"/>
  <c r="J999" i="8"/>
  <c r="I999" i="8"/>
  <c r="H999" i="8"/>
  <c r="G999" i="8"/>
  <c r="E999" i="8"/>
  <c r="D999" i="8"/>
  <c r="C999" i="8"/>
  <c r="V998" i="8"/>
  <c r="U998" i="8"/>
  <c r="T998" i="8"/>
  <c r="S998" i="8"/>
  <c r="R998" i="8"/>
  <c r="P998" i="8"/>
  <c r="O998" i="8"/>
  <c r="M998" i="8"/>
  <c r="L998" i="8"/>
  <c r="K998" i="8"/>
  <c r="J998" i="8"/>
  <c r="I998" i="8"/>
  <c r="H998" i="8"/>
  <c r="G998" i="8"/>
  <c r="E998" i="8"/>
  <c r="D998" i="8"/>
  <c r="C998" i="8"/>
  <c r="V997" i="8"/>
  <c r="U997" i="8"/>
  <c r="T997" i="8"/>
  <c r="S997" i="8"/>
  <c r="R997" i="8"/>
  <c r="P997" i="8"/>
  <c r="O997" i="8"/>
  <c r="M997" i="8"/>
  <c r="L997" i="8"/>
  <c r="K997" i="8"/>
  <c r="J997" i="8"/>
  <c r="I997" i="8"/>
  <c r="H997" i="8"/>
  <c r="G997" i="8"/>
  <c r="E997" i="8"/>
  <c r="D997" i="8"/>
  <c r="C997" i="8"/>
  <c r="V996" i="8"/>
  <c r="U996" i="8"/>
  <c r="T996" i="8"/>
  <c r="S996" i="8"/>
  <c r="R996" i="8"/>
  <c r="P996" i="8"/>
  <c r="O996" i="8"/>
  <c r="M996" i="8"/>
  <c r="L996" i="8"/>
  <c r="K996" i="8"/>
  <c r="J996" i="8"/>
  <c r="I996" i="8"/>
  <c r="H996" i="8"/>
  <c r="G996" i="8"/>
  <c r="E996" i="8"/>
  <c r="D996" i="8"/>
  <c r="C996" i="8"/>
  <c r="V995" i="8"/>
  <c r="U995" i="8"/>
  <c r="T995" i="8"/>
  <c r="S995" i="8"/>
  <c r="R995" i="8"/>
  <c r="P995" i="8"/>
  <c r="O995" i="8"/>
  <c r="M995" i="8"/>
  <c r="L995" i="8"/>
  <c r="K995" i="8"/>
  <c r="J995" i="8"/>
  <c r="I995" i="8"/>
  <c r="H995" i="8"/>
  <c r="G995" i="8"/>
  <c r="E995" i="8"/>
  <c r="D995" i="8"/>
  <c r="C995" i="8"/>
  <c r="V994" i="8"/>
  <c r="U994" i="8"/>
  <c r="T994" i="8"/>
  <c r="S994" i="8"/>
  <c r="R994" i="8"/>
  <c r="P994" i="8"/>
  <c r="O994" i="8"/>
  <c r="M994" i="8"/>
  <c r="L994" i="8"/>
  <c r="K994" i="8"/>
  <c r="J994" i="8"/>
  <c r="I994" i="8"/>
  <c r="H994" i="8"/>
  <c r="G994" i="8"/>
  <c r="E994" i="8"/>
  <c r="D994" i="8"/>
  <c r="C994" i="8"/>
  <c r="V993" i="8"/>
  <c r="U993" i="8"/>
  <c r="T993" i="8"/>
  <c r="S993" i="8"/>
  <c r="R993" i="8"/>
  <c r="P993" i="8"/>
  <c r="O993" i="8"/>
  <c r="M993" i="8"/>
  <c r="L993" i="8"/>
  <c r="K993" i="8"/>
  <c r="J993" i="8"/>
  <c r="I993" i="8"/>
  <c r="H993" i="8"/>
  <c r="G993" i="8"/>
  <c r="E993" i="8"/>
  <c r="D993" i="8"/>
  <c r="C993" i="8"/>
  <c r="V992" i="8"/>
  <c r="U992" i="8"/>
  <c r="T992" i="8"/>
  <c r="S992" i="8"/>
  <c r="R992" i="8"/>
  <c r="P992" i="8"/>
  <c r="O992" i="8"/>
  <c r="M992" i="8"/>
  <c r="L992" i="8"/>
  <c r="K992" i="8"/>
  <c r="J992" i="8"/>
  <c r="I992" i="8"/>
  <c r="H992" i="8"/>
  <c r="G992" i="8"/>
  <c r="E992" i="8"/>
  <c r="D992" i="8"/>
  <c r="C992" i="8"/>
  <c r="V991" i="8"/>
  <c r="U991" i="8"/>
  <c r="T991" i="8"/>
  <c r="S991" i="8"/>
  <c r="R991" i="8"/>
  <c r="P991" i="8"/>
  <c r="O991" i="8"/>
  <c r="M991" i="8"/>
  <c r="L991" i="8"/>
  <c r="K991" i="8"/>
  <c r="J991" i="8"/>
  <c r="I991" i="8"/>
  <c r="H991" i="8"/>
  <c r="G991" i="8"/>
  <c r="E991" i="8"/>
  <c r="D991" i="8"/>
  <c r="C991" i="8"/>
  <c r="V990" i="8"/>
  <c r="U990" i="8"/>
  <c r="T990" i="8"/>
  <c r="S990" i="8"/>
  <c r="R990" i="8"/>
  <c r="P990" i="8"/>
  <c r="O990" i="8"/>
  <c r="M990" i="8"/>
  <c r="L990" i="8"/>
  <c r="K990" i="8"/>
  <c r="J990" i="8"/>
  <c r="I990" i="8"/>
  <c r="H990" i="8"/>
  <c r="G990" i="8"/>
  <c r="E990" i="8"/>
  <c r="D990" i="8"/>
  <c r="C990" i="8"/>
  <c r="V989" i="8"/>
  <c r="U989" i="8"/>
  <c r="T989" i="8"/>
  <c r="S989" i="8"/>
  <c r="R989" i="8"/>
  <c r="P989" i="8"/>
  <c r="O989" i="8"/>
  <c r="M989" i="8"/>
  <c r="L989" i="8"/>
  <c r="K989" i="8"/>
  <c r="J989" i="8"/>
  <c r="I989" i="8"/>
  <c r="H989" i="8"/>
  <c r="G989" i="8"/>
  <c r="E989" i="8"/>
  <c r="D989" i="8"/>
  <c r="C989" i="8"/>
  <c r="V988" i="8"/>
  <c r="U988" i="8"/>
  <c r="T988" i="8"/>
  <c r="S988" i="8"/>
  <c r="R988" i="8"/>
  <c r="P988" i="8"/>
  <c r="O988" i="8"/>
  <c r="M988" i="8"/>
  <c r="L988" i="8"/>
  <c r="K988" i="8"/>
  <c r="J988" i="8"/>
  <c r="I988" i="8"/>
  <c r="H988" i="8"/>
  <c r="G988" i="8"/>
  <c r="E988" i="8"/>
  <c r="D988" i="8"/>
  <c r="C988" i="8"/>
  <c r="V987" i="8"/>
  <c r="U987" i="8"/>
  <c r="T987" i="8"/>
  <c r="S987" i="8"/>
  <c r="R987" i="8"/>
  <c r="P987" i="8"/>
  <c r="O987" i="8"/>
  <c r="M987" i="8"/>
  <c r="L987" i="8"/>
  <c r="K987" i="8"/>
  <c r="J987" i="8"/>
  <c r="I987" i="8"/>
  <c r="H987" i="8"/>
  <c r="G987" i="8"/>
  <c r="E987" i="8"/>
  <c r="D987" i="8"/>
  <c r="C987" i="8"/>
  <c r="V986" i="8"/>
  <c r="U986" i="8"/>
  <c r="T986" i="8"/>
  <c r="S986" i="8"/>
  <c r="R986" i="8"/>
  <c r="P986" i="8"/>
  <c r="O986" i="8"/>
  <c r="M986" i="8"/>
  <c r="L986" i="8"/>
  <c r="K986" i="8"/>
  <c r="J986" i="8"/>
  <c r="I986" i="8"/>
  <c r="H986" i="8"/>
  <c r="G986" i="8"/>
  <c r="E986" i="8"/>
  <c r="D986" i="8"/>
  <c r="C986" i="8"/>
  <c r="V985" i="8"/>
  <c r="U985" i="8"/>
  <c r="T985" i="8"/>
  <c r="S985" i="8"/>
  <c r="R985" i="8"/>
  <c r="P985" i="8"/>
  <c r="O985" i="8"/>
  <c r="M985" i="8"/>
  <c r="L985" i="8"/>
  <c r="K985" i="8"/>
  <c r="J985" i="8"/>
  <c r="I985" i="8"/>
  <c r="H985" i="8"/>
  <c r="G985" i="8"/>
  <c r="E985" i="8"/>
  <c r="D985" i="8"/>
  <c r="C985" i="8"/>
  <c r="V984" i="8"/>
  <c r="U984" i="8"/>
  <c r="T984" i="8"/>
  <c r="S984" i="8"/>
  <c r="R984" i="8"/>
  <c r="P984" i="8"/>
  <c r="O984" i="8"/>
  <c r="M984" i="8"/>
  <c r="L984" i="8"/>
  <c r="K984" i="8"/>
  <c r="J984" i="8"/>
  <c r="I984" i="8"/>
  <c r="H984" i="8"/>
  <c r="G984" i="8"/>
  <c r="E984" i="8"/>
  <c r="D984" i="8"/>
  <c r="C984" i="8"/>
  <c r="V983" i="8"/>
  <c r="U983" i="8"/>
  <c r="T983" i="8"/>
  <c r="S983" i="8"/>
  <c r="R983" i="8"/>
  <c r="P983" i="8"/>
  <c r="O983" i="8"/>
  <c r="M983" i="8"/>
  <c r="L983" i="8"/>
  <c r="K983" i="8"/>
  <c r="J983" i="8"/>
  <c r="I983" i="8"/>
  <c r="H983" i="8"/>
  <c r="G983" i="8"/>
  <c r="E983" i="8"/>
  <c r="D983" i="8"/>
  <c r="C983" i="8"/>
  <c r="V982" i="8"/>
  <c r="U982" i="8"/>
  <c r="T982" i="8"/>
  <c r="S982" i="8"/>
  <c r="R982" i="8"/>
  <c r="P982" i="8"/>
  <c r="O982" i="8"/>
  <c r="M982" i="8"/>
  <c r="L982" i="8"/>
  <c r="K982" i="8"/>
  <c r="J982" i="8"/>
  <c r="I982" i="8"/>
  <c r="H982" i="8"/>
  <c r="G982" i="8"/>
  <c r="E982" i="8"/>
  <c r="D982" i="8"/>
  <c r="C982" i="8"/>
  <c r="V981" i="8"/>
  <c r="U981" i="8"/>
  <c r="T981" i="8"/>
  <c r="S981" i="8"/>
  <c r="R981" i="8"/>
  <c r="P981" i="8"/>
  <c r="O981" i="8"/>
  <c r="M981" i="8"/>
  <c r="L981" i="8"/>
  <c r="K981" i="8"/>
  <c r="J981" i="8"/>
  <c r="I981" i="8"/>
  <c r="H981" i="8"/>
  <c r="G981" i="8"/>
  <c r="E981" i="8"/>
  <c r="D981" i="8"/>
  <c r="C981" i="8"/>
  <c r="V980" i="8"/>
  <c r="U980" i="8"/>
  <c r="T980" i="8"/>
  <c r="S980" i="8"/>
  <c r="R980" i="8"/>
  <c r="P980" i="8"/>
  <c r="O980" i="8"/>
  <c r="M980" i="8"/>
  <c r="L980" i="8"/>
  <c r="K980" i="8"/>
  <c r="J980" i="8"/>
  <c r="I980" i="8"/>
  <c r="H980" i="8"/>
  <c r="G980" i="8"/>
  <c r="E980" i="8"/>
  <c r="D980" i="8"/>
  <c r="C980" i="8"/>
  <c r="V979" i="8"/>
  <c r="U979" i="8"/>
  <c r="T979" i="8"/>
  <c r="S979" i="8"/>
  <c r="R979" i="8"/>
  <c r="P979" i="8"/>
  <c r="O979" i="8"/>
  <c r="M979" i="8"/>
  <c r="L979" i="8"/>
  <c r="K979" i="8"/>
  <c r="J979" i="8"/>
  <c r="I979" i="8"/>
  <c r="H979" i="8"/>
  <c r="G979" i="8"/>
  <c r="E979" i="8"/>
  <c r="D979" i="8"/>
  <c r="C979" i="8"/>
  <c r="V978" i="8"/>
  <c r="U978" i="8"/>
  <c r="T978" i="8"/>
  <c r="S978" i="8"/>
  <c r="R978" i="8"/>
  <c r="P978" i="8"/>
  <c r="O978" i="8"/>
  <c r="M978" i="8"/>
  <c r="L978" i="8"/>
  <c r="K978" i="8"/>
  <c r="J978" i="8"/>
  <c r="I978" i="8"/>
  <c r="H978" i="8"/>
  <c r="G978" i="8"/>
  <c r="E978" i="8"/>
  <c r="D978" i="8"/>
  <c r="C978" i="8"/>
  <c r="V977" i="8"/>
  <c r="U977" i="8"/>
  <c r="T977" i="8"/>
  <c r="S977" i="8"/>
  <c r="R977" i="8"/>
  <c r="P977" i="8"/>
  <c r="O977" i="8"/>
  <c r="M977" i="8"/>
  <c r="L977" i="8"/>
  <c r="K977" i="8"/>
  <c r="J977" i="8"/>
  <c r="I977" i="8"/>
  <c r="H977" i="8"/>
  <c r="G977" i="8"/>
  <c r="E977" i="8"/>
  <c r="D977" i="8"/>
  <c r="C977" i="8"/>
  <c r="V976" i="8"/>
  <c r="U976" i="8"/>
  <c r="T976" i="8"/>
  <c r="S976" i="8"/>
  <c r="R976" i="8"/>
  <c r="P976" i="8"/>
  <c r="O976" i="8"/>
  <c r="M976" i="8"/>
  <c r="L976" i="8"/>
  <c r="K976" i="8"/>
  <c r="J976" i="8"/>
  <c r="I976" i="8"/>
  <c r="H976" i="8"/>
  <c r="G976" i="8"/>
  <c r="E976" i="8"/>
  <c r="D976" i="8"/>
  <c r="C976" i="8"/>
  <c r="V975" i="8"/>
  <c r="U975" i="8"/>
  <c r="T975" i="8"/>
  <c r="S975" i="8"/>
  <c r="R975" i="8"/>
  <c r="P975" i="8"/>
  <c r="O975" i="8"/>
  <c r="M975" i="8"/>
  <c r="L975" i="8"/>
  <c r="K975" i="8"/>
  <c r="J975" i="8"/>
  <c r="I975" i="8"/>
  <c r="H975" i="8"/>
  <c r="G975" i="8"/>
  <c r="E975" i="8"/>
  <c r="D975" i="8"/>
  <c r="C975" i="8"/>
  <c r="V974" i="8"/>
  <c r="U974" i="8"/>
  <c r="T974" i="8"/>
  <c r="S974" i="8"/>
  <c r="R974" i="8"/>
  <c r="P974" i="8"/>
  <c r="O974" i="8"/>
  <c r="M974" i="8"/>
  <c r="L974" i="8"/>
  <c r="K974" i="8"/>
  <c r="J974" i="8"/>
  <c r="I974" i="8"/>
  <c r="H974" i="8"/>
  <c r="G974" i="8"/>
  <c r="E974" i="8"/>
  <c r="D974" i="8"/>
  <c r="C974" i="8"/>
  <c r="V973" i="8"/>
  <c r="U973" i="8"/>
  <c r="T973" i="8"/>
  <c r="S973" i="8"/>
  <c r="R973" i="8"/>
  <c r="P973" i="8"/>
  <c r="O973" i="8"/>
  <c r="M973" i="8"/>
  <c r="L973" i="8"/>
  <c r="K973" i="8"/>
  <c r="J973" i="8"/>
  <c r="I973" i="8"/>
  <c r="H973" i="8"/>
  <c r="G973" i="8"/>
  <c r="E973" i="8"/>
  <c r="D973" i="8"/>
  <c r="C973" i="8"/>
  <c r="V972" i="8"/>
  <c r="U972" i="8"/>
  <c r="T972" i="8"/>
  <c r="S972" i="8"/>
  <c r="R972" i="8"/>
  <c r="P972" i="8"/>
  <c r="O972" i="8"/>
  <c r="M972" i="8"/>
  <c r="L972" i="8"/>
  <c r="K972" i="8"/>
  <c r="J972" i="8"/>
  <c r="I972" i="8"/>
  <c r="H972" i="8"/>
  <c r="G972" i="8"/>
  <c r="E972" i="8"/>
  <c r="D972" i="8"/>
  <c r="C972" i="8"/>
  <c r="V971" i="8"/>
  <c r="U971" i="8"/>
  <c r="T971" i="8"/>
  <c r="S971" i="8"/>
  <c r="R971" i="8"/>
  <c r="P971" i="8"/>
  <c r="O971" i="8"/>
  <c r="M971" i="8"/>
  <c r="L971" i="8"/>
  <c r="K971" i="8"/>
  <c r="J971" i="8"/>
  <c r="I971" i="8"/>
  <c r="H971" i="8"/>
  <c r="G971" i="8"/>
  <c r="E971" i="8"/>
  <c r="D971" i="8"/>
  <c r="C971" i="8"/>
  <c r="V970" i="8"/>
  <c r="U970" i="8"/>
  <c r="T970" i="8"/>
  <c r="S970" i="8"/>
  <c r="R970" i="8"/>
  <c r="P970" i="8"/>
  <c r="O970" i="8"/>
  <c r="M970" i="8"/>
  <c r="L970" i="8"/>
  <c r="K970" i="8"/>
  <c r="J970" i="8"/>
  <c r="I970" i="8"/>
  <c r="H970" i="8"/>
  <c r="G970" i="8"/>
  <c r="E970" i="8"/>
  <c r="D970" i="8"/>
  <c r="C970" i="8"/>
  <c r="V969" i="8"/>
  <c r="U969" i="8"/>
  <c r="T969" i="8"/>
  <c r="S969" i="8"/>
  <c r="R969" i="8"/>
  <c r="P969" i="8"/>
  <c r="O969" i="8"/>
  <c r="M969" i="8"/>
  <c r="L969" i="8"/>
  <c r="K969" i="8"/>
  <c r="J969" i="8"/>
  <c r="I969" i="8"/>
  <c r="H969" i="8"/>
  <c r="G969" i="8"/>
  <c r="E969" i="8"/>
  <c r="D969" i="8"/>
  <c r="C969" i="8"/>
  <c r="V968" i="8"/>
  <c r="U968" i="8"/>
  <c r="T968" i="8"/>
  <c r="S968" i="8"/>
  <c r="R968" i="8"/>
  <c r="P968" i="8"/>
  <c r="O968" i="8"/>
  <c r="M968" i="8"/>
  <c r="L968" i="8"/>
  <c r="K968" i="8"/>
  <c r="J968" i="8"/>
  <c r="I968" i="8"/>
  <c r="H968" i="8"/>
  <c r="G968" i="8"/>
  <c r="E968" i="8"/>
  <c r="D968" i="8"/>
  <c r="C968" i="8"/>
  <c r="V967" i="8"/>
  <c r="U967" i="8"/>
  <c r="T967" i="8"/>
  <c r="S967" i="8"/>
  <c r="R967" i="8"/>
  <c r="P967" i="8"/>
  <c r="O967" i="8"/>
  <c r="M967" i="8"/>
  <c r="L967" i="8"/>
  <c r="K967" i="8"/>
  <c r="J967" i="8"/>
  <c r="I967" i="8"/>
  <c r="H967" i="8"/>
  <c r="G967" i="8"/>
  <c r="E967" i="8"/>
  <c r="D967" i="8"/>
  <c r="C967" i="8"/>
  <c r="V966" i="8"/>
  <c r="U966" i="8"/>
  <c r="T966" i="8"/>
  <c r="S966" i="8"/>
  <c r="R966" i="8"/>
  <c r="P966" i="8"/>
  <c r="O966" i="8"/>
  <c r="M966" i="8"/>
  <c r="L966" i="8"/>
  <c r="K966" i="8"/>
  <c r="J966" i="8"/>
  <c r="I966" i="8"/>
  <c r="H966" i="8"/>
  <c r="G966" i="8"/>
  <c r="E966" i="8"/>
  <c r="D966" i="8"/>
  <c r="C966" i="8"/>
  <c r="V965" i="8"/>
  <c r="U965" i="8"/>
  <c r="T965" i="8"/>
  <c r="S965" i="8"/>
  <c r="R965" i="8"/>
  <c r="P965" i="8"/>
  <c r="O965" i="8"/>
  <c r="M965" i="8"/>
  <c r="L965" i="8"/>
  <c r="K965" i="8"/>
  <c r="J965" i="8"/>
  <c r="I965" i="8"/>
  <c r="H965" i="8"/>
  <c r="G965" i="8"/>
  <c r="E965" i="8"/>
  <c r="D965" i="8"/>
  <c r="C965" i="8"/>
  <c r="V964" i="8"/>
  <c r="U964" i="8"/>
  <c r="T964" i="8"/>
  <c r="S964" i="8"/>
  <c r="R964" i="8"/>
  <c r="P964" i="8"/>
  <c r="O964" i="8"/>
  <c r="M964" i="8"/>
  <c r="L964" i="8"/>
  <c r="K964" i="8"/>
  <c r="J964" i="8"/>
  <c r="I964" i="8"/>
  <c r="H964" i="8"/>
  <c r="G964" i="8"/>
  <c r="E964" i="8"/>
  <c r="D964" i="8"/>
  <c r="C964" i="8"/>
  <c r="V963" i="8"/>
  <c r="U963" i="8"/>
  <c r="T963" i="8"/>
  <c r="S963" i="8"/>
  <c r="R963" i="8"/>
  <c r="P963" i="8"/>
  <c r="O963" i="8"/>
  <c r="M963" i="8"/>
  <c r="L963" i="8"/>
  <c r="K963" i="8"/>
  <c r="J963" i="8"/>
  <c r="I963" i="8"/>
  <c r="H963" i="8"/>
  <c r="G963" i="8"/>
  <c r="E963" i="8"/>
  <c r="D963" i="8"/>
  <c r="C963" i="8"/>
  <c r="V962" i="8"/>
  <c r="U962" i="8"/>
  <c r="T962" i="8"/>
  <c r="S962" i="8"/>
  <c r="R962" i="8"/>
  <c r="P962" i="8"/>
  <c r="O962" i="8"/>
  <c r="M962" i="8"/>
  <c r="L962" i="8"/>
  <c r="K962" i="8"/>
  <c r="J962" i="8"/>
  <c r="I962" i="8"/>
  <c r="H962" i="8"/>
  <c r="G962" i="8"/>
  <c r="E962" i="8"/>
  <c r="D962" i="8"/>
  <c r="C962" i="8"/>
  <c r="V961" i="8"/>
  <c r="U961" i="8"/>
  <c r="T961" i="8"/>
  <c r="S961" i="8"/>
  <c r="R961" i="8"/>
  <c r="P961" i="8"/>
  <c r="O961" i="8"/>
  <c r="M961" i="8"/>
  <c r="L961" i="8"/>
  <c r="K961" i="8"/>
  <c r="J961" i="8"/>
  <c r="I961" i="8"/>
  <c r="H961" i="8"/>
  <c r="G961" i="8"/>
  <c r="E961" i="8"/>
  <c r="D961" i="8"/>
  <c r="C961" i="8"/>
  <c r="V960" i="8"/>
  <c r="U960" i="8"/>
  <c r="T960" i="8"/>
  <c r="S960" i="8"/>
  <c r="R960" i="8"/>
  <c r="P960" i="8"/>
  <c r="O960" i="8"/>
  <c r="M960" i="8"/>
  <c r="L960" i="8"/>
  <c r="K960" i="8"/>
  <c r="J960" i="8"/>
  <c r="I960" i="8"/>
  <c r="H960" i="8"/>
  <c r="G960" i="8"/>
  <c r="E960" i="8"/>
  <c r="D960" i="8"/>
  <c r="C960" i="8"/>
  <c r="V959" i="8"/>
  <c r="U959" i="8"/>
  <c r="T959" i="8"/>
  <c r="S959" i="8"/>
  <c r="R959" i="8"/>
  <c r="P959" i="8"/>
  <c r="O959" i="8"/>
  <c r="M959" i="8"/>
  <c r="L959" i="8"/>
  <c r="K959" i="8"/>
  <c r="J959" i="8"/>
  <c r="I959" i="8"/>
  <c r="H959" i="8"/>
  <c r="G959" i="8"/>
  <c r="E959" i="8"/>
  <c r="D959" i="8"/>
  <c r="C959" i="8"/>
  <c r="V958" i="8"/>
  <c r="U958" i="8"/>
  <c r="T958" i="8"/>
  <c r="S958" i="8"/>
  <c r="R958" i="8"/>
  <c r="P958" i="8"/>
  <c r="O958" i="8"/>
  <c r="M958" i="8"/>
  <c r="L958" i="8"/>
  <c r="K958" i="8"/>
  <c r="J958" i="8"/>
  <c r="I958" i="8"/>
  <c r="H958" i="8"/>
  <c r="G958" i="8"/>
  <c r="E958" i="8"/>
  <c r="D958" i="8"/>
  <c r="C958" i="8"/>
  <c r="V957" i="8"/>
  <c r="U957" i="8"/>
  <c r="T957" i="8"/>
  <c r="S957" i="8"/>
  <c r="R957" i="8"/>
  <c r="P957" i="8"/>
  <c r="O957" i="8"/>
  <c r="M957" i="8"/>
  <c r="L957" i="8"/>
  <c r="K957" i="8"/>
  <c r="J957" i="8"/>
  <c r="I957" i="8"/>
  <c r="H957" i="8"/>
  <c r="G957" i="8"/>
  <c r="E957" i="8"/>
  <c r="D957" i="8"/>
  <c r="C957" i="8"/>
  <c r="V956" i="8"/>
  <c r="U956" i="8"/>
  <c r="T956" i="8"/>
  <c r="S956" i="8"/>
  <c r="R956" i="8"/>
  <c r="P956" i="8"/>
  <c r="O956" i="8"/>
  <c r="M956" i="8"/>
  <c r="L956" i="8"/>
  <c r="K956" i="8"/>
  <c r="J956" i="8"/>
  <c r="I956" i="8"/>
  <c r="H956" i="8"/>
  <c r="G956" i="8"/>
  <c r="E956" i="8"/>
  <c r="D956" i="8"/>
  <c r="C956" i="8"/>
  <c r="V955" i="8"/>
  <c r="U955" i="8"/>
  <c r="T955" i="8"/>
  <c r="S955" i="8"/>
  <c r="R955" i="8"/>
  <c r="P955" i="8"/>
  <c r="O955" i="8"/>
  <c r="M955" i="8"/>
  <c r="L955" i="8"/>
  <c r="K955" i="8"/>
  <c r="J955" i="8"/>
  <c r="I955" i="8"/>
  <c r="H955" i="8"/>
  <c r="G955" i="8"/>
  <c r="E955" i="8"/>
  <c r="D955" i="8"/>
  <c r="C955" i="8"/>
  <c r="V954" i="8"/>
  <c r="U954" i="8"/>
  <c r="T954" i="8"/>
  <c r="S954" i="8"/>
  <c r="R954" i="8"/>
  <c r="P954" i="8"/>
  <c r="O954" i="8"/>
  <c r="M954" i="8"/>
  <c r="L954" i="8"/>
  <c r="K954" i="8"/>
  <c r="J954" i="8"/>
  <c r="I954" i="8"/>
  <c r="H954" i="8"/>
  <c r="G954" i="8"/>
  <c r="E954" i="8"/>
  <c r="D954" i="8"/>
  <c r="C954" i="8"/>
  <c r="V953" i="8"/>
  <c r="U953" i="8"/>
  <c r="T953" i="8"/>
  <c r="S953" i="8"/>
  <c r="R953" i="8"/>
  <c r="P953" i="8"/>
  <c r="O953" i="8"/>
  <c r="M953" i="8"/>
  <c r="L953" i="8"/>
  <c r="K953" i="8"/>
  <c r="J953" i="8"/>
  <c r="I953" i="8"/>
  <c r="H953" i="8"/>
  <c r="G953" i="8"/>
  <c r="E953" i="8"/>
  <c r="D953" i="8"/>
  <c r="C953" i="8"/>
  <c r="V952" i="8"/>
  <c r="U952" i="8"/>
  <c r="T952" i="8"/>
  <c r="S952" i="8"/>
  <c r="R952" i="8"/>
  <c r="P952" i="8"/>
  <c r="O952" i="8"/>
  <c r="M952" i="8"/>
  <c r="L952" i="8"/>
  <c r="K952" i="8"/>
  <c r="J952" i="8"/>
  <c r="I952" i="8"/>
  <c r="H952" i="8"/>
  <c r="G952" i="8"/>
  <c r="E952" i="8"/>
  <c r="D952" i="8"/>
  <c r="C952" i="8"/>
  <c r="V951" i="8"/>
  <c r="U951" i="8"/>
  <c r="T951" i="8"/>
  <c r="S951" i="8"/>
  <c r="R951" i="8"/>
  <c r="P951" i="8"/>
  <c r="O951" i="8"/>
  <c r="M951" i="8"/>
  <c r="L951" i="8"/>
  <c r="K951" i="8"/>
  <c r="J951" i="8"/>
  <c r="I951" i="8"/>
  <c r="H951" i="8"/>
  <c r="G951" i="8"/>
  <c r="E951" i="8"/>
  <c r="D951" i="8"/>
  <c r="C951" i="8"/>
  <c r="V950" i="8"/>
  <c r="U950" i="8"/>
  <c r="T950" i="8"/>
  <c r="S950" i="8"/>
  <c r="R950" i="8"/>
  <c r="P950" i="8"/>
  <c r="O950" i="8"/>
  <c r="M950" i="8"/>
  <c r="L950" i="8"/>
  <c r="K950" i="8"/>
  <c r="J950" i="8"/>
  <c r="I950" i="8"/>
  <c r="H950" i="8"/>
  <c r="G950" i="8"/>
  <c r="E950" i="8"/>
  <c r="D950" i="8"/>
  <c r="C950" i="8"/>
  <c r="V949" i="8"/>
  <c r="U949" i="8"/>
  <c r="T949" i="8"/>
  <c r="S949" i="8"/>
  <c r="R949" i="8"/>
  <c r="P949" i="8"/>
  <c r="O949" i="8"/>
  <c r="M949" i="8"/>
  <c r="L949" i="8"/>
  <c r="K949" i="8"/>
  <c r="J949" i="8"/>
  <c r="I949" i="8"/>
  <c r="H949" i="8"/>
  <c r="G949" i="8"/>
  <c r="E949" i="8"/>
  <c r="D949" i="8"/>
  <c r="C949" i="8"/>
  <c r="V948" i="8"/>
  <c r="U948" i="8"/>
  <c r="T948" i="8"/>
  <c r="S948" i="8"/>
  <c r="R948" i="8"/>
  <c r="P948" i="8"/>
  <c r="O948" i="8"/>
  <c r="M948" i="8"/>
  <c r="L948" i="8"/>
  <c r="K948" i="8"/>
  <c r="J948" i="8"/>
  <c r="I948" i="8"/>
  <c r="H948" i="8"/>
  <c r="G948" i="8"/>
  <c r="E948" i="8"/>
  <c r="D948" i="8"/>
  <c r="C948" i="8"/>
  <c r="V947" i="8"/>
  <c r="U947" i="8"/>
  <c r="T947" i="8"/>
  <c r="S947" i="8"/>
  <c r="R947" i="8"/>
  <c r="P947" i="8"/>
  <c r="O947" i="8"/>
  <c r="M947" i="8"/>
  <c r="L947" i="8"/>
  <c r="K947" i="8"/>
  <c r="J947" i="8"/>
  <c r="I947" i="8"/>
  <c r="H947" i="8"/>
  <c r="G947" i="8"/>
  <c r="E947" i="8"/>
  <c r="D947" i="8"/>
  <c r="C947" i="8"/>
  <c r="V946" i="8"/>
  <c r="U946" i="8"/>
  <c r="T946" i="8"/>
  <c r="S946" i="8"/>
  <c r="R946" i="8"/>
  <c r="P946" i="8"/>
  <c r="O946" i="8"/>
  <c r="M946" i="8"/>
  <c r="L946" i="8"/>
  <c r="K946" i="8"/>
  <c r="J946" i="8"/>
  <c r="I946" i="8"/>
  <c r="H946" i="8"/>
  <c r="G946" i="8"/>
  <c r="E946" i="8"/>
  <c r="D946" i="8"/>
  <c r="C946" i="8"/>
  <c r="V945" i="8"/>
  <c r="U945" i="8"/>
  <c r="T945" i="8"/>
  <c r="S945" i="8"/>
  <c r="R945" i="8"/>
  <c r="P945" i="8"/>
  <c r="O945" i="8"/>
  <c r="M945" i="8"/>
  <c r="L945" i="8"/>
  <c r="K945" i="8"/>
  <c r="J945" i="8"/>
  <c r="I945" i="8"/>
  <c r="H945" i="8"/>
  <c r="G945" i="8"/>
  <c r="E945" i="8"/>
  <c r="D945" i="8"/>
  <c r="C945" i="8"/>
  <c r="V944" i="8"/>
  <c r="U944" i="8"/>
  <c r="T944" i="8"/>
  <c r="S944" i="8"/>
  <c r="R944" i="8"/>
  <c r="P944" i="8"/>
  <c r="O944" i="8"/>
  <c r="M944" i="8"/>
  <c r="L944" i="8"/>
  <c r="K944" i="8"/>
  <c r="J944" i="8"/>
  <c r="I944" i="8"/>
  <c r="H944" i="8"/>
  <c r="G944" i="8"/>
  <c r="E944" i="8"/>
  <c r="D944" i="8"/>
  <c r="C944" i="8"/>
  <c r="V943" i="8"/>
  <c r="U943" i="8"/>
  <c r="T943" i="8"/>
  <c r="S943" i="8"/>
  <c r="R943" i="8"/>
  <c r="P943" i="8"/>
  <c r="O943" i="8"/>
  <c r="M943" i="8"/>
  <c r="L943" i="8"/>
  <c r="K943" i="8"/>
  <c r="J943" i="8"/>
  <c r="I943" i="8"/>
  <c r="H943" i="8"/>
  <c r="G943" i="8"/>
  <c r="E943" i="8"/>
  <c r="D943" i="8"/>
  <c r="C943" i="8"/>
  <c r="V942" i="8"/>
  <c r="U942" i="8"/>
  <c r="T942" i="8"/>
  <c r="S942" i="8"/>
  <c r="R942" i="8"/>
  <c r="P942" i="8"/>
  <c r="O942" i="8"/>
  <c r="M942" i="8"/>
  <c r="L942" i="8"/>
  <c r="K942" i="8"/>
  <c r="J942" i="8"/>
  <c r="I942" i="8"/>
  <c r="H942" i="8"/>
  <c r="G942" i="8"/>
  <c r="E942" i="8"/>
  <c r="D942" i="8"/>
  <c r="C942" i="8"/>
  <c r="V941" i="8"/>
  <c r="U941" i="8"/>
  <c r="T941" i="8"/>
  <c r="S941" i="8"/>
  <c r="R941" i="8"/>
  <c r="P941" i="8"/>
  <c r="O941" i="8"/>
  <c r="M941" i="8"/>
  <c r="L941" i="8"/>
  <c r="K941" i="8"/>
  <c r="J941" i="8"/>
  <c r="I941" i="8"/>
  <c r="H941" i="8"/>
  <c r="G941" i="8"/>
  <c r="E941" i="8"/>
  <c r="D941" i="8"/>
  <c r="C941" i="8"/>
  <c r="V940" i="8"/>
  <c r="U940" i="8"/>
  <c r="T940" i="8"/>
  <c r="S940" i="8"/>
  <c r="R940" i="8"/>
  <c r="P940" i="8"/>
  <c r="O940" i="8"/>
  <c r="M940" i="8"/>
  <c r="L940" i="8"/>
  <c r="K940" i="8"/>
  <c r="J940" i="8"/>
  <c r="I940" i="8"/>
  <c r="H940" i="8"/>
  <c r="G940" i="8"/>
  <c r="E940" i="8"/>
  <c r="D940" i="8"/>
  <c r="C940" i="8"/>
  <c r="V939" i="8"/>
  <c r="U939" i="8"/>
  <c r="T939" i="8"/>
  <c r="S939" i="8"/>
  <c r="R939" i="8"/>
  <c r="P939" i="8"/>
  <c r="O939" i="8"/>
  <c r="M939" i="8"/>
  <c r="L939" i="8"/>
  <c r="K939" i="8"/>
  <c r="J939" i="8"/>
  <c r="I939" i="8"/>
  <c r="H939" i="8"/>
  <c r="G939" i="8"/>
  <c r="E939" i="8"/>
  <c r="D939" i="8"/>
  <c r="C939" i="8"/>
  <c r="V938" i="8"/>
  <c r="U938" i="8"/>
  <c r="T938" i="8"/>
  <c r="S938" i="8"/>
  <c r="R938" i="8"/>
  <c r="P938" i="8"/>
  <c r="O938" i="8"/>
  <c r="M938" i="8"/>
  <c r="L938" i="8"/>
  <c r="K938" i="8"/>
  <c r="J938" i="8"/>
  <c r="I938" i="8"/>
  <c r="H938" i="8"/>
  <c r="G938" i="8"/>
  <c r="E938" i="8"/>
  <c r="D938" i="8"/>
  <c r="C938" i="8"/>
  <c r="V937" i="8"/>
  <c r="U937" i="8"/>
  <c r="T937" i="8"/>
  <c r="S937" i="8"/>
  <c r="R937" i="8"/>
  <c r="P937" i="8"/>
  <c r="O937" i="8"/>
  <c r="M937" i="8"/>
  <c r="L937" i="8"/>
  <c r="K937" i="8"/>
  <c r="J937" i="8"/>
  <c r="I937" i="8"/>
  <c r="H937" i="8"/>
  <c r="G937" i="8"/>
  <c r="E937" i="8"/>
  <c r="D937" i="8"/>
  <c r="C937" i="8"/>
  <c r="V936" i="8"/>
  <c r="U936" i="8"/>
  <c r="T936" i="8"/>
  <c r="S936" i="8"/>
  <c r="R936" i="8"/>
  <c r="P936" i="8"/>
  <c r="O936" i="8"/>
  <c r="M936" i="8"/>
  <c r="L936" i="8"/>
  <c r="K936" i="8"/>
  <c r="J936" i="8"/>
  <c r="I936" i="8"/>
  <c r="H936" i="8"/>
  <c r="G936" i="8"/>
  <c r="E936" i="8"/>
  <c r="D936" i="8"/>
  <c r="C936" i="8"/>
  <c r="V935" i="8"/>
  <c r="U935" i="8"/>
  <c r="T935" i="8"/>
  <c r="S935" i="8"/>
  <c r="R935" i="8"/>
  <c r="P935" i="8"/>
  <c r="O935" i="8"/>
  <c r="M935" i="8"/>
  <c r="L935" i="8"/>
  <c r="K935" i="8"/>
  <c r="J935" i="8"/>
  <c r="I935" i="8"/>
  <c r="H935" i="8"/>
  <c r="G935" i="8"/>
  <c r="E935" i="8"/>
  <c r="D935" i="8"/>
  <c r="C935" i="8"/>
  <c r="V934" i="8"/>
  <c r="U934" i="8"/>
  <c r="T934" i="8"/>
  <c r="S934" i="8"/>
  <c r="R934" i="8"/>
  <c r="P934" i="8"/>
  <c r="O934" i="8"/>
  <c r="M934" i="8"/>
  <c r="L934" i="8"/>
  <c r="K934" i="8"/>
  <c r="J934" i="8"/>
  <c r="I934" i="8"/>
  <c r="H934" i="8"/>
  <c r="G934" i="8"/>
  <c r="E934" i="8"/>
  <c r="D934" i="8"/>
  <c r="C934" i="8"/>
  <c r="V933" i="8"/>
  <c r="U933" i="8"/>
  <c r="T933" i="8"/>
  <c r="S933" i="8"/>
  <c r="R933" i="8"/>
  <c r="P933" i="8"/>
  <c r="O933" i="8"/>
  <c r="M933" i="8"/>
  <c r="L933" i="8"/>
  <c r="K933" i="8"/>
  <c r="J933" i="8"/>
  <c r="I933" i="8"/>
  <c r="H933" i="8"/>
  <c r="G933" i="8"/>
  <c r="E933" i="8"/>
  <c r="D933" i="8"/>
  <c r="C933" i="8"/>
  <c r="V932" i="8"/>
  <c r="U932" i="8"/>
  <c r="T932" i="8"/>
  <c r="S932" i="8"/>
  <c r="R932" i="8"/>
  <c r="P932" i="8"/>
  <c r="O932" i="8"/>
  <c r="M932" i="8"/>
  <c r="L932" i="8"/>
  <c r="K932" i="8"/>
  <c r="J932" i="8"/>
  <c r="I932" i="8"/>
  <c r="H932" i="8"/>
  <c r="G932" i="8"/>
  <c r="E932" i="8"/>
  <c r="D932" i="8"/>
  <c r="C932" i="8"/>
  <c r="V931" i="8"/>
  <c r="U931" i="8"/>
  <c r="T931" i="8"/>
  <c r="S931" i="8"/>
  <c r="R931" i="8"/>
  <c r="P931" i="8"/>
  <c r="O931" i="8"/>
  <c r="M931" i="8"/>
  <c r="L931" i="8"/>
  <c r="K931" i="8"/>
  <c r="J931" i="8"/>
  <c r="I931" i="8"/>
  <c r="H931" i="8"/>
  <c r="G931" i="8"/>
  <c r="E931" i="8"/>
  <c r="D931" i="8"/>
  <c r="C931" i="8"/>
  <c r="V930" i="8"/>
  <c r="U930" i="8"/>
  <c r="T930" i="8"/>
  <c r="S930" i="8"/>
  <c r="R930" i="8"/>
  <c r="P930" i="8"/>
  <c r="O930" i="8"/>
  <c r="M930" i="8"/>
  <c r="L930" i="8"/>
  <c r="K930" i="8"/>
  <c r="J930" i="8"/>
  <c r="I930" i="8"/>
  <c r="H930" i="8"/>
  <c r="G930" i="8"/>
  <c r="E930" i="8"/>
  <c r="D930" i="8"/>
  <c r="C930" i="8"/>
  <c r="V929" i="8"/>
  <c r="U929" i="8"/>
  <c r="T929" i="8"/>
  <c r="S929" i="8"/>
  <c r="R929" i="8"/>
  <c r="P929" i="8"/>
  <c r="O929" i="8"/>
  <c r="M929" i="8"/>
  <c r="L929" i="8"/>
  <c r="K929" i="8"/>
  <c r="J929" i="8"/>
  <c r="I929" i="8"/>
  <c r="H929" i="8"/>
  <c r="G929" i="8"/>
  <c r="E929" i="8"/>
  <c r="D929" i="8"/>
  <c r="C929" i="8"/>
  <c r="V928" i="8"/>
  <c r="U928" i="8"/>
  <c r="T928" i="8"/>
  <c r="S928" i="8"/>
  <c r="R928" i="8"/>
  <c r="P928" i="8"/>
  <c r="O928" i="8"/>
  <c r="M928" i="8"/>
  <c r="L928" i="8"/>
  <c r="K928" i="8"/>
  <c r="J928" i="8"/>
  <c r="I928" i="8"/>
  <c r="H928" i="8"/>
  <c r="G928" i="8"/>
  <c r="E928" i="8"/>
  <c r="D928" i="8"/>
  <c r="C928" i="8"/>
  <c r="V927" i="8"/>
  <c r="U927" i="8"/>
  <c r="T927" i="8"/>
  <c r="S927" i="8"/>
  <c r="R927" i="8"/>
  <c r="P927" i="8"/>
  <c r="O927" i="8"/>
  <c r="M927" i="8"/>
  <c r="L927" i="8"/>
  <c r="K927" i="8"/>
  <c r="J927" i="8"/>
  <c r="I927" i="8"/>
  <c r="H927" i="8"/>
  <c r="G927" i="8"/>
  <c r="E927" i="8"/>
  <c r="D927" i="8"/>
  <c r="C927" i="8"/>
  <c r="V926" i="8"/>
  <c r="U926" i="8"/>
  <c r="T926" i="8"/>
  <c r="S926" i="8"/>
  <c r="R926" i="8"/>
  <c r="P926" i="8"/>
  <c r="O926" i="8"/>
  <c r="M926" i="8"/>
  <c r="L926" i="8"/>
  <c r="K926" i="8"/>
  <c r="J926" i="8"/>
  <c r="I926" i="8"/>
  <c r="H926" i="8"/>
  <c r="G926" i="8"/>
  <c r="E926" i="8"/>
  <c r="D926" i="8"/>
  <c r="C926" i="8"/>
  <c r="V925" i="8"/>
  <c r="U925" i="8"/>
  <c r="T925" i="8"/>
  <c r="S925" i="8"/>
  <c r="R925" i="8"/>
  <c r="P925" i="8"/>
  <c r="O925" i="8"/>
  <c r="M925" i="8"/>
  <c r="L925" i="8"/>
  <c r="K925" i="8"/>
  <c r="J925" i="8"/>
  <c r="I925" i="8"/>
  <c r="H925" i="8"/>
  <c r="G925" i="8"/>
  <c r="E925" i="8"/>
  <c r="D925" i="8"/>
  <c r="C925" i="8"/>
  <c r="V924" i="8"/>
  <c r="U924" i="8"/>
  <c r="T924" i="8"/>
  <c r="S924" i="8"/>
  <c r="R924" i="8"/>
  <c r="P924" i="8"/>
  <c r="O924" i="8"/>
  <c r="M924" i="8"/>
  <c r="L924" i="8"/>
  <c r="K924" i="8"/>
  <c r="J924" i="8"/>
  <c r="I924" i="8"/>
  <c r="H924" i="8"/>
  <c r="G924" i="8"/>
  <c r="E924" i="8"/>
  <c r="D924" i="8"/>
  <c r="C924" i="8"/>
  <c r="V923" i="8"/>
  <c r="U923" i="8"/>
  <c r="T923" i="8"/>
  <c r="S923" i="8"/>
  <c r="R923" i="8"/>
  <c r="P923" i="8"/>
  <c r="O923" i="8"/>
  <c r="M923" i="8"/>
  <c r="L923" i="8"/>
  <c r="K923" i="8"/>
  <c r="J923" i="8"/>
  <c r="I923" i="8"/>
  <c r="H923" i="8"/>
  <c r="G923" i="8"/>
  <c r="E923" i="8"/>
  <c r="D923" i="8"/>
  <c r="C923" i="8"/>
  <c r="V922" i="8"/>
  <c r="U922" i="8"/>
  <c r="T922" i="8"/>
  <c r="S922" i="8"/>
  <c r="R922" i="8"/>
  <c r="P922" i="8"/>
  <c r="O922" i="8"/>
  <c r="M922" i="8"/>
  <c r="L922" i="8"/>
  <c r="K922" i="8"/>
  <c r="J922" i="8"/>
  <c r="I922" i="8"/>
  <c r="H922" i="8"/>
  <c r="G922" i="8"/>
  <c r="E922" i="8"/>
  <c r="D922" i="8"/>
  <c r="C922" i="8"/>
  <c r="V921" i="8"/>
  <c r="U921" i="8"/>
  <c r="T921" i="8"/>
  <c r="S921" i="8"/>
  <c r="R921" i="8"/>
  <c r="P921" i="8"/>
  <c r="O921" i="8"/>
  <c r="M921" i="8"/>
  <c r="L921" i="8"/>
  <c r="K921" i="8"/>
  <c r="J921" i="8"/>
  <c r="I921" i="8"/>
  <c r="H921" i="8"/>
  <c r="G921" i="8"/>
  <c r="E921" i="8"/>
  <c r="D921" i="8"/>
  <c r="C921" i="8"/>
  <c r="V920" i="8"/>
  <c r="U920" i="8"/>
  <c r="T920" i="8"/>
  <c r="S920" i="8"/>
  <c r="R920" i="8"/>
  <c r="P920" i="8"/>
  <c r="O920" i="8"/>
  <c r="M920" i="8"/>
  <c r="L920" i="8"/>
  <c r="K920" i="8"/>
  <c r="J920" i="8"/>
  <c r="I920" i="8"/>
  <c r="H920" i="8"/>
  <c r="G920" i="8"/>
  <c r="E920" i="8"/>
  <c r="D920" i="8"/>
  <c r="C920" i="8"/>
  <c r="V919" i="8"/>
  <c r="U919" i="8"/>
  <c r="T919" i="8"/>
  <c r="S919" i="8"/>
  <c r="R919" i="8"/>
  <c r="P919" i="8"/>
  <c r="O919" i="8"/>
  <c r="M919" i="8"/>
  <c r="L919" i="8"/>
  <c r="K919" i="8"/>
  <c r="J919" i="8"/>
  <c r="I919" i="8"/>
  <c r="H919" i="8"/>
  <c r="G919" i="8"/>
  <c r="E919" i="8"/>
  <c r="D919" i="8"/>
  <c r="C919" i="8"/>
  <c r="V918" i="8"/>
  <c r="U918" i="8"/>
  <c r="T918" i="8"/>
  <c r="S918" i="8"/>
  <c r="R918" i="8"/>
  <c r="P918" i="8"/>
  <c r="O918" i="8"/>
  <c r="M918" i="8"/>
  <c r="L918" i="8"/>
  <c r="K918" i="8"/>
  <c r="J918" i="8"/>
  <c r="I918" i="8"/>
  <c r="H918" i="8"/>
  <c r="G918" i="8"/>
  <c r="E918" i="8"/>
  <c r="D918" i="8"/>
  <c r="C918" i="8"/>
  <c r="V917" i="8"/>
  <c r="U917" i="8"/>
  <c r="T917" i="8"/>
  <c r="S917" i="8"/>
  <c r="R917" i="8"/>
  <c r="P917" i="8"/>
  <c r="O917" i="8"/>
  <c r="M917" i="8"/>
  <c r="L917" i="8"/>
  <c r="K917" i="8"/>
  <c r="J917" i="8"/>
  <c r="I917" i="8"/>
  <c r="H917" i="8"/>
  <c r="G917" i="8"/>
  <c r="E917" i="8"/>
  <c r="D917" i="8"/>
  <c r="C917" i="8"/>
  <c r="V916" i="8"/>
  <c r="U916" i="8"/>
  <c r="T916" i="8"/>
  <c r="S916" i="8"/>
  <c r="R916" i="8"/>
  <c r="P916" i="8"/>
  <c r="O916" i="8"/>
  <c r="M916" i="8"/>
  <c r="L916" i="8"/>
  <c r="K916" i="8"/>
  <c r="J916" i="8"/>
  <c r="I916" i="8"/>
  <c r="H916" i="8"/>
  <c r="G916" i="8"/>
  <c r="E916" i="8"/>
  <c r="D916" i="8"/>
  <c r="C916" i="8"/>
  <c r="V915" i="8"/>
  <c r="U915" i="8"/>
  <c r="T915" i="8"/>
  <c r="S915" i="8"/>
  <c r="R915" i="8"/>
  <c r="P915" i="8"/>
  <c r="O915" i="8"/>
  <c r="M915" i="8"/>
  <c r="L915" i="8"/>
  <c r="K915" i="8"/>
  <c r="J915" i="8"/>
  <c r="I915" i="8"/>
  <c r="H915" i="8"/>
  <c r="G915" i="8"/>
  <c r="E915" i="8"/>
  <c r="D915" i="8"/>
  <c r="C915" i="8"/>
  <c r="V914" i="8"/>
  <c r="U914" i="8"/>
  <c r="T914" i="8"/>
  <c r="S914" i="8"/>
  <c r="R914" i="8"/>
  <c r="P914" i="8"/>
  <c r="O914" i="8"/>
  <c r="M914" i="8"/>
  <c r="L914" i="8"/>
  <c r="K914" i="8"/>
  <c r="J914" i="8"/>
  <c r="I914" i="8"/>
  <c r="H914" i="8"/>
  <c r="G914" i="8"/>
  <c r="E914" i="8"/>
  <c r="D914" i="8"/>
  <c r="C914" i="8"/>
  <c r="V913" i="8"/>
  <c r="U913" i="8"/>
  <c r="T913" i="8"/>
  <c r="S913" i="8"/>
  <c r="R913" i="8"/>
  <c r="P913" i="8"/>
  <c r="O913" i="8"/>
  <c r="M913" i="8"/>
  <c r="L913" i="8"/>
  <c r="K913" i="8"/>
  <c r="J913" i="8"/>
  <c r="I913" i="8"/>
  <c r="H913" i="8"/>
  <c r="G913" i="8"/>
  <c r="E913" i="8"/>
  <c r="D913" i="8"/>
  <c r="C913" i="8"/>
  <c r="V912" i="8"/>
  <c r="U912" i="8"/>
  <c r="T912" i="8"/>
  <c r="S912" i="8"/>
  <c r="R912" i="8"/>
  <c r="P912" i="8"/>
  <c r="O912" i="8"/>
  <c r="M912" i="8"/>
  <c r="L912" i="8"/>
  <c r="K912" i="8"/>
  <c r="J912" i="8"/>
  <c r="I912" i="8"/>
  <c r="H912" i="8"/>
  <c r="G912" i="8"/>
  <c r="E912" i="8"/>
  <c r="D912" i="8"/>
  <c r="C912" i="8"/>
  <c r="V911" i="8"/>
  <c r="U911" i="8"/>
  <c r="T911" i="8"/>
  <c r="S911" i="8"/>
  <c r="R911" i="8"/>
  <c r="P911" i="8"/>
  <c r="O911" i="8"/>
  <c r="M911" i="8"/>
  <c r="L911" i="8"/>
  <c r="K911" i="8"/>
  <c r="J911" i="8"/>
  <c r="I911" i="8"/>
  <c r="H911" i="8"/>
  <c r="G911" i="8"/>
  <c r="E911" i="8"/>
  <c r="D911" i="8"/>
  <c r="C911" i="8"/>
  <c r="V910" i="8"/>
  <c r="U910" i="8"/>
  <c r="T910" i="8"/>
  <c r="S910" i="8"/>
  <c r="R910" i="8"/>
  <c r="P910" i="8"/>
  <c r="O910" i="8"/>
  <c r="M910" i="8"/>
  <c r="L910" i="8"/>
  <c r="K910" i="8"/>
  <c r="J910" i="8"/>
  <c r="I910" i="8"/>
  <c r="H910" i="8"/>
  <c r="G910" i="8"/>
  <c r="E910" i="8"/>
  <c r="D910" i="8"/>
  <c r="C910" i="8"/>
  <c r="V909" i="8"/>
  <c r="U909" i="8"/>
  <c r="T909" i="8"/>
  <c r="S909" i="8"/>
  <c r="R909" i="8"/>
  <c r="P909" i="8"/>
  <c r="O909" i="8"/>
  <c r="M909" i="8"/>
  <c r="L909" i="8"/>
  <c r="K909" i="8"/>
  <c r="J909" i="8"/>
  <c r="I909" i="8"/>
  <c r="H909" i="8"/>
  <c r="G909" i="8"/>
  <c r="E909" i="8"/>
  <c r="D909" i="8"/>
  <c r="C909" i="8"/>
  <c r="V908" i="8"/>
  <c r="U908" i="8"/>
  <c r="T908" i="8"/>
  <c r="S908" i="8"/>
  <c r="R908" i="8"/>
  <c r="P908" i="8"/>
  <c r="O908" i="8"/>
  <c r="M908" i="8"/>
  <c r="L908" i="8"/>
  <c r="K908" i="8"/>
  <c r="J908" i="8"/>
  <c r="I908" i="8"/>
  <c r="H908" i="8"/>
  <c r="G908" i="8"/>
  <c r="E908" i="8"/>
  <c r="D908" i="8"/>
  <c r="C908" i="8"/>
  <c r="V907" i="8"/>
  <c r="U907" i="8"/>
  <c r="T907" i="8"/>
  <c r="S907" i="8"/>
  <c r="R907" i="8"/>
  <c r="P907" i="8"/>
  <c r="O907" i="8"/>
  <c r="M907" i="8"/>
  <c r="L907" i="8"/>
  <c r="K907" i="8"/>
  <c r="J907" i="8"/>
  <c r="I907" i="8"/>
  <c r="H907" i="8"/>
  <c r="G907" i="8"/>
  <c r="E907" i="8"/>
  <c r="D907" i="8"/>
  <c r="C907" i="8"/>
  <c r="V906" i="8"/>
  <c r="U906" i="8"/>
  <c r="T906" i="8"/>
  <c r="S906" i="8"/>
  <c r="R906" i="8"/>
  <c r="P906" i="8"/>
  <c r="O906" i="8"/>
  <c r="M906" i="8"/>
  <c r="L906" i="8"/>
  <c r="K906" i="8"/>
  <c r="J906" i="8"/>
  <c r="I906" i="8"/>
  <c r="H906" i="8"/>
  <c r="G906" i="8"/>
  <c r="E906" i="8"/>
  <c r="D906" i="8"/>
  <c r="C906" i="8"/>
  <c r="V905" i="8"/>
  <c r="U905" i="8"/>
  <c r="T905" i="8"/>
  <c r="S905" i="8"/>
  <c r="R905" i="8"/>
  <c r="P905" i="8"/>
  <c r="O905" i="8"/>
  <c r="M905" i="8"/>
  <c r="L905" i="8"/>
  <c r="K905" i="8"/>
  <c r="J905" i="8"/>
  <c r="I905" i="8"/>
  <c r="H905" i="8"/>
  <c r="G905" i="8"/>
  <c r="E905" i="8"/>
  <c r="D905" i="8"/>
  <c r="C905" i="8"/>
  <c r="V904" i="8"/>
  <c r="U904" i="8"/>
  <c r="T904" i="8"/>
  <c r="S904" i="8"/>
  <c r="R904" i="8"/>
  <c r="P904" i="8"/>
  <c r="O904" i="8"/>
  <c r="M904" i="8"/>
  <c r="L904" i="8"/>
  <c r="K904" i="8"/>
  <c r="J904" i="8"/>
  <c r="I904" i="8"/>
  <c r="H904" i="8"/>
  <c r="G904" i="8"/>
  <c r="E904" i="8"/>
  <c r="D904" i="8"/>
  <c r="C904" i="8"/>
  <c r="V903" i="8"/>
  <c r="U903" i="8"/>
  <c r="T903" i="8"/>
  <c r="S903" i="8"/>
  <c r="R903" i="8"/>
  <c r="P903" i="8"/>
  <c r="O903" i="8"/>
  <c r="M903" i="8"/>
  <c r="L903" i="8"/>
  <c r="K903" i="8"/>
  <c r="J903" i="8"/>
  <c r="I903" i="8"/>
  <c r="H903" i="8"/>
  <c r="G903" i="8"/>
  <c r="E903" i="8"/>
  <c r="D903" i="8"/>
  <c r="C903" i="8"/>
  <c r="V902" i="8"/>
  <c r="U902" i="8"/>
  <c r="T902" i="8"/>
  <c r="S902" i="8"/>
  <c r="R902" i="8"/>
  <c r="P902" i="8"/>
  <c r="O902" i="8"/>
  <c r="M902" i="8"/>
  <c r="L902" i="8"/>
  <c r="K902" i="8"/>
  <c r="J902" i="8"/>
  <c r="I902" i="8"/>
  <c r="H902" i="8"/>
  <c r="G902" i="8"/>
  <c r="E902" i="8"/>
  <c r="D902" i="8"/>
  <c r="C902" i="8"/>
  <c r="V901" i="8"/>
  <c r="U901" i="8"/>
  <c r="T901" i="8"/>
  <c r="S901" i="8"/>
  <c r="R901" i="8"/>
  <c r="P901" i="8"/>
  <c r="O901" i="8"/>
  <c r="M901" i="8"/>
  <c r="L901" i="8"/>
  <c r="K901" i="8"/>
  <c r="J901" i="8"/>
  <c r="I901" i="8"/>
  <c r="H901" i="8"/>
  <c r="G901" i="8"/>
  <c r="E901" i="8"/>
  <c r="D901" i="8"/>
  <c r="C901" i="8"/>
  <c r="V900" i="8"/>
  <c r="U900" i="8"/>
  <c r="T900" i="8"/>
  <c r="S900" i="8"/>
  <c r="R900" i="8"/>
  <c r="P900" i="8"/>
  <c r="O900" i="8"/>
  <c r="M900" i="8"/>
  <c r="L900" i="8"/>
  <c r="K900" i="8"/>
  <c r="J900" i="8"/>
  <c r="I900" i="8"/>
  <c r="H900" i="8"/>
  <c r="G900" i="8"/>
  <c r="E900" i="8"/>
  <c r="D900" i="8"/>
  <c r="C900" i="8"/>
  <c r="V899" i="8"/>
  <c r="U899" i="8"/>
  <c r="T899" i="8"/>
  <c r="S899" i="8"/>
  <c r="R899" i="8"/>
  <c r="P899" i="8"/>
  <c r="O899" i="8"/>
  <c r="M899" i="8"/>
  <c r="L899" i="8"/>
  <c r="K899" i="8"/>
  <c r="J899" i="8"/>
  <c r="I899" i="8"/>
  <c r="H899" i="8"/>
  <c r="G899" i="8"/>
  <c r="E899" i="8"/>
  <c r="D899" i="8"/>
  <c r="C899" i="8"/>
  <c r="V898" i="8"/>
  <c r="U898" i="8"/>
  <c r="T898" i="8"/>
  <c r="S898" i="8"/>
  <c r="R898" i="8"/>
  <c r="P898" i="8"/>
  <c r="O898" i="8"/>
  <c r="M898" i="8"/>
  <c r="L898" i="8"/>
  <c r="K898" i="8"/>
  <c r="J898" i="8"/>
  <c r="I898" i="8"/>
  <c r="H898" i="8"/>
  <c r="G898" i="8"/>
  <c r="E898" i="8"/>
  <c r="D898" i="8"/>
  <c r="C898" i="8"/>
  <c r="V897" i="8"/>
  <c r="U897" i="8"/>
  <c r="T897" i="8"/>
  <c r="S897" i="8"/>
  <c r="R897" i="8"/>
  <c r="P897" i="8"/>
  <c r="O897" i="8"/>
  <c r="M897" i="8"/>
  <c r="L897" i="8"/>
  <c r="K897" i="8"/>
  <c r="J897" i="8"/>
  <c r="I897" i="8"/>
  <c r="H897" i="8"/>
  <c r="G897" i="8"/>
  <c r="E897" i="8"/>
  <c r="D897" i="8"/>
  <c r="C897" i="8"/>
  <c r="V896" i="8"/>
  <c r="U896" i="8"/>
  <c r="T896" i="8"/>
  <c r="S896" i="8"/>
  <c r="R896" i="8"/>
  <c r="P896" i="8"/>
  <c r="O896" i="8"/>
  <c r="M896" i="8"/>
  <c r="L896" i="8"/>
  <c r="K896" i="8"/>
  <c r="J896" i="8"/>
  <c r="I896" i="8"/>
  <c r="H896" i="8"/>
  <c r="G896" i="8"/>
  <c r="E896" i="8"/>
  <c r="D896" i="8"/>
  <c r="C896" i="8"/>
  <c r="V895" i="8"/>
  <c r="U895" i="8"/>
  <c r="T895" i="8"/>
  <c r="S895" i="8"/>
  <c r="R895" i="8"/>
  <c r="P895" i="8"/>
  <c r="O895" i="8"/>
  <c r="M895" i="8"/>
  <c r="L895" i="8"/>
  <c r="K895" i="8"/>
  <c r="J895" i="8"/>
  <c r="I895" i="8"/>
  <c r="H895" i="8"/>
  <c r="G895" i="8"/>
  <c r="E895" i="8"/>
  <c r="D895" i="8"/>
  <c r="C895" i="8"/>
  <c r="V894" i="8"/>
  <c r="U894" i="8"/>
  <c r="T894" i="8"/>
  <c r="S894" i="8"/>
  <c r="R894" i="8"/>
  <c r="P894" i="8"/>
  <c r="O894" i="8"/>
  <c r="M894" i="8"/>
  <c r="L894" i="8"/>
  <c r="K894" i="8"/>
  <c r="J894" i="8"/>
  <c r="I894" i="8"/>
  <c r="H894" i="8"/>
  <c r="G894" i="8"/>
  <c r="E894" i="8"/>
  <c r="D894" i="8"/>
  <c r="C894" i="8"/>
  <c r="V893" i="8"/>
  <c r="U893" i="8"/>
  <c r="T893" i="8"/>
  <c r="S893" i="8"/>
  <c r="R893" i="8"/>
  <c r="P893" i="8"/>
  <c r="O893" i="8"/>
  <c r="M893" i="8"/>
  <c r="L893" i="8"/>
  <c r="K893" i="8"/>
  <c r="J893" i="8"/>
  <c r="I893" i="8"/>
  <c r="H893" i="8"/>
  <c r="G893" i="8"/>
  <c r="E893" i="8"/>
  <c r="D893" i="8"/>
  <c r="C893" i="8"/>
  <c r="V892" i="8"/>
  <c r="U892" i="8"/>
  <c r="T892" i="8"/>
  <c r="S892" i="8"/>
  <c r="R892" i="8"/>
  <c r="P892" i="8"/>
  <c r="O892" i="8"/>
  <c r="M892" i="8"/>
  <c r="L892" i="8"/>
  <c r="K892" i="8"/>
  <c r="J892" i="8"/>
  <c r="I892" i="8"/>
  <c r="H892" i="8"/>
  <c r="G892" i="8"/>
  <c r="E892" i="8"/>
  <c r="D892" i="8"/>
  <c r="C892" i="8"/>
  <c r="V891" i="8"/>
  <c r="U891" i="8"/>
  <c r="T891" i="8"/>
  <c r="S891" i="8"/>
  <c r="R891" i="8"/>
  <c r="P891" i="8"/>
  <c r="O891" i="8"/>
  <c r="M891" i="8"/>
  <c r="L891" i="8"/>
  <c r="K891" i="8"/>
  <c r="J891" i="8"/>
  <c r="I891" i="8"/>
  <c r="H891" i="8"/>
  <c r="G891" i="8"/>
  <c r="E891" i="8"/>
  <c r="D891" i="8"/>
  <c r="C891" i="8"/>
  <c r="V890" i="8"/>
  <c r="U890" i="8"/>
  <c r="T890" i="8"/>
  <c r="S890" i="8"/>
  <c r="R890" i="8"/>
  <c r="P890" i="8"/>
  <c r="O890" i="8"/>
  <c r="M890" i="8"/>
  <c r="L890" i="8"/>
  <c r="K890" i="8"/>
  <c r="J890" i="8"/>
  <c r="I890" i="8"/>
  <c r="H890" i="8"/>
  <c r="G890" i="8"/>
  <c r="E890" i="8"/>
  <c r="D890" i="8"/>
  <c r="C890" i="8"/>
  <c r="V889" i="8"/>
  <c r="U889" i="8"/>
  <c r="T889" i="8"/>
  <c r="S889" i="8"/>
  <c r="R889" i="8"/>
  <c r="P889" i="8"/>
  <c r="O889" i="8"/>
  <c r="M889" i="8"/>
  <c r="L889" i="8"/>
  <c r="K889" i="8"/>
  <c r="J889" i="8"/>
  <c r="I889" i="8"/>
  <c r="H889" i="8"/>
  <c r="G889" i="8"/>
  <c r="E889" i="8"/>
  <c r="D889" i="8"/>
  <c r="C889" i="8"/>
  <c r="V888" i="8"/>
  <c r="U888" i="8"/>
  <c r="T888" i="8"/>
  <c r="S888" i="8"/>
  <c r="R888" i="8"/>
  <c r="P888" i="8"/>
  <c r="O888" i="8"/>
  <c r="M888" i="8"/>
  <c r="L888" i="8"/>
  <c r="K888" i="8"/>
  <c r="J888" i="8"/>
  <c r="I888" i="8"/>
  <c r="H888" i="8"/>
  <c r="G888" i="8"/>
  <c r="E888" i="8"/>
  <c r="D888" i="8"/>
  <c r="C888" i="8"/>
  <c r="V887" i="8"/>
  <c r="U887" i="8"/>
  <c r="T887" i="8"/>
  <c r="S887" i="8"/>
  <c r="R887" i="8"/>
  <c r="P887" i="8"/>
  <c r="O887" i="8"/>
  <c r="M887" i="8"/>
  <c r="L887" i="8"/>
  <c r="K887" i="8"/>
  <c r="J887" i="8"/>
  <c r="I887" i="8"/>
  <c r="H887" i="8"/>
  <c r="G887" i="8"/>
  <c r="E887" i="8"/>
  <c r="D887" i="8"/>
  <c r="C887" i="8"/>
  <c r="V886" i="8"/>
  <c r="U886" i="8"/>
  <c r="T886" i="8"/>
  <c r="S886" i="8"/>
  <c r="R886" i="8"/>
  <c r="P886" i="8"/>
  <c r="O886" i="8"/>
  <c r="M886" i="8"/>
  <c r="L886" i="8"/>
  <c r="K886" i="8"/>
  <c r="J886" i="8"/>
  <c r="I886" i="8"/>
  <c r="H886" i="8"/>
  <c r="G886" i="8"/>
  <c r="E886" i="8"/>
  <c r="D886" i="8"/>
  <c r="C886" i="8"/>
  <c r="V885" i="8"/>
  <c r="U885" i="8"/>
  <c r="T885" i="8"/>
  <c r="S885" i="8"/>
  <c r="R885" i="8"/>
  <c r="P885" i="8"/>
  <c r="O885" i="8"/>
  <c r="M885" i="8"/>
  <c r="L885" i="8"/>
  <c r="K885" i="8"/>
  <c r="J885" i="8"/>
  <c r="I885" i="8"/>
  <c r="H885" i="8"/>
  <c r="G885" i="8"/>
  <c r="E885" i="8"/>
  <c r="D885" i="8"/>
  <c r="C885" i="8"/>
  <c r="V884" i="8"/>
  <c r="U884" i="8"/>
  <c r="T884" i="8"/>
  <c r="S884" i="8"/>
  <c r="R884" i="8"/>
  <c r="P884" i="8"/>
  <c r="O884" i="8"/>
  <c r="M884" i="8"/>
  <c r="L884" i="8"/>
  <c r="K884" i="8"/>
  <c r="J884" i="8"/>
  <c r="I884" i="8"/>
  <c r="H884" i="8"/>
  <c r="G884" i="8"/>
  <c r="E884" i="8"/>
  <c r="D884" i="8"/>
  <c r="C884" i="8"/>
  <c r="V883" i="8"/>
  <c r="U883" i="8"/>
  <c r="T883" i="8"/>
  <c r="S883" i="8"/>
  <c r="R883" i="8"/>
  <c r="P883" i="8"/>
  <c r="O883" i="8"/>
  <c r="M883" i="8"/>
  <c r="L883" i="8"/>
  <c r="K883" i="8"/>
  <c r="J883" i="8"/>
  <c r="I883" i="8"/>
  <c r="H883" i="8"/>
  <c r="G883" i="8"/>
  <c r="E883" i="8"/>
  <c r="D883" i="8"/>
  <c r="C883" i="8"/>
  <c r="V882" i="8"/>
  <c r="U882" i="8"/>
  <c r="T882" i="8"/>
  <c r="S882" i="8"/>
  <c r="R882" i="8"/>
  <c r="P882" i="8"/>
  <c r="O882" i="8"/>
  <c r="M882" i="8"/>
  <c r="L882" i="8"/>
  <c r="K882" i="8"/>
  <c r="J882" i="8"/>
  <c r="I882" i="8"/>
  <c r="H882" i="8"/>
  <c r="G882" i="8"/>
  <c r="E882" i="8"/>
  <c r="D882" i="8"/>
  <c r="C882" i="8"/>
  <c r="V881" i="8"/>
  <c r="U881" i="8"/>
  <c r="T881" i="8"/>
  <c r="S881" i="8"/>
  <c r="R881" i="8"/>
  <c r="P881" i="8"/>
  <c r="O881" i="8"/>
  <c r="M881" i="8"/>
  <c r="L881" i="8"/>
  <c r="K881" i="8"/>
  <c r="J881" i="8"/>
  <c r="I881" i="8"/>
  <c r="H881" i="8"/>
  <c r="G881" i="8"/>
  <c r="E881" i="8"/>
  <c r="D881" i="8"/>
  <c r="C881" i="8"/>
  <c r="V880" i="8"/>
  <c r="U880" i="8"/>
  <c r="T880" i="8"/>
  <c r="S880" i="8"/>
  <c r="R880" i="8"/>
  <c r="P880" i="8"/>
  <c r="O880" i="8"/>
  <c r="M880" i="8"/>
  <c r="L880" i="8"/>
  <c r="K880" i="8"/>
  <c r="J880" i="8"/>
  <c r="I880" i="8"/>
  <c r="H880" i="8"/>
  <c r="G880" i="8"/>
  <c r="E880" i="8"/>
  <c r="D880" i="8"/>
  <c r="C880" i="8"/>
  <c r="V879" i="8"/>
  <c r="U879" i="8"/>
  <c r="T879" i="8"/>
  <c r="S879" i="8"/>
  <c r="R879" i="8"/>
  <c r="P879" i="8"/>
  <c r="O879" i="8"/>
  <c r="M879" i="8"/>
  <c r="L879" i="8"/>
  <c r="K879" i="8"/>
  <c r="J879" i="8"/>
  <c r="I879" i="8"/>
  <c r="H879" i="8"/>
  <c r="G879" i="8"/>
  <c r="E879" i="8"/>
  <c r="D879" i="8"/>
  <c r="C879" i="8"/>
  <c r="V878" i="8"/>
  <c r="U878" i="8"/>
  <c r="T878" i="8"/>
  <c r="S878" i="8"/>
  <c r="R878" i="8"/>
  <c r="P878" i="8"/>
  <c r="O878" i="8"/>
  <c r="M878" i="8"/>
  <c r="L878" i="8"/>
  <c r="K878" i="8"/>
  <c r="J878" i="8"/>
  <c r="I878" i="8"/>
  <c r="H878" i="8"/>
  <c r="G878" i="8"/>
  <c r="E878" i="8"/>
  <c r="D878" i="8"/>
  <c r="C878" i="8"/>
  <c r="V877" i="8"/>
  <c r="U877" i="8"/>
  <c r="T877" i="8"/>
  <c r="S877" i="8"/>
  <c r="R877" i="8"/>
  <c r="P877" i="8"/>
  <c r="O877" i="8"/>
  <c r="M877" i="8"/>
  <c r="L877" i="8"/>
  <c r="K877" i="8"/>
  <c r="J877" i="8"/>
  <c r="I877" i="8"/>
  <c r="H877" i="8"/>
  <c r="G877" i="8"/>
  <c r="E877" i="8"/>
  <c r="D877" i="8"/>
  <c r="C877" i="8"/>
  <c r="V876" i="8"/>
  <c r="U876" i="8"/>
  <c r="T876" i="8"/>
  <c r="S876" i="8"/>
  <c r="R876" i="8"/>
  <c r="P876" i="8"/>
  <c r="O876" i="8"/>
  <c r="M876" i="8"/>
  <c r="L876" i="8"/>
  <c r="K876" i="8"/>
  <c r="J876" i="8"/>
  <c r="I876" i="8"/>
  <c r="H876" i="8"/>
  <c r="G876" i="8"/>
  <c r="E876" i="8"/>
  <c r="D876" i="8"/>
  <c r="C876" i="8"/>
  <c r="V875" i="8"/>
  <c r="U875" i="8"/>
  <c r="T875" i="8"/>
  <c r="S875" i="8"/>
  <c r="R875" i="8"/>
  <c r="P875" i="8"/>
  <c r="O875" i="8"/>
  <c r="M875" i="8"/>
  <c r="L875" i="8"/>
  <c r="K875" i="8"/>
  <c r="J875" i="8"/>
  <c r="I875" i="8"/>
  <c r="H875" i="8"/>
  <c r="G875" i="8"/>
  <c r="E875" i="8"/>
  <c r="D875" i="8"/>
  <c r="C875" i="8"/>
  <c r="V874" i="8"/>
  <c r="U874" i="8"/>
  <c r="T874" i="8"/>
  <c r="S874" i="8"/>
  <c r="R874" i="8"/>
  <c r="P874" i="8"/>
  <c r="O874" i="8"/>
  <c r="M874" i="8"/>
  <c r="L874" i="8"/>
  <c r="K874" i="8"/>
  <c r="J874" i="8"/>
  <c r="I874" i="8"/>
  <c r="H874" i="8"/>
  <c r="G874" i="8"/>
  <c r="E874" i="8"/>
  <c r="D874" i="8"/>
  <c r="C874" i="8"/>
  <c r="V873" i="8"/>
  <c r="U873" i="8"/>
  <c r="T873" i="8"/>
  <c r="S873" i="8"/>
  <c r="R873" i="8"/>
  <c r="P873" i="8"/>
  <c r="O873" i="8"/>
  <c r="M873" i="8"/>
  <c r="L873" i="8"/>
  <c r="K873" i="8"/>
  <c r="J873" i="8"/>
  <c r="I873" i="8"/>
  <c r="H873" i="8"/>
  <c r="G873" i="8"/>
  <c r="E873" i="8"/>
  <c r="D873" i="8"/>
  <c r="C873" i="8"/>
  <c r="V872" i="8"/>
  <c r="U872" i="8"/>
  <c r="T872" i="8"/>
  <c r="S872" i="8"/>
  <c r="R872" i="8"/>
  <c r="P872" i="8"/>
  <c r="O872" i="8"/>
  <c r="M872" i="8"/>
  <c r="L872" i="8"/>
  <c r="K872" i="8"/>
  <c r="J872" i="8"/>
  <c r="I872" i="8"/>
  <c r="H872" i="8"/>
  <c r="G872" i="8"/>
  <c r="E872" i="8"/>
  <c r="D872" i="8"/>
  <c r="C872" i="8"/>
  <c r="V871" i="8"/>
  <c r="U871" i="8"/>
  <c r="T871" i="8"/>
  <c r="S871" i="8"/>
  <c r="R871" i="8"/>
  <c r="P871" i="8"/>
  <c r="O871" i="8"/>
  <c r="M871" i="8"/>
  <c r="L871" i="8"/>
  <c r="K871" i="8"/>
  <c r="J871" i="8"/>
  <c r="I871" i="8"/>
  <c r="H871" i="8"/>
  <c r="G871" i="8"/>
  <c r="E871" i="8"/>
  <c r="D871" i="8"/>
  <c r="C871" i="8"/>
  <c r="V870" i="8"/>
  <c r="U870" i="8"/>
  <c r="T870" i="8"/>
  <c r="S870" i="8"/>
  <c r="R870" i="8"/>
  <c r="P870" i="8"/>
  <c r="O870" i="8"/>
  <c r="M870" i="8"/>
  <c r="L870" i="8"/>
  <c r="K870" i="8"/>
  <c r="J870" i="8"/>
  <c r="I870" i="8"/>
  <c r="H870" i="8"/>
  <c r="G870" i="8"/>
  <c r="E870" i="8"/>
  <c r="D870" i="8"/>
  <c r="C870" i="8"/>
  <c r="V869" i="8"/>
  <c r="U869" i="8"/>
  <c r="T869" i="8"/>
  <c r="S869" i="8"/>
  <c r="R869" i="8"/>
  <c r="P869" i="8"/>
  <c r="O869" i="8"/>
  <c r="M869" i="8"/>
  <c r="L869" i="8"/>
  <c r="K869" i="8"/>
  <c r="J869" i="8"/>
  <c r="I869" i="8"/>
  <c r="H869" i="8"/>
  <c r="G869" i="8"/>
  <c r="E869" i="8"/>
  <c r="D869" i="8"/>
  <c r="C869" i="8"/>
  <c r="V868" i="8"/>
  <c r="U868" i="8"/>
  <c r="T868" i="8"/>
  <c r="S868" i="8"/>
  <c r="R868" i="8"/>
  <c r="P868" i="8"/>
  <c r="O868" i="8"/>
  <c r="M868" i="8"/>
  <c r="L868" i="8"/>
  <c r="K868" i="8"/>
  <c r="J868" i="8"/>
  <c r="I868" i="8"/>
  <c r="H868" i="8"/>
  <c r="G868" i="8"/>
  <c r="E868" i="8"/>
  <c r="D868" i="8"/>
  <c r="C868" i="8"/>
  <c r="V867" i="8"/>
  <c r="U867" i="8"/>
  <c r="T867" i="8"/>
  <c r="S867" i="8"/>
  <c r="R867" i="8"/>
  <c r="P867" i="8"/>
  <c r="O867" i="8"/>
  <c r="M867" i="8"/>
  <c r="L867" i="8"/>
  <c r="K867" i="8"/>
  <c r="J867" i="8"/>
  <c r="I867" i="8"/>
  <c r="H867" i="8"/>
  <c r="G867" i="8"/>
  <c r="E867" i="8"/>
  <c r="D867" i="8"/>
  <c r="C867" i="8"/>
  <c r="V866" i="8"/>
  <c r="U866" i="8"/>
  <c r="T866" i="8"/>
  <c r="S866" i="8"/>
  <c r="R866" i="8"/>
  <c r="P866" i="8"/>
  <c r="O866" i="8"/>
  <c r="M866" i="8"/>
  <c r="L866" i="8"/>
  <c r="K866" i="8"/>
  <c r="J866" i="8"/>
  <c r="I866" i="8"/>
  <c r="H866" i="8"/>
  <c r="G866" i="8"/>
  <c r="E866" i="8"/>
  <c r="D866" i="8"/>
  <c r="C866" i="8"/>
  <c r="V865" i="8"/>
  <c r="U865" i="8"/>
  <c r="T865" i="8"/>
  <c r="S865" i="8"/>
  <c r="R865" i="8"/>
  <c r="P865" i="8"/>
  <c r="O865" i="8"/>
  <c r="M865" i="8"/>
  <c r="L865" i="8"/>
  <c r="K865" i="8"/>
  <c r="J865" i="8"/>
  <c r="I865" i="8"/>
  <c r="H865" i="8"/>
  <c r="G865" i="8"/>
  <c r="E865" i="8"/>
  <c r="D865" i="8"/>
  <c r="C865" i="8"/>
  <c r="V864" i="8"/>
  <c r="U864" i="8"/>
  <c r="T864" i="8"/>
  <c r="S864" i="8"/>
  <c r="R864" i="8"/>
  <c r="P864" i="8"/>
  <c r="O864" i="8"/>
  <c r="M864" i="8"/>
  <c r="L864" i="8"/>
  <c r="K864" i="8"/>
  <c r="J864" i="8"/>
  <c r="I864" i="8"/>
  <c r="H864" i="8"/>
  <c r="G864" i="8"/>
  <c r="E864" i="8"/>
  <c r="D864" i="8"/>
  <c r="C864" i="8"/>
  <c r="V863" i="8"/>
  <c r="U863" i="8"/>
  <c r="T863" i="8"/>
  <c r="S863" i="8"/>
  <c r="R863" i="8"/>
  <c r="P863" i="8"/>
  <c r="O863" i="8"/>
  <c r="M863" i="8"/>
  <c r="L863" i="8"/>
  <c r="K863" i="8"/>
  <c r="J863" i="8"/>
  <c r="I863" i="8"/>
  <c r="H863" i="8"/>
  <c r="G863" i="8"/>
  <c r="E863" i="8"/>
  <c r="D863" i="8"/>
  <c r="C863" i="8"/>
  <c r="V862" i="8"/>
  <c r="U862" i="8"/>
  <c r="T862" i="8"/>
  <c r="S862" i="8"/>
  <c r="R862" i="8"/>
  <c r="P862" i="8"/>
  <c r="O862" i="8"/>
  <c r="M862" i="8"/>
  <c r="L862" i="8"/>
  <c r="K862" i="8"/>
  <c r="J862" i="8"/>
  <c r="I862" i="8"/>
  <c r="H862" i="8"/>
  <c r="G862" i="8"/>
  <c r="E862" i="8"/>
  <c r="D862" i="8"/>
  <c r="C862" i="8"/>
  <c r="V861" i="8"/>
  <c r="U861" i="8"/>
  <c r="T861" i="8"/>
  <c r="S861" i="8"/>
  <c r="R861" i="8"/>
  <c r="P861" i="8"/>
  <c r="O861" i="8"/>
  <c r="M861" i="8"/>
  <c r="L861" i="8"/>
  <c r="K861" i="8"/>
  <c r="J861" i="8"/>
  <c r="I861" i="8"/>
  <c r="H861" i="8"/>
  <c r="G861" i="8"/>
  <c r="E861" i="8"/>
  <c r="D861" i="8"/>
  <c r="C861" i="8"/>
  <c r="V860" i="8"/>
  <c r="U860" i="8"/>
  <c r="T860" i="8"/>
  <c r="S860" i="8"/>
  <c r="R860" i="8"/>
  <c r="P860" i="8"/>
  <c r="O860" i="8"/>
  <c r="M860" i="8"/>
  <c r="L860" i="8"/>
  <c r="K860" i="8"/>
  <c r="J860" i="8"/>
  <c r="I860" i="8"/>
  <c r="H860" i="8"/>
  <c r="G860" i="8"/>
  <c r="E860" i="8"/>
  <c r="D860" i="8"/>
  <c r="C860" i="8"/>
  <c r="V859" i="8"/>
  <c r="U859" i="8"/>
  <c r="T859" i="8"/>
  <c r="S859" i="8"/>
  <c r="R859" i="8"/>
  <c r="P859" i="8"/>
  <c r="O859" i="8"/>
  <c r="M859" i="8"/>
  <c r="L859" i="8"/>
  <c r="K859" i="8"/>
  <c r="J859" i="8"/>
  <c r="I859" i="8"/>
  <c r="H859" i="8"/>
  <c r="G859" i="8"/>
  <c r="E859" i="8"/>
  <c r="D859" i="8"/>
  <c r="C859" i="8"/>
  <c r="V858" i="8"/>
  <c r="U858" i="8"/>
  <c r="T858" i="8"/>
  <c r="S858" i="8"/>
  <c r="R858" i="8"/>
  <c r="P858" i="8"/>
  <c r="O858" i="8"/>
  <c r="M858" i="8"/>
  <c r="L858" i="8"/>
  <c r="K858" i="8"/>
  <c r="J858" i="8"/>
  <c r="I858" i="8"/>
  <c r="H858" i="8"/>
  <c r="G858" i="8"/>
  <c r="E858" i="8"/>
  <c r="D858" i="8"/>
  <c r="C858" i="8"/>
  <c r="V857" i="8"/>
  <c r="U857" i="8"/>
  <c r="T857" i="8"/>
  <c r="S857" i="8"/>
  <c r="R857" i="8"/>
  <c r="P857" i="8"/>
  <c r="O857" i="8"/>
  <c r="M857" i="8"/>
  <c r="L857" i="8"/>
  <c r="K857" i="8"/>
  <c r="J857" i="8"/>
  <c r="I857" i="8"/>
  <c r="H857" i="8"/>
  <c r="G857" i="8"/>
  <c r="E857" i="8"/>
  <c r="D857" i="8"/>
  <c r="C857" i="8"/>
  <c r="V856" i="8"/>
  <c r="U856" i="8"/>
  <c r="T856" i="8"/>
  <c r="S856" i="8"/>
  <c r="R856" i="8"/>
  <c r="P856" i="8"/>
  <c r="O856" i="8"/>
  <c r="M856" i="8"/>
  <c r="L856" i="8"/>
  <c r="K856" i="8"/>
  <c r="J856" i="8"/>
  <c r="I856" i="8"/>
  <c r="H856" i="8"/>
  <c r="G856" i="8"/>
  <c r="E856" i="8"/>
  <c r="D856" i="8"/>
  <c r="C856" i="8"/>
  <c r="V855" i="8"/>
  <c r="U855" i="8"/>
  <c r="T855" i="8"/>
  <c r="S855" i="8"/>
  <c r="R855" i="8"/>
  <c r="P855" i="8"/>
  <c r="O855" i="8"/>
  <c r="M855" i="8"/>
  <c r="L855" i="8"/>
  <c r="K855" i="8"/>
  <c r="J855" i="8"/>
  <c r="I855" i="8"/>
  <c r="H855" i="8"/>
  <c r="G855" i="8"/>
  <c r="E855" i="8"/>
  <c r="D855" i="8"/>
  <c r="C855" i="8"/>
  <c r="V854" i="8"/>
  <c r="U854" i="8"/>
  <c r="T854" i="8"/>
  <c r="S854" i="8"/>
  <c r="R854" i="8"/>
  <c r="P854" i="8"/>
  <c r="O854" i="8"/>
  <c r="M854" i="8"/>
  <c r="L854" i="8"/>
  <c r="K854" i="8"/>
  <c r="J854" i="8"/>
  <c r="I854" i="8"/>
  <c r="H854" i="8"/>
  <c r="G854" i="8"/>
  <c r="E854" i="8"/>
  <c r="D854" i="8"/>
  <c r="C854" i="8"/>
  <c r="V853" i="8"/>
  <c r="U853" i="8"/>
  <c r="T853" i="8"/>
  <c r="S853" i="8"/>
  <c r="R853" i="8"/>
  <c r="P853" i="8"/>
  <c r="O853" i="8"/>
  <c r="M853" i="8"/>
  <c r="L853" i="8"/>
  <c r="K853" i="8"/>
  <c r="J853" i="8"/>
  <c r="I853" i="8"/>
  <c r="H853" i="8"/>
  <c r="G853" i="8"/>
  <c r="E853" i="8"/>
  <c r="D853" i="8"/>
  <c r="C853" i="8"/>
  <c r="V852" i="8"/>
  <c r="U852" i="8"/>
  <c r="T852" i="8"/>
  <c r="S852" i="8"/>
  <c r="R852" i="8"/>
  <c r="P852" i="8"/>
  <c r="O852" i="8"/>
  <c r="M852" i="8"/>
  <c r="L852" i="8"/>
  <c r="K852" i="8"/>
  <c r="J852" i="8"/>
  <c r="I852" i="8"/>
  <c r="H852" i="8"/>
  <c r="G852" i="8"/>
  <c r="E852" i="8"/>
  <c r="D852" i="8"/>
  <c r="C852" i="8"/>
  <c r="V851" i="8"/>
  <c r="U851" i="8"/>
  <c r="T851" i="8"/>
  <c r="S851" i="8"/>
  <c r="R851" i="8"/>
  <c r="P851" i="8"/>
  <c r="O851" i="8"/>
  <c r="M851" i="8"/>
  <c r="L851" i="8"/>
  <c r="K851" i="8"/>
  <c r="J851" i="8"/>
  <c r="I851" i="8"/>
  <c r="H851" i="8"/>
  <c r="G851" i="8"/>
  <c r="E851" i="8"/>
  <c r="D851" i="8"/>
  <c r="C851" i="8"/>
  <c r="V850" i="8"/>
  <c r="U850" i="8"/>
  <c r="T850" i="8"/>
  <c r="S850" i="8"/>
  <c r="R850" i="8"/>
  <c r="P850" i="8"/>
  <c r="O850" i="8"/>
  <c r="M850" i="8"/>
  <c r="L850" i="8"/>
  <c r="K850" i="8"/>
  <c r="J850" i="8"/>
  <c r="I850" i="8"/>
  <c r="H850" i="8"/>
  <c r="G850" i="8"/>
  <c r="E850" i="8"/>
  <c r="D850" i="8"/>
  <c r="C850" i="8"/>
  <c r="V849" i="8"/>
  <c r="U849" i="8"/>
  <c r="T849" i="8"/>
  <c r="S849" i="8"/>
  <c r="R849" i="8"/>
  <c r="P849" i="8"/>
  <c r="O849" i="8"/>
  <c r="M849" i="8"/>
  <c r="L849" i="8"/>
  <c r="K849" i="8"/>
  <c r="J849" i="8"/>
  <c r="I849" i="8"/>
  <c r="H849" i="8"/>
  <c r="G849" i="8"/>
  <c r="E849" i="8"/>
  <c r="D849" i="8"/>
  <c r="C849" i="8"/>
  <c r="V848" i="8"/>
  <c r="U848" i="8"/>
  <c r="T848" i="8"/>
  <c r="S848" i="8"/>
  <c r="R848" i="8"/>
  <c r="P848" i="8"/>
  <c r="O848" i="8"/>
  <c r="M848" i="8"/>
  <c r="L848" i="8"/>
  <c r="K848" i="8"/>
  <c r="J848" i="8"/>
  <c r="I848" i="8"/>
  <c r="H848" i="8"/>
  <c r="G848" i="8"/>
  <c r="E848" i="8"/>
  <c r="D848" i="8"/>
  <c r="C848" i="8"/>
  <c r="V847" i="8"/>
  <c r="U847" i="8"/>
  <c r="T847" i="8"/>
  <c r="S847" i="8"/>
  <c r="R847" i="8"/>
  <c r="P847" i="8"/>
  <c r="O847" i="8"/>
  <c r="M847" i="8"/>
  <c r="L847" i="8"/>
  <c r="K847" i="8"/>
  <c r="J847" i="8"/>
  <c r="I847" i="8"/>
  <c r="H847" i="8"/>
  <c r="G847" i="8"/>
  <c r="E847" i="8"/>
  <c r="D847" i="8"/>
  <c r="C847" i="8"/>
  <c r="V846" i="8"/>
  <c r="U846" i="8"/>
  <c r="T846" i="8"/>
  <c r="S846" i="8"/>
  <c r="R846" i="8"/>
  <c r="P846" i="8"/>
  <c r="O846" i="8"/>
  <c r="M846" i="8"/>
  <c r="L846" i="8"/>
  <c r="K846" i="8"/>
  <c r="J846" i="8"/>
  <c r="I846" i="8"/>
  <c r="H846" i="8"/>
  <c r="G846" i="8"/>
  <c r="E846" i="8"/>
  <c r="D846" i="8"/>
  <c r="C846" i="8"/>
  <c r="V845" i="8"/>
  <c r="U845" i="8"/>
  <c r="T845" i="8"/>
  <c r="S845" i="8"/>
  <c r="R845" i="8"/>
  <c r="P845" i="8"/>
  <c r="O845" i="8"/>
  <c r="M845" i="8"/>
  <c r="L845" i="8"/>
  <c r="K845" i="8"/>
  <c r="J845" i="8"/>
  <c r="I845" i="8"/>
  <c r="H845" i="8"/>
  <c r="G845" i="8"/>
  <c r="E845" i="8"/>
  <c r="D845" i="8"/>
  <c r="C845" i="8"/>
  <c r="V844" i="8"/>
  <c r="U844" i="8"/>
  <c r="T844" i="8"/>
  <c r="S844" i="8"/>
  <c r="R844" i="8"/>
  <c r="P844" i="8"/>
  <c r="O844" i="8"/>
  <c r="M844" i="8"/>
  <c r="L844" i="8"/>
  <c r="K844" i="8"/>
  <c r="J844" i="8"/>
  <c r="I844" i="8"/>
  <c r="H844" i="8"/>
  <c r="G844" i="8"/>
  <c r="E844" i="8"/>
  <c r="D844" i="8"/>
  <c r="C844" i="8"/>
  <c r="V843" i="8"/>
  <c r="U843" i="8"/>
  <c r="T843" i="8"/>
  <c r="S843" i="8"/>
  <c r="R843" i="8"/>
  <c r="P843" i="8"/>
  <c r="O843" i="8"/>
  <c r="M843" i="8"/>
  <c r="L843" i="8"/>
  <c r="K843" i="8"/>
  <c r="J843" i="8"/>
  <c r="I843" i="8"/>
  <c r="H843" i="8"/>
  <c r="G843" i="8"/>
  <c r="E843" i="8"/>
  <c r="D843" i="8"/>
  <c r="C843" i="8"/>
  <c r="V842" i="8"/>
  <c r="U842" i="8"/>
  <c r="T842" i="8"/>
  <c r="S842" i="8"/>
  <c r="R842" i="8"/>
  <c r="P842" i="8"/>
  <c r="O842" i="8"/>
  <c r="M842" i="8"/>
  <c r="L842" i="8"/>
  <c r="K842" i="8"/>
  <c r="J842" i="8"/>
  <c r="I842" i="8"/>
  <c r="H842" i="8"/>
  <c r="G842" i="8"/>
  <c r="E842" i="8"/>
  <c r="D842" i="8"/>
  <c r="C842" i="8"/>
  <c r="V841" i="8"/>
  <c r="U841" i="8"/>
  <c r="T841" i="8"/>
  <c r="S841" i="8"/>
  <c r="R841" i="8"/>
  <c r="P841" i="8"/>
  <c r="O841" i="8"/>
  <c r="M841" i="8"/>
  <c r="L841" i="8"/>
  <c r="K841" i="8"/>
  <c r="J841" i="8"/>
  <c r="I841" i="8"/>
  <c r="H841" i="8"/>
  <c r="G841" i="8"/>
  <c r="E841" i="8"/>
  <c r="D841" i="8"/>
  <c r="C841" i="8"/>
  <c r="V840" i="8"/>
  <c r="U840" i="8"/>
  <c r="T840" i="8"/>
  <c r="S840" i="8"/>
  <c r="R840" i="8"/>
  <c r="P840" i="8"/>
  <c r="O840" i="8"/>
  <c r="M840" i="8"/>
  <c r="L840" i="8"/>
  <c r="K840" i="8"/>
  <c r="J840" i="8"/>
  <c r="I840" i="8"/>
  <c r="H840" i="8"/>
  <c r="G840" i="8"/>
  <c r="E840" i="8"/>
  <c r="D840" i="8"/>
  <c r="C840" i="8"/>
  <c r="V839" i="8"/>
  <c r="U839" i="8"/>
  <c r="T839" i="8"/>
  <c r="S839" i="8"/>
  <c r="R839" i="8"/>
  <c r="P839" i="8"/>
  <c r="O839" i="8"/>
  <c r="M839" i="8"/>
  <c r="L839" i="8"/>
  <c r="K839" i="8"/>
  <c r="J839" i="8"/>
  <c r="I839" i="8"/>
  <c r="H839" i="8"/>
  <c r="G839" i="8"/>
  <c r="E839" i="8"/>
  <c r="D839" i="8"/>
  <c r="C839" i="8"/>
  <c r="V838" i="8"/>
  <c r="U838" i="8"/>
  <c r="T838" i="8"/>
  <c r="S838" i="8"/>
  <c r="R838" i="8"/>
  <c r="P838" i="8"/>
  <c r="O838" i="8"/>
  <c r="M838" i="8"/>
  <c r="L838" i="8"/>
  <c r="K838" i="8"/>
  <c r="J838" i="8"/>
  <c r="I838" i="8"/>
  <c r="H838" i="8"/>
  <c r="G838" i="8"/>
  <c r="E838" i="8"/>
  <c r="D838" i="8"/>
  <c r="C838" i="8"/>
  <c r="V837" i="8"/>
  <c r="U837" i="8"/>
  <c r="T837" i="8"/>
  <c r="S837" i="8"/>
  <c r="R837" i="8"/>
  <c r="P837" i="8"/>
  <c r="O837" i="8"/>
  <c r="M837" i="8"/>
  <c r="L837" i="8"/>
  <c r="K837" i="8"/>
  <c r="J837" i="8"/>
  <c r="I837" i="8"/>
  <c r="H837" i="8"/>
  <c r="G837" i="8"/>
  <c r="E837" i="8"/>
  <c r="D837" i="8"/>
  <c r="C837" i="8"/>
  <c r="V836" i="8"/>
  <c r="U836" i="8"/>
  <c r="T836" i="8"/>
  <c r="S836" i="8"/>
  <c r="R836" i="8"/>
  <c r="P836" i="8"/>
  <c r="O836" i="8"/>
  <c r="M836" i="8"/>
  <c r="L836" i="8"/>
  <c r="K836" i="8"/>
  <c r="J836" i="8"/>
  <c r="I836" i="8"/>
  <c r="H836" i="8"/>
  <c r="G836" i="8"/>
  <c r="E836" i="8"/>
  <c r="D836" i="8"/>
  <c r="C836" i="8"/>
  <c r="V835" i="8"/>
  <c r="U835" i="8"/>
  <c r="T835" i="8"/>
  <c r="S835" i="8"/>
  <c r="R835" i="8"/>
  <c r="P835" i="8"/>
  <c r="O835" i="8"/>
  <c r="M835" i="8"/>
  <c r="L835" i="8"/>
  <c r="K835" i="8"/>
  <c r="J835" i="8"/>
  <c r="I835" i="8"/>
  <c r="H835" i="8"/>
  <c r="G835" i="8"/>
  <c r="E835" i="8"/>
  <c r="D835" i="8"/>
  <c r="C835" i="8"/>
  <c r="V834" i="8"/>
  <c r="U834" i="8"/>
  <c r="T834" i="8"/>
  <c r="S834" i="8"/>
  <c r="R834" i="8"/>
  <c r="P834" i="8"/>
  <c r="O834" i="8"/>
  <c r="M834" i="8"/>
  <c r="L834" i="8"/>
  <c r="K834" i="8"/>
  <c r="J834" i="8"/>
  <c r="I834" i="8"/>
  <c r="H834" i="8"/>
  <c r="G834" i="8"/>
  <c r="E834" i="8"/>
  <c r="D834" i="8"/>
  <c r="C834" i="8"/>
  <c r="V833" i="8"/>
  <c r="U833" i="8"/>
  <c r="T833" i="8"/>
  <c r="S833" i="8"/>
  <c r="R833" i="8"/>
  <c r="P833" i="8"/>
  <c r="O833" i="8"/>
  <c r="M833" i="8"/>
  <c r="L833" i="8"/>
  <c r="K833" i="8"/>
  <c r="J833" i="8"/>
  <c r="I833" i="8"/>
  <c r="H833" i="8"/>
  <c r="G833" i="8"/>
  <c r="E833" i="8"/>
  <c r="D833" i="8"/>
  <c r="C833" i="8"/>
  <c r="V832" i="8"/>
  <c r="U832" i="8"/>
  <c r="T832" i="8"/>
  <c r="S832" i="8"/>
  <c r="R832" i="8"/>
  <c r="P832" i="8"/>
  <c r="O832" i="8"/>
  <c r="M832" i="8"/>
  <c r="L832" i="8"/>
  <c r="K832" i="8"/>
  <c r="J832" i="8"/>
  <c r="I832" i="8"/>
  <c r="H832" i="8"/>
  <c r="G832" i="8"/>
  <c r="E832" i="8"/>
  <c r="D832" i="8"/>
  <c r="C832" i="8"/>
  <c r="V831" i="8"/>
  <c r="U831" i="8"/>
  <c r="T831" i="8"/>
  <c r="S831" i="8"/>
  <c r="R831" i="8"/>
  <c r="P831" i="8"/>
  <c r="O831" i="8"/>
  <c r="M831" i="8"/>
  <c r="L831" i="8"/>
  <c r="K831" i="8"/>
  <c r="J831" i="8"/>
  <c r="I831" i="8"/>
  <c r="H831" i="8"/>
  <c r="G831" i="8"/>
  <c r="E831" i="8"/>
  <c r="D831" i="8"/>
  <c r="C831" i="8"/>
  <c r="V830" i="8"/>
  <c r="U830" i="8"/>
  <c r="T830" i="8"/>
  <c r="S830" i="8"/>
  <c r="R830" i="8"/>
  <c r="P830" i="8"/>
  <c r="O830" i="8"/>
  <c r="M830" i="8"/>
  <c r="L830" i="8"/>
  <c r="K830" i="8"/>
  <c r="J830" i="8"/>
  <c r="I830" i="8"/>
  <c r="H830" i="8"/>
  <c r="G830" i="8"/>
  <c r="E830" i="8"/>
  <c r="D830" i="8"/>
  <c r="C830" i="8"/>
  <c r="V829" i="8"/>
  <c r="U829" i="8"/>
  <c r="T829" i="8"/>
  <c r="S829" i="8"/>
  <c r="R829" i="8"/>
  <c r="P829" i="8"/>
  <c r="O829" i="8"/>
  <c r="M829" i="8"/>
  <c r="L829" i="8"/>
  <c r="K829" i="8"/>
  <c r="J829" i="8"/>
  <c r="I829" i="8"/>
  <c r="H829" i="8"/>
  <c r="G829" i="8"/>
  <c r="E829" i="8"/>
  <c r="D829" i="8"/>
  <c r="C829" i="8"/>
  <c r="V828" i="8"/>
  <c r="U828" i="8"/>
  <c r="T828" i="8"/>
  <c r="S828" i="8"/>
  <c r="R828" i="8"/>
  <c r="P828" i="8"/>
  <c r="O828" i="8"/>
  <c r="M828" i="8"/>
  <c r="L828" i="8"/>
  <c r="K828" i="8"/>
  <c r="J828" i="8"/>
  <c r="I828" i="8"/>
  <c r="H828" i="8"/>
  <c r="G828" i="8"/>
  <c r="E828" i="8"/>
  <c r="D828" i="8"/>
  <c r="C828" i="8"/>
  <c r="V827" i="8"/>
  <c r="U827" i="8"/>
  <c r="T827" i="8"/>
  <c r="S827" i="8"/>
  <c r="R827" i="8"/>
  <c r="P827" i="8"/>
  <c r="O827" i="8"/>
  <c r="M827" i="8"/>
  <c r="L827" i="8"/>
  <c r="K827" i="8"/>
  <c r="J827" i="8"/>
  <c r="I827" i="8"/>
  <c r="H827" i="8"/>
  <c r="G827" i="8"/>
  <c r="E827" i="8"/>
  <c r="D827" i="8"/>
  <c r="C827" i="8"/>
  <c r="V826" i="8"/>
  <c r="U826" i="8"/>
  <c r="T826" i="8"/>
  <c r="S826" i="8"/>
  <c r="R826" i="8"/>
  <c r="P826" i="8"/>
  <c r="O826" i="8"/>
  <c r="M826" i="8"/>
  <c r="L826" i="8"/>
  <c r="K826" i="8"/>
  <c r="J826" i="8"/>
  <c r="I826" i="8"/>
  <c r="H826" i="8"/>
  <c r="G826" i="8"/>
  <c r="E826" i="8"/>
  <c r="D826" i="8"/>
  <c r="C826" i="8"/>
  <c r="V825" i="8"/>
  <c r="U825" i="8"/>
  <c r="T825" i="8"/>
  <c r="S825" i="8"/>
  <c r="R825" i="8"/>
  <c r="P825" i="8"/>
  <c r="O825" i="8"/>
  <c r="M825" i="8"/>
  <c r="L825" i="8"/>
  <c r="K825" i="8"/>
  <c r="J825" i="8"/>
  <c r="I825" i="8"/>
  <c r="H825" i="8"/>
  <c r="G825" i="8"/>
  <c r="E825" i="8"/>
  <c r="D825" i="8"/>
  <c r="C825" i="8"/>
  <c r="V824" i="8"/>
  <c r="U824" i="8"/>
  <c r="T824" i="8"/>
  <c r="S824" i="8"/>
  <c r="R824" i="8"/>
  <c r="P824" i="8"/>
  <c r="O824" i="8"/>
  <c r="M824" i="8"/>
  <c r="L824" i="8"/>
  <c r="K824" i="8"/>
  <c r="J824" i="8"/>
  <c r="I824" i="8"/>
  <c r="H824" i="8"/>
  <c r="G824" i="8"/>
  <c r="E824" i="8"/>
  <c r="D824" i="8"/>
  <c r="C824" i="8"/>
  <c r="V823" i="8"/>
  <c r="U823" i="8"/>
  <c r="T823" i="8"/>
  <c r="S823" i="8"/>
  <c r="R823" i="8"/>
  <c r="P823" i="8"/>
  <c r="O823" i="8"/>
  <c r="M823" i="8"/>
  <c r="L823" i="8"/>
  <c r="K823" i="8"/>
  <c r="J823" i="8"/>
  <c r="I823" i="8"/>
  <c r="H823" i="8"/>
  <c r="G823" i="8"/>
  <c r="E823" i="8"/>
  <c r="D823" i="8"/>
  <c r="C823" i="8"/>
  <c r="V822" i="8"/>
  <c r="U822" i="8"/>
  <c r="T822" i="8"/>
  <c r="S822" i="8"/>
  <c r="R822" i="8"/>
  <c r="P822" i="8"/>
  <c r="O822" i="8"/>
  <c r="M822" i="8"/>
  <c r="L822" i="8"/>
  <c r="K822" i="8"/>
  <c r="J822" i="8"/>
  <c r="I822" i="8"/>
  <c r="H822" i="8"/>
  <c r="G822" i="8"/>
  <c r="E822" i="8"/>
  <c r="D822" i="8"/>
  <c r="C822" i="8"/>
  <c r="V821" i="8"/>
  <c r="U821" i="8"/>
  <c r="T821" i="8"/>
  <c r="S821" i="8"/>
  <c r="R821" i="8"/>
  <c r="P821" i="8"/>
  <c r="O821" i="8"/>
  <c r="M821" i="8"/>
  <c r="L821" i="8"/>
  <c r="K821" i="8"/>
  <c r="J821" i="8"/>
  <c r="I821" i="8"/>
  <c r="H821" i="8"/>
  <c r="G821" i="8"/>
  <c r="E821" i="8"/>
  <c r="D821" i="8"/>
  <c r="C821" i="8"/>
  <c r="V820" i="8"/>
  <c r="U820" i="8"/>
  <c r="T820" i="8"/>
  <c r="S820" i="8"/>
  <c r="R820" i="8"/>
  <c r="P820" i="8"/>
  <c r="O820" i="8"/>
  <c r="M820" i="8"/>
  <c r="L820" i="8"/>
  <c r="K820" i="8"/>
  <c r="J820" i="8"/>
  <c r="I820" i="8"/>
  <c r="H820" i="8"/>
  <c r="G820" i="8"/>
  <c r="E820" i="8"/>
  <c r="D820" i="8"/>
  <c r="C820" i="8"/>
  <c r="V819" i="8"/>
  <c r="U819" i="8"/>
  <c r="T819" i="8"/>
  <c r="S819" i="8"/>
  <c r="R819" i="8"/>
  <c r="P819" i="8"/>
  <c r="O819" i="8"/>
  <c r="M819" i="8"/>
  <c r="L819" i="8"/>
  <c r="K819" i="8"/>
  <c r="J819" i="8"/>
  <c r="I819" i="8"/>
  <c r="H819" i="8"/>
  <c r="G819" i="8"/>
  <c r="E819" i="8"/>
  <c r="D819" i="8"/>
  <c r="C819" i="8"/>
  <c r="V818" i="8"/>
  <c r="U818" i="8"/>
  <c r="T818" i="8"/>
  <c r="S818" i="8"/>
  <c r="R818" i="8"/>
  <c r="P818" i="8"/>
  <c r="O818" i="8"/>
  <c r="M818" i="8"/>
  <c r="L818" i="8"/>
  <c r="K818" i="8"/>
  <c r="J818" i="8"/>
  <c r="I818" i="8"/>
  <c r="H818" i="8"/>
  <c r="G818" i="8"/>
  <c r="E818" i="8"/>
  <c r="D818" i="8"/>
  <c r="C818" i="8"/>
  <c r="V817" i="8"/>
  <c r="U817" i="8"/>
  <c r="T817" i="8"/>
  <c r="S817" i="8"/>
  <c r="R817" i="8"/>
  <c r="P817" i="8"/>
  <c r="O817" i="8"/>
  <c r="M817" i="8"/>
  <c r="L817" i="8"/>
  <c r="K817" i="8"/>
  <c r="J817" i="8"/>
  <c r="I817" i="8"/>
  <c r="H817" i="8"/>
  <c r="G817" i="8"/>
  <c r="E817" i="8"/>
  <c r="D817" i="8"/>
  <c r="C817" i="8"/>
  <c r="V816" i="8"/>
  <c r="U816" i="8"/>
  <c r="T816" i="8"/>
  <c r="S816" i="8"/>
  <c r="R816" i="8"/>
  <c r="P816" i="8"/>
  <c r="O816" i="8"/>
  <c r="M816" i="8"/>
  <c r="L816" i="8"/>
  <c r="K816" i="8"/>
  <c r="J816" i="8"/>
  <c r="I816" i="8"/>
  <c r="H816" i="8"/>
  <c r="G816" i="8"/>
  <c r="E816" i="8"/>
  <c r="D816" i="8"/>
  <c r="C816" i="8"/>
  <c r="V815" i="8"/>
  <c r="U815" i="8"/>
  <c r="T815" i="8"/>
  <c r="S815" i="8"/>
  <c r="R815" i="8"/>
  <c r="P815" i="8"/>
  <c r="O815" i="8"/>
  <c r="M815" i="8"/>
  <c r="L815" i="8"/>
  <c r="K815" i="8"/>
  <c r="J815" i="8"/>
  <c r="I815" i="8"/>
  <c r="H815" i="8"/>
  <c r="G815" i="8"/>
  <c r="E815" i="8"/>
  <c r="D815" i="8"/>
  <c r="C815" i="8"/>
  <c r="V814" i="8"/>
  <c r="U814" i="8"/>
  <c r="T814" i="8"/>
  <c r="S814" i="8"/>
  <c r="R814" i="8"/>
  <c r="P814" i="8"/>
  <c r="O814" i="8"/>
  <c r="M814" i="8"/>
  <c r="L814" i="8"/>
  <c r="K814" i="8"/>
  <c r="J814" i="8"/>
  <c r="I814" i="8"/>
  <c r="H814" i="8"/>
  <c r="G814" i="8"/>
  <c r="E814" i="8"/>
  <c r="D814" i="8"/>
  <c r="C814" i="8"/>
  <c r="V813" i="8"/>
  <c r="U813" i="8"/>
  <c r="T813" i="8"/>
  <c r="S813" i="8"/>
  <c r="R813" i="8"/>
  <c r="P813" i="8"/>
  <c r="O813" i="8"/>
  <c r="M813" i="8"/>
  <c r="L813" i="8"/>
  <c r="K813" i="8"/>
  <c r="J813" i="8"/>
  <c r="I813" i="8"/>
  <c r="H813" i="8"/>
  <c r="G813" i="8"/>
  <c r="E813" i="8"/>
  <c r="D813" i="8"/>
  <c r="C813" i="8"/>
  <c r="V812" i="8"/>
  <c r="U812" i="8"/>
  <c r="T812" i="8"/>
  <c r="S812" i="8"/>
  <c r="R812" i="8"/>
  <c r="P812" i="8"/>
  <c r="O812" i="8"/>
  <c r="M812" i="8"/>
  <c r="L812" i="8"/>
  <c r="K812" i="8"/>
  <c r="J812" i="8"/>
  <c r="I812" i="8"/>
  <c r="H812" i="8"/>
  <c r="G812" i="8"/>
  <c r="E812" i="8"/>
  <c r="D812" i="8"/>
  <c r="C812" i="8"/>
  <c r="V811" i="8"/>
  <c r="U811" i="8"/>
  <c r="T811" i="8"/>
  <c r="S811" i="8"/>
  <c r="R811" i="8"/>
  <c r="P811" i="8"/>
  <c r="O811" i="8"/>
  <c r="M811" i="8"/>
  <c r="L811" i="8"/>
  <c r="K811" i="8"/>
  <c r="J811" i="8"/>
  <c r="I811" i="8"/>
  <c r="H811" i="8"/>
  <c r="G811" i="8"/>
  <c r="E811" i="8"/>
  <c r="D811" i="8"/>
  <c r="C811" i="8"/>
  <c r="V810" i="8"/>
  <c r="U810" i="8"/>
  <c r="T810" i="8"/>
  <c r="S810" i="8"/>
  <c r="R810" i="8"/>
  <c r="P810" i="8"/>
  <c r="O810" i="8"/>
  <c r="M810" i="8"/>
  <c r="L810" i="8"/>
  <c r="K810" i="8"/>
  <c r="J810" i="8"/>
  <c r="I810" i="8"/>
  <c r="H810" i="8"/>
  <c r="G810" i="8"/>
  <c r="E810" i="8"/>
  <c r="D810" i="8"/>
  <c r="C810" i="8"/>
  <c r="V809" i="8"/>
  <c r="U809" i="8"/>
  <c r="T809" i="8"/>
  <c r="S809" i="8"/>
  <c r="R809" i="8"/>
  <c r="P809" i="8"/>
  <c r="O809" i="8"/>
  <c r="M809" i="8"/>
  <c r="L809" i="8"/>
  <c r="K809" i="8"/>
  <c r="J809" i="8"/>
  <c r="I809" i="8"/>
  <c r="H809" i="8"/>
  <c r="G809" i="8"/>
  <c r="E809" i="8"/>
  <c r="D809" i="8"/>
  <c r="C809" i="8"/>
  <c r="V808" i="8"/>
  <c r="U808" i="8"/>
  <c r="T808" i="8"/>
  <c r="S808" i="8"/>
  <c r="R808" i="8"/>
  <c r="P808" i="8"/>
  <c r="O808" i="8"/>
  <c r="M808" i="8"/>
  <c r="L808" i="8"/>
  <c r="K808" i="8"/>
  <c r="J808" i="8"/>
  <c r="I808" i="8"/>
  <c r="H808" i="8"/>
  <c r="G808" i="8"/>
  <c r="E808" i="8"/>
  <c r="D808" i="8"/>
  <c r="C808" i="8"/>
  <c r="V807" i="8"/>
  <c r="U807" i="8"/>
  <c r="T807" i="8"/>
  <c r="S807" i="8"/>
  <c r="R807" i="8"/>
  <c r="P807" i="8"/>
  <c r="O807" i="8"/>
  <c r="M807" i="8"/>
  <c r="L807" i="8"/>
  <c r="K807" i="8"/>
  <c r="J807" i="8"/>
  <c r="I807" i="8"/>
  <c r="H807" i="8"/>
  <c r="G807" i="8"/>
  <c r="E807" i="8"/>
  <c r="D807" i="8"/>
  <c r="C807" i="8"/>
  <c r="V806" i="8"/>
  <c r="U806" i="8"/>
  <c r="T806" i="8"/>
  <c r="S806" i="8"/>
  <c r="R806" i="8"/>
  <c r="P806" i="8"/>
  <c r="O806" i="8"/>
  <c r="M806" i="8"/>
  <c r="L806" i="8"/>
  <c r="K806" i="8"/>
  <c r="J806" i="8"/>
  <c r="I806" i="8"/>
  <c r="H806" i="8"/>
  <c r="G806" i="8"/>
  <c r="E806" i="8"/>
  <c r="D806" i="8"/>
  <c r="C806" i="8"/>
  <c r="V805" i="8"/>
  <c r="U805" i="8"/>
  <c r="T805" i="8"/>
  <c r="S805" i="8"/>
  <c r="R805" i="8"/>
  <c r="P805" i="8"/>
  <c r="O805" i="8"/>
  <c r="M805" i="8"/>
  <c r="L805" i="8"/>
  <c r="K805" i="8"/>
  <c r="J805" i="8"/>
  <c r="I805" i="8"/>
  <c r="H805" i="8"/>
  <c r="G805" i="8"/>
  <c r="E805" i="8"/>
  <c r="D805" i="8"/>
  <c r="C805" i="8"/>
  <c r="V804" i="8"/>
  <c r="U804" i="8"/>
  <c r="T804" i="8"/>
  <c r="S804" i="8"/>
  <c r="R804" i="8"/>
  <c r="P804" i="8"/>
  <c r="O804" i="8"/>
  <c r="M804" i="8"/>
  <c r="L804" i="8"/>
  <c r="K804" i="8"/>
  <c r="J804" i="8"/>
  <c r="I804" i="8"/>
  <c r="H804" i="8"/>
  <c r="G804" i="8"/>
  <c r="E804" i="8"/>
  <c r="D804" i="8"/>
  <c r="C804" i="8"/>
  <c r="V803" i="8"/>
  <c r="U803" i="8"/>
  <c r="T803" i="8"/>
  <c r="S803" i="8"/>
  <c r="R803" i="8"/>
  <c r="P803" i="8"/>
  <c r="O803" i="8"/>
  <c r="M803" i="8"/>
  <c r="L803" i="8"/>
  <c r="K803" i="8"/>
  <c r="J803" i="8"/>
  <c r="I803" i="8"/>
  <c r="H803" i="8"/>
  <c r="G803" i="8"/>
  <c r="E803" i="8"/>
  <c r="D803" i="8"/>
  <c r="C803" i="8"/>
  <c r="V802" i="8"/>
  <c r="U802" i="8"/>
  <c r="T802" i="8"/>
  <c r="S802" i="8"/>
  <c r="R802" i="8"/>
  <c r="P802" i="8"/>
  <c r="O802" i="8"/>
  <c r="M802" i="8"/>
  <c r="L802" i="8"/>
  <c r="K802" i="8"/>
  <c r="J802" i="8"/>
  <c r="I802" i="8"/>
  <c r="H802" i="8"/>
  <c r="G802" i="8"/>
  <c r="E802" i="8"/>
  <c r="D802" i="8"/>
  <c r="C802" i="8"/>
  <c r="V801" i="8"/>
  <c r="U801" i="8"/>
  <c r="T801" i="8"/>
  <c r="S801" i="8"/>
  <c r="R801" i="8"/>
  <c r="P801" i="8"/>
  <c r="O801" i="8"/>
  <c r="M801" i="8"/>
  <c r="L801" i="8"/>
  <c r="K801" i="8"/>
  <c r="J801" i="8"/>
  <c r="I801" i="8"/>
  <c r="H801" i="8"/>
  <c r="G801" i="8"/>
  <c r="E801" i="8"/>
  <c r="D801" i="8"/>
  <c r="C801" i="8"/>
  <c r="V800" i="8"/>
  <c r="U800" i="8"/>
  <c r="T800" i="8"/>
  <c r="S800" i="8"/>
  <c r="R800" i="8"/>
  <c r="P800" i="8"/>
  <c r="O800" i="8"/>
  <c r="M800" i="8"/>
  <c r="L800" i="8"/>
  <c r="K800" i="8"/>
  <c r="J800" i="8"/>
  <c r="I800" i="8"/>
  <c r="H800" i="8"/>
  <c r="G800" i="8"/>
  <c r="E800" i="8"/>
  <c r="D800" i="8"/>
  <c r="C800" i="8"/>
  <c r="V799" i="8"/>
  <c r="U799" i="8"/>
  <c r="T799" i="8"/>
  <c r="S799" i="8"/>
  <c r="R799" i="8"/>
  <c r="P799" i="8"/>
  <c r="O799" i="8"/>
  <c r="M799" i="8"/>
  <c r="L799" i="8"/>
  <c r="K799" i="8"/>
  <c r="J799" i="8"/>
  <c r="I799" i="8"/>
  <c r="H799" i="8"/>
  <c r="G799" i="8"/>
  <c r="E799" i="8"/>
  <c r="D799" i="8"/>
  <c r="C799" i="8"/>
  <c r="V798" i="8"/>
  <c r="U798" i="8"/>
  <c r="T798" i="8"/>
  <c r="S798" i="8"/>
  <c r="R798" i="8"/>
  <c r="P798" i="8"/>
  <c r="O798" i="8"/>
  <c r="M798" i="8"/>
  <c r="L798" i="8"/>
  <c r="K798" i="8"/>
  <c r="J798" i="8"/>
  <c r="I798" i="8"/>
  <c r="H798" i="8"/>
  <c r="G798" i="8"/>
  <c r="E798" i="8"/>
  <c r="D798" i="8"/>
  <c r="C798" i="8"/>
  <c r="V797" i="8"/>
  <c r="U797" i="8"/>
  <c r="T797" i="8"/>
  <c r="S797" i="8"/>
  <c r="R797" i="8"/>
  <c r="P797" i="8"/>
  <c r="O797" i="8"/>
  <c r="M797" i="8"/>
  <c r="L797" i="8"/>
  <c r="K797" i="8"/>
  <c r="J797" i="8"/>
  <c r="I797" i="8"/>
  <c r="H797" i="8"/>
  <c r="G797" i="8"/>
  <c r="E797" i="8"/>
  <c r="D797" i="8"/>
  <c r="C797" i="8"/>
  <c r="V796" i="8"/>
  <c r="U796" i="8"/>
  <c r="T796" i="8"/>
  <c r="S796" i="8"/>
  <c r="R796" i="8"/>
  <c r="P796" i="8"/>
  <c r="O796" i="8"/>
  <c r="M796" i="8"/>
  <c r="L796" i="8"/>
  <c r="K796" i="8"/>
  <c r="J796" i="8"/>
  <c r="I796" i="8"/>
  <c r="H796" i="8"/>
  <c r="G796" i="8"/>
  <c r="E796" i="8"/>
  <c r="D796" i="8"/>
  <c r="C796" i="8"/>
  <c r="V795" i="8"/>
  <c r="U795" i="8"/>
  <c r="T795" i="8"/>
  <c r="S795" i="8"/>
  <c r="R795" i="8"/>
  <c r="P795" i="8"/>
  <c r="O795" i="8"/>
  <c r="M795" i="8"/>
  <c r="L795" i="8"/>
  <c r="K795" i="8"/>
  <c r="J795" i="8"/>
  <c r="I795" i="8"/>
  <c r="H795" i="8"/>
  <c r="G795" i="8"/>
  <c r="E795" i="8"/>
  <c r="D795" i="8"/>
  <c r="C795" i="8"/>
  <c r="V794" i="8"/>
  <c r="U794" i="8"/>
  <c r="T794" i="8"/>
  <c r="S794" i="8"/>
  <c r="R794" i="8"/>
  <c r="P794" i="8"/>
  <c r="O794" i="8"/>
  <c r="M794" i="8"/>
  <c r="L794" i="8"/>
  <c r="K794" i="8"/>
  <c r="J794" i="8"/>
  <c r="I794" i="8"/>
  <c r="H794" i="8"/>
  <c r="G794" i="8"/>
  <c r="E794" i="8"/>
  <c r="D794" i="8"/>
  <c r="C794" i="8"/>
  <c r="V793" i="8"/>
  <c r="U793" i="8"/>
  <c r="T793" i="8"/>
  <c r="S793" i="8"/>
  <c r="R793" i="8"/>
  <c r="P793" i="8"/>
  <c r="O793" i="8"/>
  <c r="M793" i="8"/>
  <c r="L793" i="8"/>
  <c r="K793" i="8"/>
  <c r="J793" i="8"/>
  <c r="I793" i="8"/>
  <c r="H793" i="8"/>
  <c r="G793" i="8"/>
  <c r="E793" i="8"/>
  <c r="D793" i="8"/>
  <c r="C793" i="8"/>
  <c r="V792" i="8"/>
  <c r="U792" i="8"/>
  <c r="T792" i="8"/>
  <c r="S792" i="8"/>
  <c r="R792" i="8"/>
  <c r="P792" i="8"/>
  <c r="O792" i="8"/>
  <c r="M792" i="8"/>
  <c r="L792" i="8"/>
  <c r="K792" i="8"/>
  <c r="J792" i="8"/>
  <c r="I792" i="8"/>
  <c r="H792" i="8"/>
  <c r="G792" i="8"/>
  <c r="E792" i="8"/>
  <c r="D792" i="8"/>
  <c r="C792" i="8"/>
  <c r="V791" i="8"/>
  <c r="U791" i="8"/>
  <c r="T791" i="8"/>
  <c r="S791" i="8"/>
  <c r="R791" i="8"/>
  <c r="P791" i="8"/>
  <c r="O791" i="8"/>
  <c r="M791" i="8"/>
  <c r="L791" i="8"/>
  <c r="K791" i="8"/>
  <c r="J791" i="8"/>
  <c r="I791" i="8"/>
  <c r="H791" i="8"/>
  <c r="G791" i="8"/>
  <c r="E791" i="8"/>
  <c r="D791" i="8"/>
  <c r="C791" i="8"/>
  <c r="V790" i="8"/>
  <c r="U790" i="8"/>
  <c r="T790" i="8"/>
  <c r="S790" i="8"/>
  <c r="R790" i="8"/>
  <c r="P790" i="8"/>
  <c r="O790" i="8"/>
  <c r="M790" i="8"/>
  <c r="L790" i="8"/>
  <c r="K790" i="8"/>
  <c r="J790" i="8"/>
  <c r="I790" i="8"/>
  <c r="H790" i="8"/>
  <c r="G790" i="8"/>
  <c r="E790" i="8"/>
  <c r="D790" i="8"/>
  <c r="C790" i="8"/>
  <c r="V789" i="8"/>
  <c r="U789" i="8"/>
  <c r="T789" i="8"/>
  <c r="S789" i="8"/>
  <c r="R789" i="8"/>
  <c r="P789" i="8"/>
  <c r="O789" i="8"/>
  <c r="M789" i="8"/>
  <c r="L789" i="8"/>
  <c r="K789" i="8"/>
  <c r="J789" i="8"/>
  <c r="I789" i="8"/>
  <c r="H789" i="8"/>
  <c r="G789" i="8"/>
  <c r="E789" i="8"/>
  <c r="D789" i="8"/>
  <c r="C789" i="8"/>
  <c r="V788" i="8"/>
  <c r="U788" i="8"/>
  <c r="T788" i="8"/>
  <c r="S788" i="8"/>
  <c r="R788" i="8"/>
  <c r="P788" i="8"/>
  <c r="O788" i="8"/>
  <c r="M788" i="8"/>
  <c r="L788" i="8"/>
  <c r="K788" i="8"/>
  <c r="J788" i="8"/>
  <c r="I788" i="8"/>
  <c r="H788" i="8"/>
  <c r="G788" i="8"/>
  <c r="E788" i="8"/>
  <c r="D788" i="8"/>
  <c r="C788" i="8"/>
  <c r="V787" i="8"/>
  <c r="U787" i="8"/>
  <c r="T787" i="8"/>
  <c r="S787" i="8"/>
  <c r="R787" i="8"/>
  <c r="P787" i="8"/>
  <c r="O787" i="8"/>
  <c r="M787" i="8"/>
  <c r="L787" i="8"/>
  <c r="K787" i="8"/>
  <c r="J787" i="8"/>
  <c r="I787" i="8"/>
  <c r="H787" i="8"/>
  <c r="G787" i="8"/>
  <c r="E787" i="8"/>
  <c r="D787" i="8"/>
  <c r="C787" i="8"/>
  <c r="V786" i="8"/>
  <c r="U786" i="8"/>
  <c r="T786" i="8"/>
  <c r="S786" i="8"/>
  <c r="R786" i="8"/>
  <c r="P786" i="8"/>
  <c r="O786" i="8"/>
  <c r="M786" i="8"/>
  <c r="L786" i="8"/>
  <c r="K786" i="8"/>
  <c r="J786" i="8"/>
  <c r="I786" i="8"/>
  <c r="H786" i="8"/>
  <c r="G786" i="8"/>
  <c r="E786" i="8"/>
  <c r="D786" i="8"/>
  <c r="C786" i="8"/>
  <c r="V785" i="8"/>
  <c r="U785" i="8"/>
  <c r="T785" i="8"/>
  <c r="S785" i="8"/>
  <c r="R785" i="8"/>
  <c r="P785" i="8"/>
  <c r="O785" i="8"/>
  <c r="M785" i="8"/>
  <c r="L785" i="8"/>
  <c r="K785" i="8"/>
  <c r="J785" i="8"/>
  <c r="I785" i="8"/>
  <c r="H785" i="8"/>
  <c r="G785" i="8"/>
  <c r="E785" i="8"/>
  <c r="D785" i="8"/>
  <c r="C785" i="8"/>
  <c r="V784" i="8"/>
  <c r="U784" i="8"/>
  <c r="T784" i="8"/>
  <c r="S784" i="8"/>
  <c r="R784" i="8"/>
  <c r="P784" i="8"/>
  <c r="O784" i="8"/>
  <c r="M784" i="8"/>
  <c r="L784" i="8"/>
  <c r="K784" i="8"/>
  <c r="J784" i="8"/>
  <c r="I784" i="8"/>
  <c r="H784" i="8"/>
  <c r="G784" i="8"/>
  <c r="E784" i="8"/>
  <c r="D784" i="8"/>
  <c r="C784" i="8"/>
  <c r="V783" i="8"/>
  <c r="U783" i="8"/>
  <c r="T783" i="8"/>
  <c r="S783" i="8"/>
  <c r="R783" i="8"/>
  <c r="P783" i="8"/>
  <c r="O783" i="8"/>
  <c r="M783" i="8"/>
  <c r="L783" i="8"/>
  <c r="K783" i="8"/>
  <c r="J783" i="8"/>
  <c r="I783" i="8"/>
  <c r="H783" i="8"/>
  <c r="G783" i="8"/>
  <c r="E783" i="8"/>
  <c r="D783" i="8"/>
  <c r="C783" i="8"/>
  <c r="V782" i="8"/>
  <c r="U782" i="8"/>
  <c r="T782" i="8"/>
  <c r="S782" i="8"/>
  <c r="R782" i="8"/>
  <c r="P782" i="8"/>
  <c r="O782" i="8"/>
  <c r="M782" i="8"/>
  <c r="L782" i="8"/>
  <c r="K782" i="8"/>
  <c r="J782" i="8"/>
  <c r="I782" i="8"/>
  <c r="H782" i="8"/>
  <c r="G782" i="8"/>
  <c r="E782" i="8"/>
  <c r="D782" i="8"/>
  <c r="C782" i="8"/>
  <c r="V781" i="8"/>
  <c r="U781" i="8"/>
  <c r="T781" i="8"/>
  <c r="S781" i="8"/>
  <c r="R781" i="8"/>
  <c r="P781" i="8"/>
  <c r="O781" i="8"/>
  <c r="M781" i="8"/>
  <c r="L781" i="8"/>
  <c r="K781" i="8"/>
  <c r="J781" i="8"/>
  <c r="I781" i="8"/>
  <c r="H781" i="8"/>
  <c r="G781" i="8"/>
  <c r="E781" i="8"/>
  <c r="D781" i="8"/>
  <c r="C781" i="8"/>
  <c r="V780" i="8"/>
  <c r="U780" i="8"/>
  <c r="T780" i="8"/>
  <c r="S780" i="8"/>
  <c r="R780" i="8"/>
  <c r="P780" i="8"/>
  <c r="O780" i="8"/>
  <c r="M780" i="8"/>
  <c r="L780" i="8"/>
  <c r="K780" i="8"/>
  <c r="J780" i="8"/>
  <c r="I780" i="8"/>
  <c r="H780" i="8"/>
  <c r="G780" i="8"/>
  <c r="E780" i="8"/>
  <c r="D780" i="8"/>
  <c r="C780" i="8"/>
  <c r="V779" i="8"/>
  <c r="U779" i="8"/>
  <c r="T779" i="8"/>
  <c r="S779" i="8"/>
  <c r="R779" i="8"/>
  <c r="P779" i="8"/>
  <c r="O779" i="8"/>
  <c r="M779" i="8"/>
  <c r="L779" i="8"/>
  <c r="K779" i="8"/>
  <c r="J779" i="8"/>
  <c r="I779" i="8"/>
  <c r="H779" i="8"/>
  <c r="G779" i="8"/>
  <c r="E779" i="8"/>
  <c r="D779" i="8"/>
  <c r="C779" i="8"/>
  <c r="V778" i="8"/>
  <c r="U778" i="8"/>
  <c r="T778" i="8"/>
  <c r="S778" i="8"/>
  <c r="R778" i="8"/>
  <c r="P778" i="8"/>
  <c r="O778" i="8"/>
  <c r="M778" i="8"/>
  <c r="L778" i="8"/>
  <c r="K778" i="8"/>
  <c r="J778" i="8"/>
  <c r="I778" i="8"/>
  <c r="H778" i="8"/>
  <c r="G778" i="8"/>
  <c r="E778" i="8"/>
  <c r="D778" i="8"/>
  <c r="C778" i="8"/>
  <c r="V777" i="8"/>
  <c r="U777" i="8"/>
  <c r="T777" i="8"/>
  <c r="S777" i="8"/>
  <c r="R777" i="8"/>
  <c r="P777" i="8"/>
  <c r="O777" i="8"/>
  <c r="M777" i="8"/>
  <c r="L777" i="8"/>
  <c r="K777" i="8"/>
  <c r="J777" i="8"/>
  <c r="I777" i="8"/>
  <c r="H777" i="8"/>
  <c r="G777" i="8"/>
  <c r="E777" i="8"/>
  <c r="D777" i="8"/>
  <c r="C777" i="8"/>
  <c r="V776" i="8"/>
  <c r="U776" i="8"/>
  <c r="T776" i="8"/>
  <c r="S776" i="8"/>
  <c r="R776" i="8"/>
  <c r="P776" i="8"/>
  <c r="O776" i="8"/>
  <c r="M776" i="8"/>
  <c r="L776" i="8"/>
  <c r="K776" i="8"/>
  <c r="J776" i="8"/>
  <c r="I776" i="8"/>
  <c r="H776" i="8"/>
  <c r="G776" i="8"/>
  <c r="E776" i="8"/>
  <c r="D776" i="8"/>
  <c r="C776" i="8"/>
  <c r="V775" i="8"/>
  <c r="U775" i="8"/>
  <c r="T775" i="8"/>
  <c r="S775" i="8"/>
  <c r="R775" i="8"/>
  <c r="P775" i="8"/>
  <c r="O775" i="8"/>
  <c r="M775" i="8"/>
  <c r="L775" i="8"/>
  <c r="K775" i="8"/>
  <c r="J775" i="8"/>
  <c r="I775" i="8"/>
  <c r="H775" i="8"/>
  <c r="G775" i="8"/>
  <c r="E775" i="8"/>
  <c r="D775" i="8"/>
  <c r="C775" i="8"/>
  <c r="V774" i="8"/>
  <c r="U774" i="8"/>
  <c r="T774" i="8"/>
  <c r="S774" i="8"/>
  <c r="R774" i="8"/>
  <c r="P774" i="8"/>
  <c r="O774" i="8"/>
  <c r="M774" i="8"/>
  <c r="L774" i="8"/>
  <c r="K774" i="8"/>
  <c r="J774" i="8"/>
  <c r="I774" i="8"/>
  <c r="H774" i="8"/>
  <c r="G774" i="8"/>
  <c r="E774" i="8"/>
  <c r="D774" i="8"/>
  <c r="C774" i="8"/>
  <c r="V773" i="8"/>
  <c r="U773" i="8"/>
  <c r="T773" i="8"/>
  <c r="S773" i="8"/>
  <c r="R773" i="8"/>
  <c r="P773" i="8"/>
  <c r="O773" i="8"/>
  <c r="M773" i="8"/>
  <c r="L773" i="8"/>
  <c r="K773" i="8"/>
  <c r="J773" i="8"/>
  <c r="I773" i="8"/>
  <c r="H773" i="8"/>
  <c r="G773" i="8"/>
  <c r="E773" i="8"/>
  <c r="D773" i="8"/>
  <c r="C773" i="8"/>
  <c r="V772" i="8"/>
  <c r="U772" i="8"/>
  <c r="T772" i="8"/>
  <c r="S772" i="8"/>
  <c r="R772" i="8"/>
  <c r="P772" i="8"/>
  <c r="O772" i="8"/>
  <c r="M772" i="8"/>
  <c r="L772" i="8"/>
  <c r="K772" i="8"/>
  <c r="J772" i="8"/>
  <c r="I772" i="8"/>
  <c r="H772" i="8"/>
  <c r="G772" i="8"/>
  <c r="E772" i="8"/>
  <c r="D772" i="8"/>
  <c r="C772" i="8"/>
  <c r="V771" i="8"/>
  <c r="U771" i="8"/>
  <c r="T771" i="8"/>
  <c r="S771" i="8"/>
  <c r="R771" i="8"/>
  <c r="P771" i="8"/>
  <c r="O771" i="8"/>
  <c r="M771" i="8"/>
  <c r="L771" i="8"/>
  <c r="K771" i="8"/>
  <c r="J771" i="8"/>
  <c r="I771" i="8"/>
  <c r="H771" i="8"/>
  <c r="G771" i="8"/>
  <c r="E771" i="8"/>
  <c r="D771" i="8"/>
  <c r="C771" i="8"/>
  <c r="V770" i="8"/>
  <c r="U770" i="8"/>
  <c r="T770" i="8"/>
  <c r="S770" i="8"/>
  <c r="R770" i="8"/>
  <c r="P770" i="8"/>
  <c r="O770" i="8"/>
  <c r="M770" i="8"/>
  <c r="L770" i="8"/>
  <c r="K770" i="8"/>
  <c r="J770" i="8"/>
  <c r="I770" i="8"/>
  <c r="H770" i="8"/>
  <c r="G770" i="8"/>
  <c r="E770" i="8"/>
  <c r="D770" i="8"/>
  <c r="C770" i="8"/>
  <c r="V769" i="8"/>
  <c r="U769" i="8"/>
  <c r="T769" i="8"/>
  <c r="S769" i="8"/>
  <c r="R769" i="8"/>
  <c r="P769" i="8"/>
  <c r="O769" i="8"/>
  <c r="M769" i="8"/>
  <c r="L769" i="8"/>
  <c r="K769" i="8"/>
  <c r="J769" i="8"/>
  <c r="I769" i="8"/>
  <c r="H769" i="8"/>
  <c r="G769" i="8"/>
  <c r="E769" i="8"/>
  <c r="D769" i="8"/>
  <c r="C769" i="8"/>
  <c r="V768" i="8"/>
  <c r="U768" i="8"/>
  <c r="T768" i="8"/>
  <c r="S768" i="8"/>
  <c r="R768" i="8"/>
  <c r="P768" i="8"/>
  <c r="O768" i="8"/>
  <c r="M768" i="8"/>
  <c r="L768" i="8"/>
  <c r="K768" i="8"/>
  <c r="J768" i="8"/>
  <c r="I768" i="8"/>
  <c r="H768" i="8"/>
  <c r="G768" i="8"/>
  <c r="E768" i="8"/>
  <c r="D768" i="8"/>
  <c r="C768" i="8"/>
  <c r="V767" i="8"/>
  <c r="U767" i="8"/>
  <c r="T767" i="8"/>
  <c r="S767" i="8"/>
  <c r="R767" i="8"/>
  <c r="P767" i="8"/>
  <c r="O767" i="8"/>
  <c r="M767" i="8"/>
  <c r="L767" i="8"/>
  <c r="K767" i="8"/>
  <c r="J767" i="8"/>
  <c r="I767" i="8"/>
  <c r="H767" i="8"/>
  <c r="G767" i="8"/>
  <c r="E767" i="8"/>
  <c r="D767" i="8"/>
  <c r="C767" i="8"/>
  <c r="V766" i="8"/>
  <c r="U766" i="8"/>
  <c r="T766" i="8"/>
  <c r="S766" i="8"/>
  <c r="R766" i="8"/>
  <c r="P766" i="8"/>
  <c r="O766" i="8"/>
  <c r="M766" i="8"/>
  <c r="L766" i="8"/>
  <c r="K766" i="8"/>
  <c r="J766" i="8"/>
  <c r="I766" i="8"/>
  <c r="H766" i="8"/>
  <c r="G766" i="8"/>
  <c r="E766" i="8"/>
  <c r="D766" i="8"/>
  <c r="C766" i="8"/>
  <c r="V765" i="8"/>
  <c r="U765" i="8"/>
  <c r="T765" i="8"/>
  <c r="S765" i="8"/>
  <c r="R765" i="8"/>
  <c r="P765" i="8"/>
  <c r="O765" i="8"/>
  <c r="M765" i="8"/>
  <c r="L765" i="8"/>
  <c r="K765" i="8"/>
  <c r="J765" i="8"/>
  <c r="I765" i="8"/>
  <c r="H765" i="8"/>
  <c r="G765" i="8"/>
  <c r="E765" i="8"/>
  <c r="D765" i="8"/>
  <c r="C765" i="8"/>
  <c r="V764" i="8"/>
  <c r="U764" i="8"/>
  <c r="T764" i="8"/>
  <c r="S764" i="8"/>
  <c r="R764" i="8"/>
  <c r="P764" i="8"/>
  <c r="O764" i="8"/>
  <c r="M764" i="8"/>
  <c r="L764" i="8"/>
  <c r="K764" i="8"/>
  <c r="J764" i="8"/>
  <c r="I764" i="8"/>
  <c r="H764" i="8"/>
  <c r="G764" i="8"/>
  <c r="E764" i="8"/>
  <c r="D764" i="8"/>
  <c r="C764" i="8"/>
  <c r="V763" i="8"/>
  <c r="U763" i="8"/>
  <c r="T763" i="8"/>
  <c r="S763" i="8"/>
  <c r="R763" i="8"/>
  <c r="P763" i="8"/>
  <c r="O763" i="8"/>
  <c r="M763" i="8"/>
  <c r="L763" i="8"/>
  <c r="K763" i="8"/>
  <c r="J763" i="8"/>
  <c r="I763" i="8"/>
  <c r="H763" i="8"/>
  <c r="G763" i="8"/>
  <c r="E763" i="8"/>
  <c r="D763" i="8"/>
  <c r="C763" i="8"/>
  <c r="V762" i="8"/>
  <c r="U762" i="8"/>
  <c r="T762" i="8"/>
  <c r="S762" i="8"/>
  <c r="R762" i="8"/>
  <c r="P762" i="8"/>
  <c r="O762" i="8"/>
  <c r="M762" i="8"/>
  <c r="L762" i="8"/>
  <c r="K762" i="8"/>
  <c r="J762" i="8"/>
  <c r="I762" i="8"/>
  <c r="H762" i="8"/>
  <c r="G762" i="8"/>
  <c r="E762" i="8"/>
  <c r="D762" i="8"/>
  <c r="C762" i="8"/>
  <c r="V761" i="8"/>
  <c r="U761" i="8"/>
  <c r="T761" i="8"/>
  <c r="S761" i="8"/>
  <c r="R761" i="8"/>
  <c r="P761" i="8"/>
  <c r="O761" i="8"/>
  <c r="M761" i="8"/>
  <c r="L761" i="8"/>
  <c r="K761" i="8"/>
  <c r="J761" i="8"/>
  <c r="I761" i="8"/>
  <c r="H761" i="8"/>
  <c r="G761" i="8"/>
  <c r="E761" i="8"/>
  <c r="D761" i="8"/>
  <c r="C761" i="8"/>
  <c r="V760" i="8"/>
  <c r="U760" i="8"/>
  <c r="T760" i="8"/>
  <c r="S760" i="8"/>
  <c r="R760" i="8"/>
  <c r="P760" i="8"/>
  <c r="O760" i="8"/>
  <c r="M760" i="8"/>
  <c r="L760" i="8"/>
  <c r="K760" i="8"/>
  <c r="J760" i="8"/>
  <c r="I760" i="8"/>
  <c r="H760" i="8"/>
  <c r="G760" i="8"/>
  <c r="E760" i="8"/>
  <c r="D760" i="8"/>
  <c r="C760" i="8"/>
  <c r="V759" i="8"/>
  <c r="U759" i="8"/>
  <c r="T759" i="8"/>
  <c r="S759" i="8"/>
  <c r="R759" i="8"/>
  <c r="P759" i="8"/>
  <c r="O759" i="8"/>
  <c r="M759" i="8"/>
  <c r="L759" i="8"/>
  <c r="K759" i="8"/>
  <c r="J759" i="8"/>
  <c r="I759" i="8"/>
  <c r="H759" i="8"/>
  <c r="G759" i="8"/>
  <c r="E759" i="8"/>
  <c r="D759" i="8"/>
  <c r="C759" i="8"/>
  <c r="V758" i="8"/>
  <c r="U758" i="8"/>
  <c r="T758" i="8"/>
  <c r="S758" i="8"/>
  <c r="R758" i="8"/>
  <c r="P758" i="8"/>
  <c r="O758" i="8"/>
  <c r="M758" i="8"/>
  <c r="L758" i="8"/>
  <c r="K758" i="8"/>
  <c r="J758" i="8"/>
  <c r="I758" i="8"/>
  <c r="H758" i="8"/>
  <c r="G758" i="8"/>
  <c r="E758" i="8"/>
  <c r="D758" i="8"/>
  <c r="C758" i="8"/>
  <c r="V757" i="8"/>
  <c r="U757" i="8"/>
  <c r="T757" i="8"/>
  <c r="S757" i="8"/>
  <c r="R757" i="8"/>
  <c r="P757" i="8"/>
  <c r="O757" i="8"/>
  <c r="M757" i="8"/>
  <c r="L757" i="8"/>
  <c r="K757" i="8"/>
  <c r="J757" i="8"/>
  <c r="I757" i="8"/>
  <c r="H757" i="8"/>
  <c r="G757" i="8"/>
  <c r="E757" i="8"/>
  <c r="D757" i="8"/>
  <c r="C757" i="8"/>
  <c r="V756" i="8"/>
  <c r="U756" i="8"/>
  <c r="T756" i="8"/>
  <c r="S756" i="8"/>
  <c r="R756" i="8"/>
  <c r="P756" i="8"/>
  <c r="O756" i="8"/>
  <c r="M756" i="8"/>
  <c r="L756" i="8"/>
  <c r="K756" i="8"/>
  <c r="J756" i="8"/>
  <c r="I756" i="8"/>
  <c r="H756" i="8"/>
  <c r="G756" i="8"/>
  <c r="E756" i="8"/>
  <c r="D756" i="8"/>
  <c r="C756" i="8"/>
  <c r="V755" i="8"/>
  <c r="U755" i="8"/>
  <c r="T755" i="8"/>
  <c r="S755" i="8"/>
  <c r="R755" i="8"/>
  <c r="P755" i="8"/>
  <c r="O755" i="8"/>
  <c r="M755" i="8"/>
  <c r="L755" i="8"/>
  <c r="K755" i="8"/>
  <c r="J755" i="8"/>
  <c r="I755" i="8"/>
  <c r="H755" i="8"/>
  <c r="G755" i="8"/>
  <c r="E755" i="8"/>
  <c r="D755" i="8"/>
  <c r="C755" i="8"/>
  <c r="V754" i="8"/>
  <c r="U754" i="8"/>
  <c r="T754" i="8"/>
  <c r="S754" i="8"/>
  <c r="R754" i="8"/>
  <c r="P754" i="8"/>
  <c r="O754" i="8"/>
  <c r="M754" i="8"/>
  <c r="L754" i="8"/>
  <c r="K754" i="8"/>
  <c r="J754" i="8"/>
  <c r="I754" i="8"/>
  <c r="H754" i="8"/>
  <c r="G754" i="8"/>
  <c r="E754" i="8"/>
  <c r="D754" i="8"/>
  <c r="C754" i="8"/>
  <c r="V753" i="8"/>
  <c r="U753" i="8"/>
  <c r="T753" i="8"/>
  <c r="S753" i="8"/>
  <c r="R753" i="8"/>
  <c r="P753" i="8"/>
  <c r="O753" i="8"/>
  <c r="M753" i="8"/>
  <c r="L753" i="8"/>
  <c r="K753" i="8"/>
  <c r="J753" i="8"/>
  <c r="I753" i="8"/>
  <c r="H753" i="8"/>
  <c r="G753" i="8"/>
  <c r="E753" i="8"/>
  <c r="D753" i="8"/>
  <c r="C753" i="8"/>
  <c r="V752" i="8"/>
  <c r="U752" i="8"/>
  <c r="T752" i="8"/>
  <c r="S752" i="8"/>
  <c r="R752" i="8"/>
  <c r="P752" i="8"/>
  <c r="O752" i="8"/>
  <c r="M752" i="8"/>
  <c r="L752" i="8"/>
  <c r="K752" i="8"/>
  <c r="J752" i="8"/>
  <c r="I752" i="8"/>
  <c r="H752" i="8"/>
  <c r="G752" i="8"/>
  <c r="E752" i="8"/>
  <c r="D752" i="8"/>
  <c r="C752" i="8"/>
  <c r="V751" i="8"/>
  <c r="U751" i="8"/>
  <c r="T751" i="8"/>
  <c r="S751" i="8"/>
  <c r="R751" i="8"/>
  <c r="P751" i="8"/>
  <c r="O751" i="8"/>
  <c r="M751" i="8"/>
  <c r="L751" i="8"/>
  <c r="K751" i="8"/>
  <c r="J751" i="8"/>
  <c r="I751" i="8"/>
  <c r="H751" i="8"/>
  <c r="G751" i="8"/>
  <c r="E751" i="8"/>
  <c r="D751" i="8"/>
  <c r="C751" i="8"/>
  <c r="V750" i="8"/>
  <c r="U750" i="8"/>
  <c r="T750" i="8"/>
  <c r="S750" i="8"/>
  <c r="R750" i="8"/>
  <c r="P750" i="8"/>
  <c r="O750" i="8"/>
  <c r="M750" i="8"/>
  <c r="L750" i="8"/>
  <c r="K750" i="8"/>
  <c r="J750" i="8"/>
  <c r="I750" i="8"/>
  <c r="H750" i="8"/>
  <c r="G750" i="8"/>
  <c r="E750" i="8"/>
  <c r="D750" i="8"/>
  <c r="C750" i="8"/>
  <c r="V749" i="8"/>
  <c r="U749" i="8"/>
  <c r="T749" i="8"/>
  <c r="S749" i="8"/>
  <c r="R749" i="8"/>
  <c r="P749" i="8"/>
  <c r="O749" i="8"/>
  <c r="M749" i="8"/>
  <c r="L749" i="8"/>
  <c r="K749" i="8"/>
  <c r="J749" i="8"/>
  <c r="I749" i="8"/>
  <c r="H749" i="8"/>
  <c r="G749" i="8"/>
  <c r="E749" i="8"/>
  <c r="D749" i="8"/>
  <c r="C749" i="8"/>
  <c r="V748" i="8"/>
  <c r="U748" i="8"/>
  <c r="T748" i="8"/>
  <c r="S748" i="8"/>
  <c r="R748" i="8"/>
  <c r="P748" i="8"/>
  <c r="O748" i="8"/>
  <c r="M748" i="8"/>
  <c r="L748" i="8"/>
  <c r="K748" i="8"/>
  <c r="J748" i="8"/>
  <c r="I748" i="8"/>
  <c r="H748" i="8"/>
  <c r="G748" i="8"/>
  <c r="E748" i="8"/>
  <c r="D748" i="8"/>
  <c r="C748" i="8"/>
  <c r="V747" i="8"/>
  <c r="U747" i="8"/>
  <c r="T747" i="8"/>
  <c r="S747" i="8"/>
  <c r="R747" i="8"/>
  <c r="P747" i="8"/>
  <c r="O747" i="8"/>
  <c r="M747" i="8"/>
  <c r="L747" i="8"/>
  <c r="K747" i="8"/>
  <c r="J747" i="8"/>
  <c r="I747" i="8"/>
  <c r="H747" i="8"/>
  <c r="G747" i="8"/>
  <c r="E747" i="8"/>
  <c r="D747" i="8"/>
  <c r="C747" i="8"/>
  <c r="V746" i="8"/>
  <c r="U746" i="8"/>
  <c r="T746" i="8"/>
  <c r="S746" i="8"/>
  <c r="R746" i="8"/>
  <c r="P746" i="8"/>
  <c r="O746" i="8"/>
  <c r="M746" i="8"/>
  <c r="L746" i="8"/>
  <c r="K746" i="8"/>
  <c r="J746" i="8"/>
  <c r="I746" i="8"/>
  <c r="H746" i="8"/>
  <c r="G746" i="8"/>
  <c r="E746" i="8"/>
  <c r="D746" i="8"/>
  <c r="C746" i="8"/>
  <c r="V745" i="8"/>
  <c r="U745" i="8"/>
  <c r="T745" i="8"/>
  <c r="S745" i="8"/>
  <c r="R745" i="8"/>
  <c r="P745" i="8"/>
  <c r="O745" i="8"/>
  <c r="M745" i="8"/>
  <c r="L745" i="8"/>
  <c r="K745" i="8"/>
  <c r="J745" i="8"/>
  <c r="I745" i="8"/>
  <c r="H745" i="8"/>
  <c r="G745" i="8"/>
  <c r="E745" i="8"/>
  <c r="D745" i="8"/>
  <c r="C745" i="8"/>
  <c r="V744" i="8"/>
  <c r="U744" i="8"/>
  <c r="T744" i="8"/>
  <c r="S744" i="8"/>
  <c r="R744" i="8"/>
  <c r="P744" i="8"/>
  <c r="O744" i="8"/>
  <c r="M744" i="8"/>
  <c r="L744" i="8"/>
  <c r="K744" i="8"/>
  <c r="J744" i="8"/>
  <c r="I744" i="8"/>
  <c r="H744" i="8"/>
  <c r="G744" i="8"/>
  <c r="E744" i="8"/>
  <c r="D744" i="8"/>
  <c r="C744" i="8"/>
  <c r="V743" i="8"/>
  <c r="U743" i="8"/>
  <c r="T743" i="8"/>
  <c r="S743" i="8"/>
  <c r="R743" i="8"/>
  <c r="P743" i="8"/>
  <c r="O743" i="8"/>
  <c r="M743" i="8"/>
  <c r="L743" i="8"/>
  <c r="K743" i="8"/>
  <c r="J743" i="8"/>
  <c r="I743" i="8"/>
  <c r="H743" i="8"/>
  <c r="G743" i="8"/>
  <c r="E743" i="8"/>
  <c r="D743" i="8"/>
  <c r="C743" i="8"/>
  <c r="V742" i="8"/>
  <c r="U742" i="8"/>
  <c r="T742" i="8"/>
  <c r="S742" i="8"/>
  <c r="R742" i="8"/>
  <c r="P742" i="8"/>
  <c r="O742" i="8"/>
  <c r="M742" i="8"/>
  <c r="L742" i="8"/>
  <c r="K742" i="8"/>
  <c r="J742" i="8"/>
  <c r="I742" i="8"/>
  <c r="H742" i="8"/>
  <c r="G742" i="8"/>
  <c r="E742" i="8"/>
  <c r="D742" i="8"/>
  <c r="C742" i="8"/>
  <c r="V741" i="8"/>
  <c r="U741" i="8"/>
  <c r="T741" i="8"/>
  <c r="S741" i="8"/>
  <c r="R741" i="8"/>
  <c r="P741" i="8"/>
  <c r="O741" i="8"/>
  <c r="M741" i="8"/>
  <c r="L741" i="8"/>
  <c r="K741" i="8"/>
  <c r="J741" i="8"/>
  <c r="I741" i="8"/>
  <c r="H741" i="8"/>
  <c r="G741" i="8"/>
  <c r="E741" i="8"/>
  <c r="D741" i="8"/>
  <c r="C741" i="8"/>
  <c r="V740" i="8"/>
  <c r="U740" i="8"/>
  <c r="T740" i="8"/>
  <c r="S740" i="8"/>
  <c r="R740" i="8"/>
  <c r="P740" i="8"/>
  <c r="O740" i="8"/>
  <c r="M740" i="8"/>
  <c r="L740" i="8"/>
  <c r="K740" i="8"/>
  <c r="J740" i="8"/>
  <c r="I740" i="8"/>
  <c r="H740" i="8"/>
  <c r="G740" i="8"/>
  <c r="E740" i="8"/>
  <c r="D740" i="8"/>
  <c r="C740" i="8"/>
  <c r="V739" i="8"/>
  <c r="U739" i="8"/>
  <c r="T739" i="8"/>
  <c r="S739" i="8"/>
  <c r="R739" i="8"/>
  <c r="P739" i="8"/>
  <c r="O739" i="8"/>
  <c r="M739" i="8"/>
  <c r="L739" i="8"/>
  <c r="K739" i="8"/>
  <c r="J739" i="8"/>
  <c r="I739" i="8"/>
  <c r="H739" i="8"/>
  <c r="G739" i="8"/>
  <c r="E739" i="8"/>
  <c r="D739" i="8"/>
  <c r="C739" i="8"/>
  <c r="V738" i="8"/>
  <c r="U738" i="8"/>
  <c r="T738" i="8"/>
  <c r="S738" i="8"/>
  <c r="R738" i="8"/>
  <c r="P738" i="8"/>
  <c r="O738" i="8"/>
  <c r="M738" i="8"/>
  <c r="L738" i="8"/>
  <c r="K738" i="8"/>
  <c r="J738" i="8"/>
  <c r="I738" i="8"/>
  <c r="H738" i="8"/>
  <c r="G738" i="8"/>
  <c r="E738" i="8"/>
  <c r="D738" i="8"/>
  <c r="C738" i="8"/>
  <c r="V737" i="8"/>
  <c r="U737" i="8"/>
  <c r="T737" i="8"/>
  <c r="S737" i="8"/>
  <c r="R737" i="8"/>
  <c r="P737" i="8"/>
  <c r="O737" i="8"/>
  <c r="M737" i="8"/>
  <c r="L737" i="8"/>
  <c r="K737" i="8"/>
  <c r="J737" i="8"/>
  <c r="I737" i="8"/>
  <c r="H737" i="8"/>
  <c r="G737" i="8"/>
  <c r="E737" i="8"/>
  <c r="D737" i="8"/>
  <c r="C737" i="8"/>
  <c r="V736" i="8"/>
  <c r="U736" i="8"/>
  <c r="T736" i="8"/>
  <c r="S736" i="8"/>
  <c r="R736" i="8"/>
  <c r="P736" i="8"/>
  <c r="O736" i="8"/>
  <c r="M736" i="8"/>
  <c r="L736" i="8"/>
  <c r="K736" i="8"/>
  <c r="J736" i="8"/>
  <c r="I736" i="8"/>
  <c r="H736" i="8"/>
  <c r="G736" i="8"/>
  <c r="E736" i="8"/>
  <c r="D736" i="8"/>
  <c r="C736" i="8"/>
  <c r="V735" i="8"/>
  <c r="U735" i="8"/>
  <c r="T735" i="8"/>
  <c r="S735" i="8"/>
  <c r="R735" i="8"/>
  <c r="P735" i="8"/>
  <c r="O735" i="8"/>
  <c r="M735" i="8"/>
  <c r="L735" i="8"/>
  <c r="K735" i="8"/>
  <c r="J735" i="8"/>
  <c r="I735" i="8"/>
  <c r="H735" i="8"/>
  <c r="G735" i="8"/>
  <c r="E735" i="8"/>
  <c r="D735" i="8"/>
  <c r="C735" i="8"/>
  <c r="V734" i="8"/>
  <c r="U734" i="8"/>
  <c r="T734" i="8"/>
  <c r="S734" i="8"/>
  <c r="R734" i="8"/>
  <c r="P734" i="8"/>
  <c r="O734" i="8"/>
  <c r="M734" i="8"/>
  <c r="L734" i="8"/>
  <c r="K734" i="8"/>
  <c r="J734" i="8"/>
  <c r="I734" i="8"/>
  <c r="H734" i="8"/>
  <c r="G734" i="8"/>
  <c r="E734" i="8"/>
  <c r="D734" i="8"/>
  <c r="C734" i="8"/>
  <c r="V733" i="8"/>
  <c r="U733" i="8"/>
  <c r="T733" i="8"/>
  <c r="S733" i="8"/>
  <c r="R733" i="8"/>
  <c r="P733" i="8"/>
  <c r="O733" i="8"/>
  <c r="M733" i="8"/>
  <c r="L733" i="8"/>
  <c r="K733" i="8"/>
  <c r="J733" i="8"/>
  <c r="I733" i="8"/>
  <c r="H733" i="8"/>
  <c r="G733" i="8"/>
  <c r="E733" i="8"/>
  <c r="D733" i="8"/>
  <c r="C733" i="8"/>
  <c r="V732" i="8"/>
  <c r="U732" i="8"/>
  <c r="T732" i="8"/>
  <c r="S732" i="8"/>
  <c r="R732" i="8"/>
  <c r="P732" i="8"/>
  <c r="O732" i="8"/>
  <c r="M732" i="8"/>
  <c r="L732" i="8"/>
  <c r="K732" i="8"/>
  <c r="J732" i="8"/>
  <c r="I732" i="8"/>
  <c r="H732" i="8"/>
  <c r="G732" i="8"/>
  <c r="E732" i="8"/>
  <c r="D732" i="8"/>
  <c r="C732" i="8"/>
  <c r="V731" i="8"/>
  <c r="U731" i="8"/>
  <c r="T731" i="8"/>
  <c r="S731" i="8"/>
  <c r="R731" i="8"/>
  <c r="P731" i="8"/>
  <c r="O731" i="8"/>
  <c r="M731" i="8"/>
  <c r="L731" i="8"/>
  <c r="K731" i="8"/>
  <c r="J731" i="8"/>
  <c r="I731" i="8"/>
  <c r="H731" i="8"/>
  <c r="G731" i="8"/>
  <c r="E731" i="8"/>
  <c r="D731" i="8"/>
  <c r="C731" i="8"/>
  <c r="V730" i="8"/>
  <c r="U730" i="8"/>
  <c r="T730" i="8"/>
  <c r="S730" i="8"/>
  <c r="R730" i="8"/>
  <c r="P730" i="8"/>
  <c r="O730" i="8"/>
  <c r="M730" i="8"/>
  <c r="L730" i="8"/>
  <c r="K730" i="8"/>
  <c r="J730" i="8"/>
  <c r="I730" i="8"/>
  <c r="H730" i="8"/>
  <c r="G730" i="8"/>
  <c r="E730" i="8"/>
  <c r="D730" i="8"/>
  <c r="C730" i="8"/>
  <c r="V729" i="8"/>
  <c r="U729" i="8"/>
  <c r="T729" i="8"/>
  <c r="S729" i="8"/>
  <c r="R729" i="8"/>
  <c r="P729" i="8"/>
  <c r="O729" i="8"/>
  <c r="M729" i="8"/>
  <c r="L729" i="8"/>
  <c r="K729" i="8"/>
  <c r="J729" i="8"/>
  <c r="I729" i="8"/>
  <c r="H729" i="8"/>
  <c r="G729" i="8"/>
  <c r="E729" i="8"/>
  <c r="D729" i="8"/>
  <c r="C729" i="8"/>
  <c r="V728" i="8"/>
  <c r="U728" i="8"/>
  <c r="T728" i="8"/>
  <c r="S728" i="8"/>
  <c r="R728" i="8"/>
  <c r="P728" i="8"/>
  <c r="O728" i="8"/>
  <c r="M728" i="8"/>
  <c r="L728" i="8"/>
  <c r="K728" i="8"/>
  <c r="J728" i="8"/>
  <c r="I728" i="8"/>
  <c r="H728" i="8"/>
  <c r="G728" i="8"/>
  <c r="E728" i="8"/>
  <c r="D728" i="8"/>
  <c r="C728" i="8"/>
  <c r="V727" i="8"/>
  <c r="U727" i="8"/>
  <c r="T727" i="8"/>
  <c r="S727" i="8"/>
  <c r="R727" i="8"/>
  <c r="P727" i="8"/>
  <c r="O727" i="8"/>
  <c r="M727" i="8"/>
  <c r="L727" i="8"/>
  <c r="K727" i="8"/>
  <c r="J727" i="8"/>
  <c r="I727" i="8"/>
  <c r="H727" i="8"/>
  <c r="G727" i="8"/>
  <c r="E727" i="8"/>
  <c r="D727" i="8"/>
  <c r="C727" i="8"/>
  <c r="V726" i="8"/>
  <c r="U726" i="8"/>
  <c r="T726" i="8"/>
  <c r="S726" i="8"/>
  <c r="R726" i="8"/>
  <c r="P726" i="8"/>
  <c r="O726" i="8"/>
  <c r="M726" i="8"/>
  <c r="L726" i="8"/>
  <c r="K726" i="8"/>
  <c r="J726" i="8"/>
  <c r="I726" i="8"/>
  <c r="H726" i="8"/>
  <c r="G726" i="8"/>
  <c r="E726" i="8"/>
  <c r="D726" i="8"/>
  <c r="C726" i="8"/>
  <c r="V725" i="8"/>
  <c r="U725" i="8"/>
  <c r="T725" i="8"/>
  <c r="S725" i="8"/>
  <c r="R725" i="8"/>
  <c r="P725" i="8"/>
  <c r="O725" i="8"/>
  <c r="M725" i="8"/>
  <c r="L725" i="8"/>
  <c r="K725" i="8"/>
  <c r="J725" i="8"/>
  <c r="I725" i="8"/>
  <c r="H725" i="8"/>
  <c r="G725" i="8"/>
  <c r="E725" i="8"/>
  <c r="D725" i="8"/>
  <c r="C725" i="8"/>
  <c r="V724" i="8"/>
  <c r="U724" i="8"/>
  <c r="T724" i="8"/>
  <c r="S724" i="8"/>
  <c r="R724" i="8"/>
  <c r="P724" i="8"/>
  <c r="O724" i="8"/>
  <c r="M724" i="8"/>
  <c r="L724" i="8"/>
  <c r="K724" i="8"/>
  <c r="J724" i="8"/>
  <c r="I724" i="8"/>
  <c r="H724" i="8"/>
  <c r="G724" i="8"/>
  <c r="E724" i="8"/>
  <c r="D724" i="8"/>
  <c r="C724" i="8"/>
  <c r="V723" i="8"/>
  <c r="U723" i="8"/>
  <c r="T723" i="8"/>
  <c r="S723" i="8"/>
  <c r="R723" i="8"/>
  <c r="P723" i="8"/>
  <c r="O723" i="8"/>
  <c r="M723" i="8"/>
  <c r="L723" i="8"/>
  <c r="K723" i="8"/>
  <c r="J723" i="8"/>
  <c r="I723" i="8"/>
  <c r="H723" i="8"/>
  <c r="G723" i="8"/>
  <c r="E723" i="8"/>
  <c r="D723" i="8"/>
  <c r="C723" i="8"/>
  <c r="V722" i="8"/>
  <c r="U722" i="8"/>
  <c r="T722" i="8"/>
  <c r="S722" i="8"/>
  <c r="R722" i="8"/>
  <c r="P722" i="8"/>
  <c r="O722" i="8"/>
  <c r="M722" i="8"/>
  <c r="L722" i="8"/>
  <c r="K722" i="8"/>
  <c r="J722" i="8"/>
  <c r="I722" i="8"/>
  <c r="H722" i="8"/>
  <c r="G722" i="8"/>
  <c r="E722" i="8"/>
  <c r="D722" i="8"/>
  <c r="C722" i="8"/>
  <c r="V721" i="8"/>
  <c r="U721" i="8"/>
  <c r="T721" i="8"/>
  <c r="S721" i="8"/>
  <c r="R721" i="8"/>
  <c r="P721" i="8"/>
  <c r="O721" i="8"/>
  <c r="M721" i="8"/>
  <c r="L721" i="8"/>
  <c r="K721" i="8"/>
  <c r="J721" i="8"/>
  <c r="I721" i="8"/>
  <c r="H721" i="8"/>
  <c r="G721" i="8"/>
  <c r="E721" i="8"/>
  <c r="D721" i="8"/>
  <c r="C721" i="8"/>
  <c r="V720" i="8"/>
  <c r="U720" i="8"/>
  <c r="T720" i="8"/>
  <c r="S720" i="8"/>
  <c r="R720" i="8"/>
  <c r="P720" i="8"/>
  <c r="O720" i="8"/>
  <c r="M720" i="8"/>
  <c r="L720" i="8"/>
  <c r="K720" i="8"/>
  <c r="J720" i="8"/>
  <c r="I720" i="8"/>
  <c r="H720" i="8"/>
  <c r="G720" i="8"/>
  <c r="E720" i="8"/>
  <c r="D720" i="8"/>
  <c r="C720" i="8"/>
  <c r="V719" i="8"/>
  <c r="U719" i="8"/>
  <c r="T719" i="8"/>
  <c r="S719" i="8"/>
  <c r="R719" i="8"/>
  <c r="P719" i="8"/>
  <c r="O719" i="8"/>
  <c r="M719" i="8"/>
  <c r="L719" i="8"/>
  <c r="K719" i="8"/>
  <c r="J719" i="8"/>
  <c r="I719" i="8"/>
  <c r="H719" i="8"/>
  <c r="G719" i="8"/>
  <c r="E719" i="8"/>
  <c r="D719" i="8"/>
  <c r="C719" i="8"/>
  <c r="V718" i="8"/>
  <c r="U718" i="8"/>
  <c r="T718" i="8"/>
  <c r="S718" i="8"/>
  <c r="R718" i="8"/>
  <c r="P718" i="8"/>
  <c r="O718" i="8"/>
  <c r="M718" i="8"/>
  <c r="L718" i="8"/>
  <c r="K718" i="8"/>
  <c r="J718" i="8"/>
  <c r="I718" i="8"/>
  <c r="H718" i="8"/>
  <c r="G718" i="8"/>
  <c r="E718" i="8"/>
  <c r="D718" i="8"/>
  <c r="C718" i="8"/>
  <c r="V717" i="8"/>
  <c r="U717" i="8"/>
  <c r="T717" i="8"/>
  <c r="S717" i="8"/>
  <c r="R717" i="8"/>
  <c r="P717" i="8"/>
  <c r="O717" i="8"/>
  <c r="M717" i="8"/>
  <c r="L717" i="8"/>
  <c r="K717" i="8"/>
  <c r="J717" i="8"/>
  <c r="I717" i="8"/>
  <c r="H717" i="8"/>
  <c r="G717" i="8"/>
  <c r="E717" i="8"/>
  <c r="D717" i="8"/>
  <c r="C717" i="8"/>
  <c r="V716" i="8"/>
  <c r="U716" i="8"/>
  <c r="T716" i="8"/>
  <c r="S716" i="8"/>
  <c r="R716" i="8"/>
  <c r="P716" i="8"/>
  <c r="O716" i="8"/>
  <c r="M716" i="8"/>
  <c r="L716" i="8"/>
  <c r="K716" i="8"/>
  <c r="J716" i="8"/>
  <c r="I716" i="8"/>
  <c r="H716" i="8"/>
  <c r="G716" i="8"/>
  <c r="E716" i="8"/>
  <c r="D716" i="8"/>
  <c r="C716" i="8"/>
  <c r="V715" i="8"/>
  <c r="U715" i="8"/>
  <c r="T715" i="8"/>
  <c r="S715" i="8"/>
  <c r="R715" i="8"/>
  <c r="P715" i="8"/>
  <c r="O715" i="8"/>
  <c r="M715" i="8"/>
  <c r="L715" i="8"/>
  <c r="K715" i="8"/>
  <c r="J715" i="8"/>
  <c r="I715" i="8"/>
  <c r="H715" i="8"/>
  <c r="G715" i="8"/>
  <c r="E715" i="8"/>
  <c r="D715" i="8"/>
  <c r="C715" i="8"/>
  <c r="V714" i="8"/>
  <c r="U714" i="8"/>
  <c r="T714" i="8"/>
  <c r="S714" i="8"/>
  <c r="R714" i="8"/>
  <c r="P714" i="8"/>
  <c r="O714" i="8"/>
  <c r="M714" i="8"/>
  <c r="L714" i="8"/>
  <c r="K714" i="8"/>
  <c r="J714" i="8"/>
  <c r="I714" i="8"/>
  <c r="H714" i="8"/>
  <c r="G714" i="8"/>
  <c r="E714" i="8"/>
  <c r="D714" i="8"/>
  <c r="C714" i="8"/>
  <c r="V713" i="8"/>
  <c r="U713" i="8"/>
  <c r="T713" i="8"/>
  <c r="S713" i="8"/>
  <c r="R713" i="8"/>
  <c r="P713" i="8"/>
  <c r="O713" i="8"/>
  <c r="M713" i="8"/>
  <c r="L713" i="8"/>
  <c r="K713" i="8"/>
  <c r="J713" i="8"/>
  <c r="I713" i="8"/>
  <c r="H713" i="8"/>
  <c r="G713" i="8"/>
  <c r="E713" i="8"/>
  <c r="D713" i="8"/>
  <c r="C713" i="8"/>
  <c r="V712" i="8"/>
  <c r="U712" i="8"/>
  <c r="T712" i="8"/>
  <c r="S712" i="8"/>
  <c r="R712" i="8"/>
  <c r="P712" i="8"/>
  <c r="O712" i="8"/>
  <c r="M712" i="8"/>
  <c r="L712" i="8"/>
  <c r="K712" i="8"/>
  <c r="J712" i="8"/>
  <c r="I712" i="8"/>
  <c r="H712" i="8"/>
  <c r="G712" i="8"/>
  <c r="E712" i="8"/>
  <c r="D712" i="8"/>
  <c r="C712" i="8"/>
  <c r="V711" i="8"/>
  <c r="U711" i="8"/>
  <c r="T711" i="8"/>
  <c r="S711" i="8"/>
  <c r="R711" i="8"/>
  <c r="P711" i="8"/>
  <c r="O711" i="8"/>
  <c r="M711" i="8"/>
  <c r="L711" i="8"/>
  <c r="K711" i="8"/>
  <c r="J711" i="8"/>
  <c r="I711" i="8"/>
  <c r="H711" i="8"/>
  <c r="G711" i="8"/>
  <c r="E711" i="8"/>
  <c r="D711" i="8"/>
  <c r="C711" i="8"/>
  <c r="V710" i="8"/>
  <c r="U710" i="8"/>
  <c r="T710" i="8"/>
  <c r="S710" i="8"/>
  <c r="R710" i="8"/>
  <c r="P710" i="8"/>
  <c r="O710" i="8"/>
  <c r="M710" i="8"/>
  <c r="L710" i="8"/>
  <c r="K710" i="8"/>
  <c r="J710" i="8"/>
  <c r="I710" i="8"/>
  <c r="H710" i="8"/>
  <c r="G710" i="8"/>
  <c r="E710" i="8"/>
  <c r="D710" i="8"/>
  <c r="C710" i="8"/>
  <c r="V709" i="8"/>
  <c r="U709" i="8"/>
  <c r="T709" i="8"/>
  <c r="S709" i="8"/>
  <c r="R709" i="8"/>
  <c r="P709" i="8"/>
  <c r="O709" i="8"/>
  <c r="M709" i="8"/>
  <c r="L709" i="8"/>
  <c r="K709" i="8"/>
  <c r="J709" i="8"/>
  <c r="I709" i="8"/>
  <c r="H709" i="8"/>
  <c r="G709" i="8"/>
  <c r="E709" i="8"/>
  <c r="D709" i="8"/>
  <c r="C709" i="8"/>
  <c r="V708" i="8"/>
  <c r="U708" i="8"/>
  <c r="T708" i="8"/>
  <c r="S708" i="8"/>
  <c r="R708" i="8"/>
  <c r="P708" i="8"/>
  <c r="O708" i="8"/>
  <c r="M708" i="8"/>
  <c r="L708" i="8"/>
  <c r="K708" i="8"/>
  <c r="J708" i="8"/>
  <c r="I708" i="8"/>
  <c r="H708" i="8"/>
  <c r="G708" i="8"/>
  <c r="E708" i="8"/>
  <c r="D708" i="8"/>
  <c r="C708" i="8"/>
  <c r="V707" i="8"/>
  <c r="U707" i="8"/>
  <c r="T707" i="8"/>
  <c r="S707" i="8"/>
  <c r="R707" i="8"/>
  <c r="P707" i="8"/>
  <c r="O707" i="8"/>
  <c r="M707" i="8"/>
  <c r="L707" i="8"/>
  <c r="K707" i="8"/>
  <c r="J707" i="8"/>
  <c r="I707" i="8"/>
  <c r="H707" i="8"/>
  <c r="G707" i="8"/>
  <c r="E707" i="8"/>
  <c r="D707" i="8"/>
  <c r="C707" i="8"/>
  <c r="V706" i="8"/>
  <c r="U706" i="8"/>
  <c r="T706" i="8"/>
  <c r="S706" i="8"/>
  <c r="R706" i="8"/>
  <c r="P706" i="8"/>
  <c r="O706" i="8"/>
  <c r="M706" i="8"/>
  <c r="L706" i="8"/>
  <c r="K706" i="8"/>
  <c r="J706" i="8"/>
  <c r="I706" i="8"/>
  <c r="H706" i="8"/>
  <c r="G706" i="8"/>
  <c r="E706" i="8"/>
  <c r="D706" i="8"/>
  <c r="C706" i="8"/>
  <c r="V705" i="8"/>
  <c r="U705" i="8"/>
  <c r="T705" i="8"/>
  <c r="S705" i="8"/>
  <c r="R705" i="8"/>
  <c r="P705" i="8"/>
  <c r="O705" i="8"/>
  <c r="M705" i="8"/>
  <c r="L705" i="8"/>
  <c r="K705" i="8"/>
  <c r="J705" i="8"/>
  <c r="I705" i="8"/>
  <c r="H705" i="8"/>
  <c r="G705" i="8"/>
  <c r="E705" i="8"/>
  <c r="D705" i="8"/>
  <c r="C705" i="8"/>
  <c r="V704" i="8"/>
  <c r="U704" i="8"/>
  <c r="T704" i="8"/>
  <c r="S704" i="8"/>
  <c r="R704" i="8"/>
  <c r="P704" i="8"/>
  <c r="O704" i="8"/>
  <c r="M704" i="8"/>
  <c r="L704" i="8"/>
  <c r="K704" i="8"/>
  <c r="J704" i="8"/>
  <c r="I704" i="8"/>
  <c r="H704" i="8"/>
  <c r="G704" i="8"/>
  <c r="E704" i="8"/>
  <c r="D704" i="8"/>
  <c r="C704" i="8"/>
  <c r="V703" i="8"/>
  <c r="U703" i="8"/>
  <c r="T703" i="8"/>
  <c r="S703" i="8"/>
  <c r="R703" i="8"/>
  <c r="P703" i="8"/>
  <c r="O703" i="8"/>
  <c r="M703" i="8"/>
  <c r="L703" i="8"/>
  <c r="K703" i="8"/>
  <c r="J703" i="8"/>
  <c r="I703" i="8"/>
  <c r="H703" i="8"/>
  <c r="G703" i="8"/>
  <c r="E703" i="8"/>
  <c r="D703" i="8"/>
  <c r="C703" i="8"/>
  <c r="V702" i="8"/>
  <c r="U702" i="8"/>
  <c r="T702" i="8"/>
  <c r="S702" i="8"/>
  <c r="R702" i="8"/>
  <c r="P702" i="8"/>
  <c r="O702" i="8"/>
  <c r="M702" i="8"/>
  <c r="L702" i="8"/>
  <c r="K702" i="8"/>
  <c r="J702" i="8"/>
  <c r="I702" i="8"/>
  <c r="H702" i="8"/>
  <c r="G702" i="8"/>
  <c r="E702" i="8"/>
  <c r="D702" i="8"/>
  <c r="C702" i="8"/>
  <c r="V701" i="8"/>
  <c r="U701" i="8"/>
  <c r="T701" i="8"/>
  <c r="S701" i="8"/>
  <c r="R701" i="8"/>
  <c r="P701" i="8"/>
  <c r="O701" i="8"/>
  <c r="M701" i="8"/>
  <c r="L701" i="8"/>
  <c r="K701" i="8"/>
  <c r="J701" i="8"/>
  <c r="I701" i="8"/>
  <c r="H701" i="8"/>
  <c r="G701" i="8"/>
  <c r="E701" i="8"/>
  <c r="D701" i="8"/>
  <c r="C701" i="8"/>
  <c r="V700" i="8"/>
  <c r="U700" i="8"/>
  <c r="T700" i="8"/>
  <c r="S700" i="8"/>
  <c r="R700" i="8"/>
  <c r="P700" i="8"/>
  <c r="O700" i="8"/>
  <c r="M700" i="8"/>
  <c r="L700" i="8"/>
  <c r="K700" i="8"/>
  <c r="J700" i="8"/>
  <c r="I700" i="8"/>
  <c r="H700" i="8"/>
  <c r="G700" i="8"/>
  <c r="E700" i="8"/>
  <c r="D700" i="8"/>
  <c r="C700" i="8"/>
  <c r="V699" i="8"/>
  <c r="U699" i="8"/>
  <c r="T699" i="8"/>
  <c r="S699" i="8"/>
  <c r="R699" i="8"/>
  <c r="P699" i="8"/>
  <c r="O699" i="8"/>
  <c r="M699" i="8"/>
  <c r="L699" i="8"/>
  <c r="K699" i="8"/>
  <c r="J699" i="8"/>
  <c r="I699" i="8"/>
  <c r="H699" i="8"/>
  <c r="G699" i="8"/>
  <c r="E699" i="8"/>
  <c r="D699" i="8"/>
  <c r="C699" i="8"/>
  <c r="V698" i="8"/>
  <c r="U698" i="8"/>
  <c r="T698" i="8"/>
  <c r="S698" i="8"/>
  <c r="R698" i="8"/>
  <c r="P698" i="8"/>
  <c r="O698" i="8"/>
  <c r="M698" i="8"/>
  <c r="L698" i="8"/>
  <c r="K698" i="8"/>
  <c r="J698" i="8"/>
  <c r="I698" i="8"/>
  <c r="H698" i="8"/>
  <c r="G698" i="8"/>
  <c r="E698" i="8"/>
  <c r="D698" i="8"/>
  <c r="C698" i="8"/>
  <c r="V697" i="8"/>
  <c r="U697" i="8"/>
  <c r="T697" i="8"/>
  <c r="S697" i="8"/>
  <c r="R697" i="8"/>
  <c r="P697" i="8"/>
  <c r="O697" i="8"/>
  <c r="M697" i="8"/>
  <c r="L697" i="8"/>
  <c r="K697" i="8"/>
  <c r="J697" i="8"/>
  <c r="I697" i="8"/>
  <c r="H697" i="8"/>
  <c r="G697" i="8"/>
  <c r="E697" i="8"/>
  <c r="D697" i="8"/>
  <c r="C697" i="8"/>
  <c r="V696" i="8"/>
  <c r="U696" i="8"/>
  <c r="T696" i="8"/>
  <c r="S696" i="8"/>
  <c r="R696" i="8"/>
  <c r="P696" i="8"/>
  <c r="O696" i="8"/>
  <c r="M696" i="8"/>
  <c r="L696" i="8"/>
  <c r="K696" i="8"/>
  <c r="J696" i="8"/>
  <c r="I696" i="8"/>
  <c r="H696" i="8"/>
  <c r="G696" i="8"/>
  <c r="E696" i="8"/>
  <c r="D696" i="8"/>
  <c r="C696" i="8"/>
  <c r="V695" i="8"/>
  <c r="U695" i="8"/>
  <c r="T695" i="8"/>
  <c r="S695" i="8"/>
  <c r="R695" i="8"/>
  <c r="P695" i="8"/>
  <c r="O695" i="8"/>
  <c r="M695" i="8"/>
  <c r="L695" i="8"/>
  <c r="K695" i="8"/>
  <c r="J695" i="8"/>
  <c r="I695" i="8"/>
  <c r="H695" i="8"/>
  <c r="G695" i="8"/>
  <c r="E695" i="8"/>
  <c r="D695" i="8"/>
  <c r="C695" i="8"/>
  <c r="V694" i="8"/>
  <c r="U694" i="8"/>
  <c r="T694" i="8"/>
  <c r="S694" i="8"/>
  <c r="R694" i="8"/>
  <c r="P694" i="8"/>
  <c r="O694" i="8"/>
  <c r="M694" i="8"/>
  <c r="L694" i="8"/>
  <c r="K694" i="8"/>
  <c r="J694" i="8"/>
  <c r="I694" i="8"/>
  <c r="H694" i="8"/>
  <c r="G694" i="8"/>
  <c r="E694" i="8"/>
  <c r="D694" i="8"/>
  <c r="C694" i="8"/>
  <c r="V693" i="8"/>
  <c r="U693" i="8"/>
  <c r="T693" i="8"/>
  <c r="S693" i="8"/>
  <c r="R693" i="8"/>
  <c r="P693" i="8"/>
  <c r="O693" i="8"/>
  <c r="M693" i="8"/>
  <c r="L693" i="8"/>
  <c r="K693" i="8"/>
  <c r="J693" i="8"/>
  <c r="I693" i="8"/>
  <c r="H693" i="8"/>
  <c r="G693" i="8"/>
  <c r="E693" i="8"/>
  <c r="D693" i="8"/>
  <c r="C693" i="8"/>
  <c r="V692" i="8"/>
  <c r="U692" i="8"/>
  <c r="T692" i="8"/>
  <c r="S692" i="8"/>
  <c r="R692" i="8"/>
  <c r="P692" i="8"/>
  <c r="O692" i="8"/>
  <c r="M692" i="8"/>
  <c r="L692" i="8"/>
  <c r="K692" i="8"/>
  <c r="J692" i="8"/>
  <c r="I692" i="8"/>
  <c r="H692" i="8"/>
  <c r="G692" i="8"/>
  <c r="E692" i="8"/>
  <c r="D692" i="8"/>
  <c r="C692" i="8"/>
  <c r="V691" i="8"/>
  <c r="U691" i="8"/>
  <c r="T691" i="8"/>
  <c r="S691" i="8"/>
  <c r="R691" i="8"/>
  <c r="P691" i="8"/>
  <c r="O691" i="8"/>
  <c r="M691" i="8"/>
  <c r="L691" i="8"/>
  <c r="K691" i="8"/>
  <c r="J691" i="8"/>
  <c r="I691" i="8"/>
  <c r="H691" i="8"/>
  <c r="G691" i="8"/>
  <c r="E691" i="8"/>
  <c r="D691" i="8"/>
  <c r="C691" i="8"/>
  <c r="V690" i="8"/>
  <c r="U690" i="8"/>
  <c r="T690" i="8"/>
  <c r="S690" i="8"/>
  <c r="R690" i="8"/>
  <c r="P690" i="8"/>
  <c r="O690" i="8"/>
  <c r="M690" i="8"/>
  <c r="L690" i="8"/>
  <c r="K690" i="8"/>
  <c r="J690" i="8"/>
  <c r="I690" i="8"/>
  <c r="H690" i="8"/>
  <c r="G690" i="8"/>
  <c r="E690" i="8"/>
  <c r="D690" i="8"/>
  <c r="C690" i="8"/>
  <c r="V689" i="8"/>
  <c r="U689" i="8"/>
  <c r="T689" i="8"/>
  <c r="S689" i="8"/>
  <c r="R689" i="8"/>
  <c r="P689" i="8"/>
  <c r="O689" i="8"/>
  <c r="M689" i="8"/>
  <c r="L689" i="8"/>
  <c r="K689" i="8"/>
  <c r="J689" i="8"/>
  <c r="I689" i="8"/>
  <c r="H689" i="8"/>
  <c r="G689" i="8"/>
  <c r="E689" i="8"/>
  <c r="D689" i="8"/>
  <c r="C689" i="8"/>
  <c r="V688" i="8"/>
  <c r="U688" i="8"/>
  <c r="T688" i="8"/>
  <c r="S688" i="8"/>
  <c r="R688" i="8"/>
  <c r="P688" i="8"/>
  <c r="O688" i="8"/>
  <c r="M688" i="8"/>
  <c r="L688" i="8"/>
  <c r="K688" i="8"/>
  <c r="J688" i="8"/>
  <c r="I688" i="8"/>
  <c r="H688" i="8"/>
  <c r="G688" i="8"/>
  <c r="E688" i="8"/>
  <c r="D688" i="8"/>
  <c r="C688" i="8"/>
  <c r="V687" i="8"/>
  <c r="U687" i="8"/>
  <c r="T687" i="8"/>
  <c r="S687" i="8"/>
  <c r="R687" i="8"/>
  <c r="P687" i="8"/>
  <c r="O687" i="8"/>
  <c r="M687" i="8"/>
  <c r="L687" i="8"/>
  <c r="K687" i="8"/>
  <c r="J687" i="8"/>
  <c r="I687" i="8"/>
  <c r="H687" i="8"/>
  <c r="G687" i="8"/>
  <c r="E687" i="8"/>
  <c r="D687" i="8"/>
  <c r="C687" i="8"/>
  <c r="V686" i="8"/>
  <c r="U686" i="8"/>
  <c r="T686" i="8"/>
  <c r="S686" i="8"/>
  <c r="R686" i="8"/>
  <c r="P686" i="8"/>
  <c r="O686" i="8"/>
  <c r="M686" i="8"/>
  <c r="L686" i="8"/>
  <c r="K686" i="8"/>
  <c r="J686" i="8"/>
  <c r="I686" i="8"/>
  <c r="H686" i="8"/>
  <c r="G686" i="8"/>
  <c r="E686" i="8"/>
  <c r="D686" i="8"/>
  <c r="C686" i="8"/>
  <c r="V685" i="8"/>
  <c r="U685" i="8"/>
  <c r="T685" i="8"/>
  <c r="S685" i="8"/>
  <c r="R685" i="8"/>
  <c r="P685" i="8"/>
  <c r="O685" i="8"/>
  <c r="M685" i="8"/>
  <c r="L685" i="8"/>
  <c r="K685" i="8"/>
  <c r="J685" i="8"/>
  <c r="I685" i="8"/>
  <c r="H685" i="8"/>
  <c r="G685" i="8"/>
  <c r="E685" i="8"/>
  <c r="D685" i="8"/>
  <c r="C685" i="8"/>
  <c r="V684" i="8"/>
  <c r="U684" i="8"/>
  <c r="T684" i="8"/>
  <c r="S684" i="8"/>
  <c r="R684" i="8"/>
  <c r="P684" i="8"/>
  <c r="O684" i="8"/>
  <c r="M684" i="8"/>
  <c r="L684" i="8"/>
  <c r="K684" i="8"/>
  <c r="J684" i="8"/>
  <c r="I684" i="8"/>
  <c r="H684" i="8"/>
  <c r="G684" i="8"/>
  <c r="E684" i="8"/>
  <c r="D684" i="8"/>
  <c r="C684" i="8"/>
  <c r="V683" i="8"/>
  <c r="U683" i="8"/>
  <c r="T683" i="8"/>
  <c r="S683" i="8"/>
  <c r="R683" i="8"/>
  <c r="P683" i="8"/>
  <c r="O683" i="8"/>
  <c r="M683" i="8"/>
  <c r="L683" i="8"/>
  <c r="K683" i="8"/>
  <c r="J683" i="8"/>
  <c r="I683" i="8"/>
  <c r="H683" i="8"/>
  <c r="G683" i="8"/>
  <c r="E683" i="8"/>
  <c r="D683" i="8"/>
  <c r="C683" i="8"/>
  <c r="V682" i="8"/>
  <c r="U682" i="8"/>
  <c r="T682" i="8"/>
  <c r="S682" i="8"/>
  <c r="R682" i="8"/>
  <c r="P682" i="8"/>
  <c r="O682" i="8"/>
  <c r="M682" i="8"/>
  <c r="L682" i="8"/>
  <c r="K682" i="8"/>
  <c r="J682" i="8"/>
  <c r="I682" i="8"/>
  <c r="H682" i="8"/>
  <c r="G682" i="8"/>
  <c r="E682" i="8"/>
  <c r="D682" i="8"/>
  <c r="C682" i="8"/>
  <c r="V681" i="8"/>
  <c r="U681" i="8"/>
  <c r="T681" i="8"/>
  <c r="S681" i="8"/>
  <c r="R681" i="8"/>
  <c r="P681" i="8"/>
  <c r="O681" i="8"/>
  <c r="M681" i="8"/>
  <c r="L681" i="8"/>
  <c r="K681" i="8"/>
  <c r="J681" i="8"/>
  <c r="I681" i="8"/>
  <c r="H681" i="8"/>
  <c r="G681" i="8"/>
  <c r="E681" i="8"/>
  <c r="D681" i="8"/>
  <c r="C681" i="8"/>
  <c r="V680" i="8"/>
  <c r="U680" i="8"/>
  <c r="T680" i="8"/>
  <c r="S680" i="8"/>
  <c r="R680" i="8"/>
  <c r="P680" i="8"/>
  <c r="O680" i="8"/>
  <c r="M680" i="8"/>
  <c r="L680" i="8"/>
  <c r="K680" i="8"/>
  <c r="J680" i="8"/>
  <c r="I680" i="8"/>
  <c r="H680" i="8"/>
  <c r="G680" i="8"/>
  <c r="E680" i="8"/>
  <c r="D680" i="8"/>
  <c r="C680" i="8"/>
  <c r="V679" i="8"/>
  <c r="U679" i="8"/>
  <c r="T679" i="8"/>
  <c r="S679" i="8"/>
  <c r="R679" i="8"/>
  <c r="P679" i="8"/>
  <c r="O679" i="8"/>
  <c r="M679" i="8"/>
  <c r="L679" i="8"/>
  <c r="K679" i="8"/>
  <c r="J679" i="8"/>
  <c r="I679" i="8"/>
  <c r="H679" i="8"/>
  <c r="G679" i="8"/>
  <c r="E679" i="8"/>
  <c r="D679" i="8"/>
  <c r="C679" i="8"/>
  <c r="V678" i="8"/>
  <c r="U678" i="8"/>
  <c r="T678" i="8"/>
  <c r="S678" i="8"/>
  <c r="R678" i="8"/>
  <c r="P678" i="8"/>
  <c r="O678" i="8"/>
  <c r="M678" i="8"/>
  <c r="L678" i="8"/>
  <c r="K678" i="8"/>
  <c r="J678" i="8"/>
  <c r="I678" i="8"/>
  <c r="H678" i="8"/>
  <c r="G678" i="8"/>
  <c r="E678" i="8"/>
  <c r="D678" i="8"/>
  <c r="C678" i="8"/>
  <c r="V677" i="8"/>
  <c r="U677" i="8"/>
  <c r="T677" i="8"/>
  <c r="S677" i="8"/>
  <c r="R677" i="8"/>
  <c r="P677" i="8"/>
  <c r="O677" i="8"/>
  <c r="M677" i="8"/>
  <c r="L677" i="8"/>
  <c r="K677" i="8"/>
  <c r="J677" i="8"/>
  <c r="I677" i="8"/>
  <c r="H677" i="8"/>
  <c r="G677" i="8"/>
  <c r="E677" i="8"/>
  <c r="D677" i="8"/>
  <c r="C677" i="8"/>
  <c r="V676" i="8"/>
  <c r="U676" i="8"/>
  <c r="T676" i="8"/>
  <c r="S676" i="8"/>
  <c r="R676" i="8"/>
  <c r="P676" i="8"/>
  <c r="O676" i="8"/>
  <c r="M676" i="8"/>
  <c r="L676" i="8"/>
  <c r="K676" i="8"/>
  <c r="J676" i="8"/>
  <c r="I676" i="8"/>
  <c r="H676" i="8"/>
  <c r="G676" i="8"/>
  <c r="E676" i="8"/>
  <c r="D676" i="8"/>
  <c r="C676" i="8"/>
  <c r="V675" i="8"/>
  <c r="U675" i="8"/>
  <c r="T675" i="8"/>
  <c r="S675" i="8"/>
  <c r="R675" i="8"/>
  <c r="P675" i="8"/>
  <c r="O675" i="8"/>
  <c r="M675" i="8"/>
  <c r="L675" i="8"/>
  <c r="K675" i="8"/>
  <c r="J675" i="8"/>
  <c r="I675" i="8"/>
  <c r="H675" i="8"/>
  <c r="G675" i="8"/>
  <c r="E675" i="8"/>
  <c r="D675" i="8"/>
  <c r="C675" i="8"/>
  <c r="V674" i="8"/>
  <c r="U674" i="8"/>
  <c r="T674" i="8"/>
  <c r="S674" i="8"/>
  <c r="R674" i="8"/>
  <c r="P674" i="8"/>
  <c r="O674" i="8"/>
  <c r="M674" i="8"/>
  <c r="L674" i="8"/>
  <c r="K674" i="8"/>
  <c r="J674" i="8"/>
  <c r="I674" i="8"/>
  <c r="H674" i="8"/>
  <c r="G674" i="8"/>
  <c r="E674" i="8"/>
  <c r="D674" i="8"/>
  <c r="C674" i="8"/>
  <c r="V673" i="8"/>
  <c r="U673" i="8"/>
  <c r="T673" i="8"/>
  <c r="S673" i="8"/>
  <c r="R673" i="8"/>
  <c r="P673" i="8"/>
  <c r="O673" i="8"/>
  <c r="M673" i="8"/>
  <c r="L673" i="8"/>
  <c r="K673" i="8"/>
  <c r="J673" i="8"/>
  <c r="I673" i="8"/>
  <c r="H673" i="8"/>
  <c r="G673" i="8"/>
  <c r="E673" i="8"/>
  <c r="D673" i="8"/>
  <c r="C673" i="8"/>
  <c r="V672" i="8"/>
  <c r="U672" i="8"/>
  <c r="T672" i="8"/>
  <c r="S672" i="8"/>
  <c r="R672" i="8"/>
  <c r="P672" i="8"/>
  <c r="O672" i="8"/>
  <c r="M672" i="8"/>
  <c r="L672" i="8"/>
  <c r="K672" i="8"/>
  <c r="J672" i="8"/>
  <c r="I672" i="8"/>
  <c r="H672" i="8"/>
  <c r="G672" i="8"/>
  <c r="E672" i="8"/>
  <c r="D672" i="8"/>
  <c r="C672" i="8"/>
  <c r="V671" i="8"/>
  <c r="U671" i="8"/>
  <c r="T671" i="8"/>
  <c r="S671" i="8"/>
  <c r="R671" i="8"/>
  <c r="P671" i="8"/>
  <c r="O671" i="8"/>
  <c r="M671" i="8"/>
  <c r="L671" i="8"/>
  <c r="K671" i="8"/>
  <c r="J671" i="8"/>
  <c r="I671" i="8"/>
  <c r="H671" i="8"/>
  <c r="G671" i="8"/>
  <c r="E671" i="8"/>
  <c r="D671" i="8"/>
  <c r="C671" i="8"/>
  <c r="V670" i="8"/>
  <c r="U670" i="8"/>
  <c r="T670" i="8"/>
  <c r="S670" i="8"/>
  <c r="R670" i="8"/>
  <c r="P670" i="8"/>
  <c r="O670" i="8"/>
  <c r="M670" i="8"/>
  <c r="L670" i="8"/>
  <c r="K670" i="8"/>
  <c r="J670" i="8"/>
  <c r="I670" i="8"/>
  <c r="H670" i="8"/>
  <c r="G670" i="8"/>
  <c r="E670" i="8"/>
  <c r="D670" i="8"/>
  <c r="C670" i="8"/>
  <c r="V669" i="8"/>
  <c r="U669" i="8"/>
  <c r="T669" i="8"/>
  <c r="S669" i="8"/>
  <c r="R669" i="8"/>
  <c r="P669" i="8"/>
  <c r="O669" i="8"/>
  <c r="M669" i="8"/>
  <c r="L669" i="8"/>
  <c r="K669" i="8"/>
  <c r="J669" i="8"/>
  <c r="I669" i="8"/>
  <c r="H669" i="8"/>
  <c r="G669" i="8"/>
  <c r="E669" i="8"/>
  <c r="D669" i="8"/>
  <c r="C669" i="8"/>
  <c r="V668" i="8"/>
  <c r="U668" i="8"/>
  <c r="T668" i="8"/>
  <c r="S668" i="8"/>
  <c r="R668" i="8"/>
  <c r="P668" i="8"/>
  <c r="O668" i="8"/>
  <c r="M668" i="8"/>
  <c r="L668" i="8"/>
  <c r="K668" i="8"/>
  <c r="J668" i="8"/>
  <c r="I668" i="8"/>
  <c r="H668" i="8"/>
  <c r="G668" i="8"/>
  <c r="E668" i="8"/>
  <c r="D668" i="8"/>
  <c r="C668" i="8"/>
  <c r="V667" i="8"/>
  <c r="U667" i="8"/>
  <c r="T667" i="8"/>
  <c r="S667" i="8"/>
  <c r="R667" i="8"/>
  <c r="P667" i="8"/>
  <c r="O667" i="8"/>
  <c r="M667" i="8"/>
  <c r="L667" i="8"/>
  <c r="K667" i="8"/>
  <c r="J667" i="8"/>
  <c r="I667" i="8"/>
  <c r="H667" i="8"/>
  <c r="G667" i="8"/>
  <c r="E667" i="8"/>
  <c r="D667" i="8"/>
  <c r="C667" i="8"/>
  <c r="V666" i="8"/>
  <c r="U666" i="8"/>
  <c r="T666" i="8"/>
  <c r="S666" i="8"/>
  <c r="R666" i="8"/>
  <c r="P666" i="8"/>
  <c r="O666" i="8"/>
  <c r="M666" i="8"/>
  <c r="L666" i="8"/>
  <c r="K666" i="8"/>
  <c r="J666" i="8"/>
  <c r="I666" i="8"/>
  <c r="H666" i="8"/>
  <c r="G666" i="8"/>
  <c r="E666" i="8"/>
  <c r="D666" i="8"/>
  <c r="C666" i="8"/>
  <c r="V665" i="8"/>
  <c r="U665" i="8"/>
  <c r="T665" i="8"/>
  <c r="S665" i="8"/>
  <c r="R665" i="8"/>
  <c r="P665" i="8"/>
  <c r="O665" i="8"/>
  <c r="M665" i="8"/>
  <c r="L665" i="8"/>
  <c r="K665" i="8"/>
  <c r="J665" i="8"/>
  <c r="I665" i="8"/>
  <c r="H665" i="8"/>
  <c r="G665" i="8"/>
  <c r="E665" i="8"/>
  <c r="D665" i="8"/>
  <c r="C665" i="8"/>
  <c r="V664" i="8"/>
  <c r="U664" i="8"/>
  <c r="T664" i="8"/>
  <c r="S664" i="8"/>
  <c r="R664" i="8"/>
  <c r="P664" i="8"/>
  <c r="O664" i="8"/>
  <c r="M664" i="8"/>
  <c r="L664" i="8"/>
  <c r="K664" i="8"/>
  <c r="J664" i="8"/>
  <c r="I664" i="8"/>
  <c r="H664" i="8"/>
  <c r="G664" i="8"/>
  <c r="E664" i="8"/>
  <c r="D664" i="8"/>
  <c r="C664" i="8"/>
  <c r="V663" i="8"/>
  <c r="U663" i="8"/>
  <c r="T663" i="8"/>
  <c r="S663" i="8"/>
  <c r="R663" i="8"/>
  <c r="P663" i="8"/>
  <c r="O663" i="8"/>
  <c r="M663" i="8"/>
  <c r="L663" i="8"/>
  <c r="K663" i="8"/>
  <c r="J663" i="8"/>
  <c r="I663" i="8"/>
  <c r="H663" i="8"/>
  <c r="G663" i="8"/>
  <c r="E663" i="8"/>
  <c r="D663" i="8"/>
  <c r="C663" i="8"/>
  <c r="V662" i="8"/>
  <c r="U662" i="8"/>
  <c r="T662" i="8"/>
  <c r="S662" i="8"/>
  <c r="R662" i="8"/>
  <c r="P662" i="8"/>
  <c r="O662" i="8"/>
  <c r="M662" i="8"/>
  <c r="L662" i="8"/>
  <c r="K662" i="8"/>
  <c r="J662" i="8"/>
  <c r="I662" i="8"/>
  <c r="H662" i="8"/>
  <c r="G662" i="8"/>
  <c r="E662" i="8"/>
  <c r="D662" i="8"/>
  <c r="C662" i="8"/>
  <c r="V661" i="8"/>
  <c r="U661" i="8"/>
  <c r="T661" i="8"/>
  <c r="S661" i="8"/>
  <c r="R661" i="8"/>
  <c r="P661" i="8"/>
  <c r="O661" i="8"/>
  <c r="M661" i="8"/>
  <c r="L661" i="8"/>
  <c r="K661" i="8"/>
  <c r="J661" i="8"/>
  <c r="I661" i="8"/>
  <c r="H661" i="8"/>
  <c r="G661" i="8"/>
  <c r="E661" i="8"/>
  <c r="D661" i="8"/>
  <c r="C661" i="8"/>
  <c r="V660" i="8"/>
  <c r="U660" i="8"/>
  <c r="T660" i="8"/>
  <c r="S660" i="8"/>
  <c r="R660" i="8"/>
  <c r="P660" i="8"/>
  <c r="O660" i="8"/>
  <c r="M660" i="8"/>
  <c r="L660" i="8"/>
  <c r="K660" i="8"/>
  <c r="J660" i="8"/>
  <c r="I660" i="8"/>
  <c r="H660" i="8"/>
  <c r="G660" i="8"/>
  <c r="E660" i="8"/>
  <c r="D660" i="8"/>
  <c r="C660" i="8"/>
  <c r="V659" i="8"/>
  <c r="U659" i="8"/>
  <c r="T659" i="8"/>
  <c r="S659" i="8"/>
  <c r="R659" i="8"/>
  <c r="P659" i="8"/>
  <c r="O659" i="8"/>
  <c r="M659" i="8"/>
  <c r="L659" i="8"/>
  <c r="K659" i="8"/>
  <c r="J659" i="8"/>
  <c r="I659" i="8"/>
  <c r="H659" i="8"/>
  <c r="G659" i="8"/>
  <c r="E659" i="8"/>
  <c r="D659" i="8"/>
  <c r="C659" i="8"/>
  <c r="V658" i="8"/>
  <c r="U658" i="8"/>
  <c r="T658" i="8"/>
  <c r="S658" i="8"/>
  <c r="R658" i="8"/>
  <c r="P658" i="8"/>
  <c r="O658" i="8"/>
  <c r="M658" i="8"/>
  <c r="L658" i="8"/>
  <c r="K658" i="8"/>
  <c r="J658" i="8"/>
  <c r="I658" i="8"/>
  <c r="H658" i="8"/>
  <c r="G658" i="8"/>
  <c r="E658" i="8"/>
  <c r="D658" i="8"/>
  <c r="C658" i="8"/>
  <c r="V657" i="8"/>
  <c r="U657" i="8"/>
  <c r="T657" i="8"/>
  <c r="S657" i="8"/>
  <c r="R657" i="8"/>
  <c r="P657" i="8"/>
  <c r="O657" i="8"/>
  <c r="M657" i="8"/>
  <c r="L657" i="8"/>
  <c r="K657" i="8"/>
  <c r="J657" i="8"/>
  <c r="I657" i="8"/>
  <c r="H657" i="8"/>
  <c r="G657" i="8"/>
  <c r="E657" i="8"/>
  <c r="D657" i="8"/>
  <c r="C657" i="8"/>
  <c r="V656" i="8"/>
  <c r="U656" i="8"/>
  <c r="T656" i="8"/>
  <c r="S656" i="8"/>
  <c r="R656" i="8"/>
  <c r="P656" i="8"/>
  <c r="O656" i="8"/>
  <c r="M656" i="8"/>
  <c r="L656" i="8"/>
  <c r="K656" i="8"/>
  <c r="J656" i="8"/>
  <c r="I656" i="8"/>
  <c r="H656" i="8"/>
  <c r="G656" i="8"/>
  <c r="E656" i="8"/>
  <c r="D656" i="8"/>
  <c r="C656" i="8"/>
  <c r="V655" i="8"/>
  <c r="U655" i="8"/>
  <c r="T655" i="8"/>
  <c r="S655" i="8"/>
  <c r="R655" i="8"/>
  <c r="P655" i="8"/>
  <c r="O655" i="8"/>
  <c r="M655" i="8"/>
  <c r="L655" i="8"/>
  <c r="K655" i="8"/>
  <c r="J655" i="8"/>
  <c r="I655" i="8"/>
  <c r="H655" i="8"/>
  <c r="G655" i="8"/>
  <c r="E655" i="8"/>
  <c r="D655" i="8"/>
  <c r="C655" i="8"/>
  <c r="V654" i="8"/>
  <c r="U654" i="8"/>
  <c r="T654" i="8"/>
  <c r="S654" i="8"/>
  <c r="R654" i="8"/>
  <c r="P654" i="8"/>
  <c r="O654" i="8"/>
  <c r="M654" i="8"/>
  <c r="L654" i="8"/>
  <c r="K654" i="8"/>
  <c r="J654" i="8"/>
  <c r="I654" i="8"/>
  <c r="H654" i="8"/>
  <c r="G654" i="8"/>
  <c r="E654" i="8"/>
  <c r="D654" i="8"/>
  <c r="C654" i="8"/>
  <c r="V653" i="8"/>
  <c r="U653" i="8"/>
  <c r="T653" i="8"/>
  <c r="S653" i="8"/>
  <c r="R653" i="8"/>
  <c r="P653" i="8"/>
  <c r="O653" i="8"/>
  <c r="M653" i="8"/>
  <c r="L653" i="8"/>
  <c r="K653" i="8"/>
  <c r="J653" i="8"/>
  <c r="I653" i="8"/>
  <c r="H653" i="8"/>
  <c r="G653" i="8"/>
  <c r="E653" i="8"/>
  <c r="D653" i="8"/>
  <c r="C653" i="8"/>
  <c r="V652" i="8"/>
  <c r="U652" i="8"/>
  <c r="T652" i="8"/>
  <c r="S652" i="8"/>
  <c r="R652" i="8"/>
  <c r="P652" i="8"/>
  <c r="O652" i="8"/>
  <c r="M652" i="8"/>
  <c r="L652" i="8"/>
  <c r="K652" i="8"/>
  <c r="J652" i="8"/>
  <c r="I652" i="8"/>
  <c r="H652" i="8"/>
  <c r="G652" i="8"/>
  <c r="E652" i="8"/>
  <c r="D652" i="8"/>
  <c r="C652" i="8"/>
  <c r="V651" i="8"/>
  <c r="U651" i="8"/>
  <c r="T651" i="8"/>
  <c r="S651" i="8"/>
  <c r="R651" i="8"/>
  <c r="P651" i="8"/>
  <c r="O651" i="8"/>
  <c r="M651" i="8"/>
  <c r="L651" i="8"/>
  <c r="K651" i="8"/>
  <c r="J651" i="8"/>
  <c r="I651" i="8"/>
  <c r="H651" i="8"/>
  <c r="G651" i="8"/>
  <c r="E651" i="8"/>
  <c r="D651" i="8"/>
  <c r="C651" i="8"/>
  <c r="V650" i="8"/>
  <c r="U650" i="8"/>
  <c r="T650" i="8"/>
  <c r="S650" i="8"/>
  <c r="R650" i="8"/>
  <c r="P650" i="8"/>
  <c r="O650" i="8"/>
  <c r="M650" i="8"/>
  <c r="L650" i="8"/>
  <c r="K650" i="8"/>
  <c r="J650" i="8"/>
  <c r="I650" i="8"/>
  <c r="H650" i="8"/>
  <c r="G650" i="8"/>
  <c r="E650" i="8"/>
  <c r="D650" i="8"/>
  <c r="C650" i="8"/>
  <c r="V649" i="8"/>
  <c r="U649" i="8"/>
  <c r="T649" i="8"/>
  <c r="S649" i="8"/>
  <c r="R649" i="8"/>
  <c r="P649" i="8"/>
  <c r="O649" i="8"/>
  <c r="M649" i="8"/>
  <c r="L649" i="8"/>
  <c r="K649" i="8"/>
  <c r="J649" i="8"/>
  <c r="I649" i="8"/>
  <c r="H649" i="8"/>
  <c r="G649" i="8"/>
  <c r="E649" i="8"/>
  <c r="D649" i="8"/>
  <c r="C649" i="8"/>
  <c r="V648" i="8"/>
  <c r="U648" i="8"/>
  <c r="T648" i="8"/>
  <c r="S648" i="8"/>
  <c r="R648" i="8"/>
  <c r="P648" i="8"/>
  <c r="O648" i="8"/>
  <c r="M648" i="8"/>
  <c r="L648" i="8"/>
  <c r="K648" i="8"/>
  <c r="J648" i="8"/>
  <c r="I648" i="8"/>
  <c r="H648" i="8"/>
  <c r="G648" i="8"/>
  <c r="E648" i="8"/>
  <c r="D648" i="8"/>
  <c r="C648" i="8"/>
  <c r="V647" i="8"/>
  <c r="U647" i="8"/>
  <c r="T647" i="8"/>
  <c r="S647" i="8"/>
  <c r="R647" i="8"/>
  <c r="P647" i="8"/>
  <c r="O647" i="8"/>
  <c r="M647" i="8"/>
  <c r="L647" i="8"/>
  <c r="K647" i="8"/>
  <c r="J647" i="8"/>
  <c r="I647" i="8"/>
  <c r="H647" i="8"/>
  <c r="G647" i="8"/>
  <c r="E647" i="8"/>
  <c r="D647" i="8"/>
  <c r="C647" i="8"/>
  <c r="V646" i="8"/>
  <c r="U646" i="8"/>
  <c r="T646" i="8"/>
  <c r="S646" i="8"/>
  <c r="R646" i="8"/>
  <c r="P646" i="8"/>
  <c r="O646" i="8"/>
  <c r="M646" i="8"/>
  <c r="L646" i="8"/>
  <c r="K646" i="8"/>
  <c r="J646" i="8"/>
  <c r="I646" i="8"/>
  <c r="H646" i="8"/>
  <c r="G646" i="8"/>
  <c r="E646" i="8"/>
  <c r="D646" i="8"/>
  <c r="C646" i="8"/>
  <c r="V645" i="8"/>
  <c r="U645" i="8"/>
  <c r="T645" i="8"/>
  <c r="S645" i="8"/>
  <c r="R645" i="8"/>
  <c r="P645" i="8"/>
  <c r="O645" i="8"/>
  <c r="M645" i="8"/>
  <c r="L645" i="8"/>
  <c r="K645" i="8"/>
  <c r="J645" i="8"/>
  <c r="I645" i="8"/>
  <c r="H645" i="8"/>
  <c r="G645" i="8"/>
  <c r="E645" i="8"/>
  <c r="D645" i="8"/>
  <c r="C645" i="8"/>
  <c r="V644" i="8"/>
  <c r="U644" i="8"/>
  <c r="T644" i="8"/>
  <c r="S644" i="8"/>
  <c r="R644" i="8"/>
  <c r="P644" i="8"/>
  <c r="O644" i="8"/>
  <c r="M644" i="8"/>
  <c r="L644" i="8"/>
  <c r="K644" i="8"/>
  <c r="J644" i="8"/>
  <c r="I644" i="8"/>
  <c r="H644" i="8"/>
  <c r="G644" i="8"/>
  <c r="E644" i="8"/>
  <c r="D644" i="8"/>
  <c r="C644" i="8"/>
  <c r="V643" i="8"/>
  <c r="U643" i="8"/>
  <c r="T643" i="8"/>
  <c r="S643" i="8"/>
  <c r="R643" i="8"/>
  <c r="P643" i="8"/>
  <c r="O643" i="8"/>
  <c r="M643" i="8"/>
  <c r="L643" i="8"/>
  <c r="K643" i="8"/>
  <c r="J643" i="8"/>
  <c r="I643" i="8"/>
  <c r="H643" i="8"/>
  <c r="G643" i="8"/>
  <c r="E643" i="8"/>
  <c r="D643" i="8"/>
  <c r="C643" i="8"/>
  <c r="V642" i="8"/>
  <c r="U642" i="8"/>
  <c r="T642" i="8"/>
  <c r="S642" i="8"/>
  <c r="R642" i="8"/>
  <c r="P642" i="8"/>
  <c r="O642" i="8"/>
  <c r="M642" i="8"/>
  <c r="L642" i="8"/>
  <c r="K642" i="8"/>
  <c r="J642" i="8"/>
  <c r="I642" i="8"/>
  <c r="H642" i="8"/>
  <c r="G642" i="8"/>
  <c r="E642" i="8"/>
  <c r="D642" i="8"/>
  <c r="C642" i="8"/>
  <c r="V641" i="8"/>
  <c r="U641" i="8"/>
  <c r="T641" i="8"/>
  <c r="S641" i="8"/>
  <c r="R641" i="8"/>
  <c r="P641" i="8"/>
  <c r="O641" i="8"/>
  <c r="M641" i="8"/>
  <c r="L641" i="8"/>
  <c r="K641" i="8"/>
  <c r="J641" i="8"/>
  <c r="I641" i="8"/>
  <c r="H641" i="8"/>
  <c r="G641" i="8"/>
  <c r="E641" i="8"/>
  <c r="D641" i="8"/>
  <c r="C641" i="8"/>
  <c r="V640" i="8"/>
  <c r="U640" i="8"/>
  <c r="T640" i="8"/>
  <c r="S640" i="8"/>
  <c r="R640" i="8"/>
  <c r="P640" i="8"/>
  <c r="O640" i="8"/>
  <c r="M640" i="8"/>
  <c r="L640" i="8"/>
  <c r="K640" i="8"/>
  <c r="J640" i="8"/>
  <c r="I640" i="8"/>
  <c r="H640" i="8"/>
  <c r="G640" i="8"/>
  <c r="E640" i="8"/>
  <c r="D640" i="8"/>
  <c r="C640" i="8"/>
  <c r="V639" i="8"/>
  <c r="U639" i="8"/>
  <c r="T639" i="8"/>
  <c r="S639" i="8"/>
  <c r="R639" i="8"/>
  <c r="P639" i="8"/>
  <c r="O639" i="8"/>
  <c r="M639" i="8"/>
  <c r="L639" i="8"/>
  <c r="K639" i="8"/>
  <c r="J639" i="8"/>
  <c r="I639" i="8"/>
  <c r="H639" i="8"/>
  <c r="G639" i="8"/>
  <c r="E639" i="8"/>
  <c r="D639" i="8"/>
  <c r="C639" i="8"/>
  <c r="V638" i="8"/>
  <c r="U638" i="8"/>
  <c r="T638" i="8"/>
  <c r="S638" i="8"/>
  <c r="R638" i="8"/>
  <c r="P638" i="8"/>
  <c r="O638" i="8"/>
  <c r="M638" i="8"/>
  <c r="L638" i="8"/>
  <c r="K638" i="8"/>
  <c r="J638" i="8"/>
  <c r="I638" i="8"/>
  <c r="H638" i="8"/>
  <c r="G638" i="8"/>
  <c r="E638" i="8"/>
  <c r="D638" i="8"/>
  <c r="C638" i="8"/>
  <c r="V637" i="8"/>
  <c r="U637" i="8"/>
  <c r="T637" i="8"/>
  <c r="S637" i="8"/>
  <c r="R637" i="8"/>
  <c r="P637" i="8"/>
  <c r="O637" i="8"/>
  <c r="M637" i="8"/>
  <c r="L637" i="8"/>
  <c r="K637" i="8"/>
  <c r="J637" i="8"/>
  <c r="I637" i="8"/>
  <c r="H637" i="8"/>
  <c r="G637" i="8"/>
  <c r="E637" i="8"/>
  <c r="D637" i="8"/>
  <c r="C637" i="8"/>
  <c r="V636" i="8"/>
  <c r="U636" i="8"/>
  <c r="T636" i="8"/>
  <c r="S636" i="8"/>
  <c r="R636" i="8"/>
  <c r="P636" i="8"/>
  <c r="O636" i="8"/>
  <c r="M636" i="8"/>
  <c r="L636" i="8"/>
  <c r="K636" i="8"/>
  <c r="J636" i="8"/>
  <c r="I636" i="8"/>
  <c r="H636" i="8"/>
  <c r="G636" i="8"/>
  <c r="E636" i="8"/>
  <c r="D636" i="8"/>
  <c r="C636" i="8"/>
  <c r="V635" i="8"/>
  <c r="U635" i="8"/>
  <c r="T635" i="8"/>
  <c r="S635" i="8"/>
  <c r="R635" i="8"/>
  <c r="P635" i="8"/>
  <c r="O635" i="8"/>
  <c r="M635" i="8"/>
  <c r="L635" i="8"/>
  <c r="K635" i="8"/>
  <c r="J635" i="8"/>
  <c r="I635" i="8"/>
  <c r="H635" i="8"/>
  <c r="G635" i="8"/>
  <c r="E635" i="8"/>
  <c r="D635" i="8"/>
  <c r="C635" i="8"/>
  <c r="V634" i="8"/>
  <c r="U634" i="8"/>
  <c r="T634" i="8"/>
  <c r="S634" i="8"/>
  <c r="R634" i="8"/>
  <c r="P634" i="8"/>
  <c r="O634" i="8"/>
  <c r="M634" i="8"/>
  <c r="L634" i="8"/>
  <c r="K634" i="8"/>
  <c r="J634" i="8"/>
  <c r="I634" i="8"/>
  <c r="H634" i="8"/>
  <c r="G634" i="8"/>
  <c r="E634" i="8"/>
  <c r="D634" i="8"/>
  <c r="C634" i="8"/>
  <c r="V633" i="8"/>
  <c r="U633" i="8"/>
  <c r="T633" i="8"/>
  <c r="S633" i="8"/>
  <c r="R633" i="8"/>
  <c r="P633" i="8"/>
  <c r="O633" i="8"/>
  <c r="M633" i="8"/>
  <c r="L633" i="8"/>
  <c r="K633" i="8"/>
  <c r="J633" i="8"/>
  <c r="I633" i="8"/>
  <c r="H633" i="8"/>
  <c r="G633" i="8"/>
  <c r="E633" i="8"/>
  <c r="D633" i="8"/>
  <c r="C633" i="8"/>
  <c r="V632" i="8"/>
  <c r="U632" i="8"/>
  <c r="T632" i="8"/>
  <c r="S632" i="8"/>
  <c r="R632" i="8"/>
  <c r="P632" i="8"/>
  <c r="O632" i="8"/>
  <c r="M632" i="8"/>
  <c r="L632" i="8"/>
  <c r="K632" i="8"/>
  <c r="J632" i="8"/>
  <c r="I632" i="8"/>
  <c r="H632" i="8"/>
  <c r="G632" i="8"/>
  <c r="E632" i="8"/>
  <c r="D632" i="8"/>
  <c r="C632" i="8"/>
  <c r="V631" i="8"/>
  <c r="U631" i="8"/>
  <c r="T631" i="8"/>
  <c r="S631" i="8"/>
  <c r="R631" i="8"/>
  <c r="P631" i="8"/>
  <c r="O631" i="8"/>
  <c r="M631" i="8"/>
  <c r="L631" i="8"/>
  <c r="K631" i="8"/>
  <c r="J631" i="8"/>
  <c r="I631" i="8"/>
  <c r="H631" i="8"/>
  <c r="G631" i="8"/>
  <c r="E631" i="8"/>
  <c r="D631" i="8"/>
  <c r="C631" i="8"/>
  <c r="V630" i="8"/>
  <c r="U630" i="8"/>
  <c r="T630" i="8"/>
  <c r="S630" i="8"/>
  <c r="R630" i="8"/>
  <c r="P630" i="8"/>
  <c r="O630" i="8"/>
  <c r="M630" i="8"/>
  <c r="L630" i="8"/>
  <c r="K630" i="8"/>
  <c r="J630" i="8"/>
  <c r="I630" i="8"/>
  <c r="H630" i="8"/>
  <c r="G630" i="8"/>
  <c r="E630" i="8"/>
  <c r="D630" i="8"/>
  <c r="C630" i="8"/>
  <c r="V629" i="8"/>
  <c r="U629" i="8"/>
  <c r="T629" i="8"/>
  <c r="S629" i="8"/>
  <c r="R629" i="8"/>
  <c r="P629" i="8"/>
  <c r="O629" i="8"/>
  <c r="M629" i="8"/>
  <c r="L629" i="8"/>
  <c r="K629" i="8"/>
  <c r="J629" i="8"/>
  <c r="I629" i="8"/>
  <c r="H629" i="8"/>
  <c r="G629" i="8"/>
  <c r="E629" i="8"/>
  <c r="D629" i="8"/>
  <c r="C629" i="8"/>
  <c r="V628" i="8"/>
  <c r="U628" i="8"/>
  <c r="T628" i="8"/>
  <c r="S628" i="8"/>
  <c r="R628" i="8"/>
  <c r="P628" i="8"/>
  <c r="O628" i="8"/>
  <c r="M628" i="8"/>
  <c r="L628" i="8"/>
  <c r="K628" i="8"/>
  <c r="J628" i="8"/>
  <c r="I628" i="8"/>
  <c r="H628" i="8"/>
  <c r="G628" i="8"/>
  <c r="E628" i="8"/>
  <c r="D628" i="8"/>
  <c r="C628" i="8"/>
  <c r="V627" i="8"/>
  <c r="U627" i="8"/>
  <c r="T627" i="8"/>
  <c r="S627" i="8"/>
  <c r="R627" i="8"/>
  <c r="P627" i="8"/>
  <c r="O627" i="8"/>
  <c r="M627" i="8"/>
  <c r="L627" i="8"/>
  <c r="K627" i="8"/>
  <c r="J627" i="8"/>
  <c r="I627" i="8"/>
  <c r="H627" i="8"/>
  <c r="G627" i="8"/>
  <c r="E627" i="8"/>
  <c r="D627" i="8"/>
  <c r="C627" i="8"/>
  <c r="V626" i="8"/>
  <c r="U626" i="8"/>
  <c r="T626" i="8"/>
  <c r="S626" i="8"/>
  <c r="R626" i="8"/>
  <c r="P626" i="8"/>
  <c r="O626" i="8"/>
  <c r="M626" i="8"/>
  <c r="L626" i="8"/>
  <c r="K626" i="8"/>
  <c r="J626" i="8"/>
  <c r="I626" i="8"/>
  <c r="H626" i="8"/>
  <c r="G626" i="8"/>
  <c r="E626" i="8"/>
  <c r="D626" i="8"/>
  <c r="C626" i="8"/>
  <c r="V625" i="8"/>
  <c r="U625" i="8"/>
  <c r="T625" i="8"/>
  <c r="S625" i="8"/>
  <c r="R625" i="8"/>
  <c r="P625" i="8"/>
  <c r="O625" i="8"/>
  <c r="M625" i="8"/>
  <c r="L625" i="8"/>
  <c r="K625" i="8"/>
  <c r="J625" i="8"/>
  <c r="I625" i="8"/>
  <c r="H625" i="8"/>
  <c r="G625" i="8"/>
  <c r="E625" i="8"/>
  <c r="D625" i="8"/>
  <c r="C625" i="8"/>
  <c r="V624" i="8"/>
  <c r="U624" i="8"/>
  <c r="T624" i="8"/>
  <c r="S624" i="8"/>
  <c r="R624" i="8"/>
  <c r="P624" i="8"/>
  <c r="O624" i="8"/>
  <c r="M624" i="8"/>
  <c r="L624" i="8"/>
  <c r="K624" i="8"/>
  <c r="J624" i="8"/>
  <c r="I624" i="8"/>
  <c r="H624" i="8"/>
  <c r="G624" i="8"/>
  <c r="E624" i="8"/>
  <c r="D624" i="8"/>
  <c r="C624" i="8"/>
  <c r="V623" i="8"/>
  <c r="U623" i="8"/>
  <c r="T623" i="8"/>
  <c r="S623" i="8"/>
  <c r="R623" i="8"/>
  <c r="P623" i="8"/>
  <c r="O623" i="8"/>
  <c r="M623" i="8"/>
  <c r="L623" i="8"/>
  <c r="K623" i="8"/>
  <c r="J623" i="8"/>
  <c r="I623" i="8"/>
  <c r="H623" i="8"/>
  <c r="G623" i="8"/>
  <c r="E623" i="8"/>
  <c r="D623" i="8"/>
  <c r="C623" i="8"/>
  <c r="V622" i="8"/>
  <c r="U622" i="8"/>
  <c r="T622" i="8"/>
  <c r="S622" i="8"/>
  <c r="R622" i="8"/>
  <c r="P622" i="8"/>
  <c r="O622" i="8"/>
  <c r="M622" i="8"/>
  <c r="L622" i="8"/>
  <c r="K622" i="8"/>
  <c r="J622" i="8"/>
  <c r="I622" i="8"/>
  <c r="H622" i="8"/>
  <c r="G622" i="8"/>
  <c r="E622" i="8"/>
  <c r="D622" i="8"/>
  <c r="C622" i="8"/>
  <c r="V621" i="8"/>
  <c r="U621" i="8"/>
  <c r="T621" i="8"/>
  <c r="S621" i="8"/>
  <c r="R621" i="8"/>
  <c r="P621" i="8"/>
  <c r="O621" i="8"/>
  <c r="M621" i="8"/>
  <c r="L621" i="8"/>
  <c r="K621" i="8"/>
  <c r="J621" i="8"/>
  <c r="I621" i="8"/>
  <c r="H621" i="8"/>
  <c r="G621" i="8"/>
  <c r="E621" i="8"/>
  <c r="D621" i="8"/>
  <c r="C621" i="8"/>
  <c r="V620" i="8"/>
  <c r="U620" i="8"/>
  <c r="T620" i="8"/>
  <c r="S620" i="8"/>
  <c r="R620" i="8"/>
  <c r="P620" i="8"/>
  <c r="O620" i="8"/>
  <c r="M620" i="8"/>
  <c r="L620" i="8"/>
  <c r="K620" i="8"/>
  <c r="J620" i="8"/>
  <c r="I620" i="8"/>
  <c r="H620" i="8"/>
  <c r="G620" i="8"/>
  <c r="E620" i="8"/>
  <c r="D620" i="8"/>
  <c r="C620" i="8"/>
  <c r="V619" i="8"/>
  <c r="U619" i="8"/>
  <c r="T619" i="8"/>
  <c r="S619" i="8"/>
  <c r="R619" i="8"/>
  <c r="P619" i="8"/>
  <c r="O619" i="8"/>
  <c r="M619" i="8"/>
  <c r="L619" i="8"/>
  <c r="K619" i="8"/>
  <c r="J619" i="8"/>
  <c r="I619" i="8"/>
  <c r="H619" i="8"/>
  <c r="G619" i="8"/>
  <c r="E619" i="8"/>
  <c r="D619" i="8"/>
  <c r="C619" i="8"/>
  <c r="V618" i="8"/>
  <c r="U618" i="8"/>
  <c r="T618" i="8"/>
  <c r="S618" i="8"/>
  <c r="R618" i="8"/>
  <c r="P618" i="8"/>
  <c r="O618" i="8"/>
  <c r="M618" i="8"/>
  <c r="L618" i="8"/>
  <c r="K618" i="8"/>
  <c r="J618" i="8"/>
  <c r="I618" i="8"/>
  <c r="H618" i="8"/>
  <c r="G618" i="8"/>
  <c r="E618" i="8"/>
  <c r="D618" i="8"/>
  <c r="C618" i="8"/>
  <c r="V617" i="8"/>
  <c r="U617" i="8"/>
  <c r="T617" i="8"/>
  <c r="S617" i="8"/>
  <c r="R617" i="8"/>
  <c r="P617" i="8"/>
  <c r="O617" i="8"/>
  <c r="M617" i="8"/>
  <c r="L617" i="8"/>
  <c r="K617" i="8"/>
  <c r="J617" i="8"/>
  <c r="I617" i="8"/>
  <c r="H617" i="8"/>
  <c r="G617" i="8"/>
  <c r="E617" i="8"/>
  <c r="D617" i="8"/>
  <c r="C617" i="8"/>
  <c r="V616" i="8"/>
  <c r="U616" i="8"/>
  <c r="T616" i="8"/>
  <c r="S616" i="8"/>
  <c r="R616" i="8"/>
  <c r="P616" i="8"/>
  <c r="O616" i="8"/>
  <c r="M616" i="8"/>
  <c r="L616" i="8"/>
  <c r="K616" i="8"/>
  <c r="J616" i="8"/>
  <c r="I616" i="8"/>
  <c r="H616" i="8"/>
  <c r="G616" i="8"/>
  <c r="E616" i="8"/>
  <c r="D616" i="8"/>
  <c r="C616" i="8"/>
  <c r="V615" i="8"/>
  <c r="U615" i="8"/>
  <c r="T615" i="8"/>
  <c r="S615" i="8"/>
  <c r="R615" i="8"/>
  <c r="P615" i="8"/>
  <c r="O615" i="8"/>
  <c r="M615" i="8"/>
  <c r="L615" i="8"/>
  <c r="K615" i="8"/>
  <c r="J615" i="8"/>
  <c r="I615" i="8"/>
  <c r="H615" i="8"/>
  <c r="G615" i="8"/>
  <c r="E615" i="8"/>
  <c r="D615" i="8"/>
  <c r="C615" i="8"/>
  <c r="V614" i="8"/>
  <c r="U614" i="8"/>
  <c r="T614" i="8"/>
  <c r="S614" i="8"/>
  <c r="R614" i="8"/>
  <c r="P614" i="8"/>
  <c r="O614" i="8"/>
  <c r="M614" i="8"/>
  <c r="L614" i="8"/>
  <c r="K614" i="8"/>
  <c r="J614" i="8"/>
  <c r="I614" i="8"/>
  <c r="H614" i="8"/>
  <c r="G614" i="8"/>
  <c r="E614" i="8"/>
  <c r="D614" i="8"/>
  <c r="C614" i="8"/>
  <c r="V613" i="8"/>
  <c r="U613" i="8"/>
  <c r="T613" i="8"/>
  <c r="S613" i="8"/>
  <c r="R613" i="8"/>
  <c r="P613" i="8"/>
  <c r="O613" i="8"/>
  <c r="M613" i="8"/>
  <c r="L613" i="8"/>
  <c r="K613" i="8"/>
  <c r="J613" i="8"/>
  <c r="I613" i="8"/>
  <c r="H613" i="8"/>
  <c r="G613" i="8"/>
  <c r="E613" i="8"/>
  <c r="D613" i="8"/>
  <c r="C613" i="8"/>
  <c r="V612" i="8"/>
  <c r="U612" i="8"/>
  <c r="T612" i="8"/>
  <c r="S612" i="8"/>
  <c r="R612" i="8"/>
  <c r="P612" i="8"/>
  <c r="O612" i="8"/>
  <c r="M612" i="8"/>
  <c r="L612" i="8"/>
  <c r="K612" i="8"/>
  <c r="J612" i="8"/>
  <c r="I612" i="8"/>
  <c r="H612" i="8"/>
  <c r="G612" i="8"/>
  <c r="E612" i="8"/>
  <c r="D612" i="8"/>
  <c r="C612" i="8"/>
  <c r="V611" i="8"/>
  <c r="U611" i="8"/>
  <c r="T611" i="8"/>
  <c r="S611" i="8"/>
  <c r="R611" i="8"/>
  <c r="P611" i="8"/>
  <c r="O611" i="8"/>
  <c r="M611" i="8"/>
  <c r="L611" i="8"/>
  <c r="K611" i="8"/>
  <c r="J611" i="8"/>
  <c r="I611" i="8"/>
  <c r="H611" i="8"/>
  <c r="G611" i="8"/>
  <c r="E611" i="8"/>
  <c r="D611" i="8"/>
  <c r="C611" i="8"/>
  <c r="V610" i="8"/>
  <c r="U610" i="8"/>
  <c r="T610" i="8"/>
  <c r="S610" i="8"/>
  <c r="R610" i="8"/>
  <c r="P610" i="8"/>
  <c r="O610" i="8"/>
  <c r="M610" i="8"/>
  <c r="L610" i="8"/>
  <c r="K610" i="8"/>
  <c r="J610" i="8"/>
  <c r="I610" i="8"/>
  <c r="H610" i="8"/>
  <c r="G610" i="8"/>
  <c r="E610" i="8"/>
  <c r="D610" i="8"/>
  <c r="C610" i="8"/>
  <c r="V609" i="8"/>
  <c r="U609" i="8"/>
  <c r="T609" i="8"/>
  <c r="S609" i="8"/>
  <c r="R609" i="8"/>
  <c r="P609" i="8"/>
  <c r="O609" i="8"/>
  <c r="M609" i="8"/>
  <c r="L609" i="8"/>
  <c r="K609" i="8"/>
  <c r="J609" i="8"/>
  <c r="I609" i="8"/>
  <c r="H609" i="8"/>
  <c r="G609" i="8"/>
  <c r="E609" i="8"/>
  <c r="D609" i="8"/>
  <c r="C609" i="8"/>
  <c r="V608" i="8"/>
  <c r="U608" i="8"/>
  <c r="T608" i="8"/>
  <c r="S608" i="8"/>
  <c r="R608" i="8"/>
  <c r="P608" i="8"/>
  <c r="O608" i="8"/>
  <c r="M608" i="8"/>
  <c r="L608" i="8"/>
  <c r="K608" i="8"/>
  <c r="J608" i="8"/>
  <c r="I608" i="8"/>
  <c r="H608" i="8"/>
  <c r="G608" i="8"/>
  <c r="E608" i="8"/>
  <c r="D608" i="8"/>
  <c r="C608" i="8"/>
  <c r="V607" i="8"/>
  <c r="U607" i="8"/>
  <c r="T607" i="8"/>
  <c r="S607" i="8"/>
  <c r="R607" i="8"/>
  <c r="P607" i="8"/>
  <c r="O607" i="8"/>
  <c r="M607" i="8"/>
  <c r="L607" i="8"/>
  <c r="K607" i="8"/>
  <c r="J607" i="8"/>
  <c r="I607" i="8"/>
  <c r="H607" i="8"/>
  <c r="G607" i="8"/>
  <c r="E607" i="8"/>
  <c r="D607" i="8"/>
  <c r="C607" i="8"/>
  <c r="V606" i="8"/>
  <c r="U606" i="8"/>
  <c r="T606" i="8"/>
  <c r="S606" i="8"/>
  <c r="R606" i="8"/>
  <c r="P606" i="8"/>
  <c r="O606" i="8"/>
  <c r="M606" i="8"/>
  <c r="L606" i="8"/>
  <c r="K606" i="8"/>
  <c r="J606" i="8"/>
  <c r="I606" i="8"/>
  <c r="H606" i="8"/>
  <c r="G606" i="8"/>
  <c r="E606" i="8"/>
  <c r="D606" i="8"/>
  <c r="C606" i="8"/>
  <c r="V605" i="8"/>
  <c r="U605" i="8"/>
  <c r="T605" i="8"/>
  <c r="S605" i="8"/>
  <c r="R605" i="8"/>
  <c r="P605" i="8"/>
  <c r="O605" i="8"/>
  <c r="M605" i="8"/>
  <c r="L605" i="8"/>
  <c r="K605" i="8"/>
  <c r="J605" i="8"/>
  <c r="I605" i="8"/>
  <c r="H605" i="8"/>
  <c r="G605" i="8"/>
  <c r="E605" i="8"/>
  <c r="D605" i="8"/>
  <c r="C605" i="8"/>
  <c r="V604" i="8"/>
  <c r="U604" i="8"/>
  <c r="T604" i="8"/>
  <c r="S604" i="8"/>
  <c r="R604" i="8"/>
  <c r="P604" i="8"/>
  <c r="O604" i="8"/>
  <c r="M604" i="8"/>
  <c r="L604" i="8"/>
  <c r="K604" i="8"/>
  <c r="J604" i="8"/>
  <c r="I604" i="8"/>
  <c r="H604" i="8"/>
  <c r="G604" i="8"/>
  <c r="E604" i="8"/>
  <c r="D604" i="8"/>
  <c r="C604" i="8"/>
  <c r="V603" i="8"/>
  <c r="U603" i="8"/>
  <c r="T603" i="8"/>
  <c r="S603" i="8"/>
  <c r="R603" i="8"/>
  <c r="P603" i="8"/>
  <c r="O603" i="8"/>
  <c r="M603" i="8"/>
  <c r="L603" i="8"/>
  <c r="K603" i="8"/>
  <c r="J603" i="8"/>
  <c r="I603" i="8"/>
  <c r="H603" i="8"/>
  <c r="G603" i="8"/>
  <c r="E603" i="8"/>
  <c r="D603" i="8"/>
  <c r="C603" i="8"/>
  <c r="V602" i="8"/>
  <c r="U602" i="8"/>
  <c r="T602" i="8"/>
  <c r="S602" i="8"/>
  <c r="R602" i="8"/>
  <c r="P602" i="8"/>
  <c r="O602" i="8"/>
  <c r="M602" i="8"/>
  <c r="L602" i="8"/>
  <c r="K602" i="8"/>
  <c r="J602" i="8"/>
  <c r="I602" i="8"/>
  <c r="H602" i="8"/>
  <c r="G602" i="8"/>
  <c r="E602" i="8"/>
  <c r="D602" i="8"/>
  <c r="C602" i="8"/>
  <c r="V601" i="8"/>
  <c r="U601" i="8"/>
  <c r="T601" i="8"/>
  <c r="S601" i="8"/>
  <c r="R601" i="8"/>
  <c r="P601" i="8"/>
  <c r="O601" i="8"/>
  <c r="M601" i="8"/>
  <c r="L601" i="8"/>
  <c r="K601" i="8"/>
  <c r="J601" i="8"/>
  <c r="I601" i="8"/>
  <c r="H601" i="8"/>
  <c r="G601" i="8"/>
  <c r="E601" i="8"/>
  <c r="D601" i="8"/>
  <c r="C601" i="8"/>
  <c r="V600" i="8"/>
  <c r="U600" i="8"/>
  <c r="T600" i="8"/>
  <c r="S600" i="8"/>
  <c r="R600" i="8"/>
  <c r="P600" i="8"/>
  <c r="O600" i="8"/>
  <c r="M600" i="8"/>
  <c r="L600" i="8"/>
  <c r="K600" i="8"/>
  <c r="J600" i="8"/>
  <c r="I600" i="8"/>
  <c r="H600" i="8"/>
  <c r="G600" i="8"/>
  <c r="E600" i="8"/>
  <c r="D600" i="8"/>
  <c r="C600" i="8"/>
  <c r="V599" i="8"/>
  <c r="U599" i="8"/>
  <c r="T599" i="8"/>
  <c r="S599" i="8"/>
  <c r="R599" i="8"/>
  <c r="P599" i="8"/>
  <c r="O599" i="8"/>
  <c r="M599" i="8"/>
  <c r="L599" i="8"/>
  <c r="K599" i="8"/>
  <c r="J599" i="8"/>
  <c r="I599" i="8"/>
  <c r="H599" i="8"/>
  <c r="G599" i="8"/>
  <c r="E599" i="8"/>
  <c r="D599" i="8"/>
  <c r="C599" i="8"/>
  <c r="V598" i="8"/>
  <c r="U598" i="8"/>
  <c r="T598" i="8"/>
  <c r="S598" i="8"/>
  <c r="R598" i="8"/>
  <c r="P598" i="8"/>
  <c r="O598" i="8"/>
  <c r="M598" i="8"/>
  <c r="L598" i="8"/>
  <c r="K598" i="8"/>
  <c r="J598" i="8"/>
  <c r="I598" i="8"/>
  <c r="H598" i="8"/>
  <c r="G598" i="8"/>
  <c r="E598" i="8"/>
  <c r="D598" i="8"/>
  <c r="C598" i="8"/>
  <c r="V597" i="8"/>
  <c r="U597" i="8"/>
  <c r="T597" i="8"/>
  <c r="S597" i="8"/>
  <c r="R597" i="8"/>
  <c r="P597" i="8"/>
  <c r="O597" i="8"/>
  <c r="M597" i="8"/>
  <c r="L597" i="8"/>
  <c r="K597" i="8"/>
  <c r="J597" i="8"/>
  <c r="I597" i="8"/>
  <c r="H597" i="8"/>
  <c r="G597" i="8"/>
  <c r="E597" i="8"/>
  <c r="D597" i="8"/>
  <c r="C597" i="8"/>
  <c r="V596" i="8"/>
  <c r="U596" i="8"/>
  <c r="T596" i="8"/>
  <c r="S596" i="8"/>
  <c r="R596" i="8"/>
  <c r="P596" i="8"/>
  <c r="O596" i="8"/>
  <c r="M596" i="8"/>
  <c r="L596" i="8"/>
  <c r="K596" i="8"/>
  <c r="J596" i="8"/>
  <c r="I596" i="8"/>
  <c r="H596" i="8"/>
  <c r="G596" i="8"/>
  <c r="E596" i="8"/>
  <c r="D596" i="8"/>
  <c r="C596" i="8"/>
  <c r="V595" i="8"/>
  <c r="U595" i="8"/>
  <c r="T595" i="8"/>
  <c r="S595" i="8"/>
  <c r="R595" i="8"/>
  <c r="P595" i="8"/>
  <c r="O595" i="8"/>
  <c r="M595" i="8"/>
  <c r="L595" i="8"/>
  <c r="K595" i="8"/>
  <c r="J595" i="8"/>
  <c r="I595" i="8"/>
  <c r="H595" i="8"/>
  <c r="G595" i="8"/>
  <c r="E595" i="8"/>
  <c r="D595" i="8"/>
  <c r="C595" i="8"/>
  <c r="V594" i="8"/>
  <c r="U594" i="8"/>
  <c r="T594" i="8"/>
  <c r="S594" i="8"/>
  <c r="R594" i="8"/>
  <c r="P594" i="8"/>
  <c r="O594" i="8"/>
  <c r="M594" i="8"/>
  <c r="L594" i="8"/>
  <c r="K594" i="8"/>
  <c r="J594" i="8"/>
  <c r="I594" i="8"/>
  <c r="H594" i="8"/>
  <c r="G594" i="8"/>
  <c r="E594" i="8"/>
  <c r="D594" i="8"/>
  <c r="C594" i="8"/>
  <c r="V593" i="8"/>
  <c r="U593" i="8"/>
  <c r="T593" i="8"/>
  <c r="S593" i="8"/>
  <c r="R593" i="8"/>
  <c r="P593" i="8"/>
  <c r="O593" i="8"/>
  <c r="M593" i="8"/>
  <c r="L593" i="8"/>
  <c r="K593" i="8"/>
  <c r="J593" i="8"/>
  <c r="I593" i="8"/>
  <c r="H593" i="8"/>
  <c r="G593" i="8"/>
  <c r="E593" i="8"/>
  <c r="D593" i="8"/>
  <c r="C593" i="8"/>
  <c r="V592" i="8"/>
  <c r="U592" i="8"/>
  <c r="T592" i="8"/>
  <c r="S592" i="8"/>
  <c r="R592" i="8"/>
  <c r="P592" i="8"/>
  <c r="O592" i="8"/>
  <c r="M592" i="8"/>
  <c r="L592" i="8"/>
  <c r="K592" i="8"/>
  <c r="J592" i="8"/>
  <c r="I592" i="8"/>
  <c r="H592" i="8"/>
  <c r="G592" i="8"/>
  <c r="E592" i="8"/>
  <c r="D592" i="8"/>
  <c r="C592" i="8"/>
  <c r="V591" i="8"/>
  <c r="U591" i="8"/>
  <c r="T591" i="8"/>
  <c r="S591" i="8"/>
  <c r="R591" i="8"/>
  <c r="P591" i="8"/>
  <c r="O591" i="8"/>
  <c r="M591" i="8"/>
  <c r="L591" i="8"/>
  <c r="K591" i="8"/>
  <c r="J591" i="8"/>
  <c r="I591" i="8"/>
  <c r="H591" i="8"/>
  <c r="G591" i="8"/>
  <c r="E591" i="8"/>
  <c r="D591" i="8"/>
  <c r="C591" i="8"/>
  <c r="V590" i="8"/>
  <c r="U590" i="8"/>
  <c r="T590" i="8"/>
  <c r="S590" i="8"/>
  <c r="R590" i="8"/>
  <c r="P590" i="8"/>
  <c r="O590" i="8"/>
  <c r="M590" i="8"/>
  <c r="L590" i="8"/>
  <c r="K590" i="8"/>
  <c r="J590" i="8"/>
  <c r="I590" i="8"/>
  <c r="H590" i="8"/>
  <c r="G590" i="8"/>
  <c r="E590" i="8"/>
  <c r="D590" i="8"/>
  <c r="C590" i="8"/>
  <c r="V589" i="8"/>
  <c r="U589" i="8"/>
  <c r="T589" i="8"/>
  <c r="S589" i="8"/>
  <c r="R589" i="8"/>
  <c r="P589" i="8"/>
  <c r="O589" i="8"/>
  <c r="M589" i="8"/>
  <c r="L589" i="8"/>
  <c r="K589" i="8"/>
  <c r="J589" i="8"/>
  <c r="I589" i="8"/>
  <c r="H589" i="8"/>
  <c r="G589" i="8"/>
  <c r="E589" i="8"/>
  <c r="D589" i="8"/>
  <c r="C589" i="8"/>
  <c r="V588" i="8"/>
  <c r="U588" i="8"/>
  <c r="T588" i="8"/>
  <c r="S588" i="8"/>
  <c r="R588" i="8"/>
  <c r="P588" i="8"/>
  <c r="O588" i="8"/>
  <c r="M588" i="8"/>
  <c r="L588" i="8"/>
  <c r="K588" i="8"/>
  <c r="J588" i="8"/>
  <c r="I588" i="8"/>
  <c r="H588" i="8"/>
  <c r="G588" i="8"/>
  <c r="E588" i="8"/>
  <c r="D588" i="8"/>
  <c r="C588" i="8"/>
  <c r="V587" i="8"/>
  <c r="U587" i="8"/>
  <c r="T587" i="8"/>
  <c r="S587" i="8"/>
  <c r="R587" i="8"/>
  <c r="P587" i="8"/>
  <c r="O587" i="8"/>
  <c r="M587" i="8"/>
  <c r="L587" i="8"/>
  <c r="K587" i="8"/>
  <c r="J587" i="8"/>
  <c r="I587" i="8"/>
  <c r="H587" i="8"/>
  <c r="G587" i="8"/>
  <c r="E587" i="8"/>
  <c r="D587" i="8"/>
  <c r="C587" i="8"/>
  <c r="V586" i="8"/>
  <c r="U586" i="8"/>
  <c r="T586" i="8"/>
  <c r="S586" i="8"/>
  <c r="R586" i="8"/>
  <c r="P586" i="8"/>
  <c r="O586" i="8"/>
  <c r="M586" i="8"/>
  <c r="L586" i="8"/>
  <c r="K586" i="8"/>
  <c r="J586" i="8"/>
  <c r="I586" i="8"/>
  <c r="H586" i="8"/>
  <c r="G586" i="8"/>
  <c r="E586" i="8"/>
  <c r="D586" i="8"/>
  <c r="C586" i="8"/>
  <c r="V585" i="8"/>
  <c r="U585" i="8"/>
  <c r="T585" i="8"/>
  <c r="S585" i="8"/>
  <c r="R585" i="8"/>
  <c r="P585" i="8"/>
  <c r="O585" i="8"/>
  <c r="M585" i="8"/>
  <c r="L585" i="8"/>
  <c r="K585" i="8"/>
  <c r="J585" i="8"/>
  <c r="I585" i="8"/>
  <c r="H585" i="8"/>
  <c r="G585" i="8"/>
  <c r="E585" i="8"/>
  <c r="D585" i="8"/>
  <c r="C585" i="8"/>
  <c r="V584" i="8"/>
  <c r="U584" i="8"/>
  <c r="T584" i="8"/>
  <c r="S584" i="8"/>
  <c r="R584" i="8"/>
  <c r="P584" i="8"/>
  <c r="O584" i="8"/>
  <c r="M584" i="8"/>
  <c r="L584" i="8"/>
  <c r="K584" i="8"/>
  <c r="J584" i="8"/>
  <c r="I584" i="8"/>
  <c r="H584" i="8"/>
  <c r="G584" i="8"/>
  <c r="E584" i="8"/>
  <c r="D584" i="8"/>
  <c r="C584" i="8"/>
  <c r="V583" i="8"/>
  <c r="U583" i="8"/>
  <c r="T583" i="8"/>
  <c r="S583" i="8"/>
  <c r="R583" i="8"/>
  <c r="P583" i="8"/>
  <c r="O583" i="8"/>
  <c r="M583" i="8"/>
  <c r="L583" i="8"/>
  <c r="K583" i="8"/>
  <c r="J583" i="8"/>
  <c r="I583" i="8"/>
  <c r="H583" i="8"/>
  <c r="G583" i="8"/>
  <c r="E583" i="8"/>
  <c r="D583" i="8"/>
  <c r="C583" i="8"/>
  <c r="V582" i="8"/>
  <c r="U582" i="8"/>
  <c r="T582" i="8"/>
  <c r="S582" i="8"/>
  <c r="R582" i="8"/>
  <c r="P582" i="8"/>
  <c r="O582" i="8"/>
  <c r="M582" i="8"/>
  <c r="L582" i="8"/>
  <c r="K582" i="8"/>
  <c r="J582" i="8"/>
  <c r="I582" i="8"/>
  <c r="H582" i="8"/>
  <c r="G582" i="8"/>
  <c r="E582" i="8"/>
  <c r="D582" i="8"/>
  <c r="C582" i="8"/>
  <c r="V581" i="8"/>
  <c r="U581" i="8"/>
  <c r="T581" i="8"/>
  <c r="S581" i="8"/>
  <c r="R581" i="8"/>
  <c r="P581" i="8"/>
  <c r="O581" i="8"/>
  <c r="M581" i="8"/>
  <c r="L581" i="8"/>
  <c r="K581" i="8"/>
  <c r="J581" i="8"/>
  <c r="I581" i="8"/>
  <c r="H581" i="8"/>
  <c r="G581" i="8"/>
  <c r="E581" i="8"/>
  <c r="D581" i="8"/>
  <c r="C581" i="8"/>
  <c r="V580" i="8"/>
  <c r="U580" i="8"/>
  <c r="T580" i="8"/>
  <c r="S580" i="8"/>
  <c r="R580" i="8"/>
  <c r="P580" i="8"/>
  <c r="O580" i="8"/>
  <c r="M580" i="8"/>
  <c r="L580" i="8"/>
  <c r="K580" i="8"/>
  <c r="J580" i="8"/>
  <c r="I580" i="8"/>
  <c r="H580" i="8"/>
  <c r="G580" i="8"/>
  <c r="E580" i="8"/>
  <c r="D580" i="8"/>
  <c r="C580" i="8"/>
  <c r="V579" i="8"/>
  <c r="U579" i="8"/>
  <c r="T579" i="8"/>
  <c r="S579" i="8"/>
  <c r="R579" i="8"/>
  <c r="P579" i="8"/>
  <c r="O579" i="8"/>
  <c r="M579" i="8"/>
  <c r="L579" i="8"/>
  <c r="K579" i="8"/>
  <c r="J579" i="8"/>
  <c r="I579" i="8"/>
  <c r="H579" i="8"/>
  <c r="G579" i="8"/>
  <c r="E579" i="8"/>
  <c r="D579" i="8"/>
  <c r="C579" i="8"/>
  <c r="V578" i="8"/>
  <c r="U578" i="8"/>
  <c r="T578" i="8"/>
  <c r="S578" i="8"/>
  <c r="R578" i="8"/>
  <c r="P578" i="8"/>
  <c r="O578" i="8"/>
  <c r="M578" i="8"/>
  <c r="L578" i="8"/>
  <c r="K578" i="8"/>
  <c r="J578" i="8"/>
  <c r="I578" i="8"/>
  <c r="H578" i="8"/>
  <c r="G578" i="8"/>
  <c r="E578" i="8"/>
  <c r="D578" i="8"/>
  <c r="C578" i="8"/>
  <c r="V577" i="8"/>
  <c r="U577" i="8"/>
  <c r="T577" i="8"/>
  <c r="S577" i="8"/>
  <c r="R577" i="8"/>
  <c r="P577" i="8"/>
  <c r="O577" i="8"/>
  <c r="M577" i="8"/>
  <c r="L577" i="8"/>
  <c r="K577" i="8"/>
  <c r="J577" i="8"/>
  <c r="I577" i="8"/>
  <c r="H577" i="8"/>
  <c r="G577" i="8"/>
  <c r="E577" i="8"/>
  <c r="D577" i="8"/>
  <c r="C577" i="8"/>
  <c r="V576" i="8"/>
  <c r="U576" i="8"/>
  <c r="T576" i="8"/>
  <c r="S576" i="8"/>
  <c r="R576" i="8"/>
  <c r="P576" i="8"/>
  <c r="O576" i="8"/>
  <c r="M576" i="8"/>
  <c r="L576" i="8"/>
  <c r="K576" i="8"/>
  <c r="J576" i="8"/>
  <c r="I576" i="8"/>
  <c r="H576" i="8"/>
  <c r="G576" i="8"/>
  <c r="E576" i="8"/>
  <c r="D576" i="8"/>
  <c r="C576" i="8"/>
  <c r="V575" i="8"/>
  <c r="U575" i="8"/>
  <c r="T575" i="8"/>
  <c r="S575" i="8"/>
  <c r="R575" i="8"/>
  <c r="P575" i="8"/>
  <c r="O575" i="8"/>
  <c r="M575" i="8"/>
  <c r="L575" i="8"/>
  <c r="K575" i="8"/>
  <c r="J575" i="8"/>
  <c r="I575" i="8"/>
  <c r="H575" i="8"/>
  <c r="G575" i="8"/>
  <c r="E575" i="8"/>
  <c r="D575" i="8"/>
  <c r="C575" i="8"/>
  <c r="V574" i="8"/>
  <c r="U574" i="8"/>
  <c r="T574" i="8"/>
  <c r="S574" i="8"/>
  <c r="R574" i="8"/>
  <c r="P574" i="8"/>
  <c r="O574" i="8"/>
  <c r="M574" i="8"/>
  <c r="L574" i="8"/>
  <c r="K574" i="8"/>
  <c r="J574" i="8"/>
  <c r="I574" i="8"/>
  <c r="H574" i="8"/>
  <c r="G574" i="8"/>
  <c r="E574" i="8"/>
  <c r="D574" i="8"/>
  <c r="C574" i="8"/>
  <c r="V573" i="8"/>
  <c r="U573" i="8"/>
  <c r="T573" i="8"/>
  <c r="S573" i="8"/>
  <c r="R573" i="8"/>
  <c r="P573" i="8"/>
  <c r="O573" i="8"/>
  <c r="M573" i="8"/>
  <c r="L573" i="8"/>
  <c r="K573" i="8"/>
  <c r="J573" i="8"/>
  <c r="I573" i="8"/>
  <c r="H573" i="8"/>
  <c r="G573" i="8"/>
  <c r="E573" i="8"/>
  <c r="D573" i="8"/>
  <c r="C573" i="8"/>
  <c r="V572" i="8"/>
  <c r="U572" i="8"/>
  <c r="T572" i="8"/>
  <c r="S572" i="8"/>
  <c r="R572" i="8"/>
  <c r="P572" i="8"/>
  <c r="O572" i="8"/>
  <c r="M572" i="8"/>
  <c r="L572" i="8"/>
  <c r="K572" i="8"/>
  <c r="J572" i="8"/>
  <c r="I572" i="8"/>
  <c r="H572" i="8"/>
  <c r="G572" i="8"/>
  <c r="E572" i="8"/>
  <c r="D572" i="8"/>
  <c r="C572" i="8"/>
  <c r="V571" i="8"/>
  <c r="U571" i="8"/>
  <c r="T571" i="8"/>
  <c r="S571" i="8"/>
  <c r="R571" i="8"/>
  <c r="P571" i="8"/>
  <c r="O571" i="8"/>
  <c r="M571" i="8"/>
  <c r="L571" i="8"/>
  <c r="K571" i="8"/>
  <c r="J571" i="8"/>
  <c r="I571" i="8"/>
  <c r="H571" i="8"/>
  <c r="G571" i="8"/>
  <c r="E571" i="8"/>
  <c r="D571" i="8"/>
  <c r="C571" i="8"/>
  <c r="V570" i="8"/>
  <c r="U570" i="8"/>
  <c r="T570" i="8"/>
  <c r="S570" i="8"/>
  <c r="R570" i="8"/>
  <c r="P570" i="8"/>
  <c r="O570" i="8"/>
  <c r="M570" i="8"/>
  <c r="L570" i="8"/>
  <c r="K570" i="8"/>
  <c r="J570" i="8"/>
  <c r="I570" i="8"/>
  <c r="H570" i="8"/>
  <c r="G570" i="8"/>
  <c r="E570" i="8"/>
  <c r="D570" i="8"/>
  <c r="C570" i="8"/>
  <c r="V569" i="8"/>
  <c r="U569" i="8"/>
  <c r="T569" i="8"/>
  <c r="S569" i="8"/>
  <c r="R569" i="8"/>
  <c r="P569" i="8"/>
  <c r="O569" i="8"/>
  <c r="M569" i="8"/>
  <c r="L569" i="8"/>
  <c r="K569" i="8"/>
  <c r="J569" i="8"/>
  <c r="I569" i="8"/>
  <c r="H569" i="8"/>
  <c r="G569" i="8"/>
  <c r="E569" i="8"/>
  <c r="D569" i="8"/>
  <c r="C569" i="8"/>
  <c r="V568" i="8"/>
  <c r="U568" i="8"/>
  <c r="T568" i="8"/>
  <c r="S568" i="8"/>
  <c r="R568" i="8"/>
  <c r="P568" i="8"/>
  <c r="O568" i="8"/>
  <c r="M568" i="8"/>
  <c r="L568" i="8"/>
  <c r="K568" i="8"/>
  <c r="J568" i="8"/>
  <c r="I568" i="8"/>
  <c r="H568" i="8"/>
  <c r="G568" i="8"/>
  <c r="E568" i="8"/>
  <c r="D568" i="8"/>
  <c r="C568" i="8"/>
  <c r="V567" i="8"/>
  <c r="U567" i="8"/>
  <c r="T567" i="8"/>
  <c r="S567" i="8"/>
  <c r="R567" i="8"/>
  <c r="P567" i="8"/>
  <c r="O567" i="8"/>
  <c r="M567" i="8"/>
  <c r="L567" i="8"/>
  <c r="K567" i="8"/>
  <c r="J567" i="8"/>
  <c r="I567" i="8"/>
  <c r="H567" i="8"/>
  <c r="G567" i="8"/>
  <c r="E567" i="8"/>
  <c r="D567" i="8"/>
  <c r="C567" i="8"/>
  <c r="V566" i="8"/>
  <c r="U566" i="8"/>
  <c r="T566" i="8"/>
  <c r="S566" i="8"/>
  <c r="R566" i="8"/>
  <c r="P566" i="8"/>
  <c r="O566" i="8"/>
  <c r="M566" i="8"/>
  <c r="L566" i="8"/>
  <c r="K566" i="8"/>
  <c r="J566" i="8"/>
  <c r="I566" i="8"/>
  <c r="H566" i="8"/>
  <c r="G566" i="8"/>
  <c r="E566" i="8"/>
  <c r="D566" i="8"/>
  <c r="C566" i="8"/>
  <c r="V565" i="8"/>
  <c r="U565" i="8"/>
  <c r="T565" i="8"/>
  <c r="S565" i="8"/>
  <c r="R565" i="8"/>
  <c r="P565" i="8"/>
  <c r="O565" i="8"/>
  <c r="M565" i="8"/>
  <c r="L565" i="8"/>
  <c r="K565" i="8"/>
  <c r="J565" i="8"/>
  <c r="I565" i="8"/>
  <c r="H565" i="8"/>
  <c r="G565" i="8"/>
  <c r="E565" i="8"/>
  <c r="D565" i="8"/>
  <c r="C565" i="8"/>
  <c r="V564" i="8"/>
  <c r="U564" i="8"/>
  <c r="T564" i="8"/>
  <c r="S564" i="8"/>
  <c r="R564" i="8"/>
  <c r="P564" i="8"/>
  <c r="O564" i="8"/>
  <c r="M564" i="8"/>
  <c r="L564" i="8"/>
  <c r="K564" i="8"/>
  <c r="J564" i="8"/>
  <c r="I564" i="8"/>
  <c r="H564" i="8"/>
  <c r="G564" i="8"/>
  <c r="E564" i="8"/>
  <c r="D564" i="8"/>
  <c r="C564" i="8"/>
  <c r="V563" i="8"/>
  <c r="U563" i="8"/>
  <c r="T563" i="8"/>
  <c r="S563" i="8"/>
  <c r="R563" i="8"/>
  <c r="P563" i="8"/>
  <c r="O563" i="8"/>
  <c r="M563" i="8"/>
  <c r="L563" i="8"/>
  <c r="K563" i="8"/>
  <c r="J563" i="8"/>
  <c r="I563" i="8"/>
  <c r="H563" i="8"/>
  <c r="G563" i="8"/>
  <c r="E563" i="8"/>
  <c r="D563" i="8"/>
  <c r="C563" i="8"/>
  <c r="V562" i="8"/>
  <c r="U562" i="8"/>
  <c r="T562" i="8"/>
  <c r="S562" i="8"/>
  <c r="R562" i="8"/>
  <c r="P562" i="8"/>
  <c r="O562" i="8"/>
  <c r="M562" i="8"/>
  <c r="L562" i="8"/>
  <c r="K562" i="8"/>
  <c r="J562" i="8"/>
  <c r="I562" i="8"/>
  <c r="H562" i="8"/>
  <c r="G562" i="8"/>
  <c r="E562" i="8"/>
  <c r="D562" i="8"/>
  <c r="C562" i="8"/>
  <c r="V561" i="8"/>
  <c r="U561" i="8"/>
  <c r="T561" i="8"/>
  <c r="S561" i="8"/>
  <c r="R561" i="8"/>
  <c r="P561" i="8"/>
  <c r="O561" i="8"/>
  <c r="M561" i="8"/>
  <c r="L561" i="8"/>
  <c r="K561" i="8"/>
  <c r="J561" i="8"/>
  <c r="I561" i="8"/>
  <c r="H561" i="8"/>
  <c r="G561" i="8"/>
  <c r="E561" i="8"/>
  <c r="D561" i="8"/>
  <c r="C561" i="8"/>
  <c r="V560" i="8"/>
  <c r="U560" i="8"/>
  <c r="T560" i="8"/>
  <c r="S560" i="8"/>
  <c r="R560" i="8"/>
  <c r="P560" i="8"/>
  <c r="O560" i="8"/>
  <c r="M560" i="8"/>
  <c r="L560" i="8"/>
  <c r="K560" i="8"/>
  <c r="J560" i="8"/>
  <c r="I560" i="8"/>
  <c r="H560" i="8"/>
  <c r="G560" i="8"/>
  <c r="E560" i="8"/>
  <c r="D560" i="8"/>
  <c r="C560" i="8"/>
  <c r="V559" i="8"/>
  <c r="U559" i="8"/>
  <c r="T559" i="8"/>
  <c r="S559" i="8"/>
  <c r="R559" i="8"/>
  <c r="P559" i="8"/>
  <c r="O559" i="8"/>
  <c r="M559" i="8"/>
  <c r="L559" i="8"/>
  <c r="K559" i="8"/>
  <c r="J559" i="8"/>
  <c r="I559" i="8"/>
  <c r="H559" i="8"/>
  <c r="G559" i="8"/>
  <c r="E559" i="8"/>
  <c r="D559" i="8"/>
  <c r="C559" i="8"/>
  <c r="V558" i="8"/>
  <c r="U558" i="8"/>
  <c r="T558" i="8"/>
  <c r="S558" i="8"/>
  <c r="R558" i="8"/>
  <c r="P558" i="8"/>
  <c r="O558" i="8"/>
  <c r="M558" i="8"/>
  <c r="L558" i="8"/>
  <c r="K558" i="8"/>
  <c r="J558" i="8"/>
  <c r="I558" i="8"/>
  <c r="H558" i="8"/>
  <c r="G558" i="8"/>
  <c r="E558" i="8"/>
  <c r="D558" i="8"/>
  <c r="C558" i="8"/>
  <c r="V557" i="8"/>
  <c r="U557" i="8"/>
  <c r="T557" i="8"/>
  <c r="S557" i="8"/>
  <c r="R557" i="8"/>
  <c r="P557" i="8"/>
  <c r="O557" i="8"/>
  <c r="M557" i="8"/>
  <c r="L557" i="8"/>
  <c r="K557" i="8"/>
  <c r="J557" i="8"/>
  <c r="I557" i="8"/>
  <c r="H557" i="8"/>
  <c r="G557" i="8"/>
  <c r="E557" i="8"/>
  <c r="D557" i="8"/>
  <c r="C557" i="8"/>
  <c r="V556" i="8"/>
  <c r="U556" i="8"/>
  <c r="T556" i="8"/>
  <c r="S556" i="8"/>
  <c r="R556" i="8"/>
  <c r="P556" i="8"/>
  <c r="O556" i="8"/>
  <c r="M556" i="8"/>
  <c r="L556" i="8"/>
  <c r="K556" i="8"/>
  <c r="J556" i="8"/>
  <c r="I556" i="8"/>
  <c r="H556" i="8"/>
  <c r="G556" i="8"/>
  <c r="E556" i="8"/>
  <c r="D556" i="8"/>
  <c r="C556" i="8"/>
  <c r="V555" i="8"/>
  <c r="U555" i="8"/>
  <c r="T555" i="8"/>
  <c r="S555" i="8"/>
  <c r="R555" i="8"/>
  <c r="P555" i="8"/>
  <c r="O555" i="8"/>
  <c r="M555" i="8"/>
  <c r="L555" i="8"/>
  <c r="K555" i="8"/>
  <c r="J555" i="8"/>
  <c r="I555" i="8"/>
  <c r="H555" i="8"/>
  <c r="G555" i="8"/>
  <c r="E555" i="8"/>
  <c r="D555" i="8"/>
  <c r="C555" i="8"/>
  <c r="V554" i="8"/>
  <c r="U554" i="8"/>
  <c r="T554" i="8"/>
  <c r="S554" i="8"/>
  <c r="R554" i="8"/>
  <c r="P554" i="8"/>
  <c r="O554" i="8"/>
  <c r="M554" i="8"/>
  <c r="L554" i="8"/>
  <c r="K554" i="8"/>
  <c r="J554" i="8"/>
  <c r="I554" i="8"/>
  <c r="H554" i="8"/>
  <c r="G554" i="8"/>
  <c r="E554" i="8"/>
  <c r="D554" i="8"/>
  <c r="C554" i="8"/>
  <c r="V553" i="8"/>
  <c r="U553" i="8"/>
  <c r="T553" i="8"/>
  <c r="S553" i="8"/>
  <c r="R553" i="8"/>
  <c r="P553" i="8"/>
  <c r="O553" i="8"/>
  <c r="M553" i="8"/>
  <c r="L553" i="8"/>
  <c r="K553" i="8"/>
  <c r="J553" i="8"/>
  <c r="I553" i="8"/>
  <c r="H553" i="8"/>
  <c r="G553" i="8"/>
  <c r="E553" i="8"/>
  <c r="D553" i="8"/>
  <c r="C553" i="8"/>
  <c r="V552" i="8"/>
  <c r="U552" i="8"/>
  <c r="T552" i="8"/>
  <c r="S552" i="8"/>
  <c r="R552" i="8"/>
  <c r="P552" i="8"/>
  <c r="O552" i="8"/>
  <c r="M552" i="8"/>
  <c r="L552" i="8"/>
  <c r="K552" i="8"/>
  <c r="J552" i="8"/>
  <c r="I552" i="8"/>
  <c r="H552" i="8"/>
  <c r="G552" i="8"/>
  <c r="E552" i="8"/>
  <c r="D552" i="8"/>
  <c r="C552" i="8"/>
  <c r="V551" i="8"/>
  <c r="U551" i="8"/>
  <c r="T551" i="8"/>
  <c r="S551" i="8"/>
  <c r="R551" i="8"/>
  <c r="P551" i="8"/>
  <c r="O551" i="8"/>
  <c r="M551" i="8"/>
  <c r="L551" i="8"/>
  <c r="K551" i="8"/>
  <c r="J551" i="8"/>
  <c r="I551" i="8"/>
  <c r="H551" i="8"/>
  <c r="G551" i="8"/>
  <c r="E551" i="8"/>
  <c r="D551" i="8"/>
  <c r="C551" i="8"/>
  <c r="V550" i="8"/>
  <c r="U550" i="8"/>
  <c r="T550" i="8"/>
  <c r="S550" i="8"/>
  <c r="R550" i="8"/>
  <c r="P550" i="8"/>
  <c r="O550" i="8"/>
  <c r="M550" i="8"/>
  <c r="L550" i="8"/>
  <c r="K550" i="8"/>
  <c r="J550" i="8"/>
  <c r="I550" i="8"/>
  <c r="H550" i="8"/>
  <c r="G550" i="8"/>
  <c r="E550" i="8"/>
  <c r="D550" i="8"/>
  <c r="C550" i="8"/>
  <c r="V549" i="8"/>
  <c r="U549" i="8"/>
  <c r="T549" i="8"/>
  <c r="S549" i="8"/>
  <c r="R549" i="8"/>
  <c r="P549" i="8"/>
  <c r="O549" i="8"/>
  <c r="M549" i="8"/>
  <c r="L549" i="8"/>
  <c r="K549" i="8"/>
  <c r="J549" i="8"/>
  <c r="I549" i="8"/>
  <c r="H549" i="8"/>
  <c r="G549" i="8"/>
  <c r="E549" i="8"/>
  <c r="D549" i="8"/>
  <c r="C549" i="8"/>
  <c r="V548" i="8"/>
  <c r="U548" i="8"/>
  <c r="T548" i="8"/>
  <c r="S548" i="8"/>
  <c r="R548" i="8"/>
  <c r="P548" i="8"/>
  <c r="O548" i="8"/>
  <c r="M548" i="8"/>
  <c r="L548" i="8"/>
  <c r="K548" i="8"/>
  <c r="J548" i="8"/>
  <c r="I548" i="8"/>
  <c r="H548" i="8"/>
  <c r="G548" i="8"/>
  <c r="E548" i="8"/>
  <c r="D548" i="8"/>
  <c r="C548" i="8"/>
  <c r="V547" i="8"/>
  <c r="U547" i="8"/>
  <c r="T547" i="8"/>
  <c r="S547" i="8"/>
  <c r="R547" i="8"/>
  <c r="P547" i="8"/>
  <c r="O547" i="8"/>
  <c r="M547" i="8"/>
  <c r="L547" i="8"/>
  <c r="K547" i="8"/>
  <c r="J547" i="8"/>
  <c r="I547" i="8"/>
  <c r="H547" i="8"/>
  <c r="G547" i="8"/>
  <c r="E547" i="8"/>
  <c r="D547" i="8"/>
  <c r="C547" i="8"/>
  <c r="V546" i="8"/>
  <c r="U546" i="8"/>
  <c r="T546" i="8"/>
  <c r="S546" i="8"/>
  <c r="R546" i="8"/>
  <c r="P546" i="8"/>
  <c r="O546" i="8"/>
  <c r="M546" i="8"/>
  <c r="L546" i="8"/>
  <c r="K546" i="8"/>
  <c r="J546" i="8"/>
  <c r="I546" i="8"/>
  <c r="H546" i="8"/>
  <c r="G546" i="8"/>
  <c r="E546" i="8"/>
  <c r="D546" i="8"/>
  <c r="C546" i="8"/>
  <c r="V545" i="8"/>
  <c r="U545" i="8"/>
  <c r="T545" i="8"/>
  <c r="S545" i="8"/>
  <c r="R545" i="8"/>
  <c r="P545" i="8"/>
  <c r="O545" i="8"/>
  <c r="M545" i="8"/>
  <c r="L545" i="8"/>
  <c r="K545" i="8"/>
  <c r="J545" i="8"/>
  <c r="I545" i="8"/>
  <c r="H545" i="8"/>
  <c r="G545" i="8"/>
  <c r="E545" i="8"/>
  <c r="D545" i="8"/>
  <c r="C545" i="8"/>
  <c r="V544" i="8"/>
  <c r="U544" i="8"/>
  <c r="T544" i="8"/>
  <c r="S544" i="8"/>
  <c r="R544" i="8"/>
  <c r="P544" i="8"/>
  <c r="O544" i="8"/>
  <c r="M544" i="8"/>
  <c r="L544" i="8"/>
  <c r="K544" i="8"/>
  <c r="J544" i="8"/>
  <c r="I544" i="8"/>
  <c r="H544" i="8"/>
  <c r="G544" i="8"/>
  <c r="E544" i="8"/>
  <c r="D544" i="8"/>
  <c r="C544" i="8"/>
  <c r="V543" i="8"/>
  <c r="U543" i="8"/>
  <c r="T543" i="8"/>
  <c r="S543" i="8"/>
  <c r="R543" i="8"/>
  <c r="P543" i="8"/>
  <c r="O543" i="8"/>
  <c r="M543" i="8"/>
  <c r="L543" i="8"/>
  <c r="K543" i="8"/>
  <c r="J543" i="8"/>
  <c r="I543" i="8"/>
  <c r="H543" i="8"/>
  <c r="G543" i="8"/>
  <c r="E543" i="8"/>
  <c r="D543" i="8"/>
  <c r="C543" i="8"/>
  <c r="V542" i="8"/>
  <c r="U542" i="8"/>
  <c r="T542" i="8"/>
  <c r="S542" i="8"/>
  <c r="R542" i="8"/>
  <c r="P542" i="8"/>
  <c r="O542" i="8"/>
  <c r="M542" i="8"/>
  <c r="L542" i="8"/>
  <c r="K542" i="8"/>
  <c r="J542" i="8"/>
  <c r="I542" i="8"/>
  <c r="H542" i="8"/>
  <c r="G542" i="8"/>
  <c r="E542" i="8"/>
  <c r="D542" i="8"/>
  <c r="C542" i="8"/>
  <c r="V541" i="8"/>
  <c r="U541" i="8"/>
  <c r="T541" i="8"/>
  <c r="S541" i="8"/>
  <c r="R541" i="8"/>
  <c r="P541" i="8"/>
  <c r="O541" i="8"/>
  <c r="M541" i="8"/>
  <c r="L541" i="8"/>
  <c r="K541" i="8"/>
  <c r="J541" i="8"/>
  <c r="I541" i="8"/>
  <c r="H541" i="8"/>
  <c r="G541" i="8"/>
  <c r="E541" i="8"/>
  <c r="D541" i="8"/>
  <c r="C541" i="8"/>
  <c r="V540" i="8"/>
  <c r="U540" i="8"/>
  <c r="T540" i="8"/>
  <c r="S540" i="8"/>
  <c r="R540" i="8"/>
  <c r="P540" i="8"/>
  <c r="O540" i="8"/>
  <c r="M540" i="8"/>
  <c r="L540" i="8"/>
  <c r="K540" i="8"/>
  <c r="J540" i="8"/>
  <c r="I540" i="8"/>
  <c r="H540" i="8"/>
  <c r="G540" i="8"/>
  <c r="E540" i="8"/>
  <c r="D540" i="8"/>
  <c r="C540" i="8"/>
  <c r="V539" i="8"/>
  <c r="U539" i="8"/>
  <c r="T539" i="8"/>
  <c r="S539" i="8"/>
  <c r="R539" i="8"/>
  <c r="P539" i="8"/>
  <c r="O539" i="8"/>
  <c r="M539" i="8"/>
  <c r="L539" i="8"/>
  <c r="K539" i="8"/>
  <c r="J539" i="8"/>
  <c r="I539" i="8"/>
  <c r="H539" i="8"/>
  <c r="G539" i="8"/>
  <c r="E539" i="8"/>
  <c r="D539" i="8"/>
  <c r="C539" i="8"/>
  <c r="V538" i="8"/>
  <c r="U538" i="8"/>
  <c r="T538" i="8"/>
  <c r="S538" i="8"/>
  <c r="R538" i="8"/>
  <c r="P538" i="8"/>
  <c r="O538" i="8"/>
  <c r="M538" i="8"/>
  <c r="L538" i="8"/>
  <c r="K538" i="8"/>
  <c r="J538" i="8"/>
  <c r="I538" i="8"/>
  <c r="H538" i="8"/>
  <c r="G538" i="8"/>
  <c r="E538" i="8"/>
  <c r="D538" i="8"/>
  <c r="C538" i="8"/>
  <c r="V537" i="8"/>
  <c r="U537" i="8"/>
  <c r="T537" i="8"/>
  <c r="S537" i="8"/>
  <c r="R537" i="8"/>
  <c r="P537" i="8"/>
  <c r="O537" i="8"/>
  <c r="M537" i="8"/>
  <c r="L537" i="8"/>
  <c r="K537" i="8"/>
  <c r="J537" i="8"/>
  <c r="I537" i="8"/>
  <c r="H537" i="8"/>
  <c r="G537" i="8"/>
  <c r="E537" i="8"/>
  <c r="D537" i="8"/>
  <c r="C537" i="8"/>
  <c r="V536" i="8"/>
  <c r="U536" i="8"/>
  <c r="T536" i="8"/>
  <c r="S536" i="8"/>
  <c r="R536" i="8"/>
  <c r="P536" i="8"/>
  <c r="O536" i="8"/>
  <c r="M536" i="8"/>
  <c r="L536" i="8"/>
  <c r="K536" i="8"/>
  <c r="J536" i="8"/>
  <c r="I536" i="8"/>
  <c r="H536" i="8"/>
  <c r="G536" i="8"/>
  <c r="E536" i="8"/>
  <c r="D536" i="8"/>
  <c r="C536" i="8"/>
  <c r="V535" i="8"/>
  <c r="U535" i="8"/>
  <c r="T535" i="8"/>
  <c r="S535" i="8"/>
  <c r="R535" i="8"/>
  <c r="P535" i="8"/>
  <c r="O535" i="8"/>
  <c r="M535" i="8"/>
  <c r="L535" i="8"/>
  <c r="K535" i="8"/>
  <c r="J535" i="8"/>
  <c r="I535" i="8"/>
  <c r="H535" i="8"/>
  <c r="G535" i="8"/>
  <c r="E535" i="8"/>
  <c r="D535" i="8"/>
  <c r="C535" i="8"/>
  <c r="V534" i="8"/>
  <c r="U534" i="8"/>
  <c r="T534" i="8"/>
  <c r="S534" i="8"/>
  <c r="R534" i="8"/>
  <c r="P534" i="8"/>
  <c r="O534" i="8"/>
  <c r="M534" i="8"/>
  <c r="L534" i="8"/>
  <c r="K534" i="8"/>
  <c r="J534" i="8"/>
  <c r="I534" i="8"/>
  <c r="H534" i="8"/>
  <c r="G534" i="8"/>
  <c r="E534" i="8"/>
  <c r="D534" i="8"/>
  <c r="C534" i="8"/>
  <c r="V533" i="8"/>
  <c r="U533" i="8"/>
  <c r="T533" i="8"/>
  <c r="S533" i="8"/>
  <c r="R533" i="8"/>
  <c r="P533" i="8"/>
  <c r="O533" i="8"/>
  <c r="M533" i="8"/>
  <c r="L533" i="8"/>
  <c r="K533" i="8"/>
  <c r="J533" i="8"/>
  <c r="I533" i="8"/>
  <c r="H533" i="8"/>
  <c r="G533" i="8"/>
  <c r="E533" i="8"/>
  <c r="D533" i="8"/>
  <c r="C533" i="8"/>
  <c r="V532" i="8"/>
  <c r="U532" i="8"/>
  <c r="T532" i="8"/>
  <c r="S532" i="8"/>
  <c r="R532" i="8"/>
  <c r="P532" i="8"/>
  <c r="O532" i="8"/>
  <c r="M532" i="8"/>
  <c r="L532" i="8"/>
  <c r="K532" i="8"/>
  <c r="J532" i="8"/>
  <c r="I532" i="8"/>
  <c r="H532" i="8"/>
  <c r="G532" i="8"/>
  <c r="E532" i="8"/>
  <c r="D532" i="8"/>
  <c r="C532" i="8"/>
  <c r="V531" i="8"/>
  <c r="U531" i="8"/>
  <c r="T531" i="8"/>
  <c r="S531" i="8"/>
  <c r="R531" i="8"/>
  <c r="P531" i="8"/>
  <c r="O531" i="8"/>
  <c r="M531" i="8"/>
  <c r="L531" i="8"/>
  <c r="K531" i="8"/>
  <c r="J531" i="8"/>
  <c r="I531" i="8"/>
  <c r="H531" i="8"/>
  <c r="G531" i="8"/>
  <c r="E531" i="8"/>
  <c r="D531" i="8"/>
  <c r="C531" i="8"/>
  <c r="V530" i="8"/>
  <c r="U530" i="8"/>
  <c r="T530" i="8"/>
  <c r="S530" i="8"/>
  <c r="R530" i="8"/>
  <c r="P530" i="8"/>
  <c r="O530" i="8"/>
  <c r="M530" i="8"/>
  <c r="L530" i="8"/>
  <c r="K530" i="8"/>
  <c r="J530" i="8"/>
  <c r="I530" i="8"/>
  <c r="H530" i="8"/>
  <c r="G530" i="8"/>
  <c r="E530" i="8"/>
  <c r="D530" i="8"/>
  <c r="C530" i="8"/>
  <c r="V529" i="8"/>
  <c r="U529" i="8"/>
  <c r="T529" i="8"/>
  <c r="S529" i="8"/>
  <c r="R529" i="8"/>
  <c r="P529" i="8"/>
  <c r="O529" i="8"/>
  <c r="M529" i="8"/>
  <c r="L529" i="8"/>
  <c r="K529" i="8"/>
  <c r="J529" i="8"/>
  <c r="I529" i="8"/>
  <c r="H529" i="8"/>
  <c r="G529" i="8"/>
  <c r="E529" i="8"/>
  <c r="D529" i="8"/>
  <c r="C529" i="8"/>
  <c r="V528" i="8"/>
  <c r="U528" i="8"/>
  <c r="T528" i="8"/>
  <c r="S528" i="8"/>
  <c r="R528" i="8"/>
  <c r="P528" i="8"/>
  <c r="O528" i="8"/>
  <c r="M528" i="8"/>
  <c r="L528" i="8"/>
  <c r="K528" i="8"/>
  <c r="J528" i="8"/>
  <c r="I528" i="8"/>
  <c r="H528" i="8"/>
  <c r="G528" i="8"/>
  <c r="E528" i="8"/>
  <c r="D528" i="8"/>
  <c r="C528" i="8"/>
  <c r="V527" i="8"/>
  <c r="U527" i="8"/>
  <c r="T527" i="8"/>
  <c r="S527" i="8"/>
  <c r="R527" i="8"/>
  <c r="P527" i="8"/>
  <c r="O527" i="8"/>
  <c r="M527" i="8"/>
  <c r="L527" i="8"/>
  <c r="K527" i="8"/>
  <c r="J527" i="8"/>
  <c r="I527" i="8"/>
  <c r="H527" i="8"/>
  <c r="G527" i="8"/>
  <c r="E527" i="8"/>
  <c r="D527" i="8"/>
  <c r="C527" i="8"/>
  <c r="V526" i="8"/>
  <c r="U526" i="8"/>
  <c r="T526" i="8"/>
  <c r="S526" i="8"/>
  <c r="R526" i="8"/>
  <c r="P526" i="8"/>
  <c r="O526" i="8"/>
  <c r="M526" i="8"/>
  <c r="L526" i="8"/>
  <c r="K526" i="8"/>
  <c r="J526" i="8"/>
  <c r="I526" i="8"/>
  <c r="H526" i="8"/>
  <c r="G526" i="8"/>
  <c r="E526" i="8"/>
  <c r="D526" i="8"/>
  <c r="C526" i="8"/>
  <c r="V525" i="8"/>
  <c r="U525" i="8"/>
  <c r="T525" i="8"/>
  <c r="S525" i="8"/>
  <c r="R525" i="8"/>
  <c r="P525" i="8"/>
  <c r="O525" i="8"/>
  <c r="M525" i="8"/>
  <c r="L525" i="8"/>
  <c r="K525" i="8"/>
  <c r="J525" i="8"/>
  <c r="I525" i="8"/>
  <c r="H525" i="8"/>
  <c r="G525" i="8"/>
  <c r="E525" i="8"/>
  <c r="D525" i="8"/>
  <c r="C525" i="8"/>
  <c r="V524" i="8"/>
  <c r="U524" i="8"/>
  <c r="T524" i="8"/>
  <c r="S524" i="8"/>
  <c r="R524" i="8"/>
  <c r="P524" i="8"/>
  <c r="O524" i="8"/>
  <c r="M524" i="8"/>
  <c r="L524" i="8"/>
  <c r="K524" i="8"/>
  <c r="J524" i="8"/>
  <c r="I524" i="8"/>
  <c r="H524" i="8"/>
  <c r="G524" i="8"/>
  <c r="E524" i="8"/>
  <c r="D524" i="8"/>
  <c r="C524" i="8"/>
  <c r="V523" i="8"/>
  <c r="U523" i="8"/>
  <c r="T523" i="8"/>
  <c r="S523" i="8"/>
  <c r="R523" i="8"/>
  <c r="P523" i="8"/>
  <c r="O523" i="8"/>
  <c r="M523" i="8"/>
  <c r="L523" i="8"/>
  <c r="K523" i="8"/>
  <c r="J523" i="8"/>
  <c r="I523" i="8"/>
  <c r="H523" i="8"/>
  <c r="G523" i="8"/>
  <c r="E523" i="8"/>
  <c r="D523" i="8"/>
  <c r="C523" i="8"/>
  <c r="V522" i="8"/>
  <c r="U522" i="8"/>
  <c r="T522" i="8"/>
  <c r="S522" i="8"/>
  <c r="R522" i="8"/>
  <c r="P522" i="8"/>
  <c r="O522" i="8"/>
  <c r="M522" i="8"/>
  <c r="L522" i="8"/>
  <c r="K522" i="8"/>
  <c r="J522" i="8"/>
  <c r="I522" i="8"/>
  <c r="H522" i="8"/>
  <c r="G522" i="8"/>
  <c r="E522" i="8"/>
  <c r="D522" i="8"/>
  <c r="C522" i="8"/>
  <c r="V521" i="8"/>
  <c r="U521" i="8"/>
  <c r="T521" i="8"/>
  <c r="S521" i="8"/>
  <c r="R521" i="8"/>
  <c r="P521" i="8"/>
  <c r="O521" i="8"/>
  <c r="M521" i="8"/>
  <c r="L521" i="8"/>
  <c r="K521" i="8"/>
  <c r="J521" i="8"/>
  <c r="I521" i="8"/>
  <c r="H521" i="8"/>
  <c r="G521" i="8"/>
  <c r="E521" i="8"/>
  <c r="D521" i="8"/>
  <c r="C521" i="8"/>
  <c r="V520" i="8"/>
  <c r="U520" i="8"/>
  <c r="T520" i="8"/>
  <c r="S520" i="8"/>
  <c r="R520" i="8"/>
  <c r="P520" i="8"/>
  <c r="O520" i="8"/>
  <c r="M520" i="8"/>
  <c r="L520" i="8"/>
  <c r="K520" i="8"/>
  <c r="J520" i="8"/>
  <c r="I520" i="8"/>
  <c r="H520" i="8"/>
  <c r="G520" i="8"/>
  <c r="E520" i="8"/>
  <c r="D520" i="8"/>
  <c r="C520" i="8"/>
  <c r="V519" i="8"/>
  <c r="U519" i="8"/>
  <c r="T519" i="8"/>
  <c r="S519" i="8"/>
  <c r="R519" i="8"/>
  <c r="P519" i="8"/>
  <c r="O519" i="8"/>
  <c r="M519" i="8"/>
  <c r="L519" i="8"/>
  <c r="K519" i="8"/>
  <c r="J519" i="8"/>
  <c r="I519" i="8"/>
  <c r="H519" i="8"/>
  <c r="G519" i="8"/>
  <c r="E519" i="8"/>
  <c r="D519" i="8"/>
  <c r="C519" i="8"/>
  <c r="V518" i="8"/>
  <c r="U518" i="8"/>
  <c r="T518" i="8"/>
  <c r="S518" i="8"/>
  <c r="R518" i="8"/>
  <c r="P518" i="8"/>
  <c r="O518" i="8"/>
  <c r="M518" i="8"/>
  <c r="L518" i="8"/>
  <c r="K518" i="8"/>
  <c r="J518" i="8"/>
  <c r="I518" i="8"/>
  <c r="H518" i="8"/>
  <c r="G518" i="8"/>
  <c r="E518" i="8"/>
  <c r="D518" i="8"/>
  <c r="C518" i="8"/>
  <c r="V517" i="8"/>
  <c r="U517" i="8"/>
  <c r="T517" i="8"/>
  <c r="S517" i="8"/>
  <c r="R517" i="8"/>
  <c r="P517" i="8"/>
  <c r="O517" i="8"/>
  <c r="M517" i="8"/>
  <c r="L517" i="8"/>
  <c r="K517" i="8"/>
  <c r="J517" i="8"/>
  <c r="I517" i="8"/>
  <c r="H517" i="8"/>
  <c r="G517" i="8"/>
  <c r="E517" i="8"/>
  <c r="D517" i="8"/>
  <c r="C517" i="8"/>
  <c r="V516" i="8"/>
  <c r="U516" i="8"/>
  <c r="T516" i="8"/>
  <c r="S516" i="8"/>
  <c r="R516" i="8"/>
  <c r="P516" i="8"/>
  <c r="O516" i="8"/>
  <c r="M516" i="8"/>
  <c r="L516" i="8"/>
  <c r="K516" i="8"/>
  <c r="J516" i="8"/>
  <c r="I516" i="8"/>
  <c r="H516" i="8"/>
  <c r="G516" i="8"/>
  <c r="E516" i="8"/>
  <c r="D516" i="8"/>
  <c r="C516" i="8"/>
  <c r="V515" i="8"/>
  <c r="U515" i="8"/>
  <c r="T515" i="8"/>
  <c r="S515" i="8"/>
  <c r="R515" i="8"/>
  <c r="P515" i="8"/>
  <c r="O515" i="8"/>
  <c r="M515" i="8"/>
  <c r="L515" i="8"/>
  <c r="K515" i="8"/>
  <c r="J515" i="8"/>
  <c r="I515" i="8"/>
  <c r="H515" i="8"/>
  <c r="G515" i="8"/>
  <c r="E515" i="8"/>
  <c r="D515" i="8"/>
  <c r="C515" i="8"/>
  <c r="V514" i="8"/>
  <c r="U514" i="8"/>
  <c r="T514" i="8"/>
  <c r="S514" i="8"/>
  <c r="R514" i="8"/>
  <c r="P514" i="8"/>
  <c r="O514" i="8"/>
  <c r="M514" i="8"/>
  <c r="L514" i="8"/>
  <c r="K514" i="8"/>
  <c r="J514" i="8"/>
  <c r="I514" i="8"/>
  <c r="H514" i="8"/>
  <c r="G514" i="8"/>
  <c r="E514" i="8"/>
  <c r="D514" i="8"/>
  <c r="C514" i="8"/>
  <c r="V513" i="8"/>
  <c r="U513" i="8"/>
  <c r="T513" i="8"/>
  <c r="S513" i="8"/>
  <c r="R513" i="8"/>
  <c r="P513" i="8"/>
  <c r="O513" i="8"/>
  <c r="M513" i="8"/>
  <c r="L513" i="8"/>
  <c r="K513" i="8"/>
  <c r="J513" i="8"/>
  <c r="I513" i="8"/>
  <c r="H513" i="8"/>
  <c r="G513" i="8"/>
  <c r="E513" i="8"/>
  <c r="D513" i="8"/>
  <c r="C513" i="8"/>
  <c r="V512" i="8"/>
  <c r="U512" i="8"/>
  <c r="T512" i="8"/>
  <c r="S512" i="8"/>
  <c r="R512" i="8"/>
  <c r="P512" i="8"/>
  <c r="O512" i="8"/>
  <c r="M512" i="8"/>
  <c r="L512" i="8"/>
  <c r="K512" i="8"/>
  <c r="J512" i="8"/>
  <c r="I512" i="8"/>
  <c r="H512" i="8"/>
  <c r="G512" i="8"/>
  <c r="E512" i="8"/>
  <c r="D512" i="8"/>
  <c r="C512" i="8"/>
  <c r="V511" i="8"/>
  <c r="U511" i="8"/>
  <c r="T511" i="8"/>
  <c r="S511" i="8"/>
  <c r="R511" i="8"/>
  <c r="P511" i="8"/>
  <c r="O511" i="8"/>
  <c r="M511" i="8"/>
  <c r="L511" i="8"/>
  <c r="K511" i="8"/>
  <c r="J511" i="8"/>
  <c r="I511" i="8"/>
  <c r="H511" i="8"/>
  <c r="G511" i="8"/>
  <c r="E511" i="8"/>
  <c r="D511" i="8"/>
  <c r="C511" i="8"/>
  <c r="V510" i="8"/>
  <c r="U510" i="8"/>
  <c r="T510" i="8"/>
  <c r="S510" i="8"/>
  <c r="R510" i="8"/>
  <c r="P510" i="8"/>
  <c r="O510" i="8"/>
  <c r="M510" i="8"/>
  <c r="L510" i="8"/>
  <c r="K510" i="8"/>
  <c r="J510" i="8"/>
  <c r="I510" i="8"/>
  <c r="H510" i="8"/>
  <c r="G510" i="8"/>
  <c r="E510" i="8"/>
  <c r="D510" i="8"/>
  <c r="C510" i="8"/>
  <c r="V509" i="8"/>
  <c r="U509" i="8"/>
  <c r="T509" i="8"/>
  <c r="S509" i="8"/>
  <c r="R509" i="8"/>
  <c r="P509" i="8"/>
  <c r="O509" i="8"/>
  <c r="M509" i="8"/>
  <c r="L509" i="8"/>
  <c r="K509" i="8"/>
  <c r="J509" i="8"/>
  <c r="I509" i="8"/>
  <c r="H509" i="8"/>
  <c r="G509" i="8"/>
  <c r="E509" i="8"/>
  <c r="D509" i="8"/>
  <c r="C509" i="8"/>
  <c r="V508" i="8"/>
  <c r="U508" i="8"/>
  <c r="T508" i="8"/>
  <c r="S508" i="8"/>
  <c r="R508" i="8"/>
  <c r="P508" i="8"/>
  <c r="O508" i="8"/>
  <c r="M508" i="8"/>
  <c r="L508" i="8"/>
  <c r="K508" i="8"/>
  <c r="J508" i="8"/>
  <c r="I508" i="8"/>
  <c r="H508" i="8"/>
  <c r="G508" i="8"/>
  <c r="E508" i="8"/>
  <c r="D508" i="8"/>
  <c r="C508" i="8"/>
  <c r="V507" i="8"/>
  <c r="U507" i="8"/>
  <c r="T507" i="8"/>
  <c r="S507" i="8"/>
  <c r="R507" i="8"/>
  <c r="P507" i="8"/>
  <c r="O507" i="8"/>
  <c r="M507" i="8"/>
  <c r="L507" i="8"/>
  <c r="K507" i="8"/>
  <c r="J507" i="8"/>
  <c r="I507" i="8"/>
  <c r="H507" i="8"/>
  <c r="G507" i="8"/>
  <c r="E507" i="8"/>
  <c r="D507" i="8"/>
  <c r="C507" i="8"/>
  <c r="V506" i="8"/>
  <c r="U506" i="8"/>
  <c r="T506" i="8"/>
  <c r="S506" i="8"/>
  <c r="R506" i="8"/>
  <c r="P506" i="8"/>
  <c r="O506" i="8"/>
  <c r="M506" i="8"/>
  <c r="L506" i="8"/>
  <c r="K506" i="8"/>
  <c r="J506" i="8"/>
  <c r="I506" i="8"/>
  <c r="H506" i="8"/>
  <c r="G506" i="8"/>
  <c r="E506" i="8"/>
  <c r="D506" i="8"/>
  <c r="C506" i="8"/>
  <c r="V505" i="8"/>
  <c r="U505" i="8"/>
  <c r="T505" i="8"/>
  <c r="S505" i="8"/>
  <c r="R505" i="8"/>
  <c r="P505" i="8"/>
  <c r="O505" i="8"/>
  <c r="M505" i="8"/>
  <c r="L505" i="8"/>
  <c r="K505" i="8"/>
  <c r="J505" i="8"/>
  <c r="I505" i="8"/>
  <c r="H505" i="8"/>
  <c r="G505" i="8"/>
  <c r="E505" i="8"/>
  <c r="D505" i="8"/>
  <c r="C505" i="8"/>
  <c r="V504" i="8"/>
  <c r="U504" i="8"/>
  <c r="T504" i="8"/>
  <c r="S504" i="8"/>
  <c r="R504" i="8"/>
  <c r="P504" i="8"/>
  <c r="O504" i="8"/>
  <c r="M504" i="8"/>
  <c r="L504" i="8"/>
  <c r="K504" i="8"/>
  <c r="J504" i="8"/>
  <c r="I504" i="8"/>
  <c r="H504" i="8"/>
  <c r="G504" i="8"/>
  <c r="E504" i="8"/>
  <c r="D504" i="8"/>
  <c r="C504" i="8"/>
  <c r="V503" i="8"/>
  <c r="U503" i="8"/>
  <c r="T503" i="8"/>
  <c r="S503" i="8"/>
  <c r="R503" i="8"/>
  <c r="P503" i="8"/>
  <c r="O503" i="8"/>
  <c r="M503" i="8"/>
  <c r="L503" i="8"/>
  <c r="K503" i="8"/>
  <c r="J503" i="8"/>
  <c r="I503" i="8"/>
  <c r="H503" i="8"/>
  <c r="G503" i="8"/>
  <c r="E503" i="8"/>
  <c r="D503" i="8"/>
  <c r="C503" i="8"/>
  <c r="V502" i="8"/>
  <c r="U502" i="8"/>
  <c r="T502" i="8"/>
  <c r="S502" i="8"/>
  <c r="R502" i="8"/>
  <c r="P502" i="8"/>
  <c r="O502" i="8"/>
  <c r="M502" i="8"/>
  <c r="L502" i="8"/>
  <c r="K502" i="8"/>
  <c r="J502" i="8"/>
  <c r="I502" i="8"/>
  <c r="H502" i="8"/>
  <c r="G502" i="8"/>
  <c r="E502" i="8"/>
  <c r="D502" i="8"/>
  <c r="C502" i="8"/>
  <c r="V501" i="8"/>
  <c r="U501" i="8"/>
  <c r="T501" i="8"/>
  <c r="S501" i="8"/>
  <c r="R501" i="8"/>
  <c r="P501" i="8"/>
  <c r="O501" i="8"/>
  <c r="M501" i="8"/>
  <c r="L501" i="8"/>
  <c r="K501" i="8"/>
  <c r="J501" i="8"/>
  <c r="I501" i="8"/>
  <c r="H501" i="8"/>
  <c r="G501" i="8"/>
  <c r="E501" i="8"/>
  <c r="D501" i="8"/>
  <c r="C501" i="8"/>
  <c r="V500" i="8"/>
  <c r="U500" i="8"/>
  <c r="T500" i="8"/>
  <c r="S500" i="8"/>
  <c r="R500" i="8"/>
  <c r="P500" i="8"/>
  <c r="O500" i="8"/>
  <c r="M500" i="8"/>
  <c r="L500" i="8"/>
  <c r="K500" i="8"/>
  <c r="J500" i="8"/>
  <c r="I500" i="8"/>
  <c r="H500" i="8"/>
  <c r="G500" i="8"/>
  <c r="E500" i="8"/>
  <c r="D500" i="8"/>
  <c r="C500" i="8"/>
  <c r="V499" i="8"/>
  <c r="U499" i="8"/>
  <c r="T499" i="8"/>
  <c r="S499" i="8"/>
  <c r="R499" i="8"/>
  <c r="P499" i="8"/>
  <c r="O499" i="8"/>
  <c r="M499" i="8"/>
  <c r="L499" i="8"/>
  <c r="K499" i="8"/>
  <c r="J499" i="8"/>
  <c r="I499" i="8"/>
  <c r="H499" i="8"/>
  <c r="G499" i="8"/>
  <c r="E499" i="8"/>
  <c r="D499" i="8"/>
  <c r="C499" i="8"/>
  <c r="V498" i="8"/>
  <c r="U498" i="8"/>
  <c r="T498" i="8"/>
  <c r="S498" i="8"/>
  <c r="R498" i="8"/>
  <c r="P498" i="8"/>
  <c r="O498" i="8"/>
  <c r="M498" i="8"/>
  <c r="L498" i="8"/>
  <c r="K498" i="8"/>
  <c r="J498" i="8"/>
  <c r="I498" i="8"/>
  <c r="H498" i="8"/>
  <c r="G498" i="8"/>
  <c r="E498" i="8"/>
  <c r="D498" i="8"/>
  <c r="C498" i="8"/>
  <c r="V497" i="8"/>
  <c r="U497" i="8"/>
  <c r="T497" i="8"/>
  <c r="S497" i="8"/>
  <c r="R497" i="8"/>
  <c r="P497" i="8"/>
  <c r="O497" i="8"/>
  <c r="M497" i="8"/>
  <c r="L497" i="8"/>
  <c r="K497" i="8"/>
  <c r="J497" i="8"/>
  <c r="I497" i="8"/>
  <c r="H497" i="8"/>
  <c r="G497" i="8"/>
  <c r="E497" i="8"/>
  <c r="D497" i="8"/>
  <c r="C497" i="8"/>
  <c r="V496" i="8"/>
  <c r="U496" i="8"/>
  <c r="T496" i="8"/>
  <c r="S496" i="8"/>
  <c r="R496" i="8"/>
  <c r="P496" i="8"/>
  <c r="O496" i="8"/>
  <c r="M496" i="8"/>
  <c r="L496" i="8"/>
  <c r="K496" i="8"/>
  <c r="J496" i="8"/>
  <c r="I496" i="8"/>
  <c r="H496" i="8"/>
  <c r="G496" i="8"/>
  <c r="E496" i="8"/>
  <c r="D496" i="8"/>
  <c r="C496" i="8"/>
  <c r="V495" i="8"/>
  <c r="U495" i="8"/>
  <c r="T495" i="8"/>
  <c r="S495" i="8"/>
  <c r="R495" i="8"/>
  <c r="P495" i="8"/>
  <c r="O495" i="8"/>
  <c r="M495" i="8"/>
  <c r="L495" i="8"/>
  <c r="K495" i="8"/>
  <c r="J495" i="8"/>
  <c r="I495" i="8"/>
  <c r="H495" i="8"/>
  <c r="G495" i="8"/>
  <c r="E495" i="8"/>
  <c r="D495" i="8"/>
  <c r="C495" i="8"/>
  <c r="V494" i="8"/>
  <c r="U494" i="8"/>
  <c r="T494" i="8"/>
  <c r="S494" i="8"/>
  <c r="R494" i="8"/>
  <c r="P494" i="8"/>
  <c r="O494" i="8"/>
  <c r="M494" i="8"/>
  <c r="L494" i="8"/>
  <c r="K494" i="8"/>
  <c r="J494" i="8"/>
  <c r="I494" i="8"/>
  <c r="H494" i="8"/>
  <c r="G494" i="8"/>
  <c r="E494" i="8"/>
  <c r="D494" i="8"/>
  <c r="C494" i="8"/>
  <c r="V493" i="8"/>
  <c r="U493" i="8"/>
  <c r="T493" i="8"/>
  <c r="S493" i="8"/>
  <c r="R493" i="8"/>
  <c r="P493" i="8"/>
  <c r="O493" i="8"/>
  <c r="M493" i="8"/>
  <c r="L493" i="8"/>
  <c r="K493" i="8"/>
  <c r="J493" i="8"/>
  <c r="I493" i="8"/>
  <c r="H493" i="8"/>
  <c r="G493" i="8"/>
  <c r="E493" i="8"/>
  <c r="D493" i="8"/>
  <c r="C493" i="8"/>
  <c r="V492" i="8"/>
  <c r="U492" i="8"/>
  <c r="T492" i="8"/>
  <c r="S492" i="8"/>
  <c r="R492" i="8"/>
  <c r="P492" i="8"/>
  <c r="O492" i="8"/>
  <c r="M492" i="8"/>
  <c r="L492" i="8"/>
  <c r="K492" i="8"/>
  <c r="J492" i="8"/>
  <c r="I492" i="8"/>
  <c r="H492" i="8"/>
  <c r="G492" i="8"/>
  <c r="E492" i="8"/>
  <c r="D492" i="8"/>
  <c r="C492" i="8"/>
  <c r="V491" i="8"/>
  <c r="U491" i="8"/>
  <c r="T491" i="8"/>
  <c r="S491" i="8"/>
  <c r="R491" i="8"/>
  <c r="P491" i="8"/>
  <c r="O491" i="8"/>
  <c r="M491" i="8"/>
  <c r="L491" i="8"/>
  <c r="K491" i="8"/>
  <c r="J491" i="8"/>
  <c r="I491" i="8"/>
  <c r="H491" i="8"/>
  <c r="G491" i="8"/>
  <c r="E491" i="8"/>
  <c r="D491" i="8"/>
  <c r="C491" i="8"/>
  <c r="V490" i="8"/>
  <c r="U490" i="8"/>
  <c r="T490" i="8"/>
  <c r="S490" i="8"/>
  <c r="R490" i="8"/>
  <c r="P490" i="8"/>
  <c r="O490" i="8"/>
  <c r="M490" i="8"/>
  <c r="L490" i="8"/>
  <c r="K490" i="8"/>
  <c r="J490" i="8"/>
  <c r="I490" i="8"/>
  <c r="H490" i="8"/>
  <c r="G490" i="8"/>
  <c r="E490" i="8"/>
  <c r="D490" i="8"/>
  <c r="C490" i="8"/>
  <c r="V489" i="8"/>
  <c r="U489" i="8"/>
  <c r="T489" i="8"/>
  <c r="S489" i="8"/>
  <c r="R489" i="8"/>
  <c r="P489" i="8"/>
  <c r="O489" i="8"/>
  <c r="M489" i="8"/>
  <c r="L489" i="8"/>
  <c r="K489" i="8"/>
  <c r="J489" i="8"/>
  <c r="I489" i="8"/>
  <c r="H489" i="8"/>
  <c r="G489" i="8"/>
  <c r="E489" i="8"/>
  <c r="D489" i="8"/>
  <c r="C489" i="8"/>
  <c r="V488" i="8"/>
  <c r="U488" i="8"/>
  <c r="T488" i="8"/>
  <c r="S488" i="8"/>
  <c r="R488" i="8"/>
  <c r="P488" i="8"/>
  <c r="O488" i="8"/>
  <c r="M488" i="8"/>
  <c r="L488" i="8"/>
  <c r="K488" i="8"/>
  <c r="J488" i="8"/>
  <c r="I488" i="8"/>
  <c r="H488" i="8"/>
  <c r="G488" i="8"/>
  <c r="E488" i="8"/>
  <c r="D488" i="8"/>
  <c r="C488" i="8"/>
  <c r="V487" i="8"/>
  <c r="U487" i="8"/>
  <c r="T487" i="8"/>
  <c r="S487" i="8"/>
  <c r="R487" i="8"/>
  <c r="P487" i="8"/>
  <c r="O487" i="8"/>
  <c r="M487" i="8"/>
  <c r="L487" i="8"/>
  <c r="K487" i="8"/>
  <c r="J487" i="8"/>
  <c r="I487" i="8"/>
  <c r="H487" i="8"/>
  <c r="G487" i="8"/>
  <c r="E487" i="8"/>
  <c r="D487" i="8"/>
  <c r="C487" i="8"/>
  <c r="V486" i="8"/>
  <c r="U486" i="8"/>
  <c r="T486" i="8"/>
  <c r="S486" i="8"/>
  <c r="R486" i="8"/>
  <c r="P486" i="8"/>
  <c r="O486" i="8"/>
  <c r="M486" i="8"/>
  <c r="L486" i="8"/>
  <c r="K486" i="8"/>
  <c r="J486" i="8"/>
  <c r="I486" i="8"/>
  <c r="H486" i="8"/>
  <c r="G486" i="8"/>
  <c r="E486" i="8"/>
  <c r="D486" i="8"/>
  <c r="C486" i="8"/>
  <c r="V485" i="8"/>
  <c r="U485" i="8"/>
  <c r="T485" i="8"/>
  <c r="S485" i="8"/>
  <c r="R485" i="8"/>
  <c r="P485" i="8"/>
  <c r="O485" i="8"/>
  <c r="M485" i="8"/>
  <c r="L485" i="8"/>
  <c r="K485" i="8"/>
  <c r="J485" i="8"/>
  <c r="I485" i="8"/>
  <c r="H485" i="8"/>
  <c r="G485" i="8"/>
  <c r="E485" i="8"/>
  <c r="D485" i="8"/>
  <c r="C485" i="8"/>
  <c r="V484" i="8"/>
  <c r="U484" i="8"/>
  <c r="T484" i="8"/>
  <c r="S484" i="8"/>
  <c r="R484" i="8"/>
  <c r="P484" i="8"/>
  <c r="O484" i="8"/>
  <c r="M484" i="8"/>
  <c r="L484" i="8"/>
  <c r="K484" i="8"/>
  <c r="J484" i="8"/>
  <c r="I484" i="8"/>
  <c r="H484" i="8"/>
  <c r="G484" i="8"/>
  <c r="E484" i="8"/>
  <c r="D484" i="8"/>
  <c r="C484" i="8"/>
  <c r="V483" i="8"/>
  <c r="U483" i="8"/>
  <c r="T483" i="8"/>
  <c r="S483" i="8"/>
  <c r="R483" i="8"/>
  <c r="P483" i="8"/>
  <c r="O483" i="8"/>
  <c r="M483" i="8"/>
  <c r="L483" i="8"/>
  <c r="K483" i="8"/>
  <c r="J483" i="8"/>
  <c r="I483" i="8"/>
  <c r="H483" i="8"/>
  <c r="G483" i="8"/>
  <c r="E483" i="8"/>
  <c r="D483" i="8"/>
  <c r="C483" i="8"/>
  <c r="V482" i="8"/>
  <c r="U482" i="8"/>
  <c r="T482" i="8"/>
  <c r="S482" i="8"/>
  <c r="R482" i="8"/>
  <c r="P482" i="8"/>
  <c r="O482" i="8"/>
  <c r="M482" i="8"/>
  <c r="L482" i="8"/>
  <c r="K482" i="8"/>
  <c r="J482" i="8"/>
  <c r="I482" i="8"/>
  <c r="H482" i="8"/>
  <c r="G482" i="8"/>
  <c r="E482" i="8"/>
  <c r="D482" i="8"/>
  <c r="C482" i="8"/>
  <c r="V481" i="8"/>
  <c r="U481" i="8"/>
  <c r="T481" i="8"/>
  <c r="S481" i="8"/>
  <c r="R481" i="8"/>
  <c r="P481" i="8"/>
  <c r="O481" i="8"/>
  <c r="M481" i="8"/>
  <c r="L481" i="8"/>
  <c r="K481" i="8"/>
  <c r="J481" i="8"/>
  <c r="I481" i="8"/>
  <c r="H481" i="8"/>
  <c r="G481" i="8"/>
  <c r="E481" i="8"/>
  <c r="D481" i="8"/>
  <c r="C481" i="8"/>
  <c r="V480" i="8"/>
  <c r="U480" i="8"/>
  <c r="T480" i="8"/>
  <c r="S480" i="8"/>
  <c r="R480" i="8"/>
  <c r="P480" i="8"/>
  <c r="O480" i="8"/>
  <c r="M480" i="8"/>
  <c r="L480" i="8"/>
  <c r="K480" i="8"/>
  <c r="J480" i="8"/>
  <c r="I480" i="8"/>
  <c r="H480" i="8"/>
  <c r="G480" i="8"/>
  <c r="E480" i="8"/>
  <c r="D480" i="8"/>
  <c r="C480" i="8"/>
  <c r="V479" i="8"/>
  <c r="U479" i="8"/>
  <c r="T479" i="8"/>
  <c r="S479" i="8"/>
  <c r="R479" i="8"/>
  <c r="P479" i="8"/>
  <c r="O479" i="8"/>
  <c r="M479" i="8"/>
  <c r="L479" i="8"/>
  <c r="K479" i="8"/>
  <c r="J479" i="8"/>
  <c r="I479" i="8"/>
  <c r="H479" i="8"/>
  <c r="G479" i="8"/>
  <c r="E479" i="8"/>
  <c r="D479" i="8"/>
  <c r="C479" i="8"/>
  <c r="V478" i="8"/>
  <c r="U478" i="8"/>
  <c r="T478" i="8"/>
  <c r="S478" i="8"/>
  <c r="R478" i="8"/>
  <c r="P478" i="8"/>
  <c r="O478" i="8"/>
  <c r="M478" i="8"/>
  <c r="L478" i="8"/>
  <c r="K478" i="8"/>
  <c r="J478" i="8"/>
  <c r="I478" i="8"/>
  <c r="H478" i="8"/>
  <c r="G478" i="8"/>
  <c r="E478" i="8"/>
  <c r="D478" i="8"/>
  <c r="C478" i="8"/>
  <c r="V477" i="8"/>
  <c r="U477" i="8"/>
  <c r="T477" i="8"/>
  <c r="S477" i="8"/>
  <c r="R477" i="8"/>
  <c r="P477" i="8"/>
  <c r="O477" i="8"/>
  <c r="M477" i="8"/>
  <c r="L477" i="8"/>
  <c r="K477" i="8"/>
  <c r="J477" i="8"/>
  <c r="I477" i="8"/>
  <c r="H477" i="8"/>
  <c r="G477" i="8"/>
  <c r="E477" i="8"/>
  <c r="D477" i="8"/>
  <c r="C477" i="8"/>
  <c r="V476" i="8"/>
  <c r="U476" i="8"/>
  <c r="T476" i="8"/>
  <c r="S476" i="8"/>
  <c r="R476" i="8"/>
  <c r="P476" i="8"/>
  <c r="O476" i="8"/>
  <c r="M476" i="8"/>
  <c r="L476" i="8"/>
  <c r="K476" i="8"/>
  <c r="J476" i="8"/>
  <c r="I476" i="8"/>
  <c r="H476" i="8"/>
  <c r="G476" i="8"/>
  <c r="E476" i="8"/>
  <c r="D476" i="8"/>
  <c r="C476" i="8"/>
  <c r="V475" i="8"/>
  <c r="U475" i="8"/>
  <c r="T475" i="8"/>
  <c r="S475" i="8"/>
  <c r="R475" i="8"/>
  <c r="P475" i="8"/>
  <c r="O475" i="8"/>
  <c r="M475" i="8"/>
  <c r="L475" i="8"/>
  <c r="K475" i="8"/>
  <c r="J475" i="8"/>
  <c r="I475" i="8"/>
  <c r="H475" i="8"/>
  <c r="G475" i="8"/>
  <c r="E475" i="8"/>
  <c r="D475" i="8"/>
  <c r="C475" i="8"/>
  <c r="V474" i="8"/>
  <c r="U474" i="8"/>
  <c r="T474" i="8"/>
  <c r="S474" i="8"/>
  <c r="R474" i="8"/>
  <c r="P474" i="8"/>
  <c r="O474" i="8"/>
  <c r="M474" i="8"/>
  <c r="L474" i="8"/>
  <c r="K474" i="8"/>
  <c r="J474" i="8"/>
  <c r="I474" i="8"/>
  <c r="H474" i="8"/>
  <c r="G474" i="8"/>
  <c r="E474" i="8"/>
  <c r="D474" i="8"/>
  <c r="C474" i="8"/>
  <c r="V473" i="8"/>
  <c r="U473" i="8"/>
  <c r="T473" i="8"/>
  <c r="S473" i="8"/>
  <c r="R473" i="8"/>
  <c r="P473" i="8"/>
  <c r="O473" i="8"/>
  <c r="M473" i="8"/>
  <c r="L473" i="8"/>
  <c r="K473" i="8"/>
  <c r="J473" i="8"/>
  <c r="I473" i="8"/>
  <c r="H473" i="8"/>
  <c r="G473" i="8"/>
  <c r="E473" i="8"/>
  <c r="D473" i="8"/>
  <c r="C473" i="8"/>
  <c r="V472" i="8"/>
  <c r="U472" i="8"/>
  <c r="T472" i="8"/>
  <c r="S472" i="8"/>
  <c r="R472" i="8"/>
  <c r="P472" i="8"/>
  <c r="O472" i="8"/>
  <c r="M472" i="8"/>
  <c r="L472" i="8"/>
  <c r="K472" i="8"/>
  <c r="J472" i="8"/>
  <c r="I472" i="8"/>
  <c r="H472" i="8"/>
  <c r="G472" i="8"/>
  <c r="E472" i="8"/>
  <c r="D472" i="8"/>
  <c r="C472" i="8"/>
  <c r="V471" i="8"/>
  <c r="U471" i="8"/>
  <c r="T471" i="8"/>
  <c r="S471" i="8"/>
  <c r="R471" i="8"/>
  <c r="P471" i="8"/>
  <c r="O471" i="8"/>
  <c r="M471" i="8"/>
  <c r="L471" i="8"/>
  <c r="K471" i="8"/>
  <c r="J471" i="8"/>
  <c r="I471" i="8"/>
  <c r="H471" i="8"/>
  <c r="G471" i="8"/>
  <c r="E471" i="8"/>
  <c r="D471" i="8"/>
  <c r="C471" i="8"/>
  <c r="V470" i="8"/>
  <c r="U470" i="8"/>
  <c r="T470" i="8"/>
  <c r="S470" i="8"/>
  <c r="R470" i="8"/>
  <c r="P470" i="8"/>
  <c r="O470" i="8"/>
  <c r="M470" i="8"/>
  <c r="L470" i="8"/>
  <c r="K470" i="8"/>
  <c r="J470" i="8"/>
  <c r="I470" i="8"/>
  <c r="H470" i="8"/>
  <c r="G470" i="8"/>
  <c r="E470" i="8"/>
  <c r="D470" i="8"/>
  <c r="C470" i="8"/>
  <c r="V469" i="8"/>
  <c r="U469" i="8"/>
  <c r="T469" i="8"/>
  <c r="S469" i="8"/>
  <c r="R469" i="8"/>
  <c r="P469" i="8"/>
  <c r="O469" i="8"/>
  <c r="M469" i="8"/>
  <c r="L469" i="8"/>
  <c r="K469" i="8"/>
  <c r="J469" i="8"/>
  <c r="I469" i="8"/>
  <c r="H469" i="8"/>
  <c r="G469" i="8"/>
  <c r="E469" i="8"/>
  <c r="D469" i="8"/>
  <c r="C469" i="8"/>
  <c r="V468" i="8"/>
  <c r="U468" i="8"/>
  <c r="T468" i="8"/>
  <c r="S468" i="8"/>
  <c r="R468" i="8"/>
  <c r="P468" i="8"/>
  <c r="O468" i="8"/>
  <c r="M468" i="8"/>
  <c r="L468" i="8"/>
  <c r="K468" i="8"/>
  <c r="J468" i="8"/>
  <c r="I468" i="8"/>
  <c r="H468" i="8"/>
  <c r="G468" i="8"/>
  <c r="E468" i="8"/>
  <c r="D468" i="8"/>
  <c r="C468" i="8"/>
  <c r="V467" i="8"/>
  <c r="U467" i="8"/>
  <c r="T467" i="8"/>
  <c r="S467" i="8"/>
  <c r="R467" i="8"/>
  <c r="P467" i="8"/>
  <c r="O467" i="8"/>
  <c r="M467" i="8"/>
  <c r="L467" i="8"/>
  <c r="K467" i="8"/>
  <c r="J467" i="8"/>
  <c r="I467" i="8"/>
  <c r="H467" i="8"/>
  <c r="G467" i="8"/>
  <c r="E467" i="8"/>
  <c r="D467" i="8"/>
  <c r="C467" i="8"/>
  <c r="V466" i="8"/>
  <c r="U466" i="8"/>
  <c r="T466" i="8"/>
  <c r="S466" i="8"/>
  <c r="R466" i="8"/>
  <c r="P466" i="8"/>
  <c r="O466" i="8"/>
  <c r="M466" i="8"/>
  <c r="L466" i="8"/>
  <c r="K466" i="8"/>
  <c r="J466" i="8"/>
  <c r="I466" i="8"/>
  <c r="H466" i="8"/>
  <c r="G466" i="8"/>
  <c r="E466" i="8"/>
  <c r="D466" i="8"/>
  <c r="C466" i="8"/>
  <c r="V465" i="8"/>
  <c r="U465" i="8"/>
  <c r="T465" i="8"/>
  <c r="S465" i="8"/>
  <c r="R465" i="8"/>
  <c r="P465" i="8"/>
  <c r="O465" i="8"/>
  <c r="M465" i="8"/>
  <c r="L465" i="8"/>
  <c r="K465" i="8"/>
  <c r="J465" i="8"/>
  <c r="I465" i="8"/>
  <c r="H465" i="8"/>
  <c r="G465" i="8"/>
  <c r="E465" i="8"/>
  <c r="D465" i="8"/>
  <c r="C465" i="8"/>
  <c r="V464" i="8"/>
  <c r="U464" i="8"/>
  <c r="T464" i="8"/>
  <c r="S464" i="8"/>
  <c r="R464" i="8"/>
  <c r="P464" i="8"/>
  <c r="O464" i="8"/>
  <c r="M464" i="8"/>
  <c r="L464" i="8"/>
  <c r="K464" i="8"/>
  <c r="J464" i="8"/>
  <c r="I464" i="8"/>
  <c r="H464" i="8"/>
  <c r="G464" i="8"/>
  <c r="E464" i="8"/>
  <c r="D464" i="8"/>
  <c r="C464" i="8"/>
  <c r="V463" i="8"/>
  <c r="U463" i="8"/>
  <c r="T463" i="8"/>
  <c r="S463" i="8"/>
  <c r="R463" i="8"/>
  <c r="P463" i="8"/>
  <c r="O463" i="8"/>
  <c r="M463" i="8"/>
  <c r="L463" i="8"/>
  <c r="K463" i="8"/>
  <c r="J463" i="8"/>
  <c r="I463" i="8"/>
  <c r="H463" i="8"/>
  <c r="G463" i="8"/>
  <c r="E463" i="8"/>
  <c r="D463" i="8"/>
  <c r="C463" i="8"/>
  <c r="V462" i="8"/>
  <c r="U462" i="8"/>
  <c r="T462" i="8"/>
  <c r="S462" i="8"/>
  <c r="R462" i="8"/>
  <c r="P462" i="8"/>
  <c r="O462" i="8"/>
  <c r="M462" i="8"/>
  <c r="L462" i="8"/>
  <c r="K462" i="8"/>
  <c r="J462" i="8"/>
  <c r="I462" i="8"/>
  <c r="H462" i="8"/>
  <c r="G462" i="8"/>
  <c r="E462" i="8"/>
  <c r="D462" i="8"/>
  <c r="C462" i="8"/>
  <c r="V461" i="8"/>
  <c r="U461" i="8"/>
  <c r="T461" i="8"/>
  <c r="S461" i="8"/>
  <c r="R461" i="8"/>
  <c r="P461" i="8"/>
  <c r="O461" i="8"/>
  <c r="M461" i="8"/>
  <c r="L461" i="8"/>
  <c r="K461" i="8"/>
  <c r="J461" i="8"/>
  <c r="I461" i="8"/>
  <c r="H461" i="8"/>
  <c r="G461" i="8"/>
  <c r="E461" i="8"/>
  <c r="D461" i="8"/>
  <c r="C461" i="8"/>
  <c r="V460" i="8"/>
  <c r="U460" i="8"/>
  <c r="T460" i="8"/>
  <c r="S460" i="8"/>
  <c r="R460" i="8"/>
  <c r="P460" i="8"/>
  <c r="O460" i="8"/>
  <c r="M460" i="8"/>
  <c r="L460" i="8"/>
  <c r="K460" i="8"/>
  <c r="J460" i="8"/>
  <c r="I460" i="8"/>
  <c r="H460" i="8"/>
  <c r="G460" i="8"/>
  <c r="E460" i="8"/>
  <c r="D460" i="8"/>
  <c r="C460" i="8"/>
  <c r="V459" i="8"/>
  <c r="U459" i="8"/>
  <c r="T459" i="8"/>
  <c r="S459" i="8"/>
  <c r="R459" i="8"/>
  <c r="P459" i="8"/>
  <c r="O459" i="8"/>
  <c r="M459" i="8"/>
  <c r="L459" i="8"/>
  <c r="K459" i="8"/>
  <c r="J459" i="8"/>
  <c r="I459" i="8"/>
  <c r="H459" i="8"/>
  <c r="G459" i="8"/>
  <c r="E459" i="8"/>
  <c r="D459" i="8"/>
  <c r="C459" i="8"/>
  <c r="V458" i="8"/>
  <c r="U458" i="8"/>
  <c r="T458" i="8"/>
  <c r="S458" i="8"/>
  <c r="R458" i="8"/>
  <c r="P458" i="8"/>
  <c r="O458" i="8"/>
  <c r="M458" i="8"/>
  <c r="L458" i="8"/>
  <c r="K458" i="8"/>
  <c r="J458" i="8"/>
  <c r="I458" i="8"/>
  <c r="H458" i="8"/>
  <c r="G458" i="8"/>
  <c r="E458" i="8"/>
  <c r="D458" i="8"/>
  <c r="C458" i="8"/>
  <c r="V457" i="8"/>
  <c r="U457" i="8"/>
  <c r="T457" i="8"/>
  <c r="S457" i="8"/>
  <c r="R457" i="8"/>
  <c r="P457" i="8"/>
  <c r="O457" i="8"/>
  <c r="M457" i="8"/>
  <c r="L457" i="8"/>
  <c r="K457" i="8"/>
  <c r="J457" i="8"/>
  <c r="I457" i="8"/>
  <c r="H457" i="8"/>
  <c r="G457" i="8"/>
  <c r="E457" i="8"/>
  <c r="D457" i="8"/>
  <c r="C457" i="8"/>
  <c r="V456" i="8"/>
  <c r="U456" i="8"/>
  <c r="T456" i="8"/>
  <c r="S456" i="8"/>
  <c r="R456" i="8"/>
  <c r="P456" i="8"/>
  <c r="O456" i="8"/>
  <c r="M456" i="8"/>
  <c r="L456" i="8"/>
  <c r="K456" i="8"/>
  <c r="J456" i="8"/>
  <c r="I456" i="8"/>
  <c r="H456" i="8"/>
  <c r="G456" i="8"/>
  <c r="E456" i="8"/>
  <c r="D456" i="8"/>
  <c r="C456" i="8"/>
  <c r="V455" i="8"/>
  <c r="U455" i="8"/>
  <c r="T455" i="8"/>
  <c r="S455" i="8"/>
  <c r="R455" i="8"/>
  <c r="P455" i="8"/>
  <c r="O455" i="8"/>
  <c r="M455" i="8"/>
  <c r="L455" i="8"/>
  <c r="K455" i="8"/>
  <c r="J455" i="8"/>
  <c r="I455" i="8"/>
  <c r="H455" i="8"/>
  <c r="G455" i="8"/>
  <c r="E455" i="8"/>
  <c r="D455" i="8"/>
  <c r="C455" i="8"/>
  <c r="V454" i="8"/>
  <c r="U454" i="8"/>
  <c r="T454" i="8"/>
  <c r="S454" i="8"/>
  <c r="R454" i="8"/>
  <c r="P454" i="8"/>
  <c r="O454" i="8"/>
  <c r="M454" i="8"/>
  <c r="L454" i="8"/>
  <c r="K454" i="8"/>
  <c r="J454" i="8"/>
  <c r="I454" i="8"/>
  <c r="H454" i="8"/>
  <c r="G454" i="8"/>
  <c r="E454" i="8"/>
  <c r="D454" i="8"/>
  <c r="C454" i="8"/>
  <c r="V453" i="8"/>
  <c r="U453" i="8"/>
  <c r="T453" i="8"/>
  <c r="S453" i="8"/>
  <c r="R453" i="8"/>
  <c r="P453" i="8"/>
  <c r="O453" i="8"/>
  <c r="M453" i="8"/>
  <c r="L453" i="8"/>
  <c r="K453" i="8"/>
  <c r="J453" i="8"/>
  <c r="I453" i="8"/>
  <c r="H453" i="8"/>
  <c r="G453" i="8"/>
  <c r="E453" i="8"/>
  <c r="D453" i="8"/>
  <c r="C453" i="8"/>
  <c r="V452" i="8"/>
  <c r="U452" i="8"/>
  <c r="T452" i="8"/>
  <c r="S452" i="8"/>
  <c r="R452" i="8"/>
  <c r="P452" i="8"/>
  <c r="O452" i="8"/>
  <c r="M452" i="8"/>
  <c r="L452" i="8"/>
  <c r="K452" i="8"/>
  <c r="J452" i="8"/>
  <c r="I452" i="8"/>
  <c r="H452" i="8"/>
  <c r="G452" i="8"/>
  <c r="E452" i="8"/>
  <c r="D452" i="8"/>
  <c r="C452" i="8"/>
  <c r="V451" i="8"/>
  <c r="U451" i="8"/>
  <c r="T451" i="8"/>
  <c r="S451" i="8"/>
  <c r="R451" i="8"/>
  <c r="P451" i="8"/>
  <c r="O451" i="8"/>
  <c r="M451" i="8"/>
  <c r="L451" i="8"/>
  <c r="K451" i="8"/>
  <c r="J451" i="8"/>
  <c r="I451" i="8"/>
  <c r="H451" i="8"/>
  <c r="G451" i="8"/>
  <c r="E451" i="8"/>
  <c r="D451" i="8"/>
  <c r="C451" i="8"/>
  <c r="V450" i="8"/>
  <c r="U450" i="8"/>
  <c r="T450" i="8"/>
  <c r="S450" i="8"/>
  <c r="R450" i="8"/>
  <c r="P450" i="8"/>
  <c r="O450" i="8"/>
  <c r="M450" i="8"/>
  <c r="L450" i="8"/>
  <c r="K450" i="8"/>
  <c r="J450" i="8"/>
  <c r="I450" i="8"/>
  <c r="H450" i="8"/>
  <c r="G450" i="8"/>
  <c r="E450" i="8"/>
  <c r="D450" i="8"/>
  <c r="C450" i="8"/>
  <c r="V449" i="8"/>
  <c r="U449" i="8"/>
  <c r="T449" i="8"/>
  <c r="S449" i="8"/>
  <c r="R449" i="8"/>
  <c r="P449" i="8"/>
  <c r="O449" i="8"/>
  <c r="M449" i="8"/>
  <c r="L449" i="8"/>
  <c r="K449" i="8"/>
  <c r="J449" i="8"/>
  <c r="I449" i="8"/>
  <c r="H449" i="8"/>
  <c r="G449" i="8"/>
  <c r="E449" i="8"/>
  <c r="D449" i="8"/>
  <c r="C449" i="8"/>
  <c r="V448" i="8"/>
  <c r="U448" i="8"/>
  <c r="T448" i="8"/>
  <c r="S448" i="8"/>
  <c r="R448" i="8"/>
  <c r="P448" i="8"/>
  <c r="O448" i="8"/>
  <c r="M448" i="8"/>
  <c r="L448" i="8"/>
  <c r="K448" i="8"/>
  <c r="J448" i="8"/>
  <c r="I448" i="8"/>
  <c r="H448" i="8"/>
  <c r="G448" i="8"/>
  <c r="E448" i="8"/>
  <c r="D448" i="8"/>
  <c r="C448" i="8"/>
  <c r="V447" i="8"/>
  <c r="U447" i="8"/>
  <c r="T447" i="8"/>
  <c r="S447" i="8"/>
  <c r="R447" i="8"/>
  <c r="P447" i="8"/>
  <c r="O447" i="8"/>
  <c r="M447" i="8"/>
  <c r="L447" i="8"/>
  <c r="K447" i="8"/>
  <c r="J447" i="8"/>
  <c r="I447" i="8"/>
  <c r="H447" i="8"/>
  <c r="G447" i="8"/>
  <c r="E447" i="8"/>
  <c r="D447" i="8"/>
  <c r="C447" i="8"/>
  <c r="V446" i="8"/>
  <c r="U446" i="8"/>
  <c r="T446" i="8"/>
  <c r="S446" i="8"/>
  <c r="R446" i="8"/>
  <c r="P446" i="8"/>
  <c r="O446" i="8"/>
  <c r="M446" i="8"/>
  <c r="L446" i="8"/>
  <c r="K446" i="8"/>
  <c r="J446" i="8"/>
  <c r="I446" i="8"/>
  <c r="H446" i="8"/>
  <c r="G446" i="8"/>
  <c r="E446" i="8"/>
  <c r="D446" i="8"/>
  <c r="C446" i="8"/>
  <c r="V445" i="8"/>
  <c r="U445" i="8"/>
  <c r="T445" i="8"/>
  <c r="S445" i="8"/>
  <c r="R445" i="8"/>
  <c r="P445" i="8"/>
  <c r="O445" i="8"/>
  <c r="M445" i="8"/>
  <c r="L445" i="8"/>
  <c r="K445" i="8"/>
  <c r="J445" i="8"/>
  <c r="I445" i="8"/>
  <c r="H445" i="8"/>
  <c r="G445" i="8"/>
  <c r="E445" i="8"/>
  <c r="D445" i="8"/>
  <c r="C445" i="8"/>
  <c r="V444" i="8"/>
  <c r="U444" i="8"/>
  <c r="T444" i="8"/>
  <c r="S444" i="8"/>
  <c r="R444" i="8"/>
  <c r="P444" i="8"/>
  <c r="O444" i="8"/>
  <c r="M444" i="8"/>
  <c r="L444" i="8"/>
  <c r="K444" i="8"/>
  <c r="J444" i="8"/>
  <c r="I444" i="8"/>
  <c r="H444" i="8"/>
  <c r="G444" i="8"/>
  <c r="E444" i="8"/>
  <c r="D444" i="8"/>
  <c r="C444" i="8"/>
  <c r="V443" i="8"/>
  <c r="U443" i="8"/>
  <c r="T443" i="8"/>
  <c r="S443" i="8"/>
  <c r="R443" i="8"/>
  <c r="P443" i="8"/>
  <c r="O443" i="8"/>
  <c r="M443" i="8"/>
  <c r="L443" i="8"/>
  <c r="K443" i="8"/>
  <c r="J443" i="8"/>
  <c r="I443" i="8"/>
  <c r="H443" i="8"/>
  <c r="G443" i="8"/>
  <c r="E443" i="8"/>
  <c r="D443" i="8"/>
  <c r="C443" i="8"/>
  <c r="V442" i="8"/>
  <c r="U442" i="8"/>
  <c r="T442" i="8"/>
  <c r="S442" i="8"/>
  <c r="R442" i="8"/>
  <c r="P442" i="8"/>
  <c r="O442" i="8"/>
  <c r="M442" i="8"/>
  <c r="L442" i="8"/>
  <c r="K442" i="8"/>
  <c r="J442" i="8"/>
  <c r="I442" i="8"/>
  <c r="H442" i="8"/>
  <c r="G442" i="8"/>
  <c r="E442" i="8"/>
  <c r="D442" i="8"/>
  <c r="C442" i="8"/>
  <c r="V441" i="8"/>
  <c r="U441" i="8"/>
  <c r="T441" i="8"/>
  <c r="S441" i="8"/>
  <c r="R441" i="8"/>
  <c r="P441" i="8"/>
  <c r="O441" i="8"/>
  <c r="M441" i="8"/>
  <c r="L441" i="8"/>
  <c r="K441" i="8"/>
  <c r="J441" i="8"/>
  <c r="I441" i="8"/>
  <c r="H441" i="8"/>
  <c r="G441" i="8"/>
  <c r="E441" i="8"/>
  <c r="D441" i="8"/>
  <c r="C441" i="8"/>
  <c r="V440" i="8"/>
  <c r="U440" i="8"/>
  <c r="T440" i="8"/>
  <c r="S440" i="8"/>
  <c r="R440" i="8"/>
  <c r="P440" i="8"/>
  <c r="O440" i="8"/>
  <c r="M440" i="8"/>
  <c r="L440" i="8"/>
  <c r="K440" i="8"/>
  <c r="J440" i="8"/>
  <c r="I440" i="8"/>
  <c r="H440" i="8"/>
  <c r="G440" i="8"/>
  <c r="E440" i="8"/>
  <c r="D440" i="8"/>
  <c r="C440" i="8"/>
  <c r="V439" i="8"/>
  <c r="U439" i="8"/>
  <c r="T439" i="8"/>
  <c r="S439" i="8"/>
  <c r="R439" i="8"/>
  <c r="P439" i="8"/>
  <c r="O439" i="8"/>
  <c r="M439" i="8"/>
  <c r="L439" i="8"/>
  <c r="K439" i="8"/>
  <c r="J439" i="8"/>
  <c r="I439" i="8"/>
  <c r="H439" i="8"/>
  <c r="G439" i="8"/>
  <c r="E439" i="8"/>
  <c r="D439" i="8"/>
  <c r="C439" i="8"/>
  <c r="V438" i="8"/>
  <c r="U438" i="8"/>
  <c r="T438" i="8"/>
  <c r="S438" i="8"/>
  <c r="R438" i="8"/>
  <c r="P438" i="8"/>
  <c r="O438" i="8"/>
  <c r="M438" i="8"/>
  <c r="L438" i="8"/>
  <c r="K438" i="8"/>
  <c r="J438" i="8"/>
  <c r="I438" i="8"/>
  <c r="H438" i="8"/>
  <c r="G438" i="8"/>
  <c r="E438" i="8"/>
  <c r="D438" i="8"/>
  <c r="C438" i="8"/>
  <c r="V437" i="8"/>
  <c r="U437" i="8"/>
  <c r="T437" i="8"/>
  <c r="S437" i="8"/>
  <c r="R437" i="8"/>
  <c r="P437" i="8"/>
  <c r="O437" i="8"/>
  <c r="M437" i="8"/>
  <c r="L437" i="8"/>
  <c r="K437" i="8"/>
  <c r="J437" i="8"/>
  <c r="I437" i="8"/>
  <c r="H437" i="8"/>
  <c r="G437" i="8"/>
  <c r="E437" i="8"/>
  <c r="D437" i="8"/>
  <c r="C437" i="8"/>
  <c r="V436" i="8"/>
  <c r="U436" i="8"/>
  <c r="T436" i="8"/>
  <c r="S436" i="8"/>
  <c r="R436" i="8"/>
  <c r="P436" i="8"/>
  <c r="O436" i="8"/>
  <c r="M436" i="8"/>
  <c r="L436" i="8"/>
  <c r="K436" i="8"/>
  <c r="J436" i="8"/>
  <c r="I436" i="8"/>
  <c r="H436" i="8"/>
  <c r="G436" i="8"/>
  <c r="E436" i="8"/>
  <c r="D436" i="8"/>
  <c r="C436" i="8"/>
  <c r="V435" i="8"/>
  <c r="U435" i="8"/>
  <c r="T435" i="8"/>
  <c r="S435" i="8"/>
  <c r="R435" i="8"/>
  <c r="P435" i="8"/>
  <c r="O435" i="8"/>
  <c r="M435" i="8"/>
  <c r="L435" i="8"/>
  <c r="K435" i="8"/>
  <c r="J435" i="8"/>
  <c r="I435" i="8"/>
  <c r="H435" i="8"/>
  <c r="G435" i="8"/>
  <c r="E435" i="8"/>
  <c r="D435" i="8"/>
  <c r="C435" i="8"/>
  <c r="V434" i="8"/>
  <c r="U434" i="8"/>
  <c r="T434" i="8"/>
  <c r="S434" i="8"/>
  <c r="R434" i="8"/>
  <c r="P434" i="8"/>
  <c r="O434" i="8"/>
  <c r="M434" i="8"/>
  <c r="L434" i="8"/>
  <c r="K434" i="8"/>
  <c r="J434" i="8"/>
  <c r="I434" i="8"/>
  <c r="H434" i="8"/>
  <c r="G434" i="8"/>
  <c r="E434" i="8"/>
  <c r="D434" i="8"/>
  <c r="C434" i="8"/>
  <c r="V433" i="8"/>
  <c r="U433" i="8"/>
  <c r="T433" i="8"/>
  <c r="S433" i="8"/>
  <c r="R433" i="8"/>
  <c r="P433" i="8"/>
  <c r="O433" i="8"/>
  <c r="M433" i="8"/>
  <c r="L433" i="8"/>
  <c r="K433" i="8"/>
  <c r="J433" i="8"/>
  <c r="I433" i="8"/>
  <c r="H433" i="8"/>
  <c r="G433" i="8"/>
  <c r="E433" i="8"/>
  <c r="D433" i="8"/>
  <c r="C433" i="8"/>
  <c r="V432" i="8"/>
  <c r="U432" i="8"/>
  <c r="T432" i="8"/>
  <c r="S432" i="8"/>
  <c r="R432" i="8"/>
  <c r="P432" i="8"/>
  <c r="O432" i="8"/>
  <c r="M432" i="8"/>
  <c r="L432" i="8"/>
  <c r="K432" i="8"/>
  <c r="J432" i="8"/>
  <c r="I432" i="8"/>
  <c r="H432" i="8"/>
  <c r="G432" i="8"/>
  <c r="E432" i="8"/>
  <c r="D432" i="8"/>
  <c r="C432" i="8"/>
  <c r="V431" i="8"/>
  <c r="U431" i="8"/>
  <c r="T431" i="8"/>
  <c r="S431" i="8"/>
  <c r="R431" i="8"/>
  <c r="P431" i="8"/>
  <c r="O431" i="8"/>
  <c r="M431" i="8"/>
  <c r="L431" i="8"/>
  <c r="K431" i="8"/>
  <c r="J431" i="8"/>
  <c r="I431" i="8"/>
  <c r="H431" i="8"/>
  <c r="G431" i="8"/>
  <c r="E431" i="8"/>
  <c r="D431" i="8"/>
  <c r="C431" i="8"/>
  <c r="V430" i="8"/>
  <c r="U430" i="8"/>
  <c r="T430" i="8"/>
  <c r="S430" i="8"/>
  <c r="R430" i="8"/>
  <c r="P430" i="8"/>
  <c r="O430" i="8"/>
  <c r="M430" i="8"/>
  <c r="L430" i="8"/>
  <c r="K430" i="8"/>
  <c r="J430" i="8"/>
  <c r="I430" i="8"/>
  <c r="H430" i="8"/>
  <c r="G430" i="8"/>
  <c r="E430" i="8"/>
  <c r="D430" i="8"/>
  <c r="C430" i="8"/>
  <c r="V429" i="8"/>
  <c r="U429" i="8"/>
  <c r="T429" i="8"/>
  <c r="S429" i="8"/>
  <c r="R429" i="8"/>
  <c r="P429" i="8"/>
  <c r="O429" i="8"/>
  <c r="M429" i="8"/>
  <c r="L429" i="8"/>
  <c r="K429" i="8"/>
  <c r="J429" i="8"/>
  <c r="I429" i="8"/>
  <c r="H429" i="8"/>
  <c r="G429" i="8"/>
  <c r="E429" i="8"/>
  <c r="D429" i="8"/>
  <c r="C429" i="8"/>
  <c r="V428" i="8"/>
  <c r="U428" i="8"/>
  <c r="T428" i="8"/>
  <c r="S428" i="8"/>
  <c r="R428" i="8"/>
  <c r="P428" i="8"/>
  <c r="O428" i="8"/>
  <c r="M428" i="8"/>
  <c r="L428" i="8"/>
  <c r="K428" i="8"/>
  <c r="J428" i="8"/>
  <c r="I428" i="8"/>
  <c r="H428" i="8"/>
  <c r="G428" i="8"/>
  <c r="E428" i="8"/>
  <c r="D428" i="8"/>
  <c r="C428" i="8"/>
  <c r="V427" i="8"/>
  <c r="U427" i="8"/>
  <c r="T427" i="8"/>
  <c r="S427" i="8"/>
  <c r="R427" i="8"/>
  <c r="P427" i="8"/>
  <c r="O427" i="8"/>
  <c r="M427" i="8"/>
  <c r="L427" i="8"/>
  <c r="K427" i="8"/>
  <c r="J427" i="8"/>
  <c r="I427" i="8"/>
  <c r="H427" i="8"/>
  <c r="G427" i="8"/>
  <c r="E427" i="8"/>
  <c r="D427" i="8"/>
  <c r="C427" i="8"/>
  <c r="V426" i="8"/>
  <c r="U426" i="8"/>
  <c r="T426" i="8"/>
  <c r="S426" i="8"/>
  <c r="R426" i="8"/>
  <c r="P426" i="8"/>
  <c r="O426" i="8"/>
  <c r="M426" i="8"/>
  <c r="L426" i="8"/>
  <c r="K426" i="8"/>
  <c r="J426" i="8"/>
  <c r="I426" i="8"/>
  <c r="H426" i="8"/>
  <c r="G426" i="8"/>
  <c r="E426" i="8"/>
  <c r="D426" i="8"/>
  <c r="C426" i="8"/>
  <c r="V425" i="8"/>
  <c r="U425" i="8"/>
  <c r="T425" i="8"/>
  <c r="S425" i="8"/>
  <c r="R425" i="8"/>
  <c r="P425" i="8"/>
  <c r="O425" i="8"/>
  <c r="M425" i="8"/>
  <c r="L425" i="8"/>
  <c r="K425" i="8"/>
  <c r="J425" i="8"/>
  <c r="I425" i="8"/>
  <c r="H425" i="8"/>
  <c r="G425" i="8"/>
  <c r="E425" i="8"/>
  <c r="D425" i="8"/>
  <c r="C425" i="8"/>
  <c r="V424" i="8"/>
  <c r="U424" i="8"/>
  <c r="T424" i="8"/>
  <c r="S424" i="8"/>
  <c r="R424" i="8"/>
  <c r="P424" i="8"/>
  <c r="O424" i="8"/>
  <c r="M424" i="8"/>
  <c r="L424" i="8"/>
  <c r="K424" i="8"/>
  <c r="J424" i="8"/>
  <c r="I424" i="8"/>
  <c r="H424" i="8"/>
  <c r="G424" i="8"/>
  <c r="E424" i="8"/>
  <c r="D424" i="8"/>
  <c r="C424" i="8"/>
  <c r="V423" i="8"/>
  <c r="U423" i="8"/>
  <c r="T423" i="8"/>
  <c r="S423" i="8"/>
  <c r="R423" i="8"/>
  <c r="P423" i="8"/>
  <c r="O423" i="8"/>
  <c r="M423" i="8"/>
  <c r="L423" i="8"/>
  <c r="K423" i="8"/>
  <c r="J423" i="8"/>
  <c r="I423" i="8"/>
  <c r="H423" i="8"/>
  <c r="G423" i="8"/>
  <c r="E423" i="8"/>
  <c r="D423" i="8"/>
  <c r="C423" i="8"/>
  <c r="V422" i="8"/>
  <c r="U422" i="8"/>
  <c r="T422" i="8"/>
  <c r="S422" i="8"/>
  <c r="R422" i="8"/>
  <c r="P422" i="8"/>
  <c r="O422" i="8"/>
  <c r="M422" i="8"/>
  <c r="L422" i="8"/>
  <c r="K422" i="8"/>
  <c r="J422" i="8"/>
  <c r="I422" i="8"/>
  <c r="H422" i="8"/>
  <c r="G422" i="8"/>
  <c r="E422" i="8"/>
  <c r="D422" i="8"/>
  <c r="C422" i="8"/>
  <c r="V421" i="8"/>
  <c r="U421" i="8"/>
  <c r="T421" i="8"/>
  <c r="S421" i="8"/>
  <c r="R421" i="8"/>
  <c r="P421" i="8"/>
  <c r="O421" i="8"/>
  <c r="M421" i="8"/>
  <c r="L421" i="8"/>
  <c r="K421" i="8"/>
  <c r="J421" i="8"/>
  <c r="I421" i="8"/>
  <c r="H421" i="8"/>
  <c r="G421" i="8"/>
  <c r="E421" i="8"/>
  <c r="D421" i="8"/>
  <c r="C421" i="8"/>
  <c r="V420" i="8"/>
  <c r="U420" i="8"/>
  <c r="T420" i="8"/>
  <c r="S420" i="8"/>
  <c r="R420" i="8"/>
  <c r="P420" i="8"/>
  <c r="O420" i="8"/>
  <c r="M420" i="8"/>
  <c r="L420" i="8"/>
  <c r="K420" i="8"/>
  <c r="J420" i="8"/>
  <c r="I420" i="8"/>
  <c r="H420" i="8"/>
  <c r="G420" i="8"/>
  <c r="E420" i="8"/>
  <c r="D420" i="8"/>
  <c r="C420" i="8"/>
  <c r="V419" i="8"/>
  <c r="U419" i="8"/>
  <c r="T419" i="8"/>
  <c r="S419" i="8"/>
  <c r="R419" i="8"/>
  <c r="P419" i="8"/>
  <c r="O419" i="8"/>
  <c r="M419" i="8"/>
  <c r="L419" i="8"/>
  <c r="K419" i="8"/>
  <c r="J419" i="8"/>
  <c r="I419" i="8"/>
  <c r="H419" i="8"/>
  <c r="G419" i="8"/>
  <c r="E419" i="8"/>
  <c r="D419" i="8"/>
  <c r="C419" i="8"/>
  <c r="V418" i="8"/>
  <c r="U418" i="8"/>
  <c r="T418" i="8"/>
  <c r="S418" i="8"/>
  <c r="R418" i="8"/>
  <c r="P418" i="8"/>
  <c r="O418" i="8"/>
  <c r="M418" i="8"/>
  <c r="L418" i="8"/>
  <c r="K418" i="8"/>
  <c r="J418" i="8"/>
  <c r="I418" i="8"/>
  <c r="H418" i="8"/>
  <c r="G418" i="8"/>
  <c r="E418" i="8"/>
  <c r="D418" i="8"/>
  <c r="C418" i="8"/>
  <c r="V417" i="8"/>
  <c r="U417" i="8"/>
  <c r="T417" i="8"/>
  <c r="S417" i="8"/>
  <c r="R417" i="8"/>
  <c r="P417" i="8"/>
  <c r="O417" i="8"/>
  <c r="M417" i="8"/>
  <c r="L417" i="8"/>
  <c r="K417" i="8"/>
  <c r="J417" i="8"/>
  <c r="I417" i="8"/>
  <c r="H417" i="8"/>
  <c r="G417" i="8"/>
  <c r="E417" i="8"/>
  <c r="D417" i="8"/>
  <c r="C417" i="8"/>
  <c r="V416" i="8"/>
  <c r="U416" i="8"/>
  <c r="T416" i="8"/>
  <c r="S416" i="8"/>
  <c r="R416" i="8"/>
  <c r="P416" i="8"/>
  <c r="O416" i="8"/>
  <c r="M416" i="8"/>
  <c r="L416" i="8"/>
  <c r="K416" i="8"/>
  <c r="J416" i="8"/>
  <c r="I416" i="8"/>
  <c r="H416" i="8"/>
  <c r="G416" i="8"/>
  <c r="E416" i="8"/>
  <c r="D416" i="8"/>
  <c r="C416" i="8"/>
  <c r="V415" i="8"/>
  <c r="U415" i="8"/>
  <c r="T415" i="8"/>
  <c r="S415" i="8"/>
  <c r="R415" i="8"/>
  <c r="P415" i="8"/>
  <c r="O415" i="8"/>
  <c r="M415" i="8"/>
  <c r="L415" i="8"/>
  <c r="K415" i="8"/>
  <c r="J415" i="8"/>
  <c r="I415" i="8"/>
  <c r="H415" i="8"/>
  <c r="G415" i="8"/>
  <c r="E415" i="8"/>
  <c r="D415" i="8"/>
  <c r="C415" i="8"/>
  <c r="V414" i="8"/>
  <c r="U414" i="8"/>
  <c r="T414" i="8"/>
  <c r="S414" i="8"/>
  <c r="R414" i="8"/>
  <c r="P414" i="8"/>
  <c r="O414" i="8"/>
  <c r="M414" i="8"/>
  <c r="L414" i="8"/>
  <c r="K414" i="8"/>
  <c r="J414" i="8"/>
  <c r="I414" i="8"/>
  <c r="H414" i="8"/>
  <c r="G414" i="8"/>
  <c r="E414" i="8"/>
  <c r="D414" i="8"/>
  <c r="C414" i="8"/>
  <c r="V413" i="8"/>
  <c r="U413" i="8"/>
  <c r="T413" i="8"/>
  <c r="S413" i="8"/>
  <c r="R413" i="8"/>
  <c r="P413" i="8"/>
  <c r="O413" i="8"/>
  <c r="M413" i="8"/>
  <c r="L413" i="8"/>
  <c r="K413" i="8"/>
  <c r="J413" i="8"/>
  <c r="I413" i="8"/>
  <c r="H413" i="8"/>
  <c r="G413" i="8"/>
  <c r="E413" i="8"/>
  <c r="D413" i="8"/>
  <c r="C413" i="8"/>
  <c r="V412" i="8"/>
  <c r="U412" i="8"/>
  <c r="T412" i="8"/>
  <c r="S412" i="8"/>
  <c r="R412" i="8"/>
  <c r="P412" i="8"/>
  <c r="O412" i="8"/>
  <c r="M412" i="8"/>
  <c r="L412" i="8"/>
  <c r="K412" i="8"/>
  <c r="J412" i="8"/>
  <c r="I412" i="8"/>
  <c r="H412" i="8"/>
  <c r="G412" i="8"/>
  <c r="E412" i="8"/>
  <c r="D412" i="8"/>
  <c r="C412" i="8"/>
  <c r="V411" i="8"/>
  <c r="U411" i="8"/>
  <c r="T411" i="8"/>
  <c r="S411" i="8"/>
  <c r="R411" i="8"/>
  <c r="P411" i="8"/>
  <c r="O411" i="8"/>
  <c r="M411" i="8"/>
  <c r="L411" i="8"/>
  <c r="K411" i="8"/>
  <c r="J411" i="8"/>
  <c r="I411" i="8"/>
  <c r="H411" i="8"/>
  <c r="G411" i="8"/>
  <c r="E411" i="8"/>
  <c r="D411" i="8"/>
  <c r="C411" i="8"/>
  <c r="V410" i="8"/>
  <c r="U410" i="8"/>
  <c r="T410" i="8"/>
  <c r="S410" i="8"/>
  <c r="R410" i="8"/>
  <c r="P410" i="8"/>
  <c r="O410" i="8"/>
  <c r="M410" i="8"/>
  <c r="L410" i="8"/>
  <c r="K410" i="8"/>
  <c r="J410" i="8"/>
  <c r="I410" i="8"/>
  <c r="H410" i="8"/>
  <c r="G410" i="8"/>
  <c r="E410" i="8"/>
  <c r="D410" i="8"/>
  <c r="C410" i="8"/>
  <c r="V409" i="8"/>
  <c r="U409" i="8"/>
  <c r="T409" i="8"/>
  <c r="S409" i="8"/>
  <c r="R409" i="8"/>
  <c r="P409" i="8"/>
  <c r="O409" i="8"/>
  <c r="M409" i="8"/>
  <c r="L409" i="8"/>
  <c r="K409" i="8"/>
  <c r="J409" i="8"/>
  <c r="I409" i="8"/>
  <c r="H409" i="8"/>
  <c r="G409" i="8"/>
  <c r="E409" i="8"/>
  <c r="D409" i="8"/>
  <c r="C409" i="8"/>
  <c r="V408" i="8"/>
  <c r="U408" i="8"/>
  <c r="T408" i="8"/>
  <c r="S408" i="8"/>
  <c r="R408" i="8"/>
  <c r="P408" i="8"/>
  <c r="O408" i="8"/>
  <c r="M408" i="8"/>
  <c r="L408" i="8"/>
  <c r="K408" i="8"/>
  <c r="J408" i="8"/>
  <c r="I408" i="8"/>
  <c r="H408" i="8"/>
  <c r="G408" i="8"/>
  <c r="E408" i="8"/>
  <c r="D408" i="8"/>
  <c r="C408" i="8"/>
  <c r="V407" i="8"/>
  <c r="U407" i="8"/>
  <c r="T407" i="8"/>
  <c r="S407" i="8"/>
  <c r="R407" i="8"/>
  <c r="P407" i="8"/>
  <c r="O407" i="8"/>
  <c r="M407" i="8"/>
  <c r="L407" i="8"/>
  <c r="K407" i="8"/>
  <c r="J407" i="8"/>
  <c r="I407" i="8"/>
  <c r="H407" i="8"/>
  <c r="G407" i="8"/>
  <c r="E407" i="8"/>
  <c r="D407" i="8"/>
  <c r="C407" i="8"/>
  <c r="V406" i="8"/>
  <c r="U406" i="8"/>
  <c r="T406" i="8"/>
  <c r="S406" i="8"/>
  <c r="R406" i="8"/>
  <c r="P406" i="8"/>
  <c r="O406" i="8"/>
  <c r="M406" i="8"/>
  <c r="L406" i="8"/>
  <c r="K406" i="8"/>
  <c r="J406" i="8"/>
  <c r="I406" i="8"/>
  <c r="H406" i="8"/>
  <c r="G406" i="8"/>
  <c r="E406" i="8"/>
  <c r="D406" i="8"/>
  <c r="C406" i="8"/>
  <c r="V405" i="8"/>
  <c r="U405" i="8"/>
  <c r="T405" i="8"/>
  <c r="S405" i="8"/>
  <c r="R405" i="8"/>
  <c r="P405" i="8"/>
  <c r="O405" i="8"/>
  <c r="M405" i="8"/>
  <c r="L405" i="8"/>
  <c r="K405" i="8"/>
  <c r="J405" i="8"/>
  <c r="I405" i="8"/>
  <c r="H405" i="8"/>
  <c r="G405" i="8"/>
  <c r="E405" i="8"/>
  <c r="D405" i="8"/>
  <c r="C405" i="8"/>
  <c r="V404" i="8"/>
  <c r="U404" i="8"/>
  <c r="T404" i="8"/>
  <c r="S404" i="8"/>
  <c r="R404" i="8"/>
  <c r="P404" i="8"/>
  <c r="O404" i="8"/>
  <c r="M404" i="8"/>
  <c r="L404" i="8"/>
  <c r="K404" i="8"/>
  <c r="J404" i="8"/>
  <c r="I404" i="8"/>
  <c r="H404" i="8"/>
  <c r="G404" i="8"/>
  <c r="E404" i="8"/>
  <c r="D404" i="8"/>
  <c r="C404" i="8"/>
  <c r="V403" i="8"/>
  <c r="U403" i="8"/>
  <c r="T403" i="8"/>
  <c r="S403" i="8"/>
  <c r="R403" i="8"/>
  <c r="P403" i="8"/>
  <c r="O403" i="8"/>
  <c r="M403" i="8"/>
  <c r="L403" i="8"/>
  <c r="K403" i="8"/>
  <c r="J403" i="8"/>
  <c r="I403" i="8"/>
  <c r="H403" i="8"/>
  <c r="G403" i="8"/>
  <c r="E403" i="8"/>
  <c r="D403" i="8"/>
  <c r="C403" i="8"/>
  <c r="V402" i="8"/>
  <c r="U402" i="8"/>
  <c r="T402" i="8"/>
  <c r="S402" i="8"/>
  <c r="R402" i="8"/>
  <c r="P402" i="8"/>
  <c r="O402" i="8"/>
  <c r="M402" i="8"/>
  <c r="L402" i="8"/>
  <c r="K402" i="8"/>
  <c r="J402" i="8"/>
  <c r="I402" i="8"/>
  <c r="H402" i="8"/>
  <c r="G402" i="8"/>
  <c r="E402" i="8"/>
  <c r="D402" i="8"/>
  <c r="C402" i="8"/>
  <c r="V401" i="8"/>
  <c r="U401" i="8"/>
  <c r="T401" i="8"/>
  <c r="S401" i="8"/>
  <c r="R401" i="8"/>
  <c r="P401" i="8"/>
  <c r="O401" i="8"/>
  <c r="M401" i="8"/>
  <c r="L401" i="8"/>
  <c r="K401" i="8"/>
  <c r="J401" i="8"/>
  <c r="I401" i="8"/>
  <c r="H401" i="8"/>
  <c r="G401" i="8"/>
  <c r="E401" i="8"/>
  <c r="D401" i="8"/>
  <c r="C401" i="8"/>
  <c r="V400" i="8"/>
  <c r="U400" i="8"/>
  <c r="T400" i="8"/>
  <c r="S400" i="8"/>
  <c r="R400" i="8"/>
  <c r="P400" i="8"/>
  <c r="O400" i="8"/>
  <c r="M400" i="8"/>
  <c r="L400" i="8"/>
  <c r="K400" i="8"/>
  <c r="J400" i="8"/>
  <c r="I400" i="8"/>
  <c r="H400" i="8"/>
  <c r="G400" i="8"/>
  <c r="E400" i="8"/>
  <c r="D400" i="8"/>
  <c r="C400" i="8"/>
  <c r="V399" i="8"/>
  <c r="U399" i="8"/>
  <c r="T399" i="8"/>
  <c r="S399" i="8"/>
  <c r="R399" i="8"/>
  <c r="P399" i="8"/>
  <c r="O399" i="8"/>
  <c r="M399" i="8"/>
  <c r="L399" i="8"/>
  <c r="K399" i="8"/>
  <c r="J399" i="8"/>
  <c r="I399" i="8"/>
  <c r="H399" i="8"/>
  <c r="G399" i="8"/>
  <c r="E399" i="8"/>
  <c r="D399" i="8"/>
  <c r="C399" i="8"/>
  <c r="V398" i="8"/>
  <c r="U398" i="8"/>
  <c r="T398" i="8"/>
  <c r="S398" i="8"/>
  <c r="R398" i="8"/>
  <c r="P398" i="8"/>
  <c r="O398" i="8"/>
  <c r="M398" i="8"/>
  <c r="L398" i="8"/>
  <c r="K398" i="8"/>
  <c r="J398" i="8"/>
  <c r="I398" i="8"/>
  <c r="H398" i="8"/>
  <c r="G398" i="8"/>
  <c r="E398" i="8"/>
  <c r="D398" i="8"/>
  <c r="C398" i="8"/>
  <c r="V397" i="8"/>
  <c r="U397" i="8"/>
  <c r="T397" i="8"/>
  <c r="S397" i="8"/>
  <c r="R397" i="8"/>
  <c r="P397" i="8"/>
  <c r="O397" i="8"/>
  <c r="M397" i="8"/>
  <c r="L397" i="8"/>
  <c r="K397" i="8"/>
  <c r="J397" i="8"/>
  <c r="I397" i="8"/>
  <c r="H397" i="8"/>
  <c r="G397" i="8"/>
  <c r="E397" i="8"/>
  <c r="D397" i="8"/>
  <c r="C397" i="8"/>
  <c r="V396" i="8"/>
  <c r="U396" i="8"/>
  <c r="T396" i="8"/>
  <c r="S396" i="8"/>
  <c r="R396" i="8"/>
  <c r="P396" i="8"/>
  <c r="O396" i="8"/>
  <c r="M396" i="8"/>
  <c r="L396" i="8"/>
  <c r="K396" i="8"/>
  <c r="J396" i="8"/>
  <c r="I396" i="8"/>
  <c r="H396" i="8"/>
  <c r="G396" i="8"/>
  <c r="E396" i="8"/>
  <c r="D396" i="8"/>
  <c r="C396" i="8"/>
  <c r="V395" i="8"/>
  <c r="U395" i="8"/>
  <c r="T395" i="8"/>
  <c r="S395" i="8"/>
  <c r="R395" i="8"/>
  <c r="P395" i="8"/>
  <c r="O395" i="8"/>
  <c r="M395" i="8"/>
  <c r="L395" i="8"/>
  <c r="K395" i="8"/>
  <c r="J395" i="8"/>
  <c r="I395" i="8"/>
  <c r="H395" i="8"/>
  <c r="G395" i="8"/>
  <c r="E395" i="8"/>
  <c r="D395" i="8"/>
  <c r="C395" i="8"/>
  <c r="V394" i="8"/>
  <c r="U394" i="8"/>
  <c r="T394" i="8"/>
  <c r="S394" i="8"/>
  <c r="R394" i="8"/>
  <c r="P394" i="8"/>
  <c r="O394" i="8"/>
  <c r="M394" i="8"/>
  <c r="L394" i="8"/>
  <c r="K394" i="8"/>
  <c r="J394" i="8"/>
  <c r="I394" i="8"/>
  <c r="H394" i="8"/>
  <c r="G394" i="8"/>
  <c r="E394" i="8"/>
  <c r="D394" i="8"/>
  <c r="C394" i="8"/>
  <c r="V393" i="8"/>
  <c r="U393" i="8"/>
  <c r="T393" i="8"/>
  <c r="S393" i="8"/>
  <c r="R393" i="8"/>
  <c r="P393" i="8"/>
  <c r="O393" i="8"/>
  <c r="M393" i="8"/>
  <c r="L393" i="8"/>
  <c r="K393" i="8"/>
  <c r="J393" i="8"/>
  <c r="I393" i="8"/>
  <c r="H393" i="8"/>
  <c r="G393" i="8"/>
  <c r="E393" i="8"/>
  <c r="D393" i="8"/>
  <c r="C393" i="8"/>
  <c r="V392" i="8"/>
  <c r="U392" i="8"/>
  <c r="T392" i="8"/>
  <c r="S392" i="8"/>
  <c r="R392" i="8"/>
  <c r="P392" i="8"/>
  <c r="O392" i="8"/>
  <c r="M392" i="8"/>
  <c r="L392" i="8"/>
  <c r="K392" i="8"/>
  <c r="J392" i="8"/>
  <c r="I392" i="8"/>
  <c r="H392" i="8"/>
  <c r="G392" i="8"/>
  <c r="E392" i="8"/>
  <c r="D392" i="8"/>
  <c r="C392" i="8"/>
  <c r="V391" i="8"/>
  <c r="U391" i="8"/>
  <c r="T391" i="8"/>
  <c r="S391" i="8"/>
  <c r="R391" i="8"/>
  <c r="P391" i="8"/>
  <c r="O391" i="8"/>
  <c r="M391" i="8"/>
  <c r="L391" i="8"/>
  <c r="K391" i="8"/>
  <c r="J391" i="8"/>
  <c r="I391" i="8"/>
  <c r="H391" i="8"/>
  <c r="G391" i="8"/>
  <c r="E391" i="8"/>
  <c r="D391" i="8"/>
  <c r="C391" i="8"/>
  <c r="V390" i="8"/>
  <c r="U390" i="8"/>
  <c r="T390" i="8"/>
  <c r="S390" i="8"/>
  <c r="R390" i="8"/>
  <c r="P390" i="8"/>
  <c r="O390" i="8"/>
  <c r="M390" i="8"/>
  <c r="L390" i="8"/>
  <c r="K390" i="8"/>
  <c r="J390" i="8"/>
  <c r="I390" i="8"/>
  <c r="H390" i="8"/>
  <c r="G390" i="8"/>
  <c r="E390" i="8"/>
  <c r="D390" i="8"/>
  <c r="C390" i="8"/>
  <c r="V389" i="8"/>
  <c r="U389" i="8"/>
  <c r="T389" i="8"/>
  <c r="S389" i="8"/>
  <c r="R389" i="8"/>
  <c r="P389" i="8"/>
  <c r="O389" i="8"/>
  <c r="M389" i="8"/>
  <c r="L389" i="8"/>
  <c r="K389" i="8"/>
  <c r="J389" i="8"/>
  <c r="I389" i="8"/>
  <c r="H389" i="8"/>
  <c r="G389" i="8"/>
  <c r="E389" i="8"/>
  <c r="D389" i="8"/>
  <c r="C389" i="8"/>
  <c r="V388" i="8"/>
  <c r="U388" i="8"/>
  <c r="T388" i="8"/>
  <c r="S388" i="8"/>
  <c r="R388" i="8"/>
  <c r="P388" i="8"/>
  <c r="O388" i="8"/>
  <c r="M388" i="8"/>
  <c r="L388" i="8"/>
  <c r="K388" i="8"/>
  <c r="J388" i="8"/>
  <c r="I388" i="8"/>
  <c r="H388" i="8"/>
  <c r="G388" i="8"/>
  <c r="E388" i="8"/>
  <c r="D388" i="8"/>
  <c r="C388" i="8"/>
  <c r="V387" i="8"/>
  <c r="U387" i="8"/>
  <c r="T387" i="8"/>
  <c r="S387" i="8"/>
  <c r="R387" i="8"/>
  <c r="P387" i="8"/>
  <c r="O387" i="8"/>
  <c r="M387" i="8"/>
  <c r="L387" i="8"/>
  <c r="K387" i="8"/>
  <c r="J387" i="8"/>
  <c r="I387" i="8"/>
  <c r="H387" i="8"/>
  <c r="G387" i="8"/>
  <c r="E387" i="8"/>
  <c r="D387" i="8"/>
  <c r="C387" i="8"/>
  <c r="V386" i="8"/>
  <c r="U386" i="8"/>
  <c r="T386" i="8"/>
  <c r="S386" i="8"/>
  <c r="R386" i="8"/>
  <c r="P386" i="8"/>
  <c r="O386" i="8"/>
  <c r="M386" i="8"/>
  <c r="L386" i="8"/>
  <c r="K386" i="8"/>
  <c r="J386" i="8"/>
  <c r="I386" i="8"/>
  <c r="H386" i="8"/>
  <c r="G386" i="8"/>
  <c r="E386" i="8"/>
  <c r="D386" i="8"/>
  <c r="C386" i="8"/>
  <c r="V385" i="8"/>
  <c r="U385" i="8"/>
  <c r="T385" i="8"/>
  <c r="S385" i="8"/>
  <c r="R385" i="8"/>
  <c r="P385" i="8"/>
  <c r="O385" i="8"/>
  <c r="M385" i="8"/>
  <c r="L385" i="8"/>
  <c r="K385" i="8"/>
  <c r="J385" i="8"/>
  <c r="I385" i="8"/>
  <c r="H385" i="8"/>
  <c r="G385" i="8"/>
  <c r="E385" i="8"/>
  <c r="D385" i="8"/>
  <c r="C385" i="8"/>
  <c r="V384" i="8"/>
  <c r="U384" i="8"/>
  <c r="T384" i="8"/>
  <c r="S384" i="8"/>
  <c r="R384" i="8"/>
  <c r="P384" i="8"/>
  <c r="O384" i="8"/>
  <c r="M384" i="8"/>
  <c r="L384" i="8"/>
  <c r="K384" i="8"/>
  <c r="J384" i="8"/>
  <c r="I384" i="8"/>
  <c r="H384" i="8"/>
  <c r="G384" i="8"/>
  <c r="E384" i="8"/>
  <c r="D384" i="8"/>
  <c r="C384" i="8"/>
  <c r="V383" i="8"/>
  <c r="U383" i="8"/>
  <c r="T383" i="8"/>
  <c r="S383" i="8"/>
  <c r="R383" i="8"/>
  <c r="P383" i="8"/>
  <c r="O383" i="8"/>
  <c r="M383" i="8"/>
  <c r="L383" i="8"/>
  <c r="K383" i="8"/>
  <c r="J383" i="8"/>
  <c r="I383" i="8"/>
  <c r="H383" i="8"/>
  <c r="G383" i="8"/>
  <c r="E383" i="8"/>
  <c r="D383" i="8"/>
  <c r="C383" i="8"/>
  <c r="V382" i="8"/>
  <c r="U382" i="8"/>
  <c r="T382" i="8"/>
  <c r="S382" i="8"/>
  <c r="R382" i="8"/>
  <c r="P382" i="8"/>
  <c r="O382" i="8"/>
  <c r="M382" i="8"/>
  <c r="L382" i="8"/>
  <c r="K382" i="8"/>
  <c r="J382" i="8"/>
  <c r="I382" i="8"/>
  <c r="H382" i="8"/>
  <c r="G382" i="8"/>
  <c r="E382" i="8"/>
  <c r="D382" i="8"/>
  <c r="C382" i="8"/>
  <c r="V381" i="8"/>
  <c r="U381" i="8"/>
  <c r="T381" i="8"/>
  <c r="S381" i="8"/>
  <c r="R381" i="8"/>
  <c r="P381" i="8"/>
  <c r="O381" i="8"/>
  <c r="M381" i="8"/>
  <c r="L381" i="8"/>
  <c r="K381" i="8"/>
  <c r="J381" i="8"/>
  <c r="I381" i="8"/>
  <c r="H381" i="8"/>
  <c r="G381" i="8"/>
  <c r="E381" i="8"/>
  <c r="D381" i="8"/>
  <c r="C381" i="8"/>
  <c r="V380" i="8"/>
  <c r="U380" i="8"/>
  <c r="T380" i="8"/>
  <c r="S380" i="8"/>
  <c r="R380" i="8"/>
  <c r="P380" i="8"/>
  <c r="O380" i="8"/>
  <c r="M380" i="8"/>
  <c r="L380" i="8"/>
  <c r="K380" i="8"/>
  <c r="J380" i="8"/>
  <c r="I380" i="8"/>
  <c r="H380" i="8"/>
  <c r="G380" i="8"/>
  <c r="E380" i="8"/>
  <c r="D380" i="8"/>
  <c r="C380" i="8"/>
  <c r="V379" i="8"/>
  <c r="U379" i="8"/>
  <c r="T379" i="8"/>
  <c r="S379" i="8"/>
  <c r="R379" i="8"/>
  <c r="P379" i="8"/>
  <c r="O379" i="8"/>
  <c r="M379" i="8"/>
  <c r="L379" i="8"/>
  <c r="K379" i="8"/>
  <c r="J379" i="8"/>
  <c r="I379" i="8"/>
  <c r="H379" i="8"/>
  <c r="G379" i="8"/>
  <c r="E379" i="8"/>
  <c r="D379" i="8"/>
  <c r="C379" i="8"/>
  <c r="V378" i="8"/>
  <c r="U378" i="8"/>
  <c r="T378" i="8"/>
  <c r="S378" i="8"/>
  <c r="R378" i="8"/>
  <c r="P378" i="8"/>
  <c r="O378" i="8"/>
  <c r="M378" i="8"/>
  <c r="L378" i="8"/>
  <c r="K378" i="8"/>
  <c r="J378" i="8"/>
  <c r="I378" i="8"/>
  <c r="H378" i="8"/>
  <c r="G378" i="8"/>
  <c r="E378" i="8"/>
  <c r="D378" i="8"/>
  <c r="C378" i="8"/>
  <c r="V377" i="8"/>
  <c r="U377" i="8"/>
  <c r="T377" i="8"/>
  <c r="S377" i="8"/>
  <c r="R377" i="8"/>
  <c r="P377" i="8"/>
  <c r="O377" i="8"/>
  <c r="M377" i="8"/>
  <c r="L377" i="8"/>
  <c r="K377" i="8"/>
  <c r="J377" i="8"/>
  <c r="I377" i="8"/>
  <c r="H377" i="8"/>
  <c r="G377" i="8"/>
  <c r="E377" i="8"/>
  <c r="D377" i="8"/>
  <c r="C377" i="8"/>
  <c r="V376" i="8"/>
  <c r="U376" i="8"/>
  <c r="T376" i="8"/>
  <c r="S376" i="8"/>
  <c r="R376" i="8"/>
  <c r="P376" i="8"/>
  <c r="O376" i="8"/>
  <c r="M376" i="8"/>
  <c r="L376" i="8"/>
  <c r="K376" i="8"/>
  <c r="J376" i="8"/>
  <c r="I376" i="8"/>
  <c r="H376" i="8"/>
  <c r="G376" i="8"/>
  <c r="E376" i="8"/>
  <c r="D376" i="8"/>
  <c r="C376" i="8"/>
  <c r="V375" i="8"/>
  <c r="U375" i="8"/>
  <c r="T375" i="8"/>
  <c r="S375" i="8"/>
  <c r="R375" i="8"/>
  <c r="P375" i="8"/>
  <c r="O375" i="8"/>
  <c r="M375" i="8"/>
  <c r="L375" i="8"/>
  <c r="K375" i="8"/>
  <c r="J375" i="8"/>
  <c r="I375" i="8"/>
  <c r="H375" i="8"/>
  <c r="G375" i="8"/>
  <c r="E375" i="8"/>
  <c r="D375" i="8"/>
  <c r="C375" i="8"/>
  <c r="V374" i="8"/>
  <c r="U374" i="8"/>
  <c r="T374" i="8"/>
  <c r="S374" i="8"/>
  <c r="R374" i="8"/>
  <c r="P374" i="8"/>
  <c r="O374" i="8"/>
  <c r="M374" i="8"/>
  <c r="L374" i="8"/>
  <c r="K374" i="8"/>
  <c r="J374" i="8"/>
  <c r="I374" i="8"/>
  <c r="H374" i="8"/>
  <c r="G374" i="8"/>
  <c r="E374" i="8"/>
  <c r="D374" i="8"/>
  <c r="C374" i="8"/>
  <c r="V373" i="8"/>
  <c r="U373" i="8"/>
  <c r="T373" i="8"/>
  <c r="S373" i="8"/>
  <c r="R373" i="8"/>
  <c r="P373" i="8"/>
  <c r="O373" i="8"/>
  <c r="M373" i="8"/>
  <c r="L373" i="8"/>
  <c r="K373" i="8"/>
  <c r="J373" i="8"/>
  <c r="I373" i="8"/>
  <c r="H373" i="8"/>
  <c r="G373" i="8"/>
  <c r="E373" i="8"/>
  <c r="D373" i="8"/>
  <c r="C373" i="8"/>
  <c r="V372" i="8"/>
  <c r="U372" i="8"/>
  <c r="T372" i="8"/>
  <c r="S372" i="8"/>
  <c r="R372" i="8"/>
  <c r="P372" i="8"/>
  <c r="O372" i="8"/>
  <c r="M372" i="8"/>
  <c r="L372" i="8"/>
  <c r="K372" i="8"/>
  <c r="J372" i="8"/>
  <c r="I372" i="8"/>
  <c r="H372" i="8"/>
  <c r="G372" i="8"/>
  <c r="E372" i="8"/>
  <c r="D372" i="8"/>
  <c r="C372" i="8"/>
  <c r="V371" i="8"/>
  <c r="U371" i="8"/>
  <c r="T371" i="8"/>
  <c r="S371" i="8"/>
  <c r="R371" i="8"/>
  <c r="P371" i="8"/>
  <c r="O371" i="8"/>
  <c r="M371" i="8"/>
  <c r="L371" i="8"/>
  <c r="K371" i="8"/>
  <c r="J371" i="8"/>
  <c r="I371" i="8"/>
  <c r="H371" i="8"/>
  <c r="G371" i="8"/>
  <c r="E371" i="8"/>
  <c r="D371" i="8"/>
  <c r="C371" i="8"/>
  <c r="V370" i="8"/>
  <c r="U370" i="8"/>
  <c r="T370" i="8"/>
  <c r="S370" i="8"/>
  <c r="R370" i="8"/>
  <c r="P370" i="8"/>
  <c r="O370" i="8"/>
  <c r="M370" i="8"/>
  <c r="L370" i="8"/>
  <c r="K370" i="8"/>
  <c r="J370" i="8"/>
  <c r="I370" i="8"/>
  <c r="H370" i="8"/>
  <c r="G370" i="8"/>
  <c r="E370" i="8"/>
  <c r="D370" i="8"/>
  <c r="C370" i="8"/>
  <c r="V369" i="8"/>
  <c r="U369" i="8"/>
  <c r="T369" i="8"/>
  <c r="S369" i="8"/>
  <c r="R369" i="8"/>
  <c r="P369" i="8"/>
  <c r="O369" i="8"/>
  <c r="M369" i="8"/>
  <c r="L369" i="8"/>
  <c r="K369" i="8"/>
  <c r="J369" i="8"/>
  <c r="I369" i="8"/>
  <c r="H369" i="8"/>
  <c r="G369" i="8"/>
  <c r="E369" i="8"/>
  <c r="D369" i="8"/>
  <c r="C369" i="8"/>
  <c r="V368" i="8"/>
  <c r="U368" i="8"/>
  <c r="T368" i="8"/>
  <c r="S368" i="8"/>
  <c r="R368" i="8"/>
  <c r="P368" i="8"/>
  <c r="O368" i="8"/>
  <c r="M368" i="8"/>
  <c r="L368" i="8"/>
  <c r="K368" i="8"/>
  <c r="J368" i="8"/>
  <c r="I368" i="8"/>
  <c r="H368" i="8"/>
  <c r="G368" i="8"/>
  <c r="E368" i="8"/>
  <c r="D368" i="8"/>
  <c r="C368" i="8"/>
  <c r="V367" i="8"/>
  <c r="U367" i="8"/>
  <c r="T367" i="8"/>
  <c r="S367" i="8"/>
  <c r="R367" i="8"/>
  <c r="P367" i="8"/>
  <c r="O367" i="8"/>
  <c r="M367" i="8"/>
  <c r="L367" i="8"/>
  <c r="K367" i="8"/>
  <c r="J367" i="8"/>
  <c r="I367" i="8"/>
  <c r="H367" i="8"/>
  <c r="G367" i="8"/>
  <c r="E367" i="8"/>
  <c r="D367" i="8"/>
  <c r="C367" i="8"/>
  <c r="V366" i="8"/>
  <c r="U366" i="8"/>
  <c r="T366" i="8"/>
  <c r="S366" i="8"/>
  <c r="R366" i="8"/>
  <c r="P366" i="8"/>
  <c r="O366" i="8"/>
  <c r="M366" i="8"/>
  <c r="L366" i="8"/>
  <c r="K366" i="8"/>
  <c r="J366" i="8"/>
  <c r="I366" i="8"/>
  <c r="H366" i="8"/>
  <c r="G366" i="8"/>
  <c r="E366" i="8"/>
  <c r="D366" i="8"/>
  <c r="C366" i="8"/>
  <c r="V365" i="8"/>
  <c r="U365" i="8"/>
  <c r="T365" i="8"/>
  <c r="S365" i="8"/>
  <c r="R365" i="8"/>
  <c r="P365" i="8"/>
  <c r="O365" i="8"/>
  <c r="M365" i="8"/>
  <c r="L365" i="8"/>
  <c r="K365" i="8"/>
  <c r="J365" i="8"/>
  <c r="I365" i="8"/>
  <c r="H365" i="8"/>
  <c r="G365" i="8"/>
  <c r="E365" i="8"/>
  <c r="D365" i="8"/>
  <c r="C365" i="8"/>
  <c r="V364" i="8"/>
  <c r="U364" i="8"/>
  <c r="T364" i="8"/>
  <c r="S364" i="8"/>
  <c r="R364" i="8"/>
  <c r="P364" i="8"/>
  <c r="O364" i="8"/>
  <c r="M364" i="8"/>
  <c r="L364" i="8"/>
  <c r="K364" i="8"/>
  <c r="J364" i="8"/>
  <c r="I364" i="8"/>
  <c r="H364" i="8"/>
  <c r="G364" i="8"/>
  <c r="E364" i="8"/>
  <c r="D364" i="8"/>
  <c r="C364" i="8"/>
  <c r="V363" i="8"/>
  <c r="U363" i="8"/>
  <c r="T363" i="8"/>
  <c r="S363" i="8"/>
  <c r="R363" i="8"/>
  <c r="P363" i="8"/>
  <c r="O363" i="8"/>
  <c r="M363" i="8"/>
  <c r="L363" i="8"/>
  <c r="K363" i="8"/>
  <c r="J363" i="8"/>
  <c r="I363" i="8"/>
  <c r="H363" i="8"/>
  <c r="G363" i="8"/>
  <c r="E363" i="8"/>
  <c r="D363" i="8"/>
  <c r="C363" i="8"/>
  <c r="V362" i="8"/>
  <c r="U362" i="8"/>
  <c r="T362" i="8"/>
  <c r="S362" i="8"/>
  <c r="R362" i="8"/>
  <c r="P362" i="8"/>
  <c r="O362" i="8"/>
  <c r="M362" i="8"/>
  <c r="L362" i="8"/>
  <c r="K362" i="8"/>
  <c r="J362" i="8"/>
  <c r="I362" i="8"/>
  <c r="H362" i="8"/>
  <c r="G362" i="8"/>
  <c r="E362" i="8"/>
  <c r="D362" i="8"/>
  <c r="C362" i="8"/>
  <c r="V361" i="8"/>
  <c r="U361" i="8"/>
  <c r="T361" i="8"/>
  <c r="S361" i="8"/>
  <c r="R361" i="8"/>
  <c r="P361" i="8"/>
  <c r="O361" i="8"/>
  <c r="M361" i="8"/>
  <c r="L361" i="8"/>
  <c r="K361" i="8"/>
  <c r="J361" i="8"/>
  <c r="I361" i="8"/>
  <c r="H361" i="8"/>
  <c r="G361" i="8"/>
  <c r="E361" i="8"/>
  <c r="D361" i="8"/>
  <c r="C361" i="8"/>
  <c r="V360" i="8"/>
  <c r="U360" i="8"/>
  <c r="T360" i="8"/>
  <c r="S360" i="8"/>
  <c r="R360" i="8"/>
  <c r="P360" i="8"/>
  <c r="O360" i="8"/>
  <c r="M360" i="8"/>
  <c r="L360" i="8"/>
  <c r="K360" i="8"/>
  <c r="J360" i="8"/>
  <c r="I360" i="8"/>
  <c r="H360" i="8"/>
  <c r="G360" i="8"/>
  <c r="E360" i="8"/>
  <c r="D360" i="8"/>
  <c r="C360" i="8"/>
  <c r="V359" i="8"/>
  <c r="U359" i="8"/>
  <c r="T359" i="8"/>
  <c r="S359" i="8"/>
  <c r="R359" i="8"/>
  <c r="P359" i="8"/>
  <c r="O359" i="8"/>
  <c r="M359" i="8"/>
  <c r="L359" i="8"/>
  <c r="K359" i="8"/>
  <c r="J359" i="8"/>
  <c r="I359" i="8"/>
  <c r="H359" i="8"/>
  <c r="G359" i="8"/>
  <c r="E359" i="8"/>
  <c r="D359" i="8"/>
  <c r="C359" i="8"/>
  <c r="V358" i="8"/>
  <c r="U358" i="8"/>
  <c r="T358" i="8"/>
  <c r="S358" i="8"/>
  <c r="R358" i="8"/>
  <c r="P358" i="8"/>
  <c r="O358" i="8"/>
  <c r="M358" i="8"/>
  <c r="L358" i="8"/>
  <c r="K358" i="8"/>
  <c r="J358" i="8"/>
  <c r="I358" i="8"/>
  <c r="H358" i="8"/>
  <c r="G358" i="8"/>
  <c r="E358" i="8"/>
  <c r="D358" i="8"/>
  <c r="C358" i="8"/>
  <c r="V357" i="8"/>
  <c r="U357" i="8"/>
  <c r="T357" i="8"/>
  <c r="S357" i="8"/>
  <c r="R357" i="8"/>
  <c r="P357" i="8"/>
  <c r="O357" i="8"/>
  <c r="M357" i="8"/>
  <c r="L357" i="8"/>
  <c r="K357" i="8"/>
  <c r="J357" i="8"/>
  <c r="I357" i="8"/>
  <c r="H357" i="8"/>
  <c r="G357" i="8"/>
  <c r="E357" i="8"/>
  <c r="D357" i="8"/>
  <c r="C357" i="8"/>
  <c r="V356" i="8"/>
  <c r="U356" i="8"/>
  <c r="T356" i="8"/>
  <c r="S356" i="8"/>
  <c r="R356" i="8"/>
  <c r="P356" i="8"/>
  <c r="O356" i="8"/>
  <c r="M356" i="8"/>
  <c r="L356" i="8"/>
  <c r="K356" i="8"/>
  <c r="J356" i="8"/>
  <c r="I356" i="8"/>
  <c r="H356" i="8"/>
  <c r="G356" i="8"/>
  <c r="E356" i="8"/>
  <c r="D356" i="8"/>
  <c r="C356" i="8"/>
  <c r="V355" i="8"/>
  <c r="U355" i="8"/>
  <c r="T355" i="8"/>
  <c r="S355" i="8"/>
  <c r="R355" i="8"/>
  <c r="P355" i="8"/>
  <c r="O355" i="8"/>
  <c r="M355" i="8"/>
  <c r="L355" i="8"/>
  <c r="K355" i="8"/>
  <c r="J355" i="8"/>
  <c r="I355" i="8"/>
  <c r="H355" i="8"/>
  <c r="G355" i="8"/>
  <c r="E355" i="8"/>
  <c r="D355" i="8"/>
  <c r="C355" i="8"/>
  <c r="V354" i="8"/>
  <c r="U354" i="8"/>
  <c r="T354" i="8"/>
  <c r="S354" i="8"/>
  <c r="R354" i="8"/>
  <c r="P354" i="8"/>
  <c r="O354" i="8"/>
  <c r="M354" i="8"/>
  <c r="L354" i="8"/>
  <c r="K354" i="8"/>
  <c r="J354" i="8"/>
  <c r="I354" i="8"/>
  <c r="H354" i="8"/>
  <c r="G354" i="8"/>
  <c r="E354" i="8"/>
  <c r="D354" i="8"/>
  <c r="C354" i="8"/>
  <c r="V353" i="8"/>
  <c r="U353" i="8"/>
  <c r="T353" i="8"/>
  <c r="S353" i="8"/>
  <c r="R353" i="8"/>
  <c r="P353" i="8"/>
  <c r="O353" i="8"/>
  <c r="M353" i="8"/>
  <c r="L353" i="8"/>
  <c r="K353" i="8"/>
  <c r="J353" i="8"/>
  <c r="I353" i="8"/>
  <c r="H353" i="8"/>
  <c r="G353" i="8"/>
  <c r="E353" i="8"/>
  <c r="D353" i="8"/>
  <c r="C353" i="8"/>
  <c r="V352" i="8"/>
  <c r="U352" i="8"/>
  <c r="T352" i="8"/>
  <c r="S352" i="8"/>
  <c r="R352" i="8"/>
  <c r="P352" i="8"/>
  <c r="O352" i="8"/>
  <c r="M352" i="8"/>
  <c r="L352" i="8"/>
  <c r="K352" i="8"/>
  <c r="J352" i="8"/>
  <c r="I352" i="8"/>
  <c r="H352" i="8"/>
  <c r="G352" i="8"/>
  <c r="E352" i="8"/>
  <c r="D352" i="8"/>
  <c r="C352" i="8"/>
  <c r="V351" i="8"/>
  <c r="U351" i="8"/>
  <c r="T351" i="8"/>
  <c r="S351" i="8"/>
  <c r="R351" i="8"/>
  <c r="P351" i="8"/>
  <c r="O351" i="8"/>
  <c r="M351" i="8"/>
  <c r="L351" i="8"/>
  <c r="K351" i="8"/>
  <c r="J351" i="8"/>
  <c r="I351" i="8"/>
  <c r="H351" i="8"/>
  <c r="G351" i="8"/>
  <c r="E351" i="8"/>
  <c r="D351" i="8"/>
  <c r="C351" i="8"/>
  <c r="V350" i="8"/>
  <c r="U350" i="8"/>
  <c r="T350" i="8"/>
  <c r="S350" i="8"/>
  <c r="R350" i="8"/>
  <c r="P350" i="8"/>
  <c r="O350" i="8"/>
  <c r="M350" i="8"/>
  <c r="L350" i="8"/>
  <c r="K350" i="8"/>
  <c r="J350" i="8"/>
  <c r="I350" i="8"/>
  <c r="H350" i="8"/>
  <c r="G350" i="8"/>
  <c r="E350" i="8"/>
  <c r="D350" i="8"/>
  <c r="C350" i="8"/>
  <c r="V349" i="8"/>
  <c r="U349" i="8"/>
  <c r="T349" i="8"/>
  <c r="S349" i="8"/>
  <c r="R349" i="8"/>
  <c r="P349" i="8"/>
  <c r="O349" i="8"/>
  <c r="M349" i="8"/>
  <c r="L349" i="8"/>
  <c r="K349" i="8"/>
  <c r="J349" i="8"/>
  <c r="I349" i="8"/>
  <c r="H349" i="8"/>
  <c r="G349" i="8"/>
  <c r="E349" i="8"/>
  <c r="D349" i="8"/>
  <c r="C349" i="8"/>
  <c r="V348" i="8"/>
  <c r="U348" i="8"/>
  <c r="T348" i="8"/>
  <c r="S348" i="8"/>
  <c r="R348" i="8"/>
  <c r="P348" i="8"/>
  <c r="O348" i="8"/>
  <c r="M348" i="8"/>
  <c r="L348" i="8"/>
  <c r="K348" i="8"/>
  <c r="J348" i="8"/>
  <c r="I348" i="8"/>
  <c r="H348" i="8"/>
  <c r="G348" i="8"/>
  <c r="E348" i="8"/>
  <c r="D348" i="8"/>
  <c r="C348" i="8"/>
  <c r="V347" i="8"/>
  <c r="U347" i="8"/>
  <c r="T347" i="8"/>
  <c r="S347" i="8"/>
  <c r="R347" i="8"/>
  <c r="P347" i="8"/>
  <c r="O347" i="8"/>
  <c r="M347" i="8"/>
  <c r="L347" i="8"/>
  <c r="K347" i="8"/>
  <c r="J347" i="8"/>
  <c r="I347" i="8"/>
  <c r="H347" i="8"/>
  <c r="G347" i="8"/>
  <c r="E347" i="8"/>
  <c r="D347" i="8"/>
  <c r="C347" i="8"/>
  <c r="V346" i="8"/>
  <c r="U346" i="8"/>
  <c r="T346" i="8"/>
  <c r="S346" i="8"/>
  <c r="R346" i="8"/>
  <c r="P346" i="8"/>
  <c r="O346" i="8"/>
  <c r="M346" i="8"/>
  <c r="L346" i="8"/>
  <c r="K346" i="8"/>
  <c r="J346" i="8"/>
  <c r="I346" i="8"/>
  <c r="H346" i="8"/>
  <c r="G346" i="8"/>
  <c r="E346" i="8"/>
  <c r="D346" i="8"/>
  <c r="C346" i="8"/>
  <c r="V345" i="8"/>
  <c r="U345" i="8"/>
  <c r="T345" i="8"/>
  <c r="S345" i="8"/>
  <c r="R345" i="8"/>
  <c r="P345" i="8"/>
  <c r="O345" i="8"/>
  <c r="M345" i="8"/>
  <c r="L345" i="8"/>
  <c r="K345" i="8"/>
  <c r="J345" i="8"/>
  <c r="I345" i="8"/>
  <c r="H345" i="8"/>
  <c r="G345" i="8"/>
  <c r="E345" i="8"/>
  <c r="D345" i="8"/>
  <c r="C345" i="8"/>
  <c r="V344" i="8"/>
  <c r="U344" i="8"/>
  <c r="T344" i="8"/>
  <c r="S344" i="8"/>
  <c r="R344" i="8"/>
  <c r="P344" i="8"/>
  <c r="O344" i="8"/>
  <c r="M344" i="8"/>
  <c r="L344" i="8"/>
  <c r="K344" i="8"/>
  <c r="J344" i="8"/>
  <c r="I344" i="8"/>
  <c r="H344" i="8"/>
  <c r="G344" i="8"/>
  <c r="E344" i="8"/>
  <c r="D344" i="8"/>
  <c r="C344" i="8"/>
  <c r="V343" i="8"/>
  <c r="U343" i="8"/>
  <c r="T343" i="8"/>
  <c r="S343" i="8"/>
  <c r="R343" i="8"/>
  <c r="P343" i="8"/>
  <c r="O343" i="8"/>
  <c r="M343" i="8"/>
  <c r="L343" i="8"/>
  <c r="K343" i="8"/>
  <c r="J343" i="8"/>
  <c r="I343" i="8"/>
  <c r="H343" i="8"/>
  <c r="G343" i="8"/>
  <c r="E343" i="8"/>
  <c r="D343" i="8"/>
  <c r="C343" i="8"/>
  <c r="V342" i="8"/>
  <c r="U342" i="8"/>
  <c r="T342" i="8"/>
  <c r="S342" i="8"/>
  <c r="R342" i="8"/>
  <c r="P342" i="8"/>
  <c r="O342" i="8"/>
  <c r="M342" i="8"/>
  <c r="L342" i="8"/>
  <c r="K342" i="8"/>
  <c r="J342" i="8"/>
  <c r="I342" i="8"/>
  <c r="H342" i="8"/>
  <c r="G342" i="8"/>
  <c r="E342" i="8"/>
  <c r="D342" i="8"/>
  <c r="C342" i="8"/>
  <c r="V341" i="8"/>
  <c r="U341" i="8"/>
  <c r="T341" i="8"/>
  <c r="S341" i="8"/>
  <c r="R341" i="8"/>
  <c r="P341" i="8"/>
  <c r="O341" i="8"/>
  <c r="M341" i="8"/>
  <c r="L341" i="8"/>
  <c r="K341" i="8"/>
  <c r="J341" i="8"/>
  <c r="I341" i="8"/>
  <c r="H341" i="8"/>
  <c r="G341" i="8"/>
  <c r="E341" i="8"/>
  <c r="D341" i="8"/>
  <c r="C341" i="8"/>
  <c r="V340" i="8"/>
  <c r="U340" i="8"/>
  <c r="T340" i="8"/>
  <c r="S340" i="8"/>
  <c r="R340" i="8"/>
  <c r="P340" i="8"/>
  <c r="O340" i="8"/>
  <c r="M340" i="8"/>
  <c r="L340" i="8"/>
  <c r="K340" i="8"/>
  <c r="J340" i="8"/>
  <c r="I340" i="8"/>
  <c r="H340" i="8"/>
  <c r="G340" i="8"/>
  <c r="E340" i="8"/>
  <c r="D340" i="8"/>
  <c r="C340" i="8"/>
  <c r="V339" i="8"/>
  <c r="U339" i="8"/>
  <c r="T339" i="8"/>
  <c r="S339" i="8"/>
  <c r="R339" i="8"/>
  <c r="P339" i="8"/>
  <c r="O339" i="8"/>
  <c r="M339" i="8"/>
  <c r="L339" i="8"/>
  <c r="K339" i="8"/>
  <c r="J339" i="8"/>
  <c r="I339" i="8"/>
  <c r="H339" i="8"/>
  <c r="G339" i="8"/>
  <c r="E339" i="8"/>
  <c r="D339" i="8"/>
  <c r="C339" i="8"/>
  <c r="V338" i="8"/>
  <c r="U338" i="8"/>
  <c r="T338" i="8"/>
  <c r="S338" i="8"/>
  <c r="R338" i="8"/>
  <c r="P338" i="8"/>
  <c r="O338" i="8"/>
  <c r="M338" i="8"/>
  <c r="L338" i="8"/>
  <c r="K338" i="8"/>
  <c r="J338" i="8"/>
  <c r="I338" i="8"/>
  <c r="H338" i="8"/>
  <c r="G338" i="8"/>
  <c r="E338" i="8"/>
  <c r="D338" i="8"/>
  <c r="C338" i="8"/>
  <c r="V337" i="8"/>
  <c r="U337" i="8"/>
  <c r="T337" i="8"/>
  <c r="S337" i="8"/>
  <c r="R337" i="8"/>
  <c r="P337" i="8"/>
  <c r="O337" i="8"/>
  <c r="M337" i="8"/>
  <c r="L337" i="8"/>
  <c r="K337" i="8"/>
  <c r="J337" i="8"/>
  <c r="I337" i="8"/>
  <c r="H337" i="8"/>
  <c r="G337" i="8"/>
  <c r="E337" i="8"/>
  <c r="D337" i="8"/>
  <c r="C337" i="8"/>
  <c r="V336" i="8"/>
  <c r="U336" i="8"/>
  <c r="T336" i="8"/>
  <c r="S336" i="8"/>
  <c r="R336" i="8"/>
  <c r="P336" i="8"/>
  <c r="O336" i="8"/>
  <c r="M336" i="8"/>
  <c r="L336" i="8"/>
  <c r="K336" i="8"/>
  <c r="J336" i="8"/>
  <c r="I336" i="8"/>
  <c r="H336" i="8"/>
  <c r="G336" i="8"/>
  <c r="E336" i="8"/>
  <c r="D336" i="8"/>
  <c r="C336" i="8"/>
  <c r="V335" i="8"/>
  <c r="U335" i="8"/>
  <c r="T335" i="8"/>
  <c r="S335" i="8"/>
  <c r="R335" i="8"/>
  <c r="P335" i="8"/>
  <c r="O335" i="8"/>
  <c r="M335" i="8"/>
  <c r="L335" i="8"/>
  <c r="K335" i="8"/>
  <c r="J335" i="8"/>
  <c r="I335" i="8"/>
  <c r="H335" i="8"/>
  <c r="G335" i="8"/>
  <c r="E335" i="8"/>
  <c r="D335" i="8"/>
  <c r="C335" i="8"/>
  <c r="V334" i="8"/>
  <c r="U334" i="8"/>
  <c r="T334" i="8"/>
  <c r="S334" i="8"/>
  <c r="R334" i="8"/>
  <c r="P334" i="8"/>
  <c r="O334" i="8"/>
  <c r="M334" i="8"/>
  <c r="L334" i="8"/>
  <c r="K334" i="8"/>
  <c r="J334" i="8"/>
  <c r="I334" i="8"/>
  <c r="H334" i="8"/>
  <c r="G334" i="8"/>
  <c r="E334" i="8"/>
  <c r="D334" i="8"/>
  <c r="C334" i="8"/>
  <c r="V333" i="8"/>
  <c r="U333" i="8"/>
  <c r="T333" i="8"/>
  <c r="S333" i="8"/>
  <c r="R333" i="8"/>
  <c r="P333" i="8"/>
  <c r="O333" i="8"/>
  <c r="M333" i="8"/>
  <c r="L333" i="8"/>
  <c r="K333" i="8"/>
  <c r="J333" i="8"/>
  <c r="I333" i="8"/>
  <c r="H333" i="8"/>
  <c r="G333" i="8"/>
  <c r="E333" i="8"/>
  <c r="D333" i="8"/>
  <c r="C333" i="8"/>
  <c r="V332" i="8"/>
  <c r="U332" i="8"/>
  <c r="T332" i="8"/>
  <c r="S332" i="8"/>
  <c r="R332" i="8"/>
  <c r="P332" i="8"/>
  <c r="O332" i="8"/>
  <c r="M332" i="8"/>
  <c r="L332" i="8"/>
  <c r="K332" i="8"/>
  <c r="J332" i="8"/>
  <c r="I332" i="8"/>
  <c r="H332" i="8"/>
  <c r="G332" i="8"/>
  <c r="E332" i="8"/>
  <c r="D332" i="8"/>
  <c r="C332" i="8"/>
  <c r="V331" i="8"/>
  <c r="U331" i="8"/>
  <c r="T331" i="8"/>
  <c r="S331" i="8"/>
  <c r="R331" i="8"/>
  <c r="P331" i="8"/>
  <c r="O331" i="8"/>
  <c r="M331" i="8"/>
  <c r="L331" i="8"/>
  <c r="K331" i="8"/>
  <c r="J331" i="8"/>
  <c r="I331" i="8"/>
  <c r="H331" i="8"/>
  <c r="G331" i="8"/>
  <c r="E331" i="8"/>
  <c r="D331" i="8"/>
  <c r="C331" i="8"/>
  <c r="V330" i="8"/>
  <c r="U330" i="8"/>
  <c r="T330" i="8"/>
  <c r="S330" i="8"/>
  <c r="R330" i="8"/>
  <c r="P330" i="8"/>
  <c r="O330" i="8"/>
  <c r="M330" i="8"/>
  <c r="L330" i="8"/>
  <c r="K330" i="8"/>
  <c r="J330" i="8"/>
  <c r="I330" i="8"/>
  <c r="H330" i="8"/>
  <c r="G330" i="8"/>
  <c r="E330" i="8"/>
  <c r="D330" i="8"/>
  <c r="C330" i="8"/>
  <c r="V329" i="8"/>
  <c r="U329" i="8"/>
  <c r="T329" i="8"/>
  <c r="S329" i="8"/>
  <c r="R329" i="8"/>
  <c r="P329" i="8"/>
  <c r="O329" i="8"/>
  <c r="M329" i="8"/>
  <c r="L329" i="8"/>
  <c r="K329" i="8"/>
  <c r="J329" i="8"/>
  <c r="I329" i="8"/>
  <c r="H329" i="8"/>
  <c r="G329" i="8"/>
  <c r="E329" i="8"/>
  <c r="D329" i="8"/>
  <c r="C329" i="8"/>
  <c r="V328" i="8"/>
  <c r="U328" i="8"/>
  <c r="T328" i="8"/>
  <c r="S328" i="8"/>
  <c r="R328" i="8"/>
  <c r="P328" i="8"/>
  <c r="O328" i="8"/>
  <c r="M328" i="8"/>
  <c r="L328" i="8"/>
  <c r="K328" i="8"/>
  <c r="J328" i="8"/>
  <c r="I328" i="8"/>
  <c r="H328" i="8"/>
  <c r="G328" i="8"/>
  <c r="E328" i="8"/>
  <c r="D328" i="8"/>
  <c r="C328" i="8"/>
  <c r="V327" i="8"/>
  <c r="U327" i="8"/>
  <c r="T327" i="8"/>
  <c r="S327" i="8"/>
  <c r="R327" i="8"/>
  <c r="P327" i="8"/>
  <c r="O327" i="8"/>
  <c r="M327" i="8"/>
  <c r="L327" i="8"/>
  <c r="K327" i="8"/>
  <c r="J327" i="8"/>
  <c r="I327" i="8"/>
  <c r="H327" i="8"/>
  <c r="G327" i="8"/>
  <c r="E327" i="8"/>
  <c r="D327" i="8"/>
  <c r="C327" i="8"/>
  <c r="V326" i="8"/>
  <c r="U326" i="8"/>
  <c r="T326" i="8"/>
  <c r="S326" i="8"/>
  <c r="R326" i="8"/>
  <c r="P326" i="8"/>
  <c r="O326" i="8"/>
  <c r="M326" i="8"/>
  <c r="L326" i="8"/>
  <c r="K326" i="8"/>
  <c r="J326" i="8"/>
  <c r="I326" i="8"/>
  <c r="H326" i="8"/>
  <c r="G326" i="8"/>
  <c r="E326" i="8"/>
  <c r="D326" i="8"/>
  <c r="C326" i="8"/>
  <c r="V325" i="8"/>
  <c r="U325" i="8"/>
  <c r="T325" i="8"/>
  <c r="S325" i="8"/>
  <c r="R325" i="8"/>
  <c r="P325" i="8"/>
  <c r="O325" i="8"/>
  <c r="M325" i="8"/>
  <c r="L325" i="8"/>
  <c r="K325" i="8"/>
  <c r="J325" i="8"/>
  <c r="I325" i="8"/>
  <c r="H325" i="8"/>
  <c r="G325" i="8"/>
  <c r="E325" i="8"/>
  <c r="D325" i="8"/>
  <c r="C325" i="8"/>
  <c r="V324" i="8"/>
  <c r="U324" i="8"/>
  <c r="T324" i="8"/>
  <c r="S324" i="8"/>
  <c r="R324" i="8"/>
  <c r="P324" i="8"/>
  <c r="O324" i="8"/>
  <c r="M324" i="8"/>
  <c r="L324" i="8"/>
  <c r="K324" i="8"/>
  <c r="J324" i="8"/>
  <c r="I324" i="8"/>
  <c r="H324" i="8"/>
  <c r="G324" i="8"/>
  <c r="E324" i="8"/>
  <c r="D324" i="8"/>
  <c r="C324" i="8"/>
  <c r="V323" i="8"/>
  <c r="U323" i="8"/>
  <c r="T323" i="8"/>
  <c r="S323" i="8"/>
  <c r="R323" i="8"/>
  <c r="P323" i="8"/>
  <c r="O323" i="8"/>
  <c r="M323" i="8"/>
  <c r="L323" i="8"/>
  <c r="K323" i="8"/>
  <c r="J323" i="8"/>
  <c r="I323" i="8"/>
  <c r="H323" i="8"/>
  <c r="G323" i="8"/>
  <c r="E323" i="8"/>
  <c r="D323" i="8"/>
  <c r="C323" i="8"/>
  <c r="V322" i="8"/>
  <c r="U322" i="8"/>
  <c r="T322" i="8"/>
  <c r="S322" i="8"/>
  <c r="R322" i="8"/>
  <c r="P322" i="8"/>
  <c r="O322" i="8"/>
  <c r="M322" i="8"/>
  <c r="L322" i="8"/>
  <c r="K322" i="8"/>
  <c r="J322" i="8"/>
  <c r="I322" i="8"/>
  <c r="H322" i="8"/>
  <c r="G322" i="8"/>
  <c r="E322" i="8"/>
  <c r="D322" i="8"/>
  <c r="C322" i="8"/>
  <c r="V321" i="8"/>
  <c r="U321" i="8"/>
  <c r="T321" i="8"/>
  <c r="S321" i="8"/>
  <c r="R321" i="8"/>
  <c r="P321" i="8"/>
  <c r="O321" i="8"/>
  <c r="M321" i="8"/>
  <c r="L321" i="8"/>
  <c r="K321" i="8"/>
  <c r="J321" i="8"/>
  <c r="I321" i="8"/>
  <c r="H321" i="8"/>
  <c r="G321" i="8"/>
  <c r="E321" i="8"/>
  <c r="D321" i="8"/>
  <c r="C321" i="8"/>
  <c r="V320" i="8"/>
  <c r="U320" i="8"/>
  <c r="T320" i="8"/>
  <c r="S320" i="8"/>
  <c r="R320" i="8"/>
  <c r="P320" i="8"/>
  <c r="O320" i="8"/>
  <c r="M320" i="8"/>
  <c r="L320" i="8"/>
  <c r="K320" i="8"/>
  <c r="J320" i="8"/>
  <c r="I320" i="8"/>
  <c r="H320" i="8"/>
  <c r="G320" i="8"/>
  <c r="E320" i="8"/>
  <c r="D320" i="8"/>
  <c r="C320" i="8"/>
  <c r="V319" i="8"/>
  <c r="U319" i="8"/>
  <c r="T319" i="8"/>
  <c r="S319" i="8"/>
  <c r="R319" i="8"/>
  <c r="P319" i="8"/>
  <c r="O319" i="8"/>
  <c r="M319" i="8"/>
  <c r="L319" i="8"/>
  <c r="K319" i="8"/>
  <c r="J319" i="8"/>
  <c r="I319" i="8"/>
  <c r="H319" i="8"/>
  <c r="G319" i="8"/>
  <c r="E319" i="8"/>
  <c r="D319" i="8"/>
  <c r="C319" i="8"/>
  <c r="V318" i="8"/>
  <c r="U318" i="8"/>
  <c r="T318" i="8"/>
  <c r="S318" i="8"/>
  <c r="R318" i="8"/>
  <c r="P318" i="8"/>
  <c r="O318" i="8"/>
  <c r="M318" i="8"/>
  <c r="L318" i="8"/>
  <c r="K318" i="8"/>
  <c r="J318" i="8"/>
  <c r="I318" i="8"/>
  <c r="H318" i="8"/>
  <c r="G318" i="8"/>
  <c r="E318" i="8"/>
  <c r="D318" i="8"/>
  <c r="C318" i="8"/>
  <c r="V317" i="8"/>
  <c r="U317" i="8"/>
  <c r="T317" i="8"/>
  <c r="S317" i="8"/>
  <c r="R317" i="8"/>
  <c r="P317" i="8"/>
  <c r="O317" i="8"/>
  <c r="M317" i="8"/>
  <c r="L317" i="8"/>
  <c r="K317" i="8"/>
  <c r="J317" i="8"/>
  <c r="I317" i="8"/>
  <c r="H317" i="8"/>
  <c r="G317" i="8"/>
  <c r="E317" i="8"/>
  <c r="D317" i="8"/>
  <c r="C317" i="8"/>
  <c r="V316" i="8"/>
  <c r="U316" i="8"/>
  <c r="T316" i="8"/>
  <c r="S316" i="8"/>
  <c r="R316" i="8"/>
  <c r="P316" i="8"/>
  <c r="O316" i="8"/>
  <c r="M316" i="8"/>
  <c r="L316" i="8"/>
  <c r="K316" i="8"/>
  <c r="J316" i="8"/>
  <c r="I316" i="8"/>
  <c r="H316" i="8"/>
  <c r="G316" i="8"/>
  <c r="E316" i="8"/>
  <c r="D316" i="8"/>
  <c r="C316" i="8"/>
  <c r="V315" i="8"/>
  <c r="U315" i="8"/>
  <c r="T315" i="8"/>
  <c r="S315" i="8"/>
  <c r="R315" i="8"/>
  <c r="P315" i="8"/>
  <c r="O315" i="8"/>
  <c r="M315" i="8"/>
  <c r="L315" i="8"/>
  <c r="K315" i="8"/>
  <c r="J315" i="8"/>
  <c r="I315" i="8"/>
  <c r="H315" i="8"/>
  <c r="G315" i="8"/>
  <c r="E315" i="8"/>
  <c r="D315" i="8"/>
  <c r="C315" i="8"/>
  <c r="V314" i="8"/>
  <c r="U314" i="8"/>
  <c r="T314" i="8"/>
  <c r="S314" i="8"/>
  <c r="R314" i="8"/>
  <c r="P314" i="8"/>
  <c r="O314" i="8"/>
  <c r="M314" i="8"/>
  <c r="L314" i="8"/>
  <c r="K314" i="8"/>
  <c r="J314" i="8"/>
  <c r="I314" i="8"/>
  <c r="H314" i="8"/>
  <c r="G314" i="8"/>
  <c r="E314" i="8"/>
  <c r="D314" i="8"/>
  <c r="C314" i="8"/>
  <c r="V313" i="8"/>
  <c r="U313" i="8"/>
  <c r="T313" i="8"/>
  <c r="S313" i="8"/>
  <c r="R313" i="8"/>
  <c r="P313" i="8"/>
  <c r="O313" i="8"/>
  <c r="M313" i="8"/>
  <c r="L313" i="8"/>
  <c r="K313" i="8"/>
  <c r="J313" i="8"/>
  <c r="I313" i="8"/>
  <c r="H313" i="8"/>
  <c r="G313" i="8"/>
  <c r="E313" i="8"/>
  <c r="D313" i="8"/>
  <c r="C313" i="8"/>
  <c r="V312" i="8"/>
  <c r="U312" i="8"/>
  <c r="T312" i="8"/>
  <c r="S312" i="8"/>
  <c r="R312" i="8"/>
  <c r="P312" i="8"/>
  <c r="O312" i="8"/>
  <c r="M312" i="8"/>
  <c r="L312" i="8"/>
  <c r="K312" i="8"/>
  <c r="J312" i="8"/>
  <c r="I312" i="8"/>
  <c r="H312" i="8"/>
  <c r="G312" i="8"/>
  <c r="E312" i="8"/>
  <c r="D312" i="8"/>
  <c r="C312" i="8"/>
  <c r="V311" i="8"/>
  <c r="U311" i="8"/>
  <c r="T311" i="8"/>
  <c r="S311" i="8"/>
  <c r="R311" i="8"/>
  <c r="P311" i="8"/>
  <c r="O311" i="8"/>
  <c r="M311" i="8"/>
  <c r="L311" i="8"/>
  <c r="K311" i="8"/>
  <c r="J311" i="8"/>
  <c r="I311" i="8"/>
  <c r="H311" i="8"/>
  <c r="G311" i="8"/>
  <c r="E311" i="8"/>
  <c r="D311" i="8"/>
  <c r="C311" i="8"/>
  <c r="V310" i="8"/>
  <c r="U310" i="8"/>
  <c r="T310" i="8"/>
  <c r="S310" i="8"/>
  <c r="R310" i="8"/>
  <c r="P310" i="8"/>
  <c r="O310" i="8"/>
  <c r="M310" i="8"/>
  <c r="L310" i="8"/>
  <c r="K310" i="8"/>
  <c r="J310" i="8"/>
  <c r="I310" i="8"/>
  <c r="H310" i="8"/>
  <c r="G310" i="8"/>
  <c r="E310" i="8"/>
  <c r="D310" i="8"/>
  <c r="C310" i="8"/>
  <c r="V309" i="8"/>
  <c r="U309" i="8"/>
  <c r="T309" i="8"/>
  <c r="S309" i="8"/>
  <c r="R309" i="8"/>
  <c r="P309" i="8"/>
  <c r="O309" i="8"/>
  <c r="M309" i="8"/>
  <c r="L309" i="8"/>
  <c r="K309" i="8"/>
  <c r="J309" i="8"/>
  <c r="I309" i="8"/>
  <c r="H309" i="8"/>
  <c r="G309" i="8"/>
  <c r="E309" i="8"/>
  <c r="D309" i="8"/>
  <c r="C309" i="8"/>
  <c r="V308" i="8"/>
  <c r="U308" i="8"/>
  <c r="T308" i="8"/>
  <c r="S308" i="8"/>
  <c r="R308" i="8"/>
  <c r="P308" i="8"/>
  <c r="O308" i="8"/>
  <c r="M308" i="8"/>
  <c r="L308" i="8"/>
  <c r="K308" i="8"/>
  <c r="J308" i="8"/>
  <c r="I308" i="8"/>
  <c r="H308" i="8"/>
  <c r="G308" i="8"/>
  <c r="E308" i="8"/>
  <c r="D308" i="8"/>
  <c r="C308" i="8"/>
  <c r="V307" i="8"/>
  <c r="U307" i="8"/>
  <c r="T307" i="8"/>
  <c r="S307" i="8"/>
  <c r="R307" i="8"/>
  <c r="P307" i="8"/>
  <c r="O307" i="8"/>
  <c r="M307" i="8"/>
  <c r="L307" i="8"/>
  <c r="K307" i="8"/>
  <c r="J307" i="8"/>
  <c r="I307" i="8"/>
  <c r="H307" i="8"/>
  <c r="G307" i="8"/>
  <c r="E307" i="8"/>
  <c r="D307" i="8"/>
  <c r="C307" i="8"/>
  <c r="V306" i="8"/>
  <c r="U306" i="8"/>
  <c r="T306" i="8"/>
  <c r="S306" i="8"/>
  <c r="R306" i="8"/>
  <c r="P306" i="8"/>
  <c r="O306" i="8"/>
  <c r="M306" i="8"/>
  <c r="L306" i="8"/>
  <c r="K306" i="8"/>
  <c r="J306" i="8"/>
  <c r="I306" i="8"/>
  <c r="H306" i="8"/>
  <c r="G306" i="8"/>
  <c r="E306" i="8"/>
  <c r="D306" i="8"/>
  <c r="C306" i="8"/>
  <c r="V305" i="8"/>
  <c r="U305" i="8"/>
  <c r="T305" i="8"/>
  <c r="S305" i="8"/>
  <c r="R305" i="8"/>
  <c r="P305" i="8"/>
  <c r="O305" i="8"/>
  <c r="M305" i="8"/>
  <c r="L305" i="8"/>
  <c r="K305" i="8"/>
  <c r="J305" i="8"/>
  <c r="I305" i="8"/>
  <c r="H305" i="8"/>
  <c r="G305" i="8"/>
  <c r="E305" i="8"/>
  <c r="D305" i="8"/>
  <c r="C305" i="8"/>
  <c r="V304" i="8"/>
  <c r="U304" i="8"/>
  <c r="T304" i="8"/>
  <c r="S304" i="8"/>
  <c r="R304" i="8"/>
  <c r="P304" i="8"/>
  <c r="O304" i="8"/>
  <c r="M304" i="8"/>
  <c r="L304" i="8"/>
  <c r="K304" i="8"/>
  <c r="J304" i="8"/>
  <c r="I304" i="8"/>
  <c r="H304" i="8"/>
  <c r="G304" i="8"/>
  <c r="E304" i="8"/>
  <c r="D304" i="8"/>
  <c r="C304" i="8"/>
  <c r="V303" i="8"/>
  <c r="U303" i="8"/>
  <c r="T303" i="8"/>
  <c r="S303" i="8"/>
  <c r="R303" i="8"/>
  <c r="P303" i="8"/>
  <c r="O303" i="8"/>
  <c r="M303" i="8"/>
  <c r="L303" i="8"/>
  <c r="K303" i="8"/>
  <c r="J303" i="8"/>
  <c r="I303" i="8"/>
  <c r="H303" i="8"/>
  <c r="G303" i="8"/>
  <c r="E303" i="8"/>
  <c r="D303" i="8"/>
  <c r="C303" i="8"/>
  <c r="V302" i="8"/>
  <c r="U302" i="8"/>
  <c r="T302" i="8"/>
  <c r="S302" i="8"/>
  <c r="R302" i="8"/>
  <c r="P302" i="8"/>
  <c r="O302" i="8"/>
  <c r="M302" i="8"/>
  <c r="L302" i="8"/>
  <c r="K302" i="8"/>
  <c r="J302" i="8"/>
  <c r="I302" i="8"/>
  <c r="H302" i="8"/>
  <c r="G302" i="8"/>
  <c r="E302" i="8"/>
  <c r="D302" i="8"/>
  <c r="C302" i="8"/>
  <c r="V301" i="8"/>
  <c r="U301" i="8"/>
  <c r="T301" i="8"/>
  <c r="S301" i="8"/>
  <c r="R301" i="8"/>
  <c r="P301" i="8"/>
  <c r="O301" i="8"/>
  <c r="M301" i="8"/>
  <c r="L301" i="8"/>
  <c r="K301" i="8"/>
  <c r="J301" i="8"/>
  <c r="I301" i="8"/>
  <c r="H301" i="8"/>
  <c r="G301" i="8"/>
  <c r="E301" i="8"/>
  <c r="D301" i="8"/>
  <c r="C301" i="8"/>
  <c r="V300" i="8"/>
  <c r="U300" i="8"/>
  <c r="T300" i="8"/>
  <c r="S300" i="8"/>
  <c r="R300" i="8"/>
  <c r="P300" i="8"/>
  <c r="O300" i="8"/>
  <c r="M300" i="8"/>
  <c r="L300" i="8"/>
  <c r="K300" i="8"/>
  <c r="J300" i="8"/>
  <c r="I300" i="8"/>
  <c r="H300" i="8"/>
  <c r="G300" i="8"/>
  <c r="E300" i="8"/>
  <c r="D300" i="8"/>
  <c r="C300" i="8"/>
  <c r="V299" i="8"/>
  <c r="U299" i="8"/>
  <c r="T299" i="8"/>
  <c r="S299" i="8"/>
  <c r="R299" i="8"/>
  <c r="P299" i="8"/>
  <c r="O299" i="8"/>
  <c r="M299" i="8"/>
  <c r="L299" i="8"/>
  <c r="K299" i="8"/>
  <c r="J299" i="8"/>
  <c r="I299" i="8"/>
  <c r="H299" i="8"/>
  <c r="G299" i="8"/>
  <c r="E299" i="8"/>
  <c r="D299" i="8"/>
  <c r="C299" i="8"/>
  <c r="V298" i="8"/>
  <c r="U298" i="8"/>
  <c r="T298" i="8"/>
  <c r="S298" i="8"/>
  <c r="R298" i="8"/>
  <c r="P298" i="8"/>
  <c r="O298" i="8"/>
  <c r="M298" i="8"/>
  <c r="L298" i="8"/>
  <c r="K298" i="8"/>
  <c r="J298" i="8"/>
  <c r="I298" i="8"/>
  <c r="H298" i="8"/>
  <c r="G298" i="8"/>
  <c r="E298" i="8"/>
  <c r="D298" i="8"/>
  <c r="C298" i="8"/>
  <c r="V297" i="8"/>
  <c r="U297" i="8"/>
  <c r="T297" i="8"/>
  <c r="S297" i="8"/>
  <c r="R297" i="8"/>
  <c r="P297" i="8"/>
  <c r="O297" i="8"/>
  <c r="M297" i="8"/>
  <c r="L297" i="8"/>
  <c r="K297" i="8"/>
  <c r="J297" i="8"/>
  <c r="I297" i="8"/>
  <c r="H297" i="8"/>
  <c r="G297" i="8"/>
  <c r="E297" i="8"/>
  <c r="D297" i="8"/>
  <c r="C297" i="8"/>
  <c r="V296" i="8"/>
  <c r="U296" i="8"/>
  <c r="T296" i="8"/>
  <c r="S296" i="8"/>
  <c r="R296" i="8"/>
  <c r="P296" i="8"/>
  <c r="O296" i="8"/>
  <c r="M296" i="8"/>
  <c r="L296" i="8"/>
  <c r="K296" i="8"/>
  <c r="J296" i="8"/>
  <c r="I296" i="8"/>
  <c r="H296" i="8"/>
  <c r="G296" i="8"/>
  <c r="E296" i="8"/>
  <c r="D296" i="8"/>
  <c r="C296" i="8"/>
  <c r="V295" i="8"/>
  <c r="U295" i="8"/>
  <c r="T295" i="8"/>
  <c r="S295" i="8"/>
  <c r="R295" i="8"/>
  <c r="P295" i="8"/>
  <c r="O295" i="8"/>
  <c r="M295" i="8"/>
  <c r="L295" i="8"/>
  <c r="K295" i="8"/>
  <c r="J295" i="8"/>
  <c r="I295" i="8"/>
  <c r="H295" i="8"/>
  <c r="G295" i="8"/>
  <c r="E295" i="8"/>
  <c r="D295" i="8"/>
  <c r="C295" i="8"/>
  <c r="V294" i="8"/>
  <c r="U294" i="8"/>
  <c r="T294" i="8"/>
  <c r="S294" i="8"/>
  <c r="R294" i="8"/>
  <c r="P294" i="8"/>
  <c r="O294" i="8"/>
  <c r="M294" i="8"/>
  <c r="L294" i="8"/>
  <c r="K294" i="8"/>
  <c r="J294" i="8"/>
  <c r="I294" i="8"/>
  <c r="H294" i="8"/>
  <c r="G294" i="8"/>
  <c r="E294" i="8"/>
  <c r="D294" i="8"/>
  <c r="C294" i="8"/>
  <c r="V293" i="8"/>
  <c r="U293" i="8"/>
  <c r="T293" i="8"/>
  <c r="S293" i="8"/>
  <c r="R293" i="8"/>
  <c r="P293" i="8"/>
  <c r="O293" i="8"/>
  <c r="M293" i="8"/>
  <c r="L293" i="8"/>
  <c r="K293" i="8"/>
  <c r="J293" i="8"/>
  <c r="I293" i="8"/>
  <c r="H293" i="8"/>
  <c r="G293" i="8"/>
  <c r="E293" i="8"/>
  <c r="D293" i="8"/>
  <c r="C293" i="8"/>
  <c r="V292" i="8"/>
  <c r="U292" i="8"/>
  <c r="T292" i="8"/>
  <c r="S292" i="8"/>
  <c r="R292" i="8"/>
  <c r="P292" i="8"/>
  <c r="O292" i="8"/>
  <c r="M292" i="8"/>
  <c r="L292" i="8"/>
  <c r="K292" i="8"/>
  <c r="J292" i="8"/>
  <c r="I292" i="8"/>
  <c r="H292" i="8"/>
  <c r="G292" i="8"/>
  <c r="E292" i="8"/>
  <c r="D292" i="8"/>
  <c r="C292" i="8"/>
  <c r="V291" i="8"/>
  <c r="U291" i="8"/>
  <c r="T291" i="8"/>
  <c r="S291" i="8"/>
  <c r="R291" i="8"/>
  <c r="P291" i="8"/>
  <c r="O291" i="8"/>
  <c r="M291" i="8"/>
  <c r="L291" i="8"/>
  <c r="K291" i="8"/>
  <c r="J291" i="8"/>
  <c r="I291" i="8"/>
  <c r="H291" i="8"/>
  <c r="G291" i="8"/>
  <c r="E291" i="8"/>
  <c r="D291" i="8"/>
  <c r="C291" i="8"/>
  <c r="V290" i="8"/>
  <c r="U290" i="8"/>
  <c r="T290" i="8"/>
  <c r="S290" i="8"/>
  <c r="R290" i="8"/>
  <c r="P290" i="8"/>
  <c r="O290" i="8"/>
  <c r="M290" i="8"/>
  <c r="L290" i="8"/>
  <c r="K290" i="8"/>
  <c r="J290" i="8"/>
  <c r="I290" i="8"/>
  <c r="H290" i="8"/>
  <c r="G290" i="8"/>
  <c r="E290" i="8"/>
  <c r="D290" i="8"/>
  <c r="C290" i="8"/>
  <c r="V289" i="8"/>
  <c r="U289" i="8"/>
  <c r="T289" i="8"/>
  <c r="S289" i="8"/>
  <c r="R289" i="8"/>
  <c r="P289" i="8"/>
  <c r="O289" i="8"/>
  <c r="M289" i="8"/>
  <c r="L289" i="8"/>
  <c r="K289" i="8"/>
  <c r="J289" i="8"/>
  <c r="I289" i="8"/>
  <c r="H289" i="8"/>
  <c r="G289" i="8"/>
  <c r="E289" i="8"/>
  <c r="D289" i="8"/>
  <c r="C289" i="8"/>
  <c r="V288" i="8"/>
  <c r="U288" i="8"/>
  <c r="T288" i="8"/>
  <c r="S288" i="8"/>
  <c r="R288" i="8"/>
  <c r="P288" i="8"/>
  <c r="O288" i="8"/>
  <c r="M288" i="8"/>
  <c r="L288" i="8"/>
  <c r="K288" i="8"/>
  <c r="J288" i="8"/>
  <c r="I288" i="8"/>
  <c r="H288" i="8"/>
  <c r="G288" i="8"/>
  <c r="E288" i="8"/>
  <c r="D288" i="8"/>
  <c r="C288" i="8"/>
  <c r="V287" i="8"/>
  <c r="U287" i="8"/>
  <c r="T287" i="8"/>
  <c r="S287" i="8"/>
  <c r="R287" i="8"/>
  <c r="P287" i="8"/>
  <c r="O287" i="8"/>
  <c r="M287" i="8"/>
  <c r="L287" i="8"/>
  <c r="K287" i="8"/>
  <c r="J287" i="8"/>
  <c r="I287" i="8"/>
  <c r="H287" i="8"/>
  <c r="G287" i="8"/>
  <c r="E287" i="8"/>
  <c r="D287" i="8"/>
  <c r="C287" i="8"/>
  <c r="V286" i="8"/>
  <c r="U286" i="8"/>
  <c r="T286" i="8"/>
  <c r="S286" i="8"/>
  <c r="R286" i="8"/>
  <c r="P286" i="8"/>
  <c r="O286" i="8"/>
  <c r="M286" i="8"/>
  <c r="L286" i="8"/>
  <c r="K286" i="8"/>
  <c r="J286" i="8"/>
  <c r="I286" i="8"/>
  <c r="H286" i="8"/>
  <c r="G286" i="8"/>
  <c r="E286" i="8"/>
  <c r="D286" i="8"/>
  <c r="C286" i="8"/>
  <c r="V285" i="8"/>
  <c r="U285" i="8"/>
  <c r="T285" i="8"/>
  <c r="S285" i="8"/>
  <c r="R285" i="8"/>
  <c r="P285" i="8"/>
  <c r="O285" i="8"/>
  <c r="M285" i="8"/>
  <c r="L285" i="8"/>
  <c r="K285" i="8"/>
  <c r="J285" i="8"/>
  <c r="I285" i="8"/>
  <c r="H285" i="8"/>
  <c r="G285" i="8"/>
  <c r="E285" i="8"/>
  <c r="D285" i="8"/>
  <c r="C285" i="8"/>
  <c r="V284" i="8"/>
  <c r="U284" i="8"/>
  <c r="T284" i="8"/>
  <c r="S284" i="8"/>
  <c r="R284" i="8"/>
  <c r="P284" i="8"/>
  <c r="O284" i="8"/>
  <c r="M284" i="8"/>
  <c r="L284" i="8"/>
  <c r="K284" i="8"/>
  <c r="J284" i="8"/>
  <c r="I284" i="8"/>
  <c r="H284" i="8"/>
  <c r="G284" i="8"/>
  <c r="E284" i="8"/>
  <c r="D284" i="8"/>
  <c r="C284" i="8"/>
  <c r="V283" i="8"/>
  <c r="U283" i="8"/>
  <c r="T283" i="8"/>
  <c r="S283" i="8"/>
  <c r="R283" i="8"/>
  <c r="P283" i="8"/>
  <c r="O283" i="8"/>
  <c r="M283" i="8"/>
  <c r="L283" i="8"/>
  <c r="K283" i="8"/>
  <c r="J283" i="8"/>
  <c r="I283" i="8"/>
  <c r="H283" i="8"/>
  <c r="G283" i="8"/>
  <c r="E283" i="8"/>
  <c r="D283" i="8"/>
  <c r="C283" i="8"/>
  <c r="V282" i="8"/>
  <c r="U282" i="8"/>
  <c r="T282" i="8"/>
  <c r="S282" i="8"/>
  <c r="R282" i="8"/>
  <c r="P282" i="8"/>
  <c r="O282" i="8"/>
  <c r="M282" i="8"/>
  <c r="L282" i="8"/>
  <c r="K282" i="8"/>
  <c r="J282" i="8"/>
  <c r="I282" i="8"/>
  <c r="H282" i="8"/>
  <c r="G282" i="8"/>
  <c r="E282" i="8"/>
  <c r="D282" i="8"/>
  <c r="C282" i="8"/>
  <c r="V281" i="8"/>
  <c r="U281" i="8"/>
  <c r="T281" i="8"/>
  <c r="S281" i="8"/>
  <c r="R281" i="8"/>
  <c r="P281" i="8"/>
  <c r="O281" i="8"/>
  <c r="M281" i="8"/>
  <c r="L281" i="8"/>
  <c r="K281" i="8"/>
  <c r="J281" i="8"/>
  <c r="I281" i="8"/>
  <c r="H281" i="8"/>
  <c r="G281" i="8"/>
  <c r="E281" i="8"/>
  <c r="D281" i="8"/>
  <c r="C281" i="8"/>
  <c r="V280" i="8"/>
  <c r="U280" i="8"/>
  <c r="T280" i="8"/>
  <c r="S280" i="8"/>
  <c r="R280" i="8"/>
  <c r="P280" i="8"/>
  <c r="O280" i="8"/>
  <c r="M280" i="8"/>
  <c r="L280" i="8"/>
  <c r="K280" i="8"/>
  <c r="J280" i="8"/>
  <c r="I280" i="8"/>
  <c r="H280" i="8"/>
  <c r="G280" i="8"/>
  <c r="E280" i="8"/>
  <c r="D280" i="8"/>
  <c r="C280" i="8"/>
  <c r="V279" i="8"/>
  <c r="U279" i="8"/>
  <c r="T279" i="8"/>
  <c r="S279" i="8"/>
  <c r="R279" i="8"/>
  <c r="P279" i="8"/>
  <c r="O279" i="8"/>
  <c r="M279" i="8"/>
  <c r="L279" i="8"/>
  <c r="K279" i="8"/>
  <c r="J279" i="8"/>
  <c r="I279" i="8"/>
  <c r="H279" i="8"/>
  <c r="G279" i="8"/>
  <c r="E279" i="8"/>
  <c r="D279" i="8"/>
  <c r="C279" i="8"/>
  <c r="V278" i="8"/>
  <c r="U278" i="8"/>
  <c r="T278" i="8"/>
  <c r="S278" i="8"/>
  <c r="R278" i="8"/>
  <c r="P278" i="8"/>
  <c r="O278" i="8"/>
  <c r="M278" i="8"/>
  <c r="L278" i="8"/>
  <c r="K278" i="8"/>
  <c r="J278" i="8"/>
  <c r="I278" i="8"/>
  <c r="H278" i="8"/>
  <c r="G278" i="8"/>
  <c r="E278" i="8"/>
  <c r="D278" i="8"/>
  <c r="C278" i="8"/>
  <c r="V277" i="8"/>
  <c r="U277" i="8"/>
  <c r="T277" i="8"/>
  <c r="S277" i="8"/>
  <c r="R277" i="8"/>
  <c r="P277" i="8"/>
  <c r="O277" i="8"/>
  <c r="M277" i="8"/>
  <c r="L277" i="8"/>
  <c r="K277" i="8"/>
  <c r="J277" i="8"/>
  <c r="I277" i="8"/>
  <c r="H277" i="8"/>
  <c r="G277" i="8"/>
  <c r="E277" i="8"/>
  <c r="D277" i="8"/>
  <c r="C277" i="8"/>
  <c r="V276" i="8"/>
  <c r="U276" i="8"/>
  <c r="T276" i="8"/>
  <c r="S276" i="8"/>
  <c r="R276" i="8"/>
  <c r="P276" i="8"/>
  <c r="O276" i="8"/>
  <c r="M276" i="8"/>
  <c r="L276" i="8"/>
  <c r="K276" i="8"/>
  <c r="J276" i="8"/>
  <c r="I276" i="8"/>
  <c r="H276" i="8"/>
  <c r="G276" i="8"/>
  <c r="E276" i="8"/>
  <c r="D276" i="8"/>
  <c r="C276" i="8"/>
  <c r="V275" i="8"/>
  <c r="U275" i="8"/>
  <c r="T275" i="8"/>
  <c r="S275" i="8"/>
  <c r="R275" i="8"/>
  <c r="P275" i="8"/>
  <c r="O275" i="8"/>
  <c r="M275" i="8"/>
  <c r="L275" i="8"/>
  <c r="K275" i="8"/>
  <c r="J275" i="8"/>
  <c r="I275" i="8"/>
  <c r="H275" i="8"/>
  <c r="G275" i="8"/>
  <c r="E275" i="8"/>
  <c r="D275" i="8"/>
  <c r="C275" i="8"/>
  <c r="V274" i="8"/>
  <c r="U274" i="8"/>
  <c r="T274" i="8"/>
  <c r="S274" i="8"/>
  <c r="R274" i="8"/>
  <c r="P274" i="8"/>
  <c r="O274" i="8"/>
  <c r="M274" i="8"/>
  <c r="L274" i="8"/>
  <c r="K274" i="8"/>
  <c r="J274" i="8"/>
  <c r="I274" i="8"/>
  <c r="H274" i="8"/>
  <c r="G274" i="8"/>
  <c r="E274" i="8"/>
  <c r="D274" i="8"/>
  <c r="C274" i="8"/>
  <c r="V273" i="8"/>
  <c r="U273" i="8"/>
  <c r="T273" i="8"/>
  <c r="S273" i="8"/>
  <c r="R273" i="8"/>
  <c r="P273" i="8"/>
  <c r="O273" i="8"/>
  <c r="M273" i="8"/>
  <c r="L273" i="8"/>
  <c r="K273" i="8"/>
  <c r="J273" i="8"/>
  <c r="I273" i="8"/>
  <c r="H273" i="8"/>
  <c r="G273" i="8"/>
  <c r="E273" i="8"/>
  <c r="D273" i="8"/>
  <c r="C273" i="8"/>
  <c r="V272" i="8"/>
  <c r="U272" i="8"/>
  <c r="T272" i="8"/>
  <c r="S272" i="8"/>
  <c r="R272" i="8"/>
  <c r="P272" i="8"/>
  <c r="O272" i="8"/>
  <c r="M272" i="8"/>
  <c r="L272" i="8"/>
  <c r="K272" i="8"/>
  <c r="J272" i="8"/>
  <c r="I272" i="8"/>
  <c r="H272" i="8"/>
  <c r="G272" i="8"/>
  <c r="E272" i="8"/>
  <c r="D272" i="8"/>
  <c r="C272" i="8"/>
  <c r="V271" i="8"/>
  <c r="U271" i="8"/>
  <c r="T271" i="8"/>
  <c r="S271" i="8"/>
  <c r="R271" i="8"/>
  <c r="P271" i="8"/>
  <c r="O271" i="8"/>
  <c r="M271" i="8"/>
  <c r="L271" i="8"/>
  <c r="K271" i="8"/>
  <c r="J271" i="8"/>
  <c r="I271" i="8"/>
  <c r="H271" i="8"/>
  <c r="G271" i="8"/>
  <c r="E271" i="8"/>
  <c r="D271" i="8"/>
  <c r="C271" i="8"/>
  <c r="V270" i="8"/>
  <c r="U270" i="8"/>
  <c r="T270" i="8"/>
  <c r="S270" i="8"/>
  <c r="R270" i="8"/>
  <c r="P270" i="8"/>
  <c r="O270" i="8"/>
  <c r="M270" i="8"/>
  <c r="L270" i="8"/>
  <c r="K270" i="8"/>
  <c r="J270" i="8"/>
  <c r="I270" i="8"/>
  <c r="H270" i="8"/>
  <c r="G270" i="8"/>
  <c r="E270" i="8"/>
  <c r="D270" i="8"/>
  <c r="C270" i="8"/>
  <c r="V269" i="8"/>
  <c r="U269" i="8"/>
  <c r="T269" i="8"/>
  <c r="S269" i="8"/>
  <c r="R269" i="8"/>
  <c r="P269" i="8"/>
  <c r="O269" i="8"/>
  <c r="M269" i="8"/>
  <c r="L269" i="8"/>
  <c r="K269" i="8"/>
  <c r="J269" i="8"/>
  <c r="I269" i="8"/>
  <c r="H269" i="8"/>
  <c r="G269" i="8"/>
  <c r="E269" i="8"/>
  <c r="D269" i="8"/>
  <c r="C269" i="8"/>
  <c r="V268" i="8"/>
  <c r="U268" i="8"/>
  <c r="T268" i="8"/>
  <c r="S268" i="8"/>
  <c r="R268" i="8"/>
  <c r="P268" i="8"/>
  <c r="O268" i="8"/>
  <c r="M268" i="8"/>
  <c r="L268" i="8"/>
  <c r="K268" i="8"/>
  <c r="J268" i="8"/>
  <c r="I268" i="8"/>
  <c r="H268" i="8"/>
  <c r="G268" i="8"/>
  <c r="E268" i="8"/>
  <c r="D268" i="8"/>
  <c r="C268" i="8"/>
  <c r="V267" i="8"/>
  <c r="U267" i="8"/>
  <c r="T267" i="8"/>
  <c r="S267" i="8"/>
  <c r="R267" i="8"/>
  <c r="P267" i="8"/>
  <c r="O267" i="8"/>
  <c r="M267" i="8"/>
  <c r="L267" i="8"/>
  <c r="K267" i="8"/>
  <c r="J267" i="8"/>
  <c r="I267" i="8"/>
  <c r="H267" i="8"/>
  <c r="G267" i="8"/>
  <c r="E267" i="8"/>
  <c r="D267" i="8"/>
  <c r="C267" i="8"/>
  <c r="V266" i="8"/>
  <c r="U266" i="8"/>
  <c r="T266" i="8"/>
  <c r="S266" i="8"/>
  <c r="R266" i="8"/>
  <c r="P266" i="8"/>
  <c r="O266" i="8"/>
  <c r="M266" i="8"/>
  <c r="L266" i="8"/>
  <c r="K266" i="8"/>
  <c r="J266" i="8"/>
  <c r="I266" i="8"/>
  <c r="H266" i="8"/>
  <c r="G266" i="8"/>
  <c r="E266" i="8"/>
  <c r="D266" i="8"/>
  <c r="C266" i="8"/>
  <c r="V265" i="8"/>
  <c r="U265" i="8"/>
  <c r="T265" i="8"/>
  <c r="S265" i="8"/>
  <c r="R265" i="8"/>
  <c r="P265" i="8"/>
  <c r="O265" i="8"/>
  <c r="M265" i="8"/>
  <c r="L265" i="8"/>
  <c r="K265" i="8"/>
  <c r="J265" i="8"/>
  <c r="I265" i="8"/>
  <c r="H265" i="8"/>
  <c r="G265" i="8"/>
  <c r="E265" i="8"/>
  <c r="D265" i="8"/>
  <c r="C265" i="8"/>
  <c r="V264" i="8"/>
  <c r="U264" i="8"/>
  <c r="T264" i="8"/>
  <c r="S264" i="8"/>
  <c r="R264" i="8"/>
  <c r="P264" i="8"/>
  <c r="O264" i="8"/>
  <c r="M264" i="8"/>
  <c r="L264" i="8"/>
  <c r="K264" i="8"/>
  <c r="J264" i="8"/>
  <c r="I264" i="8"/>
  <c r="H264" i="8"/>
  <c r="G264" i="8"/>
  <c r="E264" i="8"/>
  <c r="D264" i="8"/>
  <c r="C264" i="8"/>
  <c r="V263" i="8"/>
  <c r="U263" i="8"/>
  <c r="T263" i="8"/>
  <c r="S263" i="8"/>
  <c r="R263" i="8"/>
  <c r="P263" i="8"/>
  <c r="O263" i="8"/>
  <c r="M263" i="8"/>
  <c r="L263" i="8"/>
  <c r="K263" i="8"/>
  <c r="J263" i="8"/>
  <c r="I263" i="8"/>
  <c r="H263" i="8"/>
  <c r="G263" i="8"/>
  <c r="E263" i="8"/>
  <c r="D263" i="8"/>
  <c r="C263" i="8"/>
  <c r="V262" i="8"/>
  <c r="U262" i="8"/>
  <c r="T262" i="8"/>
  <c r="S262" i="8"/>
  <c r="R262" i="8"/>
  <c r="P262" i="8"/>
  <c r="O262" i="8"/>
  <c r="M262" i="8"/>
  <c r="L262" i="8"/>
  <c r="K262" i="8"/>
  <c r="J262" i="8"/>
  <c r="I262" i="8"/>
  <c r="H262" i="8"/>
  <c r="G262" i="8"/>
  <c r="E262" i="8"/>
  <c r="D262" i="8"/>
  <c r="C262" i="8"/>
  <c r="V261" i="8"/>
  <c r="U261" i="8"/>
  <c r="T261" i="8"/>
  <c r="S261" i="8"/>
  <c r="R261" i="8"/>
  <c r="P261" i="8"/>
  <c r="O261" i="8"/>
  <c r="M261" i="8"/>
  <c r="L261" i="8"/>
  <c r="K261" i="8"/>
  <c r="J261" i="8"/>
  <c r="I261" i="8"/>
  <c r="H261" i="8"/>
  <c r="G261" i="8"/>
  <c r="E261" i="8"/>
  <c r="D261" i="8"/>
  <c r="C261" i="8"/>
  <c r="V260" i="8"/>
  <c r="U260" i="8"/>
  <c r="T260" i="8"/>
  <c r="S260" i="8"/>
  <c r="R260" i="8"/>
  <c r="P260" i="8"/>
  <c r="O260" i="8"/>
  <c r="M260" i="8"/>
  <c r="L260" i="8"/>
  <c r="K260" i="8"/>
  <c r="J260" i="8"/>
  <c r="I260" i="8"/>
  <c r="H260" i="8"/>
  <c r="G260" i="8"/>
  <c r="E260" i="8"/>
  <c r="D260" i="8"/>
  <c r="C260" i="8"/>
  <c r="V259" i="8"/>
  <c r="U259" i="8"/>
  <c r="T259" i="8"/>
  <c r="S259" i="8"/>
  <c r="R259" i="8"/>
  <c r="P259" i="8"/>
  <c r="O259" i="8"/>
  <c r="M259" i="8"/>
  <c r="L259" i="8"/>
  <c r="K259" i="8"/>
  <c r="J259" i="8"/>
  <c r="I259" i="8"/>
  <c r="H259" i="8"/>
  <c r="G259" i="8"/>
  <c r="E259" i="8"/>
  <c r="D259" i="8"/>
  <c r="C259" i="8"/>
  <c r="V258" i="8"/>
  <c r="U258" i="8"/>
  <c r="T258" i="8"/>
  <c r="S258" i="8"/>
  <c r="R258" i="8"/>
  <c r="P258" i="8"/>
  <c r="O258" i="8"/>
  <c r="M258" i="8"/>
  <c r="L258" i="8"/>
  <c r="K258" i="8"/>
  <c r="J258" i="8"/>
  <c r="I258" i="8"/>
  <c r="H258" i="8"/>
  <c r="G258" i="8"/>
  <c r="E258" i="8"/>
  <c r="D258" i="8"/>
  <c r="C258" i="8"/>
  <c r="V257" i="8"/>
  <c r="U257" i="8"/>
  <c r="T257" i="8"/>
  <c r="S257" i="8"/>
  <c r="R257" i="8"/>
  <c r="P257" i="8"/>
  <c r="O257" i="8"/>
  <c r="M257" i="8"/>
  <c r="L257" i="8"/>
  <c r="K257" i="8"/>
  <c r="J257" i="8"/>
  <c r="I257" i="8"/>
  <c r="H257" i="8"/>
  <c r="G257" i="8"/>
  <c r="E257" i="8"/>
  <c r="D257" i="8"/>
  <c r="C257" i="8"/>
  <c r="V256" i="8"/>
  <c r="U256" i="8"/>
  <c r="T256" i="8"/>
  <c r="S256" i="8"/>
  <c r="R256" i="8"/>
  <c r="P256" i="8"/>
  <c r="O256" i="8"/>
  <c r="M256" i="8"/>
  <c r="L256" i="8"/>
  <c r="K256" i="8"/>
  <c r="J256" i="8"/>
  <c r="I256" i="8"/>
  <c r="H256" i="8"/>
  <c r="G256" i="8"/>
  <c r="E256" i="8"/>
  <c r="D256" i="8"/>
  <c r="C256" i="8"/>
  <c r="V255" i="8"/>
  <c r="U255" i="8"/>
  <c r="T255" i="8"/>
  <c r="S255" i="8"/>
  <c r="R255" i="8"/>
  <c r="P255" i="8"/>
  <c r="O255" i="8"/>
  <c r="M255" i="8"/>
  <c r="L255" i="8"/>
  <c r="K255" i="8"/>
  <c r="J255" i="8"/>
  <c r="I255" i="8"/>
  <c r="H255" i="8"/>
  <c r="G255" i="8"/>
  <c r="E255" i="8"/>
  <c r="D255" i="8"/>
  <c r="C255" i="8"/>
  <c r="V254" i="8"/>
  <c r="U254" i="8"/>
  <c r="T254" i="8"/>
  <c r="S254" i="8"/>
  <c r="R254" i="8"/>
  <c r="P254" i="8"/>
  <c r="O254" i="8"/>
  <c r="M254" i="8"/>
  <c r="L254" i="8"/>
  <c r="K254" i="8"/>
  <c r="J254" i="8"/>
  <c r="I254" i="8"/>
  <c r="H254" i="8"/>
  <c r="G254" i="8"/>
  <c r="E254" i="8"/>
  <c r="D254" i="8"/>
  <c r="C254" i="8"/>
  <c r="V253" i="8"/>
  <c r="U253" i="8"/>
  <c r="T253" i="8"/>
  <c r="S253" i="8"/>
  <c r="R253" i="8"/>
  <c r="P253" i="8"/>
  <c r="O253" i="8"/>
  <c r="M253" i="8"/>
  <c r="L253" i="8"/>
  <c r="K253" i="8"/>
  <c r="J253" i="8"/>
  <c r="I253" i="8"/>
  <c r="H253" i="8"/>
  <c r="G253" i="8"/>
  <c r="E253" i="8"/>
  <c r="D253" i="8"/>
  <c r="C253" i="8"/>
  <c r="V252" i="8"/>
  <c r="U252" i="8"/>
  <c r="T252" i="8"/>
  <c r="S252" i="8"/>
  <c r="R252" i="8"/>
  <c r="P252" i="8"/>
  <c r="O252" i="8"/>
  <c r="M252" i="8"/>
  <c r="L252" i="8"/>
  <c r="K252" i="8"/>
  <c r="J252" i="8"/>
  <c r="I252" i="8"/>
  <c r="H252" i="8"/>
  <c r="G252" i="8"/>
  <c r="E252" i="8"/>
  <c r="D252" i="8"/>
  <c r="C252" i="8"/>
  <c r="V251" i="8"/>
  <c r="U251" i="8"/>
  <c r="T251" i="8"/>
  <c r="S251" i="8"/>
  <c r="R251" i="8"/>
  <c r="P251" i="8"/>
  <c r="O251" i="8"/>
  <c r="M251" i="8"/>
  <c r="L251" i="8"/>
  <c r="K251" i="8"/>
  <c r="J251" i="8"/>
  <c r="I251" i="8"/>
  <c r="H251" i="8"/>
  <c r="G251" i="8"/>
  <c r="E251" i="8"/>
  <c r="D251" i="8"/>
  <c r="C251" i="8"/>
  <c r="V250" i="8"/>
  <c r="U250" i="8"/>
  <c r="T250" i="8"/>
  <c r="S250" i="8"/>
  <c r="R250" i="8"/>
  <c r="P250" i="8"/>
  <c r="O250" i="8"/>
  <c r="M250" i="8"/>
  <c r="L250" i="8"/>
  <c r="K250" i="8"/>
  <c r="J250" i="8"/>
  <c r="I250" i="8"/>
  <c r="H250" i="8"/>
  <c r="G250" i="8"/>
  <c r="E250" i="8"/>
  <c r="D250" i="8"/>
  <c r="C250" i="8"/>
  <c r="V249" i="8"/>
  <c r="U249" i="8"/>
  <c r="T249" i="8"/>
  <c r="S249" i="8"/>
  <c r="R249" i="8"/>
  <c r="P249" i="8"/>
  <c r="O249" i="8"/>
  <c r="M249" i="8"/>
  <c r="L249" i="8"/>
  <c r="K249" i="8"/>
  <c r="J249" i="8"/>
  <c r="I249" i="8"/>
  <c r="H249" i="8"/>
  <c r="G249" i="8"/>
  <c r="E249" i="8"/>
  <c r="D249" i="8"/>
  <c r="C249" i="8"/>
  <c r="V248" i="8"/>
  <c r="U248" i="8"/>
  <c r="T248" i="8"/>
  <c r="S248" i="8"/>
  <c r="R248" i="8"/>
  <c r="P248" i="8"/>
  <c r="O248" i="8"/>
  <c r="M248" i="8"/>
  <c r="L248" i="8"/>
  <c r="K248" i="8"/>
  <c r="J248" i="8"/>
  <c r="I248" i="8"/>
  <c r="H248" i="8"/>
  <c r="G248" i="8"/>
  <c r="E248" i="8"/>
  <c r="D248" i="8"/>
  <c r="C248" i="8"/>
  <c r="V247" i="8"/>
  <c r="U247" i="8"/>
  <c r="T247" i="8"/>
  <c r="S247" i="8"/>
  <c r="R247" i="8"/>
  <c r="P247" i="8"/>
  <c r="O247" i="8"/>
  <c r="M247" i="8"/>
  <c r="L247" i="8"/>
  <c r="K247" i="8"/>
  <c r="J247" i="8"/>
  <c r="I247" i="8"/>
  <c r="H247" i="8"/>
  <c r="G247" i="8"/>
  <c r="E247" i="8"/>
  <c r="D247" i="8"/>
  <c r="C247" i="8"/>
  <c r="V246" i="8"/>
  <c r="U246" i="8"/>
  <c r="T246" i="8"/>
  <c r="S246" i="8"/>
  <c r="R246" i="8"/>
  <c r="P246" i="8"/>
  <c r="O246" i="8"/>
  <c r="M246" i="8"/>
  <c r="L246" i="8"/>
  <c r="K246" i="8"/>
  <c r="J246" i="8"/>
  <c r="I246" i="8"/>
  <c r="H246" i="8"/>
  <c r="G246" i="8"/>
  <c r="E246" i="8"/>
  <c r="D246" i="8"/>
  <c r="C246" i="8"/>
  <c r="V245" i="8"/>
  <c r="U245" i="8"/>
  <c r="T245" i="8"/>
  <c r="S245" i="8"/>
  <c r="R245" i="8"/>
  <c r="P245" i="8"/>
  <c r="O245" i="8"/>
  <c r="M245" i="8"/>
  <c r="L245" i="8"/>
  <c r="K245" i="8"/>
  <c r="J245" i="8"/>
  <c r="I245" i="8"/>
  <c r="H245" i="8"/>
  <c r="G245" i="8"/>
  <c r="E245" i="8"/>
  <c r="D245" i="8"/>
  <c r="C245" i="8"/>
  <c r="V244" i="8"/>
  <c r="U244" i="8"/>
  <c r="T244" i="8"/>
  <c r="S244" i="8"/>
  <c r="R244" i="8"/>
  <c r="P244" i="8"/>
  <c r="O244" i="8"/>
  <c r="M244" i="8"/>
  <c r="L244" i="8"/>
  <c r="K244" i="8"/>
  <c r="J244" i="8"/>
  <c r="I244" i="8"/>
  <c r="H244" i="8"/>
  <c r="G244" i="8"/>
  <c r="E244" i="8"/>
  <c r="D244" i="8"/>
  <c r="C244" i="8"/>
  <c r="V243" i="8"/>
  <c r="U243" i="8"/>
  <c r="T243" i="8"/>
  <c r="S243" i="8"/>
  <c r="R243" i="8"/>
  <c r="P243" i="8"/>
  <c r="O243" i="8"/>
  <c r="M243" i="8"/>
  <c r="L243" i="8"/>
  <c r="K243" i="8"/>
  <c r="J243" i="8"/>
  <c r="I243" i="8"/>
  <c r="H243" i="8"/>
  <c r="G243" i="8"/>
  <c r="E243" i="8"/>
  <c r="D243" i="8"/>
  <c r="C243" i="8"/>
  <c r="V242" i="8"/>
  <c r="U242" i="8"/>
  <c r="T242" i="8"/>
  <c r="S242" i="8"/>
  <c r="R242" i="8"/>
  <c r="P242" i="8"/>
  <c r="O242" i="8"/>
  <c r="M242" i="8"/>
  <c r="L242" i="8"/>
  <c r="K242" i="8"/>
  <c r="J242" i="8"/>
  <c r="I242" i="8"/>
  <c r="H242" i="8"/>
  <c r="G242" i="8"/>
  <c r="E242" i="8"/>
  <c r="D242" i="8"/>
  <c r="C242" i="8"/>
  <c r="V241" i="8"/>
  <c r="U241" i="8"/>
  <c r="T241" i="8"/>
  <c r="S241" i="8"/>
  <c r="R241" i="8"/>
  <c r="P241" i="8"/>
  <c r="O241" i="8"/>
  <c r="M241" i="8"/>
  <c r="L241" i="8"/>
  <c r="K241" i="8"/>
  <c r="J241" i="8"/>
  <c r="I241" i="8"/>
  <c r="H241" i="8"/>
  <c r="G241" i="8"/>
  <c r="E241" i="8"/>
  <c r="D241" i="8"/>
  <c r="C241" i="8"/>
  <c r="V240" i="8"/>
  <c r="U240" i="8"/>
  <c r="T240" i="8"/>
  <c r="S240" i="8"/>
  <c r="R240" i="8"/>
  <c r="P240" i="8"/>
  <c r="O240" i="8"/>
  <c r="M240" i="8"/>
  <c r="L240" i="8"/>
  <c r="K240" i="8"/>
  <c r="J240" i="8"/>
  <c r="I240" i="8"/>
  <c r="H240" i="8"/>
  <c r="G240" i="8"/>
  <c r="E240" i="8"/>
  <c r="D240" i="8"/>
  <c r="C240" i="8"/>
  <c r="V239" i="8"/>
  <c r="U239" i="8"/>
  <c r="T239" i="8"/>
  <c r="S239" i="8"/>
  <c r="R239" i="8"/>
  <c r="P239" i="8"/>
  <c r="O239" i="8"/>
  <c r="M239" i="8"/>
  <c r="L239" i="8"/>
  <c r="K239" i="8"/>
  <c r="J239" i="8"/>
  <c r="I239" i="8"/>
  <c r="H239" i="8"/>
  <c r="G239" i="8"/>
  <c r="E239" i="8"/>
  <c r="D239" i="8"/>
  <c r="C239" i="8"/>
  <c r="V238" i="8"/>
  <c r="U238" i="8"/>
  <c r="T238" i="8"/>
  <c r="S238" i="8"/>
  <c r="R238" i="8"/>
  <c r="P238" i="8"/>
  <c r="O238" i="8"/>
  <c r="M238" i="8"/>
  <c r="L238" i="8"/>
  <c r="K238" i="8"/>
  <c r="J238" i="8"/>
  <c r="I238" i="8"/>
  <c r="H238" i="8"/>
  <c r="G238" i="8"/>
  <c r="E238" i="8"/>
  <c r="D238" i="8"/>
  <c r="C238" i="8"/>
  <c r="V237" i="8"/>
  <c r="U237" i="8"/>
  <c r="T237" i="8"/>
  <c r="S237" i="8"/>
  <c r="R237" i="8"/>
  <c r="P237" i="8"/>
  <c r="O237" i="8"/>
  <c r="M237" i="8"/>
  <c r="L237" i="8"/>
  <c r="K237" i="8"/>
  <c r="J237" i="8"/>
  <c r="I237" i="8"/>
  <c r="H237" i="8"/>
  <c r="G237" i="8"/>
  <c r="E237" i="8"/>
  <c r="D237" i="8"/>
  <c r="C237" i="8"/>
  <c r="V236" i="8"/>
  <c r="U236" i="8"/>
  <c r="T236" i="8"/>
  <c r="S236" i="8"/>
  <c r="R236" i="8"/>
  <c r="P236" i="8"/>
  <c r="O236" i="8"/>
  <c r="M236" i="8"/>
  <c r="L236" i="8"/>
  <c r="K236" i="8"/>
  <c r="J236" i="8"/>
  <c r="I236" i="8"/>
  <c r="H236" i="8"/>
  <c r="G236" i="8"/>
  <c r="E236" i="8"/>
  <c r="D236" i="8"/>
  <c r="C236" i="8"/>
  <c r="V235" i="8"/>
  <c r="U235" i="8"/>
  <c r="T235" i="8"/>
  <c r="S235" i="8"/>
  <c r="R235" i="8"/>
  <c r="P235" i="8"/>
  <c r="O235" i="8"/>
  <c r="M235" i="8"/>
  <c r="L235" i="8"/>
  <c r="K235" i="8"/>
  <c r="J235" i="8"/>
  <c r="I235" i="8"/>
  <c r="H235" i="8"/>
  <c r="G235" i="8"/>
  <c r="E235" i="8"/>
  <c r="D235" i="8"/>
  <c r="C235" i="8"/>
  <c r="V234" i="8"/>
  <c r="U234" i="8"/>
  <c r="T234" i="8"/>
  <c r="S234" i="8"/>
  <c r="R234" i="8"/>
  <c r="P234" i="8"/>
  <c r="O234" i="8"/>
  <c r="M234" i="8"/>
  <c r="L234" i="8"/>
  <c r="K234" i="8"/>
  <c r="J234" i="8"/>
  <c r="I234" i="8"/>
  <c r="H234" i="8"/>
  <c r="G234" i="8"/>
  <c r="E234" i="8"/>
  <c r="D234" i="8"/>
  <c r="C234" i="8"/>
  <c r="V233" i="8"/>
  <c r="U233" i="8"/>
  <c r="T233" i="8"/>
  <c r="S233" i="8"/>
  <c r="R233" i="8"/>
  <c r="P233" i="8"/>
  <c r="O233" i="8"/>
  <c r="M233" i="8"/>
  <c r="L233" i="8"/>
  <c r="K233" i="8"/>
  <c r="J233" i="8"/>
  <c r="I233" i="8"/>
  <c r="H233" i="8"/>
  <c r="G233" i="8"/>
  <c r="E233" i="8"/>
  <c r="D233" i="8"/>
  <c r="C233" i="8"/>
  <c r="V232" i="8"/>
  <c r="U232" i="8"/>
  <c r="T232" i="8"/>
  <c r="S232" i="8"/>
  <c r="R232" i="8"/>
  <c r="P232" i="8"/>
  <c r="O232" i="8"/>
  <c r="M232" i="8"/>
  <c r="L232" i="8"/>
  <c r="K232" i="8"/>
  <c r="J232" i="8"/>
  <c r="I232" i="8"/>
  <c r="H232" i="8"/>
  <c r="G232" i="8"/>
  <c r="E232" i="8"/>
  <c r="D232" i="8"/>
  <c r="C232" i="8"/>
  <c r="V231" i="8"/>
  <c r="U231" i="8"/>
  <c r="T231" i="8"/>
  <c r="S231" i="8"/>
  <c r="R231" i="8"/>
  <c r="P231" i="8"/>
  <c r="O231" i="8"/>
  <c r="M231" i="8"/>
  <c r="L231" i="8"/>
  <c r="K231" i="8"/>
  <c r="J231" i="8"/>
  <c r="I231" i="8"/>
  <c r="H231" i="8"/>
  <c r="G231" i="8"/>
  <c r="E231" i="8"/>
  <c r="D231" i="8"/>
  <c r="C231" i="8"/>
  <c r="V230" i="8"/>
  <c r="U230" i="8"/>
  <c r="T230" i="8"/>
  <c r="S230" i="8"/>
  <c r="R230" i="8"/>
  <c r="P230" i="8"/>
  <c r="O230" i="8"/>
  <c r="M230" i="8"/>
  <c r="L230" i="8"/>
  <c r="K230" i="8"/>
  <c r="J230" i="8"/>
  <c r="I230" i="8"/>
  <c r="H230" i="8"/>
  <c r="G230" i="8"/>
  <c r="E230" i="8"/>
  <c r="D230" i="8"/>
  <c r="C230" i="8"/>
  <c r="V229" i="8"/>
  <c r="U229" i="8"/>
  <c r="T229" i="8"/>
  <c r="S229" i="8"/>
  <c r="R229" i="8"/>
  <c r="P229" i="8"/>
  <c r="O229" i="8"/>
  <c r="M229" i="8"/>
  <c r="L229" i="8"/>
  <c r="K229" i="8"/>
  <c r="J229" i="8"/>
  <c r="I229" i="8"/>
  <c r="H229" i="8"/>
  <c r="G229" i="8"/>
  <c r="E229" i="8"/>
  <c r="D229" i="8"/>
  <c r="C229" i="8"/>
  <c r="V228" i="8"/>
  <c r="U228" i="8"/>
  <c r="T228" i="8"/>
  <c r="S228" i="8"/>
  <c r="R228" i="8"/>
  <c r="P228" i="8"/>
  <c r="O228" i="8"/>
  <c r="M228" i="8"/>
  <c r="L228" i="8"/>
  <c r="K228" i="8"/>
  <c r="J228" i="8"/>
  <c r="I228" i="8"/>
  <c r="H228" i="8"/>
  <c r="G228" i="8"/>
  <c r="E228" i="8"/>
  <c r="D228" i="8"/>
  <c r="C228" i="8"/>
  <c r="V227" i="8"/>
  <c r="U227" i="8"/>
  <c r="T227" i="8"/>
  <c r="S227" i="8"/>
  <c r="R227" i="8"/>
  <c r="P227" i="8"/>
  <c r="O227" i="8"/>
  <c r="M227" i="8"/>
  <c r="L227" i="8"/>
  <c r="K227" i="8"/>
  <c r="J227" i="8"/>
  <c r="I227" i="8"/>
  <c r="H227" i="8"/>
  <c r="G227" i="8"/>
  <c r="E227" i="8"/>
  <c r="D227" i="8"/>
  <c r="C227" i="8"/>
  <c r="V226" i="8"/>
  <c r="U226" i="8"/>
  <c r="T226" i="8"/>
  <c r="S226" i="8"/>
  <c r="R226" i="8"/>
  <c r="P226" i="8"/>
  <c r="O226" i="8"/>
  <c r="M226" i="8"/>
  <c r="L226" i="8"/>
  <c r="K226" i="8"/>
  <c r="J226" i="8"/>
  <c r="I226" i="8"/>
  <c r="H226" i="8"/>
  <c r="G226" i="8"/>
  <c r="E226" i="8"/>
  <c r="D226" i="8"/>
  <c r="C226" i="8"/>
  <c r="V225" i="8"/>
  <c r="U225" i="8"/>
  <c r="T225" i="8"/>
  <c r="S225" i="8"/>
  <c r="R225" i="8"/>
  <c r="P225" i="8"/>
  <c r="O225" i="8"/>
  <c r="M225" i="8"/>
  <c r="L225" i="8"/>
  <c r="K225" i="8"/>
  <c r="J225" i="8"/>
  <c r="I225" i="8"/>
  <c r="H225" i="8"/>
  <c r="G225" i="8"/>
  <c r="E225" i="8"/>
  <c r="D225" i="8"/>
  <c r="C225" i="8"/>
  <c r="V224" i="8"/>
  <c r="U224" i="8"/>
  <c r="T224" i="8"/>
  <c r="S224" i="8"/>
  <c r="R224" i="8"/>
  <c r="P224" i="8"/>
  <c r="O224" i="8"/>
  <c r="M224" i="8"/>
  <c r="L224" i="8"/>
  <c r="K224" i="8"/>
  <c r="J224" i="8"/>
  <c r="I224" i="8"/>
  <c r="H224" i="8"/>
  <c r="G224" i="8"/>
  <c r="E224" i="8"/>
  <c r="D224" i="8"/>
  <c r="C224" i="8"/>
  <c r="V223" i="8"/>
  <c r="U223" i="8"/>
  <c r="T223" i="8"/>
  <c r="S223" i="8"/>
  <c r="R223" i="8"/>
  <c r="P223" i="8"/>
  <c r="O223" i="8"/>
  <c r="M223" i="8"/>
  <c r="L223" i="8"/>
  <c r="K223" i="8"/>
  <c r="J223" i="8"/>
  <c r="I223" i="8"/>
  <c r="H223" i="8"/>
  <c r="G223" i="8"/>
  <c r="E223" i="8"/>
  <c r="D223" i="8"/>
  <c r="C223" i="8"/>
  <c r="V222" i="8"/>
  <c r="U222" i="8"/>
  <c r="T222" i="8"/>
  <c r="S222" i="8"/>
  <c r="R222" i="8"/>
  <c r="P222" i="8"/>
  <c r="O222" i="8"/>
  <c r="M222" i="8"/>
  <c r="L222" i="8"/>
  <c r="K222" i="8"/>
  <c r="J222" i="8"/>
  <c r="I222" i="8"/>
  <c r="H222" i="8"/>
  <c r="G222" i="8"/>
  <c r="E222" i="8"/>
  <c r="D222" i="8"/>
  <c r="C222" i="8"/>
  <c r="V221" i="8"/>
  <c r="U221" i="8"/>
  <c r="T221" i="8"/>
  <c r="S221" i="8"/>
  <c r="R221" i="8"/>
  <c r="P221" i="8"/>
  <c r="O221" i="8"/>
  <c r="M221" i="8"/>
  <c r="L221" i="8"/>
  <c r="K221" i="8"/>
  <c r="J221" i="8"/>
  <c r="I221" i="8"/>
  <c r="H221" i="8"/>
  <c r="G221" i="8"/>
  <c r="E221" i="8"/>
  <c r="D221" i="8"/>
  <c r="C221" i="8"/>
  <c r="V220" i="8"/>
  <c r="U220" i="8"/>
  <c r="T220" i="8"/>
  <c r="S220" i="8"/>
  <c r="R220" i="8"/>
  <c r="P220" i="8"/>
  <c r="O220" i="8"/>
  <c r="M220" i="8"/>
  <c r="L220" i="8"/>
  <c r="K220" i="8"/>
  <c r="J220" i="8"/>
  <c r="I220" i="8"/>
  <c r="H220" i="8"/>
  <c r="G220" i="8"/>
  <c r="E220" i="8"/>
  <c r="D220" i="8"/>
  <c r="C220" i="8"/>
  <c r="V219" i="8"/>
  <c r="U219" i="8"/>
  <c r="T219" i="8"/>
  <c r="S219" i="8"/>
  <c r="R219" i="8"/>
  <c r="P219" i="8"/>
  <c r="O219" i="8"/>
  <c r="M219" i="8"/>
  <c r="L219" i="8"/>
  <c r="K219" i="8"/>
  <c r="J219" i="8"/>
  <c r="I219" i="8"/>
  <c r="H219" i="8"/>
  <c r="G219" i="8"/>
  <c r="E219" i="8"/>
  <c r="D219" i="8"/>
  <c r="C219" i="8"/>
  <c r="V218" i="8"/>
  <c r="U218" i="8"/>
  <c r="T218" i="8"/>
  <c r="S218" i="8"/>
  <c r="R218" i="8"/>
  <c r="P218" i="8"/>
  <c r="O218" i="8"/>
  <c r="M218" i="8"/>
  <c r="L218" i="8"/>
  <c r="K218" i="8"/>
  <c r="J218" i="8"/>
  <c r="I218" i="8"/>
  <c r="H218" i="8"/>
  <c r="G218" i="8"/>
  <c r="E218" i="8"/>
  <c r="D218" i="8"/>
  <c r="C218" i="8"/>
  <c r="V217" i="8"/>
  <c r="U217" i="8"/>
  <c r="T217" i="8"/>
  <c r="S217" i="8"/>
  <c r="R217" i="8"/>
  <c r="P217" i="8"/>
  <c r="O217" i="8"/>
  <c r="M217" i="8"/>
  <c r="L217" i="8"/>
  <c r="K217" i="8"/>
  <c r="J217" i="8"/>
  <c r="I217" i="8"/>
  <c r="H217" i="8"/>
  <c r="G217" i="8"/>
  <c r="E217" i="8"/>
  <c r="D217" i="8"/>
  <c r="C217" i="8"/>
  <c r="V216" i="8"/>
  <c r="U216" i="8"/>
  <c r="T216" i="8"/>
  <c r="S216" i="8"/>
  <c r="R216" i="8"/>
  <c r="P216" i="8"/>
  <c r="O216" i="8"/>
  <c r="M216" i="8"/>
  <c r="L216" i="8"/>
  <c r="K216" i="8"/>
  <c r="J216" i="8"/>
  <c r="I216" i="8"/>
  <c r="H216" i="8"/>
  <c r="G216" i="8"/>
  <c r="E216" i="8"/>
  <c r="D216" i="8"/>
  <c r="C216" i="8"/>
  <c r="V215" i="8"/>
  <c r="U215" i="8"/>
  <c r="T215" i="8"/>
  <c r="S215" i="8"/>
  <c r="R215" i="8"/>
  <c r="P215" i="8"/>
  <c r="O215" i="8"/>
  <c r="M215" i="8"/>
  <c r="L215" i="8"/>
  <c r="K215" i="8"/>
  <c r="J215" i="8"/>
  <c r="I215" i="8"/>
  <c r="H215" i="8"/>
  <c r="G215" i="8"/>
  <c r="E215" i="8"/>
  <c r="D215" i="8"/>
  <c r="C215" i="8"/>
  <c r="V214" i="8"/>
  <c r="U214" i="8"/>
  <c r="T214" i="8"/>
  <c r="S214" i="8"/>
  <c r="R214" i="8"/>
  <c r="P214" i="8"/>
  <c r="O214" i="8"/>
  <c r="M214" i="8"/>
  <c r="L214" i="8"/>
  <c r="K214" i="8"/>
  <c r="J214" i="8"/>
  <c r="I214" i="8"/>
  <c r="H214" i="8"/>
  <c r="G214" i="8"/>
  <c r="E214" i="8"/>
  <c r="D214" i="8"/>
  <c r="C214" i="8"/>
  <c r="V213" i="8"/>
  <c r="U213" i="8"/>
  <c r="T213" i="8"/>
  <c r="S213" i="8"/>
  <c r="R213" i="8"/>
  <c r="P213" i="8"/>
  <c r="O213" i="8"/>
  <c r="M213" i="8"/>
  <c r="L213" i="8"/>
  <c r="K213" i="8"/>
  <c r="J213" i="8"/>
  <c r="I213" i="8"/>
  <c r="H213" i="8"/>
  <c r="G213" i="8"/>
  <c r="E213" i="8"/>
  <c r="D213" i="8"/>
  <c r="C213" i="8"/>
  <c r="V212" i="8"/>
  <c r="U212" i="8"/>
  <c r="T212" i="8"/>
  <c r="S212" i="8"/>
  <c r="R212" i="8"/>
  <c r="P212" i="8"/>
  <c r="O212" i="8"/>
  <c r="M212" i="8"/>
  <c r="L212" i="8"/>
  <c r="K212" i="8"/>
  <c r="J212" i="8"/>
  <c r="I212" i="8"/>
  <c r="H212" i="8"/>
  <c r="G212" i="8"/>
  <c r="E212" i="8"/>
  <c r="D212" i="8"/>
  <c r="C212" i="8"/>
  <c r="V211" i="8"/>
  <c r="U211" i="8"/>
  <c r="T211" i="8"/>
  <c r="S211" i="8"/>
  <c r="R211" i="8"/>
  <c r="P211" i="8"/>
  <c r="O211" i="8"/>
  <c r="M211" i="8"/>
  <c r="L211" i="8"/>
  <c r="K211" i="8"/>
  <c r="J211" i="8"/>
  <c r="I211" i="8"/>
  <c r="H211" i="8"/>
  <c r="G211" i="8"/>
  <c r="E211" i="8"/>
  <c r="D211" i="8"/>
  <c r="C211" i="8"/>
  <c r="V210" i="8"/>
  <c r="U210" i="8"/>
  <c r="T210" i="8"/>
  <c r="S210" i="8"/>
  <c r="R210" i="8"/>
  <c r="P210" i="8"/>
  <c r="O210" i="8"/>
  <c r="M210" i="8"/>
  <c r="L210" i="8"/>
  <c r="K210" i="8"/>
  <c r="J210" i="8"/>
  <c r="I210" i="8"/>
  <c r="H210" i="8"/>
  <c r="G210" i="8"/>
  <c r="E210" i="8"/>
  <c r="D210" i="8"/>
  <c r="C210" i="8"/>
  <c r="V209" i="8"/>
  <c r="U209" i="8"/>
  <c r="T209" i="8"/>
  <c r="S209" i="8"/>
  <c r="R209" i="8"/>
  <c r="P209" i="8"/>
  <c r="O209" i="8"/>
  <c r="M209" i="8"/>
  <c r="L209" i="8"/>
  <c r="K209" i="8"/>
  <c r="J209" i="8"/>
  <c r="I209" i="8"/>
  <c r="H209" i="8"/>
  <c r="G209" i="8"/>
  <c r="E209" i="8"/>
  <c r="D209" i="8"/>
  <c r="C209" i="8"/>
  <c r="V208" i="8"/>
  <c r="U208" i="8"/>
  <c r="T208" i="8"/>
  <c r="S208" i="8"/>
  <c r="R208" i="8"/>
  <c r="P208" i="8"/>
  <c r="O208" i="8"/>
  <c r="M208" i="8"/>
  <c r="L208" i="8"/>
  <c r="K208" i="8"/>
  <c r="J208" i="8"/>
  <c r="I208" i="8"/>
  <c r="H208" i="8"/>
  <c r="G208" i="8"/>
  <c r="E208" i="8"/>
  <c r="D208" i="8"/>
  <c r="C208" i="8"/>
  <c r="V207" i="8"/>
  <c r="U207" i="8"/>
  <c r="T207" i="8"/>
  <c r="S207" i="8"/>
  <c r="R207" i="8"/>
  <c r="P207" i="8"/>
  <c r="O207" i="8"/>
  <c r="M207" i="8"/>
  <c r="L207" i="8"/>
  <c r="K207" i="8"/>
  <c r="J207" i="8"/>
  <c r="I207" i="8"/>
  <c r="H207" i="8"/>
  <c r="G207" i="8"/>
  <c r="E207" i="8"/>
  <c r="D207" i="8"/>
  <c r="C207" i="8"/>
  <c r="V206" i="8"/>
  <c r="U206" i="8"/>
  <c r="T206" i="8"/>
  <c r="S206" i="8"/>
  <c r="R206" i="8"/>
  <c r="P206" i="8"/>
  <c r="O206" i="8"/>
  <c r="M206" i="8"/>
  <c r="L206" i="8"/>
  <c r="K206" i="8"/>
  <c r="J206" i="8"/>
  <c r="I206" i="8"/>
  <c r="H206" i="8"/>
  <c r="G206" i="8"/>
  <c r="E206" i="8"/>
  <c r="D206" i="8"/>
  <c r="C206" i="8"/>
  <c r="V205" i="8"/>
  <c r="U205" i="8"/>
  <c r="T205" i="8"/>
  <c r="S205" i="8"/>
  <c r="R205" i="8"/>
  <c r="P205" i="8"/>
  <c r="O205" i="8"/>
  <c r="M205" i="8"/>
  <c r="L205" i="8"/>
  <c r="K205" i="8"/>
  <c r="J205" i="8"/>
  <c r="I205" i="8"/>
  <c r="H205" i="8"/>
  <c r="G205" i="8"/>
  <c r="E205" i="8"/>
  <c r="D205" i="8"/>
  <c r="C205" i="8"/>
  <c r="V204" i="8"/>
  <c r="U204" i="8"/>
  <c r="T204" i="8"/>
  <c r="S204" i="8"/>
  <c r="R204" i="8"/>
  <c r="P204" i="8"/>
  <c r="O204" i="8"/>
  <c r="M204" i="8"/>
  <c r="L204" i="8"/>
  <c r="K204" i="8"/>
  <c r="J204" i="8"/>
  <c r="I204" i="8"/>
  <c r="H204" i="8"/>
  <c r="G204" i="8"/>
  <c r="E204" i="8"/>
  <c r="D204" i="8"/>
  <c r="C204" i="8"/>
  <c r="V203" i="8"/>
  <c r="U203" i="8"/>
  <c r="T203" i="8"/>
  <c r="S203" i="8"/>
  <c r="R203" i="8"/>
  <c r="P203" i="8"/>
  <c r="O203" i="8"/>
  <c r="M203" i="8"/>
  <c r="L203" i="8"/>
  <c r="K203" i="8"/>
  <c r="J203" i="8"/>
  <c r="I203" i="8"/>
  <c r="H203" i="8"/>
  <c r="G203" i="8"/>
  <c r="E203" i="8"/>
  <c r="D203" i="8"/>
  <c r="C203" i="8"/>
  <c r="V202" i="8"/>
  <c r="U202" i="8"/>
  <c r="T202" i="8"/>
  <c r="S202" i="8"/>
  <c r="R202" i="8"/>
  <c r="P202" i="8"/>
  <c r="O202" i="8"/>
  <c r="M202" i="8"/>
  <c r="L202" i="8"/>
  <c r="K202" i="8"/>
  <c r="J202" i="8"/>
  <c r="I202" i="8"/>
  <c r="H202" i="8"/>
  <c r="G202" i="8"/>
  <c r="E202" i="8"/>
  <c r="D202" i="8"/>
  <c r="C202" i="8"/>
  <c r="V201" i="8"/>
  <c r="U201" i="8"/>
  <c r="T201" i="8"/>
  <c r="S201" i="8"/>
  <c r="R201" i="8"/>
  <c r="P201" i="8"/>
  <c r="O201" i="8"/>
  <c r="M201" i="8"/>
  <c r="L201" i="8"/>
  <c r="K201" i="8"/>
  <c r="J201" i="8"/>
  <c r="I201" i="8"/>
  <c r="H201" i="8"/>
  <c r="G201" i="8"/>
  <c r="E201" i="8"/>
  <c r="D201" i="8"/>
  <c r="C201" i="8"/>
  <c r="V200" i="8"/>
  <c r="U200" i="8"/>
  <c r="T200" i="8"/>
  <c r="S200" i="8"/>
  <c r="R200" i="8"/>
  <c r="P200" i="8"/>
  <c r="O200" i="8"/>
  <c r="M200" i="8"/>
  <c r="L200" i="8"/>
  <c r="K200" i="8"/>
  <c r="J200" i="8"/>
  <c r="I200" i="8"/>
  <c r="H200" i="8"/>
  <c r="G200" i="8"/>
  <c r="E200" i="8"/>
  <c r="D200" i="8"/>
  <c r="C200" i="8"/>
  <c r="V199" i="8"/>
  <c r="U199" i="8"/>
  <c r="T199" i="8"/>
  <c r="S199" i="8"/>
  <c r="R199" i="8"/>
  <c r="P199" i="8"/>
  <c r="O199" i="8"/>
  <c r="M199" i="8"/>
  <c r="L199" i="8"/>
  <c r="K199" i="8"/>
  <c r="J199" i="8"/>
  <c r="I199" i="8"/>
  <c r="H199" i="8"/>
  <c r="G199" i="8"/>
  <c r="E199" i="8"/>
  <c r="D199" i="8"/>
  <c r="C199" i="8"/>
  <c r="V198" i="8"/>
  <c r="U198" i="8"/>
  <c r="T198" i="8"/>
  <c r="S198" i="8"/>
  <c r="R198" i="8"/>
  <c r="P198" i="8"/>
  <c r="O198" i="8"/>
  <c r="M198" i="8"/>
  <c r="L198" i="8"/>
  <c r="K198" i="8"/>
  <c r="J198" i="8"/>
  <c r="I198" i="8"/>
  <c r="H198" i="8"/>
  <c r="G198" i="8"/>
  <c r="E198" i="8"/>
  <c r="D198" i="8"/>
  <c r="C198" i="8"/>
  <c r="V197" i="8"/>
  <c r="U197" i="8"/>
  <c r="T197" i="8"/>
  <c r="S197" i="8"/>
  <c r="R197" i="8"/>
  <c r="P197" i="8"/>
  <c r="O197" i="8"/>
  <c r="M197" i="8"/>
  <c r="L197" i="8"/>
  <c r="K197" i="8"/>
  <c r="J197" i="8"/>
  <c r="I197" i="8"/>
  <c r="H197" i="8"/>
  <c r="G197" i="8"/>
  <c r="E197" i="8"/>
  <c r="D197" i="8"/>
  <c r="C197" i="8"/>
  <c r="V196" i="8"/>
  <c r="U196" i="8"/>
  <c r="T196" i="8"/>
  <c r="S196" i="8"/>
  <c r="R196" i="8"/>
  <c r="P196" i="8"/>
  <c r="O196" i="8"/>
  <c r="M196" i="8"/>
  <c r="L196" i="8"/>
  <c r="K196" i="8"/>
  <c r="J196" i="8"/>
  <c r="I196" i="8"/>
  <c r="H196" i="8"/>
  <c r="G196" i="8"/>
  <c r="E196" i="8"/>
  <c r="D196" i="8"/>
  <c r="C196" i="8"/>
  <c r="V195" i="8"/>
  <c r="U195" i="8"/>
  <c r="T195" i="8"/>
  <c r="S195" i="8"/>
  <c r="R195" i="8"/>
  <c r="P195" i="8"/>
  <c r="O195" i="8"/>
  <c r="M195" i="8"/>
  <c r="L195" i="8"/>
  <c r="K195" i="8"/>
  <c r="J195" i="8"/>
  <c r="I195" i="8"/>
  <c r="H195" i="8"/>
  <c r="G195" i="8"/>
  <c r="E195" i="8"/>
  <c r="D195" i="8"/>
  <c r="C195" i="8"/>
  <c r="V194" i="8"/>
  <c r="U194" i="8"/>
  <c r="T194" i="8"/>
  <c r="S194" i="8"/>
  <c r="R194" i="8"/>
  <c r="P194" i="8"/>
  <c r="O194" i="8"/>
  <c r="M194" i="8"/>
  <c r="L194" i="8"/>
  <c r="K194" i="8"/>
  <c r="J194" i="8"/>
  <c r="I194" i="8"/>
  <c r="H194" i="8"/>
  <c r="G194" i="8"/>
  <c r="E194" i="8"/>
  <c r="D194" i="8"/>
  <c r="C194" i="8"/>
  <c r="V193" i="8"/>
  <c r="U193" i="8"/>
  <c r="T193" i="8"/>
  <c r="S193" i="8"/>
  <c r="R193" i="8"/>
  <c r="P193" i="8"/>
  <c r="O193" i="8"/>
  <c r="M193" i="8"/>
  <c r="L193" i="8"/>
  <c r="K193" i="8"/>
  <c r="J193" i="8"/>
  <c r="I193" i="8"/>
  <c r="H193" i="8"/>
  <c r="G193" i="8"/>
  <c r="E193" i="8"/>
  <c r="D193" i="8"/>
  <c r="C193" i="8"/>
  <c r="V192" i="8"/>
  <c r="U192" i="8"/>
  <c r="T192" i="8"/>
  <c r="S192" i="8"/>
  <c r="R192" i="8"/>
  <c r="P192" i="8"/>
  <c r="O192" i="8"/>
  <c r="M192" i="8"/>
  <c r="L192" i="8"/>
  <c r="K192" i="8"/>
  <c r="J192" i="8"/>
  <c r="I192" i="8"/>
  <c r="H192" i="8"/>
  <c r="G192" i="8"/>
  <c r="E192" i="8"/>
  <c r="D192" i="8"/>
  <c r="C192" i="8"/>
  <c r="V191" i="8"/>
  <c r="U191" i="8"/>
  <c r="T191" i="8"/>
  <c r="S191" i="8"/>
  <c r="R191" i="8"/>
  <c r="P191" i="8"/>
  <c r="O191" i="8"/>
  <c r="M191" i="8"/>
  <c r="L191" i="8"/>
  <c r="K191" i="8"/>
  <c r="J191" i="8"/>
  <c r="I191" i="8"/>
  <c r="H191" i="8"/>
  <c r="G191" i="8"/>
  <c r="E191" i="8"/>
  <c r="D191" i="8"/>
  <c r="C191" i="8"/>
  <c r="V190" i="8"/>
  <c r="U190" i="8"/>
  <c r="T190" i="8"/>
  <c r="S190" i="8"/>
  <c r="R190" i="8"/>
  <c r="P190" i="8"/>
  <c r="O190" i="8"/>
  <c r="M190" i="8"/>
  <c r="L190" i="8"/>
  <c r="K190" i="8"/>
  <c r="J190" i="8"/>
  <c r="I190" i="8"/>
  <c r="H190" i="8"/>
  <c r="G190" i="8"/>
  <c r="E190" i="8"/>
  <c r="D190" i="8"/>
  <c r="C190" i="8"/>
  <c r="V189" i="8"/>
  <c r="U189" i="8"/>
  <c r="T189" i="8"/>
  <c r="S189" i="8"/>
  <c r="R189" i="8"/>
  <c r="P189" i="8"/>
  <c r="O189" i="8"/>
  <c r="M189" i="8"/>
  <c r="L189" i="8"/>
  <c r="K189" i="8"/>
  <c r="J189" i="8"/>
  <c r="I189" i="8"/>
  <c r="H189" i="8"/>
  <c r="G189" i="8"/>
  <c r="E189" i="8"/>
  <c r="D189" i="8"/>
  <c r="C189" i="8"/>
  <c r="V188" i="8"/>
  <c r="U188" i="8"/>
  <c r="T188" i="8"/>
  <c r="S188" i="8"/>
  <c r="R188" i="8"/>
  <c r="P188" i="8"/>
  <c r="O188" i="8"/>
  <c r="M188" i="8"/>
  <c r="L188" i="8"/>
  <c r="K188" i="8"/>
  <c r="J188" i="8"/>
  <c r="I188" i="8"/>
  <c r="H188" i="8"/>
  <c r="G188" i="8"/>
  <c r="E188" i="8"/>
  <c r="D188" i="8"/>
  <c r="C188" i="8"/>
  <c r="V187" i="8"/>
  <c r="U187" i="8"/>
  <c r="T187" i="8"/>
  <c r="S187" i="8"/>
  <c r="R187" i="8"/>
  <c r="P187" i="8"/>
  <c r="O187" i="8"/>
  <c r="M187" i="8"/>
  <c r="L187" i="8"/>
  <c r="K187" i="8"/>
  <c r="J187" i="8"/>
  <c r="I187" i="8"/>
  <c r="H187" i="8"/>
  <c r="G187" i="8"/>
  <c r="E187" i="8"/>
  <c r="D187" i="8"/>
  <c r="C187" i="8"/>
  <c r="V186" i="8"/>
  <c r="U186" i="8"/>
  <c r="T186" i="8"/>
  <c r="S186" i="8"/>
  <c r="R186" i="8"/>
  <c r="P186" i="8"/>
  <c r="O186" i="8"/>
  <c r="M186" i="8"/>
  <c r="L186" i="8"/>
  <c r="K186" i="8"/>
  <c r="J186" i="8"/>
  <c r="I186" i="8"/>
  <c r="H186" i="8"/>
  <c r="G186" i="8"/>
  <c r="E186" i="8"/>
  <c r="D186" i="8"/>
  <c r="C186" i="8"/>
  <c r="V185" i="8"/>
  <c r="U185" i="8"/>
  <c r="T185" i="8"/>
  <c r="S185" i="8"/>
  <c r="R185" i="8"/>
  <c r="P185" i="8"/>
  <c r="O185" i="8"/>
  <c r="M185" i="8"/>
  <c r="L185" i="8"/>
  <c r="K185" i="8"/>
  <c r="J185" i="8"/>
  <c r="I185" i="8"/>
  <c r="H185" i="8"/>
  <c r="G185" i="8"/>
  <c r="E185" i="8"/>
  <c r="D185" i="8"/>
  <c r="C185" i="8"/>
  <c r="V184" i="8"/>
  <c r="U184" i="8"/>
  <c r="T184" i="8"/>
  <c r="S184" i="8"/>
  <c r="R184" i="8"/>
  <c r="P184" i="8"/>
  <c r="O184" i="8"/>
  <c r="M184" i="8"/>
  <c r="L184" i="8"/>
  <c r="K184" i="8"/>
  <c r="J184" i="8"/>
  <c r="I184" i="8"/>
  <c r="H184" i="8"/>
  <c r="G184" i="8"/>
  <c r="E184" i="8"/>
  <c r="D184" i="8"/>
  <c r="C184" i="8"/>
  <c r="V183" i="8"/>
  <c r="U183" i="8"/>
  <c r="T183" i="8"/>
  <c r="S183" i="8"/>
  <c r="R183" i="8"/>
  <c r="P183" i="8"/>
  <c r="O183" i="8"/>
  <c r="M183" i="8"/>
  <c r="L183" i="8"/>
  <c r="K183" i="8"/>
  <c r="J183" i="8"/>
  <c r="I183" i="8"/>
  <c r="H183" i="8"/>
  <c r="G183" i="8"/>
  <c r="E183" i="8"/>
  <c r="D183" i="8"/>
  <c r="C183" i="8"/>
  <c r="V182" i="8"/>
  <c r="U182" i="8"/>
  <c r="T182" i="8"/>
  <c r="S182" i="8"/>
  <c r="R182" i="8"/>
  <c r="P182" i="8"/>
  <c r="O182" i="8"/>
  <c r="M182" i="8"/>
  <c r="L182" i="8"/>
  <c r="K182" i="8"/>
  <c r="J182" i="8"/>
  <c r="I182" i="8"/>
  <c r="H182" i="8"/>
  <c r="G182" i="8"/>
  <c r="E182" i="8"/>
  <c r="D182" i="8"/>
  <c r="C182" i="8"/>
  <c r="V181" i="8"/>
  <c r="U181" i="8"/>
  <c r="T181" i="8"/>
  <c r="S181" i="8"/>
  <c r="R181" i="8"/>
  <c r="P181" i="8"/>
  <c r="O181" i="8"/>
  <c r="M181" i="8"/>
  <c r="L181" i="8"/>
  <c r="K181" i="8"/>
  <c r="J181" i="8"/>
  <c r="I181" i="8"/>
  <c r="H181" i="8"/>
  <c r="G181" i="8"/>
  <c r="E181" i="8"/>
  <c r="D181" i="8"/>
  <c r="C181" i="8"/>
  <c r="V180" i="8"/>
  <c r="U180" i="8"/>
  <c r="T180" i="8"/>
  <c r="S180" i="8"/>
  <c r="R180" i="8"/>
  <c r="P180" i="8"/>
  <c r="O180" i="8"/>
  <c r="M180" i="8"/>
  <c r="L180" i="8"/>
  <c r="K180" i="8"/>
  <c r="J180" i="8"/>
  <c r="I180" i="8"/>
  <c r="H180" i="8"/>
  <c r="G180" i="8"/>
  <c r="E180" i="8"/>
  <c r="D180" i="8"/>
  <c r="C180" i="8"/>
  <c r="V179" i="8"/>
  <c r="U179" i="8"/>
  <c r="T179" i="8"/>
  <c r="S179" i="8"/>
  <c r="R179" i="8"/>
  <c r="P179" i="8"/>
  <c r="O179" i="8"/>
  <c r="M179" i="8"/>
  <c r="L179" i="8"/>
  <c r="K179" i="8"/>
  <c r="J179" i="8"/>
  <c r="I179" i="8"/>
  <c r="H179" i="8"/>
  <c r="G179" i="8"/>
  <c r="E179" i="8"/>
  <c r="D179" i="8"/>
  <c r="C179" i="8"/>
  <c r="V178" i="8"/>
  <c r="U178" i="8"/>
  <c r="T178" i="8"/>
  <c r="S178" i="8"/>
  <c r="R178" i="8"/>
  <c r="P178" i="8"/>
  <c r="O178" i="8"/>
  <c r="M178" i="8"/>
  <c r="L178" i="8"/>
  <c r="K178" i="8"/>
  <c r="J178" i="8"/>
  <c r="I178" i="8"/>
  <c r="H178" i="8"/>
  <c r="G178" i="8"/>
  <c r="E178" i="8"/>
  <c r="D178" i="8"/>
  <c r="C178" i="8"/>
  <c r="V177" i="8"/>
  <c r="U177" i="8"/>
  <c r="T177" i="8"/>
  <c r="S177" i="8"/>
  <c r="R177" i="8"/>
  <c r="P177" i="8"/>
  <c r="O177" i="8"/>
  <c r="M177" i="8"/>
  <c r="L177" i="8"/>
  <c r="K177" i="8"/>
  <c r="J177" i="8"/>
  <c r="I177" i="8"/>
  <c r="H177" i="8"/>
  <c r="G177" i="8"/>
  <c r="E177" i="8"/>
  <c r="D177" i="8"/>
  <c r="C177" i="8"/>
  <c r="V176" i="8"/>
  <c r="U176" i="8"/>
  <c r="T176" i="8"/>
  <c r="S176" i="8"/>
  <c r="R176" i="8"/>
  <c r="P176" i="8"/>
  <c r="O176" i="8"/>
  <c r="M176" i="8"/>
  <c r="L176" i="8"/>
  <c r="K176" i="8"/>
  <c r="J176" i="8"/>
  <c r="I176" i="8"/>
  <c r="H176" i="8"/>
  <c r="G176" i="8"/>
  <c r="E176" i="8"/>
  <c r="D176" i="8"/>
  <c r="C176" i="8"/>
  <c r="V175" i="8"/>
  <c r="U175" i="8"/>
  <c r="T175" i="8"/>
  <c r="S175" i="8"/>
  <c r="R175" i="8"/>
  <c r="P175" i="8"/>
  <c r="O175" i="8"/>
  <c r="M175" i="8"/>
  <c r="L175" i="8"/>
  <c r="K175" i="8"/>
  <c r="J175" i="8"/>
  <c r="I175" i="8"/>
  <c r="H175" i="8"/>
  <c r="G175" i="8"/>
  <c r="E175" i="8"/>
  <c r="D175" i="8"/>
  <c r="C175" i="8"/>
  <c r="V174" i="8"/>
  <c r="U174" i="8"/>
  <c r="T174" i="8"/>
  <c r="S174" i="8"/>
  <c r="R174" i="8"/>
  <c r="P174" i="8"/>
  <c r="O174" i="8"/>
  <c r="M174" i="8"/>
  <c r="L174" i="8"/>
  <c r="K174" i="8"/>
  <c r="J174" i="8"/>
  <c r="I174" i="8"/>
  <c r="H174" i="8"/>
  <c r="G174" i="8"/>
  <c r="E174" i="8"/>
  <c r="D174" i="8"/>
  <c r="C174" i="8"/>
  <c r="V173" i="8"/>
  <c r="U173" i="8"/>
  <c r="T173" i="8"/>
  <c r="S173" i="8"/>
  <c r="R173" i="8"/>
  <c r="P173" i="8"/>
  <c r="O173" i="8"/>
  <c r="M173" i="8"/>
  <c r="L173" i="8"/>
  <c r="K173" i="8"/>
  <c r="J173" i="8"/>
  <c r="I173" i="8"/>
  <c r="H173" i="8"/>
  <c r="G173" i="8"/>
  <c r="E173" i="8"/>
  <c r="D173" i="8"/>
  <c r="C173" i="8"/>
  <c r="V172" i="8"/>
  <c r="U172" i="8"/>
  <c r="T172" i="8"/>
  <c r="S172" i="8"/>
  <c r="R172" i="8"/>
  <c r="P172" i="8"/>
  <c r="O172" i="8"/>
  <c r="M172" i="8"/>
  <c r="L172" i="8"/>
  <c r="K172" i="8"/>
  <c r="J172" i="8"/>
  <c r="I172" i="8"/>
  <c r="H172" i="8"/>
  <c r="G172" i="8"/>
  <c r="E172" i="8"/>
  <c r="D172" i="8"/>
  <c r="C172" i="8"/>
  <c r="V171" i="8"/>
  <c r="U171" i="8"/>
  <c r="T171" i="8"/>
  <c r="S171" i="8"/>
  <c r="R171" i="8"/>
  <c r="P171" i="8"/>
  <c r="O171" i="8"/>
  <c r="M171" i="8"/>
  <c r="L171" i="8"/>
  <c r="K171" i="8"/>
  <c r="J171" i="8"/>
  <c r="I171" i="8"/>
  <c r="H171" i="8"/>
  <c r="G171" i="8"/>
  <c r="E171" i="8"/>
  <c r="D171" i="8"/>
  <c r="C171" i="8"/>
  <c r="V170" i="8"/>
  <c r="U170" i="8"/>
  <c r="T170" i="8"/>
  <c r="S170" i="8"/>
  <c r="R170" i="8"/>
  <c r="P170" i="8"/>
  <c r="O170" i="8"/>
  <c r="M170" i="8"/>
  <c r="L170" i="8"/>
  <c r="K170" i="8"/>
  <c r="J170" i="8"/>
  <c r="I170" i="8"/>
  <c r="H170" i="8"/>
  <c r="G170" i="8"/>
  <c r="E170" i="8"/>
  <c r="D170" i="8"/>
  <c r="C170" i="8"/>
  <c r="V169" i="8"/>
  <c r="U169" i="8"/>
  <c r="T169" i="8"/>
  <c r="S169" i="8"/>
  <c r="R169" i="8"/>
  <c r="P169" i="8"/>
  <c r="O169" i="8"/>
  <c r="M169" i="8"/>
  <c r="L169" i="8"/>
  <c r="K169" i="8"/>
  <c r="J169" i="8"/>
  <c r="I169" i="8"/>
  <c r="H169" i="8"/>
  <c r="G169" i="8"/>
  <c r="E169" i="8"/>
  <c r="D169" i="8"/>
  <c r="C169" i="8"/>
  <c r="V168" i="8"/>
  <c r="U168" i="8"/>
  <c r="T168" i="8"/>
  <c r="S168" i="8"/>
  <c r="R168" i="8"/>
  <c r="P168" i="8"/>
  <c r="O168" i="8"/>
  <c r="M168" i="8"/>
  <c r="L168" i="8"/>
  <c r="K168" i="8"/>
  <c r="J168" i="8"/>
  <c r="I168" i="8"/>
  <c r="H168" i="8"/>
  <c r="G168" i="8"/>
  <c r="E168" i="8"/>
  <c r="D168" i="8"/>
  <c r="C168" i="8"/>
  <c r="V167" i="8"/>
  <c r="U167" i="8"/>
  <c r="T167" i="8"/>
  <c r="S167" i="8"/>
  <c r="R167" i="8"/>
  <c r="P167" i="8"/>
  <c r="O167" i="8"/>
  <c r="M167" i="8"/>
  <c r="L167" i="8"/>
  <c r="K167" i="8"/>
  <c r="J167" i="8"/>
  <c r="I167" i="8"/>
  <c r="H167" i="8"/>
  <c r="G167" i="8"/>
  <c r="E167" i="8"/>
  <c r="D167" i="8"/>
  <c r="C167" i="8"/>
  <c r="V166" i="8"/>
  <c r="U166" i="8"/>
  <c r="T166" i="8"/>
  <c r="S166" i="8"/>
  <c r="R166" i="8"/>
  <c r="P166" i="8"/>
  <c r="O166" i="8"/>
  <c r="M166" i="8"/>
  <c r="L166" i="8"/>
  <c r="K166" i="8"/>
  <c r="J166" i="8"/>
  <c r="I166" i="8"/>
  <c r="H166" i="8"/>
  <c r="G166" i="8"/>
  <c r="E166" i="8"/>
  <c r="D166" i="8"/>
  <c r="C166" i="8"/>
  <c r="V165" i="8"/>
  <c r="U165" i="8"/>
  <c r="T165" i="8"/>
  <c r="S165" i="8"/>
  <c r="R165" i="8"/>
  <c r="P165" i="8"/>
  <c r="O165" i="8"/>
  <c r="M165" i="8"/>
  <c r="L165" i="8"/>
  <c r="K165" i="8"/>
  <c r="J165" i="8"/>
  <c r="I165" i="8"/>
  <c r="H165" i="8"/>
  <c r="G165" i="8"/>
  <c r="E165" i="8"/>
  <c r="D165" i="8"/>
  <c r="C165" i="8"/>
  <c r="V164" i="8"/>
  <c r="U164" i="8"/>
  <c r="T164" i="8"/>
  <c r="S164" i="8"/>
  <c r="R164" i="8"/>
  <c r="P164" i="8"/>
  <c r="O164" i="8"/>
  <c r="M164" i="8"/>
  <c r="L164" i="8"/>
  <c r="K164" i="8"/>
  <c r="J164" i="8"/>
  <c r="I164" i="8"/>
  <c r="H164" i="8"/>
  <c r="G164" i="8"/>
  <c r="E164" i="8"/>
  <c r="D164" i="8"/>
  <c r="C164" i="8"/>
  <c r="V163" i="8"/>
  <c r="U163" i="8"/>
  <c r="T163" i="8"/>
  <c r="S163" i="8"/>
  <c r="R163" i="8"/>
  <c r="P163" i="8"/>
  <c r="O163" i="8"/>
  <c r="M163" i="8"/>
  <c r="L163" i="8"/>
  <c r="K163" i="8"/>
  <c r="J163" i="8"/>
  <c r="I163" i="8"/>
  <c r="H163" i="8"/>
  <c r="G163" i="8"/>
  <c r="E163" i="8"/>
  <c r="D163" i="8"/>
  <c r="C163" i="8"/>
  <c r="V162" i="8"/>
  <c r="U162" i="8"/>
  <c r="T162" i="8"/>
  <c r="S162" i="8"/>
  <c r="R162" i="8"/>
  <c r="P162" i="8"/>
  <c r="O162" i="8"/>
  <c r="M162" i="8"/>
  <c r="L162" i="8"/>
  <c r="K162" i="8"/>
  <c r="J162" i="8"/>
  <c r="I162" i="8"/>
  <c r="H162" i="8"/>
  <c r="G162" i="8"/>
  <c r="E162" i="8"/>
  <c r="D162" i="8"/>
  <c r="C162" i="8"/>
  <c r="V161" i="8"/>
  <c r="U161" i="8"/>
  <c r="T161" i="8"/>
  <c r="S161" i="8"/>
  <c r="R161" i="8"/>
  <c r="P161" i="8"/>
  <c r="O161" i="8"/>
  <c r="M161" i="8"/>
  <c r="L161" i="8"/>
  <c r="K161" i="8"/>
  <c r="J161" i="8"/>
  <c r="I161" i="8"/>
  <c r="H161" i="8"/>
  <c r="G161" i="8"/>
  <c r="E161" i="8"/>
  <c r="D161" i="8"/>
  <c r="C161" i="8"/>
  <c r="V160" i="8"/>
  <c r="U160" i="8"/>
  <c r="T160" i="8"/>
  <c r="S160" i="8"/>
  <c r="R160" i="8"/>
  <c r="P160" i="8"/>
  <c r="O160" i="8"/>
  <c r="M160" i="8"/>
  <c r="L160" i="8"/>
  <c r="K160" i="8"/>
  <c r="J160" i="8"/>
  <c r="I160" i="8"/>
  <c r="H160" i="8"/>
  <c r="G160" i="8"/>
  <c r="E160" i="8"/>
  <c r="D160" i="8"/>
  <c r="C160" i="8"/>
  <c r="V159" i="8"/>
  <c r="U159" i="8"/>
  <c r="T159" i="8"/>
  <c r="S159" i="8"/>
  <c r="R159" i="8"/>
  <c r="P159" i="8"/>
  <c r="O159" i="8"/>
  <c r="M159" i="8"/>
  <c r="L159" i="8"/>
  <c r="K159" i="8"/>
  <c r="J159" i="8"/>
  <c r="I159" i="8"/>
  <c r="H159" i="8"/>
  <c r="G159" i="8"/>
  <c r="E159" i="8"/>
  <c r="D159" i="8"/>
  <c r="C159" i="8"/>
  <c r="V158" i="8"/>
  <c r="U158" i="8"/>
  <c r="T158" i="8"/>
  <c r="S158" i="8"/>
  <c r="R158" i="8"/>
  <c r="P158" i="8"/>
  <c r="O158" i="8"/>
  <c r="M158" i="8"/>
  <c r="L158" i="8"/>
  <c r="K158" i="8"/>
  <c r="J158" i="8"/>
  <c r="I158" i="8"/>
  <c r="H158" i="8"/>
  <c r="G158" i="8"/>
  <c r="E158" i="8"/>
  <c r="D158" i="8"/>
  <c r="C158" i="8"/>
  <c r="V157" i="8"/>
  <c r="U157" i="8"/>
  <c r="T157" i="8"/>
  <c r="S157" i="8"/>
  <c r="R157" i="8"/>
  <c r="P157" i="8"/>
  <c r="O157" i="8"/>
  <c r="M157" i="8"/>
  <c r="L157" i="8"/>
  <c r="K157" i="8"/>
  <c r="J157" i="8"/>
  <c r="I157" i="8"/>
  <c r="H157" i="8"/>
  <c r="G157" i="8"/>
  <c r="E157" i="8"/>
  <c r="D157" i="8"/>
  <c r="C157" i="8"/>
  <c r="V156" i="8"/>
  <c r="U156" i="8"/>
  <c r="T156" i="8"/>
  <c r="S156" i="8"/>
  <c r="R156" i="8"/>
  <c r="P156" i="8"/>
  <c r="O156" i="8"/>
  <c r="M156" i="8"/>
  <c r="L156" i="8"/>
  <c r="K156" i="8"/>
  <c r="J156" i="8"/>
  <c r="I156" i="8"/>
  <c r="H156" i="8"/>
  <c r="G156" i="8"/>
  <c r="E156" i="8"/>
  <c r="D156" i="8"/>
  <c r="C156" i="8"/>
  <c r="V155" i="8"/>
  <c r="U155" i="8"/>
  <c r="T155" i="8"/>
  <c r="S155" i="8"/>
  <c r="R155" i="8"/>
  <c r="P155" i="8"/>
  <c r="O155" i="8"/>
  <c r="M155" i="8"/>
  <c r="L155" i="8"/>
  <c r="K155" i="8"/>
  <c r="J155" i="8"/>
  <c r="I155" i="8"/>
  <c r="H155" i="8"/>
  <c r="G155" i="8"/>
  <c r="E155" i="8"/>
  <c r="D155" i="8"/>
  <c r="C155" i="8"/>
  <c r="V154" i="8"/>
  <c r="U154" i="8"/>
  <c r="T154" i="8"/>
  <c r="S154" i="8"/>
  <c r="R154" i="8"/>
  <c r="P154" i="8"/>
  <c r="O154" i="8"/>
  <c r="M154" i="8"/>
  <c r="L154" i="8"/>
  <c r="K154" i="8"/>
  <c r="J154" i="8"/>
  <c r="I154" i="8"/>
  <c r="H154" i="8"/>
  <c r="G154" i="8"/>
  <c r="E154" i="8"/>
  <c r="D154" i="8"/>
  <c r="C154" i="8"/>
  <c r="V153" i="8"/>
  <c r="U153" i="8"/>
  <c r="T153" i="8"/>
  <c r="S153" i="8"/>
  <c r="R153" i="8"/>
  <c r="P153" i="8"/>
  <c r="O153" i="8"/>
  <c r="M153" i="8"/>
  <c r="L153" i="8"/>
  <c r="K153" i="8"/>
  <c r="J153" i="8"/>
  <c r="I153" i="8"/>
  <c r="H153" i="8"/>
  <c r="G153" i="8"/>
  <c r="E153" i="8"/>
  <c r="D153" i="8"/>
  <c r="C153" i="8"/>
  <c r="V152" i="8"/>
  <c r="U152" i="8"/>
  <c r="T152" i="8"/>
  <c r="S152" i="8"/>
  <c r="R152" i="8"/>
  <c r="P152" i="8"/>
  <c r="O152" i="8"/>
  <c r="M152" i="8"/>
  <c r="L152" i="8"/>
  <c r="K152" i="8"/>
  <c r="J152" i="8"/>
  <c r="I152" i="8"/>
  <c r="H152" i="8"/>
  <c r="G152" i="8"/>
  <c r="E152" i="8"/>
  <c r="D152" i="8"/>
  <c r="C152" i="8"/>
  <c r="V151" i="8"/>
  <c r="U151" i="8"/>
  <c r="T151" i="8"/>
  <c r="S151" i="8"/>
  <c r="R151" i="8"/>
  <c r="P151" i="8"/>
  <c r="O151" i="8"/>
  <c r="M151" i="8"/>
  <c r="L151" i="8"/>
  <c r="K151" i="8"/>
  <c r="J151" i="8"/>
  <c r="I151" i="8"/>
  <c r="H151" i="8"/>
  <c r="G151" i="8"/>
  <c r="E151" i="8"/>
  <c r="D151" i="8"/>
  <c r="C151" i="8"/>
  <c r="V150" i="8"/>
  <c r="U150" i="8"/>
  <c r="T150" i="8"/>
  <c r="S150" i="8"/>
  <c r="R150" i="8"/>
  <c r="P150" i="8"/>
  <c r="O150" i="8"/>
  <c r="M150" i="8"/>
  <c r="L150" i="8"/>
  <c r="K150" i="8"/>
  <c r="J150" i="8"/>
  <c r="I150" i="8"/>
  <c r="H150" i="8"/>
  <c r="G150" i="8"/>
  <c r="E150" i="8"/>
  <c r="D150" i="8"/>
  <c r="C150" i="8"/>
  <c r="V149" i="8"/>
  <c r="U149" i="8"/>
  <c r="T149" i="8"/>
  <c r="S149" i="8"/>
  <c r="R149" i="8"/>
  <c r="P149" i="8"/>
  <c r="O149" i="8"/>
  <c r="M149" i="8"/>
  <c r="L149" i="8"/>
  <c r="K149" i="8"/>
  <c r="J149" i="8"/>
  <c r="I149" i="8"/>
  <c r="H149" i="8"/>
  <c r="G149" i="8"/>
  <c r="E149" i="8"/>
  <c r="D149" i="8"/>
  <c r="C149" i="8"/>
  <c r="V148" i="8"/>
  <c r="U148" i="8"/>
  <c r="T148" i="8"/>
  <c r="S148" i="8"/>
  <c r="R148" i="8"/>
  <c r="P148" i="8"/>
  <c r="O148" i="8"/>
  <c r="M148" i="8"/>
  <c r="L148" i="8"/>
  <c r="K148" i="8"/>
  <c r="J148" i="8"/>
  <c r="I148" i="8"/>
  <c r="H148" i="8"/>
  <c r="G148" i="8"/>
  <c r="E148" i="8"/>
  <c r="D148" i="8"/>
  <c r="C148" i="8"/>
  <c r="V147" i="8"/>
  <c r="U147" i="8"/>
  <c r="T147" i="8"/>
  <c r="S147" i="8"/>
  <c r="R147" i="8"/>
  <c r="P147" i="8"/>
  <c r="O147" i="8"/>
  <c r="M147" i="8"/>
  <c r="L147" i="8"/>
  <c r="K147" i="8"/>
  <c r="J147" i="8"/>
  <c r="I147" i="8"/>
  <c r="H147" i="8"/>
  <c r="G147" i="8"/>
  <c r="E147" i="8"/>
  <c r="D147" i="8"/>
  <c r="C147" i="8"/>
  <c r="V146" i="8"/>
  <c r="U146" i="8"/>
  <c r="T146" i="8"/>
  <c r="S146" i="8"/>
  <c r="R146" i="8"/>
  <c r="P146" i="8"/>
  <c r="O146" i="8"/>
  <c r="M146" i="8"/>
  <c r="L146" i="8"/>
  <c r="K146" i="8"/>
  <c r="J146" i="8"/>
  <c r="I146" i="8"/>
  <c r="H146" i="8"/>
  <c r="G146" i="8"/>
  <c r="E146" i="8"/>
  <c r="D146" i="8"/>
  <c r="C146" i="8"/>
  <c r="V145" i="8"/>
  <c r="U145" i="8"/>
  <c r="T145" i="8"/>
  <c r="S145" i="8"/>
  <c r="R145" i="8"/>
  <c r="P145" i="8"/>
  <c r="O145" i="8"/>
  <c r="M145" i="8"/>
  <c r="L145" i="8"/>
  <c r="K145" i="8"/>
  <c r="J145" i="8"/>
  <c r="I145" i="8"/>
  <c r="H145" i="8"/>
  <c r="G145" i="8"/>
  <c r="E145" i="8"/>
  <c r="D145" i="8"/>
  <c r="C145" i="8"/>
  <c r="V144" i="8"/>
  <c r="U144" i="8"/>
  <c r="T144" i="8"/>
  <c r="S144" i="8"/>
  <c r="R144" i="8"/>
  <c r="P144" i="8"/>
  <c r="O144" i="8"/>
  <c r="M144" i="8"/>
  <c r="L144" i="8"/>
  <c r="K144" i="8"/>
  <c r="J144" i="8"/>
  <c r="I144" i="8"/>
  <c r="H144" i="8"/>
  <c r="G144" i="8"/>
  <c r="E144" i="8"/>
  <c r="D144" i="8"/>
  <c r="C144" i="8"/>
  <c r="V143" i="8"/>
  <c r="U143" i="8"/>
  <c r="T143" i="8"/>
  <c r="S143" i="8"/>
  <c r="R143" i="8"/>
  <c r="P143" i="8"/>
  <c r="O143" i="8"/>
  <c r="M143" i="8"/>
  <c r="L143" i="8"/>
  <c r="K143" i="8"/>
  <c r="J143" i="8"/>
  <c r="I143" i="8"/>
  <c r="H143" i="8"/>
  <c r="G143" i="8"/>
  <c r="E143" i="8"/>
  <c r="D143" i="8"/>
  <c r="C143" i="8"/>
  <c r="V142" i="8"/>
  <c r="U142" i="8"/>
  <c r="T142" i="8"/>
  <c r="S142" i="8"/>
  <c r="R142" i="8"/>
  <c r="P142" i="8"/>
  <c r="O142" i="8"/>
  <c r="M142" i="8"/>
  <c r="L142" i="8"/>
  <c r="K142" i="8"/>
  <c r="J142" i="8"/>
  <c r="I142" i="8"/>
  <c r="H142" i="8"/>
  <c r="G142" i="8"/>
  <c r="E142" i="8"/>
  <c r="D142" i="8"/>
  <c r="C142" i="8"/>
  <c r="V141" i="8"/>
  <c r="U141" i="8"/>
  <c r="T141" i="8"/>
  <c r="S141" i="8"/>
  <c r="R141" i="8"/>
  <c r="P141" i="8"/>
  <c r="O141" i="8"/>
  <c r="M141" i="8"/>
  <c r="L141" i="8"/>
  <c r="K141" i="8"/>
  <c r="J141" i="8"/>
  <c r="I141" i="8"/>
  <c r="H141" i="8"/>
  <c r="G141" i="8"/>
  <c r="E141" i="8"/>
  <c r="D141" i="8"/>
  <c r="C141" i="8"/>
  <c r="V140" i="8"/>
  <c r="U140" i="8"/>
  <c r="T140" i="8"/>
  <c r="S140" i="8"/>
  <c r="R140" i="8"/>
  <c r="P140" i="8"/>
  <c r="O140" i="8"/>
  <c r="M140" i="8"/>
  <c r="L140" i="8"/>
  <c r="K140" i="8"/>
  <c r="J140" i="8"/>
  <c r="I140" i="8"/>
  <c r="H140" i="8"/>
  <c r="G140" i="8"/>
  <c r="E140" i="8"/>
  <c r="D140" i="8"/>
  <c r="C140" i="8"/>
  <c r="V139" i="8"/>
  <c r="U139" i="8"/>
  <c r="T139" i="8"/>
  <c r="S139" i="8"/>
  <c r="R139" i="8"/>
  <c r="P139" i="8"/>
  <c r="O139" i="8"/>
  <c r="M139" i="8"/>
  <c r="L139" i="8"/>
  <c r="K139" i="8"/>
  <c r="J139" i="8"/>
  <c r="I139" i="8"/>
  <c r="H139" i="8"/>
  <c r="G139" i="8"/>
  <c r="E139" i="8"/>
  <c r="D139" i="8"/>
  <c r="C139" i="8"/>
  <c r="V138" i="8"/>
  <c r="U138" i="8"/>
  <c r="T138" i="8"/>
  <c r="S138" i="8"/>
  <c r="R138" i="8"/>
  <c r="P138" i="8"/>
  <c r="O138" i="8"/>
  <c r="M138" i="8"/>
  <c r="L138" i="8"/>
  <c r="K138" i="8"/>
  <c r="J138" i="8"/>
  <c r="I138" i="8"/>
  <c r="H138" i="8"/>
  <c r="G138" i="8"/>
  <c r="E138" i="8"/>
  <c r="D138" i="8"/>
  <c r="C138" i="8"/>
  <c r="V137" i="8"/>
  <c r="U137" i="8"/>
  <c r="T137" i="8"/>
  <c r="S137" i="8"/>
  <c r="R137" i="8"/>
  <c r="P137" i="8"/>
  <c r="O137" i="8"/>
  <c r="M137" i="8"/>
  <c r="L137" i="8"/>
  <c r="K137" i="8"/>
  <c r="J137" i="8"/>
  <c r="I137" i="8"/>
  <c r="H137" i="8"/>
  <c r="G137" i="8"/>
  <c r="E137" i="8"/>
  <c r="D137" i="8"/>
  <c r="C137" i="8"/>
  <c r="V136" i="8"/>
  <c r="U136" i="8"/>
  <c r="T136" i="8"/>
  <c r="S136" i="8"/>
  <c r="R136" i="8"/>
  <c r="P136" i="8"/>
  <c r="O136" i="8"/>
  <c r="M136" i="8"/>
  <c r="L136" i="8"/>
  <c r="K136" i="8"/>
  <c r="J136" i="8"/>
  <c r="I136" i="8"/>
  <c r="H136" i="8"/>
  <c r="G136" i="8"/>
  <c r="E136" i="8"/>
  <c r="D136" i="8"/>
  <c r="C136" i="8"/>
  <c r="V135" i="8"/>
  <c r="U135" i="8"/>
  <c r="T135" i="8"/>
  <c r="S135" i="8"/>
  <c r="R135" i="8"/>
  <c r="P135" i="8"/>
  <c r="O135" i="8"/>
  <c r="M135" i="8"/>
  <c r="L135" i="8"/>
  <c r="K135" i="8"/>
  <c r="J135" i="8"/>
  <c r="I135" i="8"/>
  <c r="H135" i="8"/>
  <c r="G135" i="8"/>
  <c r="E135" i="8"/>
  <c r="D135" i="8"/>
  <c r="C135" i="8"/>
  <c r="V134" i="8"/>
  <c r="U134" i="8"/>
  <c r="T134" i="8"/>
  <c r="S134" i="8"/>
  <c r="R134" i="8"/>
  <c r="P134" i="8"/>
  <c r="O134" i="8"/>
  <c r="M134" i="8"/>
  <c r="L134" i="8"/>
  <c r="K134" i="8"/>
  <c r="J134" i="8"/>
  <c r="I134" i="8"/>
  <c r="H134" i="8"/>
  <c r="G134" i="8"/>
  <c r="E134" i="8"/>
  <c r="D134" i="8"/>
  <c r="C134" i="8"/>
  <c r="V133" i="8"/>
  <c r="U133" i="8"/>
  <c r="T133" i="8"/>
  <c r="S133" i="8"/>
  <c r="R133" i="8"/>
  <c r="P133" i="8"/>
  <c r="O133" i="8"/>
  <c r="M133" i="8"/>
  <c r="L133" i="8"/>
  <c r="K133" i="8"/>
  <c r="J133" i="8"/>
  <c r="I133" i="8"/>
  <c r="H133" i="8"/>
  <c r="G133" i="8"/>
  <c r="E133" i="8"/>
  <c r="D133" i="8"/>
  <c r="C133" i="8"/>
  <c r="V132" i="8"/>
  <c r="U132" i="8"/>
  <c r="T132" i="8"/>
  <c r="S132" i="8"/>
  <c r="R132" i="8"/>
  <c r="P132" i="8"/>
  <c r="O132" i="8"/>
  <c r="M132" i="8"/>
  <c r="L132" i="8"/>
  <c r="K132" i="8"/>
  <c r="J132" i="8"/>
  <c r="I132" i="8"/>
  <c r="H132" i="8"/>
  <c r="G132" i="8"/>
  <c r="E132" i="8"/>
  <c r="D132" i="8"/>
  <c r="C132" i="8"/>
  <c r="V131" i="8"/>
  <c r="U131" i="8"/>
  <c r="T131" i="8"/>
  <c r="S131" i="8"/>
  <c r="R131" i="8"/>
  <c r="P131" i="8"/>
  <c r="O131" i="8"/>
  <c r="M131" i="8"/>
  <c r="L131" i="8"/>
  <c r="K131" i="8"/>
  <c r="J131" i="8"/>
  <c r="I131" i="8"/>
  <c r="H131" i="8"/>
  <c r="G131" i="8"/>
  <c r="E131" i="8"/>
  <c r="D131" i="8"/>
  <c r="C131" i="8"/>
  <c r="V130" i="8"/>
  <c r="U130" i="8"/>
  <c r="T130" i="8"/>
  <c r="S130" i="8"/>
  <c r="R130" i="8"/>
  <c r="P130" i="8"/>
  <c r="O130" i="8"/>
  <c r="M130" i="8"/>
  <c r="L130" i="8"/>
  <c r="K130" i="8"/>
  <c r="J130" i="8"/>
  <c r="I130" i="8"/>
  <c r="H130" i="8"/>
  <c r="G130" i="8"/>
  <c r="E130" i="8"/>
  <c r="D130" i="8"/>
  <c r="C130" i="8"/>
  <c r="V129" i="8"/>
  <c r="U129" i="8"/>
  <c r="T129" i="8"/>
  <c r="S129" i="8"/>
  <c r="R129" i="8"/>
  <c r="P129" i="8"/>
  <c r="O129" i="8"/>
  <c r="M129" i="8"/>
  <c r="L129" i="8"/>
  <c r="K129" i="8"/>
  <c r="J129" i="8"/>
  <c r="I129" i="8"/>
  <c r="H129" i="8"/>
  <c r="G129" i="8"/>
  <c r="E129" i="8"/>
  <c r="D129" i="8"/>
  <c r="C129" i="8"/>
  <c r="V128" i="8"/>
  <c r="U128" i="8"/>
  <c r="T128" i="8"/>
  <c r="S128" i="8"/>
  <c r="R128" i="8"/>
  <c r="P128" i="8"/>
  <c r="O128" i="8"/>
  <c r="M128" i="8"/>
  <c r="L128" i="8"/>
  <c r="K128" i="8"/>
  <c r="J128" i="8"/>
  <c r="I128" i="8"/>
  <c r="H128" i="8"/>
  <c r="G128" i="8"/>
  <c r="E128" i="8"/>
  <c r="D128" i="8"/>
  <c r="C128" i="8"/>
  <c r="V127" i="8"/>
  <c r="U127" i="8"/>
  <c r="T127" i="8"/>
  <c r="S127" i="8"/>
  <c r="R127" i="8"/>
  <c r="P127" i="8"/>
  <c r="O127" i="8"/>
  <c r="M127" i="8"/>
  <c r="L127" i="8"/>
  <c r="K127" i="8"/>
  <c r="J127" i="8"/>
  <c r="I127" i="8"/>
  <c r="H127" i="8"/>
  <c r="G127" i="8"/>
  <c r="E127" i="8"/>
  <c r="D127" i="8"/>
  <c r="C127" i="8"/>
  <c r="V126" i="8"/>
  <c r="U126" i="8"/>
  <c r="T126" i="8"/>
  <c r="S126" i="8"/>
  <c r="R126" i="8"/>
  <c r="P126" i="8"/>
  <c r="O126" i="8"/>
  <c r="M126" i="8"/>
  <c r="L126" i="8"/>
  <c r="K126" i="8"/>
  <c r="J126" i="8"/>
  <c r="I126" i="8"/>
  <c r="H126" i="8"/>
  <c r="G126" i="8"/>
  <c r="E126" i="8"/>
  <c r="D126" i="8"/>
  <c r="C126" i="8"/>
  <c r="V125" i="8"/>
  <c r="U125" i="8"/>
  <c r="T125" i="8"/>
  <c r="S125" i="8"/>
  <c r="R125" i="8"/>
  <c r="P125" i="8"/>
  <c r="O125" i="8"/>
  <c r="M125" i="8"/>
  <c r="L125" i="8"/>
  <c r="K125" i="8"/>
  <c r="J125" i="8"/>
  <c r="I125" i="8"/>
  <c r="H125" i="8"/>
  <c r="G125" i="8"/>
  <c r="E125" i="8"/>
  <c r="D125" i="8"/>
  <c r="C125" i="8"/>
  <c r="V124" i="8"/>
  <c r="U124" i="8"/>
  <c r="T124" i="8"/>
  <c r="S124" i="8"/>
  <c r="R124" i="8"/>
  <c r="P124" i="8"/>
  <c r="O124" i="8"/>
  <c r="M124" i="8"/>
  <c r="L124" i="8"/>
  <c r="K124" i="8"/>
  <c r="J124" i="8"/>
  <c r="I124" i="8"/>
  <c r="H124" i="8"/>
  <c r="G124" i="8"/>
  <c r="E124" i="8"/>
  <c r="D124" i="8"/>
  <c r="C124" i="8"/>
  <c r="V123" i="8"/>
  <c r="U123" i="8"/>
  <c r="T123" i="8"/>
  <c r="S123" i="8"/>
  <c r="R123" i="8"/>
  <c r="P123" i="8"/>
  <c r="O123" i="8"/>
  <c r="M123" i="8"/>
  <c r="L123" i="8"/>
  <c r="K123" i="8"/>
  <c r="J123" i="8"/>
  <c r="I123" i="8"/>
  <c r="H123" i="8"/>
  <c r="G123" i="8"/>
  <c r="E123" i="8"/>
  <c r="D123" i="8"/>
  <c r="C123" i="8"/>
  <c r="V122" i="8"/>
  <c r="U122" i="8"/>
  <c r="T122" i="8"/>
  <c r="S122" i="8"/>
  <c r="R122" i="8"/>
  <c r="P122" i="8"/>
  <c r="O122" i="8"/>
  <c r="M122" i="8"/>
  <c r="L122" i="8"/>
  <c r="K122" i="8"/>
  <c r="J122" i="8"/>
  <c r="I122" i="8"/>
  <c r="H122" i="8"/>
  <c r="G122" i="8"/>
  <c r="E122" i="8"/>
  <c r="D122" i="8"/>
  <c r="C122" i="8"/>
  <c r="V121" i="8"/>
  <c r="U121" i="8"/>
  <c r="T121" i="8"/>
  <c r="S121" i="8"/>
  <c r="R121" i="8"/>
  <c r="P121" i="8"/>
  <c r="O121" i="8"/>
  <c r="M121" i="8"/>
  <c r="L121" i="8"/>
  <c r="K121" i="8"/>
  <c r="J121" i="8"/>
  <c r="I121" i="8"/>
  <c r="H121" i="8"/>
  <c r="G121" i="8"/>
  <c r="E121" i="8"/>
  <c r="D121" i="8"/>
  <c r="C121" i="8"/>
  <c r="V120" i="8"/>
  <c r="U120" i="8"/>
  <c r="T120" i="8"/>
  <c r="S120" i="8"/>
  <c r="R120" i="8"/>
  <c r="P120" i="8"/>
  <c r="O120" i="8"/>
  <c r="M120" i="8"/>
  <c r="L120" i="8"/>
  <c r="K120" i="8"/>
  <c r="J120" i="8"/>
  <c r="I120" i="8"/>
  <c r="H120" i="8"/>
  <c r="G120" i="8"/>
  <c r="E120" i="8"/>
  <c r="D120" i="8"/>
  <c r="C120" i="8"/>
  <c r="V119" i="8"/>
  <c r="U119" i="8"/>
  <c r="T119" i="8"/>
  <c r="S119" i="8"/>
  <c r="R119" i="8"/>
  <c r="P119" i="8"/>
  <c r="O119" i="8"/>
  <c r="M119" i="8"/>
  <c r="L119" i="8"/>
  <c r="K119" i="8"/>
  <c r="J119" i="8"/>
  <c r="I119" i="8"/>
  <c r="H119" i="8"/>
  <c r="G119" i="8"/>
  <c r="E119" i="8"/>
  <c r="D119" i="8"/>
  <c r="C119" i="8"/>
  <c r="V118" i="8"/>
  <c r="U118" i="8"/>
  <c r="T118" i="8"/>
  <c r="S118" i="8"/>
  <c r="R118" i="8"/>
  <c r="P118" i="8"/>
  <c r="O118" i="8"/>
  <c r="M118" i="8"/>
  <c r="L118" i="8"/>
  <c r="K118" i="8"/>
  <c r="J118" i="8"/>
  <c r="I118" i="8"/>
  <c r="H118" i="8"/>
  <c r="G118" i="8"/>
  <c r="E118" i="8"/>
  <c r="D118" i="8"/>
  <c r="C118" i="8"/>
  <c r="V117" i="8"/>
  <c r="U117" i="8"/>
  <c r="T117" i="8"/>
  <c r="S117" i="8"/>
  <c r="R117" i="8"/>
  <c r="P117" i="8"/>
  <c r="O117" i="8"/>
  <c r="M117" i="8"/>
  <c r="L117" i="8"/>
  <c r="K117" i="8"/>
  <c r="J117" i="8"/>
  <c r="I117" i="8"/>
  <c r="H117" i="8"/>
  <c r="G117" i="8"/>
  <c r="E117" i="8"/>
  <c r="D117" i="8"/>
  <c r="C117" i="8"/>
  <c r="V116" i="8"/>
  <c r="U116" i="8"/>
  <c r="T116" i="8"/>
  <c r="S116" i="8"/>
  <c r="R116" i="8"/>
  <c r="P116" i="8"/>
  <c r="O116" i="8"/>
  <c r="M116" i="8"/>
  <c r="L116" i="8"/>
  <c r="K116" i="8"/>
  <c r="J116" i="8"/>
  <c r="I116" i="8"/>
  <c r="H116" i="8"/>
  <c r="G116" i="8"/>
  <c r="E116" i="8"/>
  <c r="D116" i="8"/>
  <c r="C116" i="8"/>
  <c r="V115" i="8"/>
  <c r="U115" i="8"/>
  <c r="T115" i="8"/>
  <c r="S115" i="8"/>
  <c r="R115" i="8"/>
  <c r="P115" i="8"/>
  <c r="O115" i="8"/>
  <c r="M115" i="8"/>
  <c r="L115" i="8"/>
  <c r="K115" i="8"/>
  <c r="J115" i="8"/>
  <c r="I115" i="8"/>
  <c r="H115" i="8"/>
  <c r="G115" i="8"/>
  <c r="E115" i="8"/>
  <c r="D115" i="8"/>
  <c r="C115" i="8"/>
  <c r="V114" i="8"/>
  <c r="U114" i="8"/>
  <c r="T114" i="8"/>
  <c r="S114" i="8"/>
  <c r="R114" i="8"/>
  <c r="P114" i="8"/>
  <c r="O114" i="8"/>
  <c r="M114" i="8"/>
  <c r="L114" i="8"/>
  <c r="K114" i="8"/>
  <c r="J114" i="8"/>
  <c r="I114" i="8"/>
  <c r="H114" i="8"/>
  <c r="G114" i="8"/>
  <c r="E114" i="8"/>
  <c r="D114" i="8"/>
  <c r="C114" i="8"/>
  <c r="V113" i="8"/>
  <c r="U113" i="8"/>
  <c r="T113" i="8"/>
  <c r="S113" i="8"/>
  <c r="R113" i="8"/>
  <c r="P113" i="8"/>
  <c r="O113" i="8"/>
  <c r="M113" i="8"/>
  <c r="L113" i="8"/>
  <c r="K113" i="8"/>
  <c r="J113" i="8"/>
  <c r="I113" i="8"/>
  <c r="H113" i="8"/>
  <c r="G113" i="8"/>
  <c r="E113" i="8"/>
  <c r="D113" i="8"/>
  <c r="C113" i="8"/>
  <c r="V112" i="8"/>
  <c r="U112" i="8"/>
  <c r="T112" i="8"/>
  <c r="S112" i="8"/>
  <c r="R112" i="8"/>
  <c r="P112" i="8"/>
  <c r="O112" i="8"/>
  <c r="M112" i="8"/>
  <c r="L112" i="8"/>
  <c r="K112" i="8"/>
  <c r="J112" i="8"/>
  <c r="I112" i="8"/>
  <c r="H112" i="8"/>
  <c r="G112" i="8"/>
  <c r="E112" i="8"/>
  <c r="D112" i="8"/>
  <c r="C112" i="8"/>
  <c r="V111" i="8"/>
  <c r="U111" i="8"/>
  <c r="T111" i="8"/>
  <c r="S111" i="8"/>
  <c r="R111" i="8"/>
  <c r="P111" i="8"/>
  <c r="O111" i="8"/>
  <c r="M111" i="8"/>
  <c r="L111" i="8"/>
  <c r="K111" i="8"/>
  <c r="J111" i="8"/>
  <c r="I111" i="8"/>
  <c r="H111" i="8"/>
  <c r="G111" i="8"/>
  <c r="E111" i="8"/>
  <c r="D111" i="8"/>
  <c r="C111" i="8"/>
  <c r="V110" i="8"/>
  <c r="U110" i="8"/>
  <c r="T110" i="8"/>
  <c r="S110" i="8"/>
  <c r="R110" i="8"/>
  <c r="P110" i="8"/>
  <c r="O110" i="8"/>
  <c r="M110" i="8"/>
  <c r="L110" i="8"/>
  <c r="K110" i="8"/>
  <c r="J110" i="8"/>
  <c r="I110" i="8"/>
  <c r="H110" i="8"/>
  <c r="G110" i="8"/>
  <c r="E110" i="8"/>
  <c r="D110" i="8"/>
  <c r="C110" i="8"/>
  <c r="V109" i="8"/>
  <c r="U109" i="8"/>
  <c r="T109" i="8"/>
  <c r="S109" i="8"/>
  <c r="R109" i="8"/>
  <c r="P109" i="8"/>
  <c r="O109" i="8"/>
  <c r="M109" i="8"/>
  <c r="L109" i="8"/>
  <c r="K109" i="8"/>
  <c r="J109" i="8"/>
  <c r="I109" i="8"/>
  <c r="H109" i="8"/>
  <c r="G109" i="8"/>
  <c r="E109" i="8"/>
  <c r="D109" i="8"/>
  <c r="C109" i="8"/>
  <c r="V108" i="8"/>
  <c r="U108" i="8"/>
  <c r="T108" i="8"/>
  <c r="S108" i="8"/>
  <c r="R108" i="8"/>
  <c r="P108" i="8"/>
  <c r="O108" i="8"/>
  <c r="M108" i="8"/>
  <c r="L108" i="8"/>
  <c r="K108" i="8"/>
  <c r="J108" i="8"/>
  <c r="I108" i="8"/>
  <c r="H108" i="8"/>
  <c r="G108" i="8"/>
  <c r="E108" i="8"/>
  <c r="D108" i="8"/>
  <c r="C108" i="8"/>
  <c r="V107" i="8"/>
  <c r="U107" i="8"/>
  <c r="T107" i="8"/>
  <c r="S107" i="8"/>
  <c r="R107" i="8"/>
  <c r="P107" i="8"/>
  <c r="O107" i="8"/>
  <c r="M107" i="8"/>
  <c r="L107" i="8"/>
  <c r="K107" i="8"/>
  <c r="J107" i="8"/>
  <c r="I107" i="8"/>
  <c r="H107" i="8"/>
  <c r="G107" i="8"/>
  <c r="E107" i="8"/>
  <c r="D107" i="8"/>
  <c r="C107" i="8"/>
  <c r="V106" i="8"/>
  <c r="U106" i="8"/>
  <c r="T106" i="8"/>
  <c r="S106" i="8"/>
  <c r="R106" i="8"/>
  <c r="P106" i="8"/>
  <c r="O106" i="8"/>
  <c r="M106" i="8"/>
  <c r="L106" i="8"/>
  <c r="K106" i="8"/>
  <c r="J106" i="8"/>
  <c r="I106" i="8"/>
  <c r="H106" i="8"/>
  <c r="G106" i="8"/>
  <c r="E106" i="8"/>
  <c r="D106" i="8"/>
  <c r="C106" i="8"/>
  <c r="V105" i="8"/>
  <c r="U105" i="8"/>
  <c r="T105" i="8"/>
  <c r="S105" i="8"/>
  <c r="R105" i="8"/>
  <c r="P105" i="8"/>
  <c r="O105" i="8"/>
  <c r="M105" i="8"/>
  <c r="L105" i="8"/>
  <c r="K105" i="8"/>
  <c r="J105" i="8"/>
  <c r="I105" i="8"/>
  <c r="H105" i="8"/>
  <c r="G105" i="8"/>
  <c r="E105" i="8"/>
  <c r="D105" i="8"/>
  <c r="C105" i="8"/>
  <c r="V104" i="8"/>
  <c r="U104" i="8"/>
  <c r="T104" i="8"/>
  <c r="S104" i="8"/>
  <c r="R104" i="8"/>
  <c r="P104" i="8"/>
  <c r="O104" i="8"/>
  <c r="M104" i="8"/>
  <c r="L104" i="8"/>
  <c r="K104" i="8"/>
  <c r="J104" i="8"/>
  <c r="I104" i="8"/>
  <c r="H104" i="8"/>
  <c r="G104" i="8"/>
  <c r="E104" i="8"/>
  <c r="D104" i="8"/>
  <c r="C104" i="8"/>
  <c r="V103" i="8"/>
  <c r="U103" i="8"/>
  <c r="T103" i="8"/>
  <c r="S103" i="8"/>
  <c r="R103" i="8"/>
  <c r="P103" i="8"/>
  <c r="O103" i="8"/>
  <c r="M103" i="8"/>
  <c r="L103" i="8"/>
  <c r="K103" i="8"/>
  <c r="J103" i="8"/>
  <c r="I103" i="8"/>
  <c r="H103" i="8"/>
  <c r="G103" i="8"/>
  <c r="E103" i="8"/>
  <c r="D103" i="8"/>
  <c r="C103" i="8"/>
  <c r="V102" i="8"/>
  <c r="U102" i="8"/>
  <c r="T102" i="8"/>
  <c r="S102" i="8"/>
  <c r="R102" i="8"/>
  <c r="P102" i="8"/>
  <c r="O102" i="8"/>
  <c r="M102" i="8"/>
  <c r="L102" i="8"/>
  <c r="K102" i="8"/>
  <c r="J102" i="8"/>
  <c r="I102" i="8"/>
  <c r="H102" i="8"/>
  <c r="G102" i="8"/>
  <c r="E102" i="8"/>
  <c r="D102" i="8"/>
  <c r="C102" i="8"/>
  <c r="V101" i="8"/>
  <c r="U101" i="8"/>
  <c r="T101" i="8"/>
  <c r="S101" i="8"/>
  <c r="R101" i="8"/>
  <c r="P101" i="8"/>
  <c r="O101" i="8"/>
  <c r="M101" i="8"/>
  <c r="L101" i="8"/>
  <c r="K101" i="8"/>
  <c r="J101" i="8"/>
  <c r="I101" i="8"/>
  <c r="H101" i="8"/>
  <c r="G101" i="8"/>
  <c r="E101" i="8"/>
  <c r="D101" i="8"/>
  <c r="C101" i="8"/>
  <c r="V100" i="8"/>
  <c r="U100" i="8"/>
  <c r="T100" i="8"/>
  <c r="S100" i="8"/>
  <c r="R100" i="8"/>
  <c r="P100" i="8"/>
  <c r="O100" i="8"/>
  <c r="M100" i="8"/>
  <c r="L100" i="8"/>
  <c r="K100" i="8"/>
  <c r="J100" i="8"/>
  <c r="I100" i="8"/>
  <c r="H100" i="8"/>
  <c r="G100" i="8"/>
  <c r="E100" i="8"/>
  <c r="D100" i="8"/>
  <c r="C100" i="8"/>
  <c r="V99" i="8"/>
  <c r="U99" i="8"/>
  <c r="T99" i="8"/>
  <c r="S99" i="8"/>
  <c r="R99" i="8"/>
  <c r="P99" i="8"/>
  <c r="O99" i="8"/>
  <c r="M99" i="8"/>
  <c r="L99" i="8"/>
  <c r="K99" i="8"/>
  <c r="J99" i="8"/>
  <c r="I99" i="8"/>
  <c r="H99" i="8"/>
  <c r="G99" i="8"/>
  <c r="E99" i="8"/>
  <c r="D99" i="8"/>
  <c r="C99" i="8"/>
  <c r="V98" i="8"/>
  <c r="U98" i="8"/>
  <c r="T98" i="8"/>
  <c r="S98" i="8"/>
  <c r="R98" i="8"/>
  <c r="P98" i="8"/>
  <c r="O98" i="8"/>
  <c r="M98" i="8"/>
  <c r="L98" i="8"/>
  <c r="K98" i="8"/>
  <c r="J98" i="8"/>
  <c r="I98" i="8"/>
  <c r="H98" i="8"/>
  <c r="G98" i="8"/>
  <c r="E98" i="8"/>
  <c r="D98" i="8"/>
  <c r="C98" i="8"/>
  <c r="V97" i="8"/>
  <c r="U97" i="8"/>
  <c r="T97" i="8"/>
  <c r="S97" i="8"/>
  <c r="R97" i="8"/>
  <c r="P97" i="8"/>
  <c r="O97" i="8"/>
  <c r="M97" i="8"/>
  <c r="L97" i="8"/>
  <c r="K97" i="8"/>
  <c r="J97" i="8"/>
  <c r="I97" i="8"/>
  <c r="H97" i="8"/>
  <c r="G97" i="8"/>
  <c r="E97" i="8"/>
  <c r="D97" i="8"/>
  <c r="C97" i="8"/>
  <c r="V96" i="8"/>
  <c r="U96" i="8"/>
  <c r="T96" i="8"/>
  <c r="S96" i="8"/>
  <c r="R96" i="8"/>
  <c r="P96" i="8"/>
  <c r="O96" i="8"/>
  <c r="M96" i="8"/>
  <c r="L96" i="8"/>
  <c r="K96" i="8"/>
  <c r="J96" i="8"/>
  <c r="I96" i="8"/>
  <c r="H96" i="8"/>
  <c r="G96" i="8"/>
  <c r="E96" i="8"/>
  <c r="D96" i="8"/>
  <c r="C96" i="8"/>
  <c r="V95" i="8"/>
  <c r="U95" i="8"/>
  <c r="T95" i="8"/>
  <c r="S95" i="8"/>
  <c r="R95" i="8"/>
  <c r="P95" i="8"/>
  <c r="O95" i="8"/>
  <c r="M95" i="8"/>
  <c r="L95" i="8"/>
  <c r="K95" i="8"/>
  <c r="J95" i="8"/>
  <c r="I95" i="8"/>
  <c r="H95" i="8"/>
  <c r="G95" i="8"/>
  <c r="E95" i="8"/>
  <c r="D95" i="8"/>
  <c r="C95" i="8"/>
  <c r="V94" i="8"/>
  <c r="U94" i="8"/>
  <c r="T94" i="8"/>
  <c r="S94" i="8"/>
  <c r="R94" i="8"/>
  <c r="P94" i="8"/>
  <c r="O94" i="8"/>
  <c r="M94" i="8"/>
  <c r="L94" i="8"/>
  <c r="K94" i="8"/>
  <c r="J94" i="8"/>
  <c r="I94" i="8"/>
  <c r="H94" i="8"/>
  <c r="G94" i="8"/>
  <c r="E94" i="8"/>
  <c r="D94" i="8"/>
  <c r="C94" i="8"/>
  <c r="V93" i="8"/>
  <c r="U93" i="8"/>
  <c r="T93" i="8"/>
  <c r="S93" i="8"/>
  <c r="R93" i="8"/>
  <c r="P93" i="8"/>
  <c r="O93" i="8"/>
  <c r="M93" i="8"/>
  <c r="L93" i="8"/>
  <c r="K93" i="8"/>
  <c r="J93" i="8"/>
  <c r="I93" i="8"/>
  <c r="H93" i="8"/>
  <c r="G93" i="8"/>
  <c r="E93" i="8"/>
  <c r="D93" i="8"/>
  <c r="C93" i="8"/>
  <c r="V92" i="8"/>
  <c r="U92" i="8"/>
  <c r="T92" i="8"/>
  <c r="S92" i="8"/>
  <c r="R92" i="8"/>
  <c r="P92" i="8"/>
  <c r="O92" i="8"/>
  <c r="M92" i="8"/>
  <c r="L92" i="8"/>
  <c r="K92" i="8"/>
  <c r="J92" i="8"/>
  <c r="I92" i="8"/>
  <c r="H92" i="8"/>
  <c r="G92" i="8"/>
  <c r="E92" i="8"/>
  <c r="D92" i="8"/>
  <c r="C92" i="8"/>
  <c r="V91" i="8"/>
  <c r="U91" i="8"/>
  <c r="T91" i="8"/>
  <c r="S91" i="8"/>
  <c r="R91" i="8"/>
  <c r="P91" i="8"/>
  <c r="O91" i="8"/>
  <c r="M91" i="8"/>
  <c r="L91" i="8"/>
  <c r="K91" i="8"/>
  <c r="J91" i="8"/>
  <c r="I91" i="8"/>
  <c r="H91" i="8"/>
  <c r="G91" i="8"/>
  <c r="E91" i="8"/>
  <c r="D91" i="8"/>
  <c r="C91" i="8"/>
  <c r="V90" i="8"/>
  <c r="U90" i="8"/>
  <c r="T90" i="8"/>
  <c r="S90" i="8"/>
  <c r="R90" i="8"/>
  <c r="P90" i="8"/>
  <c r="O90" i="8"/>
  <c r="M90" i="8"/>
  <c r="L90" i="8"/>
  <c r="K90" i="8"/>
  <c r="J90" i="8"/>
  <c r="I90" i="8"/>
  <c r="H90" i="8"/>
  <c r="G90" i="8"/>
  <c r="E90" i="8"/>
  <c r="D90" i="8"/>
  <c r="C90" i="8"/>
  <c r="V89" i="8"/>
  <c r="U89" i="8"/>
  <c r="T89" i="8"/>
  <c r="S89" i="8"/>
  <c r="R89" i="8"/>
  <c r="P89" i="8"/>
  <c r="O89" i="8"/>
  <c r="M89" i="8"/>
  <c r="L89" i="8"/>
  <c r="K89" i="8"/>
  <c r="J89" i="8"/>
  <c r="I89" i="8"/>
  <c r="H89" i="8"/>
  <c r="G89" i="8"/>
  <c r="E89" i="8"/>
  <c r="D89" i="8"/>
  <c r="C89" i="8"/>
  <c r="V88" i="8"/>
  <c r="U88" i="8"/>
  <c r="T88" i="8"/>
  <c r="S88" i="8"/>
  <c r="R88" i="8"/>
  <c r="P88" i="8"/>
  <c r="O88" i="8"/>
  <c r="M88" i="8"/>
  <c r="L88" i="8"/>
  <c r="K88" i="8"/>
  <c r="J88" i="8"/>
  <c r="I88" i="8"/>
  <c r="H88" i="8"/>
  <c r="G88" i="8"/>
  <c r="E88" i="8"/>
  <c r="D88" i="8"/>
  <c r="C88" i="8"/>
  <c r="V87" i="8"/>
  <c r="U87" i="8"/>
  <c r="T87" i="8"/>
  <c r="S87" i="8"/>
  <c r="R87" i="8"/>
  <c r="P87" i="8"/>
  <c r="O87" i="8"/>
  <c r="M87" i="8"/>
  <c r="L87" i="8"/>
  <c r="K87" i="8"/>
  <c r="J87" i="8"/>
  <c r="I87" i="8"/>
  <c r="H87" i="8"/>
  <c r="G87" i="8"/>
  <c r="E87" i="8"/>
  <c r="D87" i="8"/>
  <c r="C87" i="8"/>
  <c r="V86" i="8"/>
  <c r="U86" i="8"/>
  <c r="T86" i="8"/>
  <c r="S86" i="8"/>
  <c r="R86" i="8"/>
  <c r="P86" i="8"/>
  <c r="O86" i="8"/>
  <c r="M86" i="8"/>
  <c r="L86" i="8"/>
  <c r="K86" i="8"/>
  <c r="J86" i="8"/>
  <c r="I86" i="8"/>
  <c r="H86" i="8"/>
  <c r="G86" i="8"/>
  <c r="E86" i="8"/>
  <c r="D86" i="8"/>
  <c r="C86" i="8"/>
  <c r="V85" i="8"/>
  <c r="U85" i="8"/>
  <c r="T85" i="8"/>
  <c r="S85" i="8"/>
  <c r="R85" i="8"/>
  <c r="P85" i="8"/>
  <c r="O85" i="8"/>
  <c r="M85" i="8"/>
  <c r="L85" i="8"/>
  <c r="K85" i="8"/>
  <c r="J85" i="8"/>
  <c r="I85" i="8"/>
  <c r="H85" i="8"/>
  <c r="G85" i="8"/>
  <c r="E85" i="8"/>
  <c r="D85" i="8"/>
  <c r="C85" i="8"/>
  <c r="V84" i="8"/>
  <c r="U84" i="8"/>
  <c r="T84" i="8"/>
  <c r="S84" i="8"/>
  <c r="R84" i="8"/>
  <c r="P84" i="8"/>
  <c r="O84" i="8"/>
  <c r="M84" i="8"/>
  <c r="L84" i="8"/>
  <c r="K84" i="8"/>
  <c r="J84" i="8"/>
  <c r="I84" i="8"/>
  <c r="H84" i="8"/>
  <c r="G84" i="8"/>
  <c r="E84" i="8"/>
  <c r="D84" i="8"/>
  <c r="C84" i="8"/>
  <c r="V83" i="8"/>
  <c r="U83" i="8"/>
  <c r="T83" i="8"/>
  <c r="S83" i="8"/>
  <c r="R83" i="8"/>
  <c r="P83" i="8"/>
  <c r="O83" i="8"/>
  <c r="M83" i="8"/>
  <c r="L83" i="8"/>
  <c r="K83" i="8"/>
  <c r="J83" i="8"/>
  <c r="I83" i="8"/>
  <c r="H83" i="8"/>
  <c r="G83" i="8"/>
  <c r="E83" i="8"/>
  <c r="D83" i="8"/>
  <c r="C83" i="8"/>
  <c r="V82" i="8"/>
  <c r="U82" i="8"/>
  <c r="T82" i="8"/>
  <c r="S82" i="8"/>
  <c r="R82" i="8"/>
  <c r="P82" i="8"/>
  <c r="O82" i="8"/>
  <c r="M82" i="8"/>
  <c r="L82" i="8"/>
  <c r="K82" i="8"/>
  <c r="J82" i="8"/>
  <c r="I82" i="8"/>
  <c r="H82" i="8"/>
  <c r="G82" i="8"/>
  <c r="E82" i="8"/>
  <c r="D82" i="8"/>
  <c r="C82" i="8"/>
  <c r="V81" i="8"/>
  <c r="U81" i="8"/>
  <c r="T81" i="8"/>
  <c r="S81" i="8"/>
  <c r="R81" i="8"/>
  <c r="P81" i="8"/>
  <c r="O81" i="8"/>
  <c r="M81" i="8"/>
  <c r="L81" i="8"/>
  <c r="K81" i="8"/>
  <c r="J81" i="8"/>
  <c r="I81" i="8"/>
  <c r="H81" i="8"/>
  <c r="G81" i="8"/>
  <c r="E81" i="8"/>
  <c r="D81" i="8"/>
  <c r="C81" i="8"/>
  <c r="V80" i="8"/>
  <c r="U80" i="8"/>
  <c r="T80" i="8"/>
  <c r="S80" i="8"/>
  <c r="R80" i="8"/>
  <c r="P80" i="8"/>
  <c r="O80" i="8"/>
  <c r="M80" i="8"/>
  <c r="L80" i="8"/>
  <c r="K80" i="8"/>
  <c r="J80" i="8"/>
  <c r="I80" i="8"/>
  <c r="H80" i="8"/>
  <c r="G80" i="8"/>
  <c r="E80" i="8"/>
  <c r="D80" i="8"/>
  <c r="C80" i="8"/>
  <c r="V79" i="8"/>
  <c r="U79" i="8"/>
  <c r="T79" i="8"/>
  <c r="S79" i="8"/>
  <c r="R79" i="8"/>
  <c r="P79" i="8"/>
  <c r="O79" i="8"/>
  <c r="M79" i="8"/>
  <c r="L79" i="8"/>
  <c r="K79" i="8"/>
  <c r="J79" i="8"/>
  <c r="I79" i="8"/>
  <c r="H79" i="8"/>
  <c r="G79" i="8"/>
  <c r="E79" i="8"/>
  <c r="D79" i="8"/>
  <c r="C79" i="8"/>
  <c r="V78" i="8"/>
  <c r="U78" i="8"/>
  <c r="T78" i="8"/>
  <c r="S78" i="8"/>
  <c r="R78" i="8"/>
  <c r="P78" i="8"/>
  <c r="O78" i="8"/>
  <c r="M78" i="8"/>
  <c r="L78" i="8"/>
  <c r="K78" i="8"/>
  <c r="J78" i="8"/>
  <c r="I78" i="8"/>
  <c r="H78" i="8"/>
  <c r="G78" i="8"/>
  <c r="E78" i="8"/>
  <c r="D78" i="8"/>
  <c r="C78" i="8"/>
  <c r="V77" i="8"/>
  <c r="U77" i="8"/>
  <c r="T77" i="8"/>
  <c r="S77" i="8"/>
  <c r="R77" i="8"/>
  <c r="P77" i="8"/>
  <c r="O77" i="8"/>
  <c r="M77" i="8"/>
  <c r="L77" i="8"/>
  <c r="K77" i="8"/>
  <c r="J77" i="8"/>
  <c r="I77" i="8"/>
  <c r="H77" i="8"/>
  <c r="G77" i="8"/>
  <c r="E77" i="8"/>
  <c r="D77" i="8"/>
  <c r="C77" i="8"/>
  <c r="V76" i="8"/>
  <c r="U76" i="8"/>
  <c r="T76" i="8"/>
  <c r="S76" i="8"/>
  <c r="R76" i="8"/>
  <c r="P76" i="8"/>
  <c r="O76" i="8"/>
  <c r="M76" i="8"/>
  <c r="L76" i="8"/>
  <c r="K76" i="8"/>
  <c r="J76" i="8"/>
  <c r="I76" i="8"/>
  <c r="H76" i="8"/>
  <c r="G76" i="8"/>
  <c r="E76" i="8"/>
  <c r="D76" i="8"/>
  <c r="C76" i="8"/>
  <c r="V75" i="8"/>
  <c r="U75" i="8"/>
  <c r="T75" i="8"/>
  <c r="S75" i="8"/>
  <c r="R75" i="8"/>
  <c r="P75" i="8"/>
  <c r="O75" i="8"/>
  <c r="M75" i="8"/>
  <c r="L75" i="8"/>
  <c r="K75" i="8"/>
  <c r="J75" i="8"/>
  <c r="I75" i="8"/>
  <c r="H75" i="8"/>
  <c r="G75" i="8"/>
  <c r="E75" i="8"/>
  <c r="D75" i="8"/>
  <c r="C75" i="8"/>
  <c r="V74" i="8"/>
  <c r="U74" i="8"/>
  <c r="T74" i="8"/>
  <c r="S74" i="8"/>
  <c r="R74" i="8"/>
  <c r="P74" i="8"/>
  <c r="O74" i="8"/>
  <c r="M74" i="8"/>
  <c r="L74" i="8"/>
  <c r="K74" i="8"/>
  <c r="J74" i="8"/>
  <c r="I74" i="8"/>
  <c r="H74" i="8"/>
  <c r="G74" i="8"/>
  <c r="E74" i="8"/>
  <c r="D74" i="8"/>
  <c r="C74" i="8"/>
  <c r="V73" i="8"/>
  <c r="U73" i="8"/>
  <c r="T73" i="8"/>
  <c r="S73" i="8"/>
  <c r="R73" i="8"/>
  <c r="P73" i="8"/>
  <c r="O73" i="8"/>
  <c r="M73" i="8"/>
  <c r="L73" i="8"/>
  <c r="K73" i="8"/>
  <c r="J73" i="8"/>
  <c r="I73" i="8"/>
  <c r="H73" i="8"/>
  <c r="G73" i="8"/>
  <c r="E73" i="8"/>
  <c r="D73" i="8"/>
  <c r="C73" i="8"/>
  <c r="V72" i="8"/>
  <c r="U72" i="8"/>
  <c r="T72" i="8"/>
  <c r="S72" i="8"/>
  <c r="R72" i="8"/>
  <c r="P72" i="8"/>
  <c r="O72" i="8"/>
  <c r="M72" i="8"/>
  <c r="L72" i="8"/>
  <c r="K72" i="8"/>
  <c r="J72" i="8"/>
  <c r="I72" i="8"/>
  <c r="H72" i="8"/>
  <c r="G72" i="8"/>
  <c r="E72" i="8"/>
  <c r="D72" i="8"/>
  <c r="C72" i="8"/>
  <c r="V71" i="8"/>
  <c r="U71" i="8"/>
  <c r="T71" i="8"/>
  <c r="S71" i="8"/>
  <c r="R71" i="8"/>
  <c r="P71" i="8"/>
  <c r="O71" i="8"/>
  <c r="M71" i="8"/>
  <c r="L71" i="8"/>
  <c r="K71" i="8"/>
  <c r="J71" i="8"/>
  <c r="I71" i="8"/>
  <c r="H71" i="8"/>
  <c r="G71" i="8"/>
  <c r="E71" i="8"/>
  <c r="D71" i="8"/>
  <c r="C71" i="8"/>
  <c r="V70" i="8"/>
  <c r="U70" i="8"/>
  <c r="T70" i="8"/>
  <c r="S70" i="8"/>
  <c r="R70" i="8"/>
  <c r="P70" i="8"/>
  <c r="O70" i="8"/>
  <c r="M70" i="8"/>
  <c r="L70" i="8"/>
  <c r="K70" i="8"/>
  <c r="J70" i="8"/>
  <c r="I70" i="8"/>
  <c r="H70" i="8"/>
  <c r="G70" i="8"/>
  <c r="E70" i="8"/>
  <c r="D70" i="8"/>
  <c r="C70" i="8"/>
  <c r="V69" i="8"/>
  <c r="U69" i="8"/>
  <c r="T69" i="8"/>
  <c r="S69" i="8"/>
  <c r="R69" i="8"/>
  <c r="P69" i="8"/>
  <c r="O69" i="8"/>
  <c r="M69" i="8"/>
  <c r="L69" i="8"/>
  <c r="K69" i="8"/>
  <c r="J69" i="8"/>
  <c r="I69" i="8"/>
  <c r="H69" i="8"/>
  <c r="G69" i="8"/>
  <c r="E69" i="8"/>
  <c r="D69" i="8"/>
  <c r="C69" i="8"/>
  <c r="V68" i="8"/>
  <c r="U68" i="8"/>
  <c r="T68" i="8"/>
  <c r="S68" i="8"/>
  <c r="R68" i="8"/>
  <c r="P68" i="8"/>
  <c r="O68" i="8"/>
  <c r="M68" i="8"/>
  <c r="L68" i="8"/>
  <c r="K68" i="8"/>
  <c r="J68" i="8"/>
  <c r="I68" i="8"/>
  <c r="H68" i="8"/>
  <c r="G68" i="8"/>
  <c r="E68" i="8"/>
  <c r="D68" i="8"/>
  <c r="C68" i="8"/>
  <c r="V67" i="8"/>
  <c r="U67" i="8"/>
  <c r="T67" i="8"/>
  <c r="S67" i="8"/>
  <c r="R67" i="8"/>
  <c r="P67" i="8"/>
  <c r="O67" i="8"/>
  <c r="M67" i="8"/>
  <c r="L67" i="8"/>
  <c r="K67" i="8"/>
  <c r="J67" i="8"/>
  <c r="I67" i="8"/>
  <c r="H67" i="8"/>
  <c r="G67" i="8"/>
  <c r="E67" i="8"/>
  <c r="D67" i="8"/>
  <c r="C67" i="8"/>
  <c r="V66" i="8"/>
  <c r="U66" i="8"/>
  <c r="T66" i="8"/>
  <c r="S66" i="8"/>
  <c r="R66" i="8"/>
  <c r="P66" i="8"/>
  <c r="O66" i="8"/>
  <c r="M66" i="8"/>
  <c r="L66" i="8"/>
  <c r="K66" i="8"/>
  <c r="J66" i="8"/>
  <c r="I66" i="8"/>
  <c r="H66" i="8"/>
  <c r="G66" i="8"/>
  <c r="E66" i="8"/>
  <c r="D66" i="8"/>
  <c r="C66" i="8"/>
  <c r="V65" i="8"/>
  <c r="U65" i="8"/>
  <c r="T65" i="8"/>
  <c r="S65" i="8"/>
  <c r="R65" i="8"/>
  <c r="P65" i="8"/>
  <c r="O65" i="8"/>
  <c r="M65" i="8"/>
  <c r="L65" i="8"/>
  <c r="K65" i="8"/>
  <c r="J65" i="8"/>
  <c r="I65" i="8"/>
  <c r="H65" i="8"/>
  <c r="G65" i="8"/>
  <c r="E65" i="8"/>
  <c r="D65" i="8"/>
  <c r="C65" i="8"/>
  <c r="V64" i="8"/>
  <c r="U64" i="8"/>
  <c r="T64" i="8"/>
  <c r="S64" i="8"/>
  <c r="R64" i="8"/>
  <c r="P64" i="8"/>
  <c r="O64" i="8"/>
  <c r="M64" i="8"/>
  <c r="L64" i="8"/>
  <c r="K64" i="8"/>
  <c r="J64" i="8"/>
  <c r="I64" i="8"/>
  <c r="H64" i="8"/>
  <c r="G64" i="8"/>
  <c r="E64" i="8"/>
  <c r="D64" i="8"/>
  <c r="C64" i="8"/>
  <c r="V63" i="8"/>
  <c r="U63" i="8"/>
  <c r="T63" i="8"/>
  <c r="S63" i="8"/>
  <c r="R63" i="8"/>
  <c r="P63" i="8"/>
  <c r="O63" i="8"/>
  <c r="M63" i="8"/>
  <c r="L63" i="8"/>
  <c r="K63" i="8"/>
  <c r="J63" i="8"/>
  <c r="I63" i="8"/>
  <c r="H63" i="8"/>
  <c r="G63" i="8"/>
  <c r="E63" i="8"/>
  <c r="D63" i="8"/>
  <c r="C63" i="8"/>
  <c r="V62" i="8"/>
  <c r="U62" i="8"/>
  <c r="T62" i="8"/>
  <c r="S62" i="8"/>
  <c r="R62" i="8"/>
  <c r="P62" i="8"/>
  <c r="O62" i="8"/>
  <c r="M62" i="8"/>
  <c r="L62" i="8"/>
  <c r="K62" i="8"/>
  <c r="J62" i="8"/>
  <c r="I62" i="8"/>
  <c r="H62" i="8"/>
  <c r="G62" i="8"/>
  <c r="E62" i="8"/>
  <c r="D62" i="8"/>
  <c r="C62" i="8"/>
  <c r="V61" i="8"/>
  <c r="U61" i="8"/>
  <c r="T61" i="8"/>
  <c r="S61" i="8"/>
  <c r="R61" i="8"/>
  <c r="P61" i="8"/>
  <c r="O61" i="8"/>
  <c r="M61" i="8"/>
  <c r="L61" i="8"/>
  <c r="K61" i="8"/>
  <c r="J61" i="8"/>
  <c r="I61" i="8"/>
  <c r="H61" i="8"/>
  <c r="G61" i="8"/>
  <c r="E61" i="8"/>
  <c r="D61" i="8"/>
  <c r="C61" i="8"/>
  <c r="V60" i="8"/>
  <c r="U60" i="8"/>
  <c r="T60" i="8"/>
  <c r="S60" i="8"/>
  <c r="R60" i="8"/>
  <c r="P60" i="8"/>
  <c r="O60" i="8"/>
  <c r="M60" i="8"/>
  <c r="L60" i="8"/>
  <c r="K60" i="8"/>
  <c r="J60" i="8"/>
  <c r="I60" i="8"/>
  <c r="H60" i="8"/>
  <c r="G60" i="8"/>
  <c r="E60" i="8"/>
  <c r="D60" i="8"/>
  <c r="C60" i="8"/>
  <c r="V59" i="8"/>
  <c r="U59" i="8"/>
  <c r="T59" i="8"/>
  <c r="S59" i="8"/>
  <c r="R59" i="8"/>
  <c r="P59" i="8"/>
  <c r="O59" i="8"/>
  <c r="M59" i="8"/>
  <c r="L59" i="8"/>
  <c r="K59" i="8"/>
  <c r="J59" i="8"/>
  <c r="I59" i="8"/>
  <c r="H59" i="8"/>
  <c r="G59" i="8"/>
  <c r="E59" i="8"/>
  <c r="D59" i="8"/>
  <c r="C59" i="8"/>
  <c r="V58" i="8"/>
  <c r="U58" i="8"/>
  <c r="T58" i="8"/>
  <c r="S58" i="8"/>
  <c r="R58" i="8"/>
  <c r="P58" i="8"/>
  <c r="O58" i="8"/>
  <c r="M58" i="8"/>
  <c r="L58" i="8"/>
  <c r="K58" i="8"/>
  <c r="J58" i="8"/>
  <c r="I58" i="8"/>
  <c r="H58" i="8"/>
  <c r="G58" i="8"/>
  <c r="E58" i="8"/>
  <c r="D58" i="8"/>
  <c r="C58" i="8"/>
  <c r="V57" i="8"/>
  <c r="U57" i="8"/>
  <c r="T57" i="8"/>
  <c r="S57" i="8"/>
  <c r="R57" i="8"/>
  <c r="P57" i="8"/>
  <c r="O57" i="8"/>
  <c r="M57" i="8"/>
  <c r="L57" i="8"/>
  <c r="K57" i="8"/>
  <c r="J57" i="8"/>
  <c r="I57" i="8"/>
  <c r="H57" i="8"/>
  <c r="G57" i="8"/>
  <c r="E57" i="8"/>
  <c r="D57" i="8"/>
  <c r="C57" i="8"/>
  <c r="V56" i="8"/>
  <c r="U56" i="8"/>
  <c r="T56" i="8"/>
  <c r="S56" i="8"/>
  <c r="R56" i="8"/>
  <c r="P56" i="8"/>
  <c r="O56" i="8"/>
  <c r="M56" i="8"/>
  <c r="L56" i="8"/>
  <c r="K56" i="8"/>
  <c r="J56" i="8"/>
  <c r="I56" i="8"/>
  <c r="H56" i="8"/>
  <c r="G56" i="8"/>
  <c r="E56" i="8"/>
  <c r="D56" i="8"/>
  <c r="C56" i="8"/>
  <c r="V55" i="8"/>
  <c r="U55" i="8"/>
  <c r="T55" i="8"/>
  <c r="S55" i="8"/>
  <c r="R55" i="8"/>
  <c r="P55" i="8"/>
  <c r="O55" i="8"/>
  <c r="M55" i="8"/>
  <c r="L55" i="8"/>
  <c r="K55" i="8"/>
  <c r="J55" i="8"/>
  <c r="I55" i="8"/>
  <c r="H55" i="8"/>
  <c r="G55" i="8"/>
  <c r="E55" i="8"/>
  <c r="D55" i="8"/>
  <c r="C55" i="8"/>
  <c r="V54" i="8"/>
  <c r="U54" i="8"/>
  <c r="T54" i="8"/>
  <c r="S54" i="8"/>
  <c r="R54" i="8"/>
  <c r="P54" i="8"/>
  <c r="O54" i="8"/>
  <c r="M54" i="8"/>
  <c r="L54" i="8"/>
  <c r="K54" i="8"/>
  <c r="J54" i="8"/>
  <c r="I54" i="8"/>
  <c r="H54" i="8"/>
  <c r="G54" i="8"/>
  <c r="E54" i="8"/>
  <c r="D54" i="8"/>
  <c r="C54" i="8"/>
  <c r="V53" i="8"/>
  <c r="U53" i="8"/>
  <c r="T53" i="8"/>
  <c r="S53" i="8"/>
  <c r="R53" i="8"/>
  <c r="P53" i="8"/>
  <c r="O53" i="8"/>
  <c r="M53" i="8"/>
  <c r="L53" i="8"/>
  <c r="K53" i="8"/>
  <c r="J53" i="8"/>
  <c r="I53" i="8"/>
  <c r="H53" i="8"/>
  <c r="G53" i="8"/>
  <c r="E53" i="8"/>
  <c r="D53" i="8"/>
  <c r="C53" i="8"/>
  <c r="V52" i="8"/>
  <c r="U52" i="8"/>
  <c r="T52" i="8"/>
  <c r="S52" i="8"/>
  <c r="R52" i="8"/>
  <c r="P52" i="8"/>
  <c r="O52" i="8"/>
  <c r="M52" i="8"/>
  <c r="L52" i="8"/>
  <c r="K52" i="8"/>
  <c r="J52" i="8"/>
  <c r="I52" i="8"/>
  <c r="H52" i="8"/>
  <c r="G52" i="8"/>
  <c r="E52" i="8"/>
  <c r="D52" i="8"/>
  <c r="C52" i="8"/>
  <c r="V51" i="8"/>
  <c r="U51" i="8"/>
  <c r="T51" i="8"/>
  <c r="S51" i="8"/>
  <c r="R51" i="8"/>
  <c r="P51" i="8"/>
  <c r="O51" i="8"/>
  <c r="M51" i="8"/>
  <c r="L51" i="8"/>
  <c r="K51" i="8"/>
  <c r="J51" i="8"/>
  <c r="I51" i="8"/>
  <c r="H51" i="8"/>
  <c r="G51" i="8"/>
  <c r="E51" i="8"/>
  <c r="D51" i="8"/>
  <c r="C51" i="8"/>
  <c r="V50" i="8"/>
  <c r="U50" i="8"/>
  <c r="T50" i="8"/>
  <c r="S50" i="8"/>
  <c r="R50" i="8"/>
  <c r="P50" i="8"/>
  <c r="O50" i="8"/>
  <c r="M50" i="8"/>
  <c r="L50" i="8"/>
  <c r="K50" i="8"/>
  <c r="J50" i="8"/>
  <c r="I50" i="8"/>
  <c r="H50" i="8"/>
  <c r="G50" i="8"/>
  <c r="E50" i="8"/>
  <c r="D50" i="8"/>
  <c r="C50" i="8"/>
  <c r="V49" i="8"/>
  <c r="U49" i="8"/>
  <c r="T49" i="8"/>
  <c r="S49" i="8"/>
  <c r="R49" i="8"/>
  <c r="P49" i="8"/>
  <c r="O49" i="8"/>
  <c r="M49" i="8"/>
  <c r="L49" i="8"/>
  <c r="K49" i="8"/>
  <c r="J49" i="8"/>
  <c r="I49" i="8"/>
  <c r="H49" i="8"/>
  <c r="G49" i="8"/>
  <c r="E49" i="8"/>
  <c r="D49" i="8"/>
  <c r="C49" i="8"/>
  <c r="V48" i="8"/>
  <c r="U48" i="8"/>
  <c r="T48" i="8"/>
  <c r="S48" i="8"/>
  <c r="R48" i="8"/>
  <c r="P48" i="8"/>
  <c r="O48" i="8"/>
  <c r="M48" i="8"/>
  <c r="L48" i="8"/>
  <c r="K48" i="8"/>
  <c r="J48" i="8"/>
  <c r="I48" i="8"/>
  <c r="H48" i="8"/>
  <c r="G48" i="8"/>
  <c r="E48" i="8"/>
  <c r="D48" i="8"/>
  <c r="C48" i="8"/>
  <c r="V47" i="8"/>
  <c r="U47" i="8"/>
  <c r="T47" i="8"/>
  <c r="S47" i="8"/>
  <c r="R47" i="8"/>
  <c r="P47" i="8"/>
  <c r="O47" i="8"/>
  <c r="M47" i="8"/>
  <c r="L47" i="8"/>
  <c r="K47" i="8"/>
  <c r="J47" i="8"/>
  <c r="I47" i="8"/>
  <c r="H47" i="8"/>
  <c r="G47" i="8"/>
  <c r="E47" i="8"/>
  <c r="D47" i="8"/>
  <c r="C47" i="8"/>
  <c r="V46" i="8"/>
  <c r="U46" i="8"/>
  <c r="T46" i="8"/>
  <c r="S46" i="8"/>
  <c r="R46" i="8"/>
  <c r="P46" i="8"/>
  <c r="O46" i="8"/>
  <c r="M46" i="8"/>
  <c r="L46" i="8"/>
  <c r="K46" i="8"/>
  <c r="J46" i="8"/>
  <c r="I46" i="8"/>
  <c r="H46" i="8"/>
  <c r="G46" i="8"/>
  <c r="E46" i="8"/>
  <c r="D46" i="8"/>
  <c r="C46" i="8"/>
  <c r="V45" i="8"/>
  <c r="U45" i="8"/>
  <c r="T45" i="8"/>
  <c r="S45" i="8"/>
  <c r="R45" i="8"/>
  <c r="P45" i="8"/>
  <c r="O45" i="8"/>
  <c r="M45" i="8"/>
  <c r="L45" i="8"/>
  <c r="K45" i="8"/>
  <c r="J45" i="8"/>
  <c r="I45" i="8"/>
  <c r="H45" i="8"/>
  <c r="G45" i="8"/>
  <c r="E45" i="8"/>
  <c r="D45" i="8"/>
  <c r="C45" i="8"/>
  <c r="V44" i="8"/>
  <c r="U44" i="8"/>
  <c r="T44" i="8"/>
  <c r="S44" i="8"/>
  <c r="R44" i="8"/>
  <c r="P44" i="8"/>
  <c r="O44" i="8"/>
  <c r="M44" i="8"/>
  <c r="L44" i="8"/>
  <c r="K44" i="8"/>
  <c r="J44" i="8"/>
  <c r="I44" i="8"/>
  <c r="H44" i="8"/>
  <c r="G44" i="8"/>
  <c r="E44" i="8"/>
  <c r="D44" i="8"/>
  <c r="C44" i="8"/>
  <c r="V43" i="8"/>
  <c r="U43" i="8"/>
  <c r="T43" i="8"/>
  <c r="S43" i="8"/>
  <c r="R43" i="8"/>
  <c r="P43" i="8"/>
  <c r="O43" i="8"/>
  <c r="M43" i="8"/>
  <c r="L43" i="8"/>
  <c r="K43" i="8"/>
  <c r="J43" i="8"/>
  <c r="I43" i="8"/>
  <c r="H43" i="8"/>
  <c r="G43" i="8"/>
  <c r="E43" i="8"/>
  <c r="D43" i="8"/>
  <c r="C43" i="8"/>
  <c r="V42" i="8"/>
  <c r="U42" i="8"/>
  <c r="T42" i="8"/>
  <c r="S42" i="8"/>
  <c r="R42" i="8"/>
  <c r="P42" i="8"/>
  <c r="O42" i="8"/>
  <c r="M42" i="8"/>
  <c r="L42" i="8"/>
  <c r="K42" i="8"/>
  <c r="J42" i="8"/>
  <c r="I42" i="8"/>
  <c r="H42" i="8"/>
  <c r="G42" i="8"/>
  <c r="E42" i="8"/>
  <c r="D42" i="8"/>
  <c r="C42" i="8"/>
  <c r="V41" i="8"/>
  <c r="U41" i="8"/>
  <c r="T41" i="8"/>
  <c r="S41" i="8"/>
  <c r="R41" i="8"/>
  <c r="P41" i="8"/>
  <c r="O41" i="8"/>
  <c r="M41" i="8"/>
  <c r="L41" i="8"/>
  <c r="K41" i="8"/>
  <c r="J41" i="8"/>
  <c r="I41" i="8"/>
  <c r="H41" i="8"/>
  <c r="G41" i="8"/>
  <c r="E41" i="8"/>
  <c r="D41" i="8"/>
  <c r="C41" i="8"/>
  <c r="V40" i="8"/>
  <c r="U40" i="8"/>
  <c r="T40" i="8"/>
  <c r="S40" i="8"/>
  <c r="R40" i="8"/>
  <c r="P40" i="8"/>
  <c r="O40" i="8"/>
  <c r="M40" i="8"/>
  <c r="L40" i="8"/>
  <c r="K40" i="8"/>
  <c r="J40" i="8"/>
  <c r="I40" i="8"/>
  <c r="H40" i="8"/>
  <c r="G40" i="8"/>
  <c r="E40" i="8"/>
  <c r="D40" i="8"/>
  <c r="C40" i="8"/>
  <c r="V39" i="8"/>
  <c r="U39" i="8"/>
  <c r="T39" i="8"/>
  <c r="S39" i="8"/>
  <c r="R39" i="8"/>
  <c r="P39" i="8"/>
  <c r="O39" i="8"/>
  <c r="M39" i="8"/>
  <c r="L39" i="8"/>
  <c r="K39" i="8"/>
  <c r="J39" i="8"/>
  <c r="I39" i="8"/>
  <c r="H39" i="8"/>
  <c r="G39" i="8"/>
  <c r="E39" i="8"/>
  <c r="D39" i="8"/>
  <c r="C39" i="8"/>
  <c r="V38" i="8"/>
  <c r="U38" i="8"/>
  <c r="T38" i="8"/>
  <c r="S38" i="8"/>
  <c r="R38" i="8"/>
  <c r="P38" i="8"/>
  <c r="O38" i="8"/>
  <c r="M38" i="8"/>
  <c r="L38" i="8"/>
  <c r="K38" i="8"/>
  <c r="J38" i="8"/>
  <c r="I38" i="8"/>
  <c r="H38" i="8"/>
  <c r="G38" i="8"/>
  <c r="E38" i="8"/>
  <c r="D38" i="8"/>
  <c r="C38" i="8"/>
  <c r="V37" i="8"/>
  <c r="U37" i="8"/>
  <c r="T37" i="8"/>
  <c r="S37" i="8"/>
  <c r="R37" i="8"/>
  <c r="P37" i="8"/>
  <c r="O37" i="8"/>
  <c r="M37" i="8"/>
  <c r="L37" i="8"/>
  <c r="K37" i="8"/>
  <c r="J37" i="8"/>
  <c r="I37" i="8"/>
  <c r="H37" i="8"/>
  <c r="G37" i="8"/>
  <c r="E37" i="8"/>
  <c r="D37" i="8"/>
  <c r="C37" i="8"/>
  <c r="V36" i="8"/>
  <c r="U36" i="8"/>
  <c r="T36" i="8"/>
  <c r="S36" i="8"/>
  <c r="R36" i="8"/>
  <c r="P36" i="8"/>
  <c r="O36" i="8"/>
  <c r="M36" i="8"/>
  <c r="L36" i="8"/>
  <c r="K36" i="8"/>
  <c r="J36" i="8"/>
  <c r="I36" i="8"/>
  <c r="H36" i="8"/>
  <c r="G36" i="8"/>
  <c r="E36" i="8"/>
  <c r="D36" i="8"/>
  <c r="C36" i="8"/>
  <c r="V35" i="8"/>
  <c r="U35" i="8"/>
  <c r="T35" i="8"/>
  <c r="S35" i="8"/>
  <c r="R35" i="8"/>
  <c r="P35" i="8"/>
  <c r="O35" i="8"/>
  <c r="M35" i="8"/>
  <c r="L35" i="8"/>
  <c r="K35" i="8"/>
  <c r="J35" i="8"/>
  <c r="I35" i="8"/>
  <c r="H35" i="8"/>
  <c r="G35" i="8"/>
  <c r="E35" i="8"/>
  <c r="D35" i="8"/>
  <c r="C35" i="8"/>
  <c r="V34" i="8"/>
  <c r="U34" i="8"/>
  <c r="T34" i="8"/>
  <c r="S34" i="8"/>
  <c r="R34" i="8"/>
  <c r="P34" i="8"/>
  <c r="O34" i="8"/>
  <c r="M34" i="8"/>
  <c r="L34" i="8"/>
  <c r="K34" i="8"/>
  <c r="J34" i="8"/>
  <c r="I34" i="8"/>
  <c r="H34" i="8"/>
  <c r="G34" i="8"/>
  <c r="E34" i="8"/>
  <c r="D34" i="8"/>
  <c r="C34" i="8"/>
  <c r="V33" i="8"/>
  <c r="U33" i="8"/>
  <c r="T33" i="8"/>
  <c r="S33" i="8"/>
  <c r="R33" i="8"/>
  <c r="P33" i="8"/>
  <c r="O33" i="8"/>
  <c r="M33" i="8"/>
  <c r="L33" i="8"/>
  <c r="K33" i="8"/>
  <c r="J33" i="8"/>
  <c r="I33" i="8"/>
  <c r="H33" i="8"/>
  <c r="G33" i="8"/>
  <c r="E33" i="8"/>
  <c r="D33" i="8"/>
  <c r="C33" i="8"/>
  <c r="V32" i="8"/>
  <c r="U32" i="8"/>
  <c r="T32" i="8"/>
  <c r="S32" i="8"/>
  <c r="R32" i="8"/>
  <c r="P32" i="8"/>
  <c r="O32" i="8"/>
  <c r="M32" i="8"/>
  <c r="L32" i="8"/>
  <c r="K32" i="8"/>
  <c r="J32" i="8"/>
  <c r="I32" i="8"/>
  <c r="H32" i="8"/>
  <c r="G32" i="8"/>
  <c r="E32" i="8"/>
  <c r="D32" i="8"/>
  <c r="C32" i="8"/>
  <c r="V31" i="8"/>
  <c r="U31" i="8"/>
  <c r="T31" i="8"/>
  <c r="S31" i="8"/>
  <c r="R31" i="8"/>
  <c r="P31" i="8"/>
  <c r="O31" i="8"/>
  <c r="M31" i="8"/>
  <c r="L31" i="8"/>
  <c r="K31" i="8"/>
  <c r="J31" i="8"/>
  <c r="I31" i="8"/>
  <c r="H31" i="8"/>
  <c r="G31" i="8"/>
  <c r="E31" i="8"/>
  <c r="D31" i="8"/>
  <c r="C31" i="8"/>
  <c r="V30" i="8"/>
  <c r="U30" i="8"/>
  <c r="T30" i="8"/>
  <c r="S30" i="8"/>
  <c r="R30" i="8"/>
  <c r="P30" i="8"/>
  <c r="O30" i="8"/>
  <c r="M30" i="8"/>
  <c r="L30" i="8"/>
  <c r="K30" i="8"/>
  <c r="J30" i="8"/>
  <c r="I30" i="8"/>
  <c r="H30" i="8"/>
  <c r="G30" i="8"/>
  <c r="E30" i="8"/>
  <c r="D30" i="8"/>
  <c r="C30" i="8"/>
  <c r="V29" i="8"/>
  <c r="U29" i="8"/>
  <c r="T29" i="8"/>
  <c r="S29" i="8"/>
  <c r="R29" i="8"/>
  <c r="P29" i="8"/>
  <c r="O29" i="8"/>
  <c r="M29" i="8"/>
  <c r="L29" i="8"/>
  <c r="K29" i="8"/>
  <c r="J29" i="8"/>
  <c r="I29" i="8"/>
  <c r="H29" i="8"/>
  <c r="G29" i="8"/>
  <c r="E29" i="8"/>
  <c r="D29" i="8"/>
  <c r="C29" i="8"/>
  <c r="V28" i="8"/>
  <c r="U28" i="8"/>
  <c r="T28" i="8"/>
  <c r="S28" i="8"/>
  <c r="R28" i="8"/>
  <c r="P28" i="8"/>
  <c r="O28" i="8"/>
  <c r="M28" i="8"/>
  <c r="L28" i="8"/>
  <c r="K28" i="8"/>
  <c r="J28" i="8"/>
  <c r="I28" i="8"/>
  <c r="H28" i="8"/>
  <c r="G28" i="8"/>
  <c r="E28" i="8"/>
  <c r="D28" i="8"/>
  <c r="C28" i="8"/>
  <c r="V27" i="8"/>
  <c r="U27" i="8"/>
  <c r="T27" i="8"/>
  <c r="S27" i="8"/>
  <c r="R27" i="8"/>
  <c r="P27" i="8"/>
  <c r="O27" i="8"/>
  <c r="M27" i="8"/>
  <c r="L27" i="8"/>
  <c r="K27" i="8"/>
  <c r="J27" i="8"/>
  <c r="I27" i="8"/>
  <c r="H27" i="8"/>
  <c r="G27" i="8"/>
  <c r="E27" i="8"/>
  <c r="D27" i="8"/>
  <c r="C27" i="8"/>
  <c r="V26" i="8"/>
  <c r="U26" i="8"/>
  <c r="T26" i="8"/>
  <c r="S26" i="8"/>
  <c r="R26" i="8"/>
  <c r="P26" i="8"/>
  <c r="O26" i="8"/>
  <c r="M26" i="8"/>
  <c r="L26" i="8"/>
  <c r="K26" i="8"/>
  <c r="J26" i="8"/>
  <c r="I26" i="8"/>
  <c r="H26" i="8"/>
  <c r="G26" i="8"/>
  <c r="E26" i="8"/>
  <c r="D26" i="8"/>
  <c r="C26" i="8"/>
  <c r="V25" i="8"/>
  <c r="U25" i="8"/>
  <c r="T25" i="8"/>
  <c r="S25" i="8"/>
  <c r="R25" i="8"/>
  <c r="P25" i="8"/>
  <c r="O25" i="8"/>
  <c r="M25" i="8"/>
  <c r="L25" i="8"/>
  <c r="K25" i="8"/>
  <c r="J25" i="8"/>
  <c r="I25" i="8"/>
  <c r="H25" i="8"/>
  <c r="G25" i="8"/>
  <c r="E25" i="8"/>
  <c r="D25" i="8"/>
  <c r="C25" i="8"/>
  <c r="V24" i="8"/>
  <c r="U24" i="8"/>
  <c r="T24" i="8"/>
  <c r="S24" i="8"/>
  <c r="R24" i="8"/>
  <c r="P24" i="8"/>
  <c r="O24" i="8"/>
  <c r="M24" i="8"/>
  <c r="L24" i="8"/>
  <c r="K24" i="8"/>
  <c r="J24" i="8"/>
  <c r="I24" i="8"/>
  <c r="H24" i="8"/>
  <c r="G24" i="8"/>
  <c r="E24" i="8"/>
  <c r="D24" i="8"/>
  <c r="C24" i="8"/>
  <c r="V23" i="8"/>
  <c r="U23" i="8"/>
  <c r="T23" i="8"/>
  <c r="S23" i="8"/>
  <c r="R23" i="8"/>
  <c r="P23" i="8"/>
  <c r="O23" i="8"/>
  <c r="M23" i="8"/>
  <c r="L23" i="8"/>
  <c r="K23" i="8"/>
  <c r="J23" i="8"/>
  <c r="I23" i="8"/>
  <c r="H23" i="8"/>
  <c r="G23" i="8"/>
  <c r="E23" i="8"/>
  <c r="D23" i="8"/>
  <c r="C23" i="8"/>
  <c r="V22" i="8"/>
  <c r="U22" i="8"/>
  <c r="T22" i="8"/>
  <c r="S22" i="8"/>
  <c r="R22" i="8"/>
  <c r="P22" i="8"/>
  <c r="O22" i="8"/>
  <c r="M22" i="8"/>
  <c r="L22" i="8"/>
  <c r="K22" i="8"/>
  <c r="J22" i="8"/>
  <c r="I22" i="8"/>
  <c r="H22" i="8"/>
  <c r="G22" i="8"/>
  <c r="E22" i="8"/>
  <c r="D22" i="8"/>
  <c r="C22" i="8"/>
  <c r="V21" i="8"/>
  <c r="U21" i="8"/>
  <c r="T21" i="8"/>
  <c r="S21" i="8"/>
  <c r="R21" i="8"/>
  <c r="P21" i="8"/>
  <c r="O21" i="8"/>
  <c r="M21" i="8"/>
  <c r="L21" i="8"/>
  <c r="K21" i="8"/>
  <c r="J21" i="8"/>
  <c r="I21" i="8"/>
  <c r="H21" i="8"/>
  <c r="G21" i="8"/>
  <c r="E21" i="8"/>
  <c r="D21" i="8"/>
  <c r="C21" i="8"/>
  <c r="V20" i="8"/>
  <c r="U20" i="8"/>
  <c r="T20" i="8"/>
  <c r="S20" i="8"/>
  <c r="R20" i="8"/>
  <c r="P20" i="8"/>
  <c r="O20" i="8"/>
  <c r="M20" i="8"/>
  <c r="L20" i="8"/>
  <c r="K20" i="8"/>
  <c r="J20" i="8"/>
  <c r="I20" i="8"/>
  <c r="H20" i="8"/>
  <c r="G20" i="8"/>
  <c r="E20" i="8"/>
  <c r="D20" i="8"/>
  <c r="C20" i="8"/>
  <c r="V19" i="8"/>
  <c r="U19" i="8"/>
  <c r="T19" i="8"/>
  <c r="S19" i="8"/>
  <c r="R19" i="8"/>
  <c r="P19" i="8"/>
  <c r="O19" i="8"/>
  <c r="M19" i="8"/>
  <c r="L19" i="8"/>
  <c r="K19" i="8"/>
  <c r="J19" i="8"/>
  <c r="I19" i="8"/>
  <c r="H19" i="8"/>
  <c r="G19" i="8"/>
  <c r="E19" i="8"/>
  <c r="D19" i="8"/>
  <c r="C19" i="8"/>
  <c r="V18" i="8"/>
  <c r="U18" i="8"/>
  <c r="T18" i="8"/>
  <c r="S18" i="8"/>
  <c r="R18" i="8"/>
  <c r="P18" i="8"/>
  <c r="O18" i="8"/>
  <c r="M18" i="8"/>
  <c r="L18" i="8"/>
  <c r="K18" i="8"/>
  <c r="J18" i="8"/>
  <c r="I18" i="8"/>
  <c r="H18" i="8"/>
  <c r="G18" i="8"/>
  <c r="E18" i="8"/>
  <c r="D18" i="8"/>
  <c r="C18" i="8"/>
  <c r="V17" i="8"/>
  <c r="U17" i="8"/>
  <c r="T17" i="8"/>
  <c r="S17" i="8"/>
  <c r="R17" i="8"/>
  <c r="P17" i="8"/>
  <c r="O17" i="8"/>
  <c r="M17" i="8"/>
  <c r="L17" i="8"/>
  <c r="K17" i="8"/>
  <c r="J17" i="8"/>
  <c r="I17" i="8"/>
  <c r="H17" i="8"/>
  <c r="G17" i="8"/>
  <c r="E17" i="8"/>
  <c r="D17" i="8"/>
  <c r="C17" i="8"/>
  <c r="V16" i="8"/>
  <c r="U16" i="8"/>
  <c r="T16" i="8"/>
  <c r="S16" i="8"/>
  <c r="R16" i="8"/>
  <c r="P16" i="8"/>
  <c r="O16" i="8"/>
  <c r="M16" i="8"/>
  <c r="L16" i="8"/>
  <c r="K16" i="8"/>
  <c r="J16" i="8"/>
  <c r="I16" i="8"/>
  <c r="H16" i="8"/>
  <c r="G16" i="8"/>
  <c r="E16" i="8"/>
  <c r="D16" i="8"/>
  <c r="C16" i="8"/>
  <c r="V15" i="8"/>
  <c r="U15" i="8"/>
  <c r="T15" i="8"/>
  <c r="S15" i="8"/>
  <c r="R15" i="8"/>
  <c r="P15" i="8"/>
  <c r="O15" i="8"/>
  <c r="M15" i="8"/>
  <c r="L15" i="8"/>
  <c r="K15" i="8"/>
  <c r="J15" i="8"/>
  <c r="I15" i="8"/>
  <c r="H15" i="8"/>
  <c r="G15" i="8"/>
  <c r="E15" i="8"/>
  <c r="D15" i="8"/>
  <c r="C15" i="8"/>
  <c r="V14" i="8"/>
  <c r="U14" i="8"/>
  <c r="T14" i="8"/>
  <c r="S14" i="8"/>
  <c r="R14" i="8"/>
  <c r="P14" i="8"/>
  <c r="O14" i="8"/>
  <c r="M14" i="8"/>
  <c r="L14" i="8"/>
  <c r="K14" i="8"/>
  <c r="J14" i="8"/>
  <c r="I14" i="8"/>
  <c r="H14" i="8"/>
  <c r="G14" i="8"/>
  <c r="E14" i="8"/>
  <c r="D14" i="8"/>
  <c r="C14" i="8"/>
  <c r="V13" i="8"/>
  <c r="U13" i="8"/>
  <c r="T13" i="8"/>
  <c r="S13" i="8"/>
  <c r="R13" i="8"/>
  <c r="P13" i="8"/>
  <c r="O13" i="8"/>
  <c r="M13" i="8"/>
  <c r="L13" i="8"/>
  <c r="K13" i="8"/>
  <c r="J13" i="8"/>
  <c r="I13" i="8"/>
  <c r="H13" i="8"/>
  <c r="G13" i="8"/>
  <c r="E13" i="8"/>
  <c r="D13" i="8"/>
  <c r="C13" i="8"/>
  <c r="V12" i="8"/>
  <c r="U12" i="8"/>
  <c r="T12" i="8"/>
  <c r="S12" i="8"/>
  <c r="R12" i="8"/>
  <c r="P12" i="8"/>
  <c r="O12" i="8"/>
  <c r="M12" i="8"/>
  <c r="L12" i="8"/>
  <c r="K12" i="8"/>
  <c r="J12" i="8"/>
  <c r="I12" i="8"/>
  <c r="H12" i="8"/>
  <c r="G12" i="8"/>
  <c r="E12" i="8"/>
  <c r="D12" i="8"/>
  <c r="C12" i="8"/>
  <c r="V11" i="8"/>
  <c r="U11" i="8"/>
  <c r="T11" i="8"/>
  <c r="S11" i="8"/>
  <c r="R11" i="8"/>
  <c r="P11" i="8"/>
  <c r="O11" i="8"/>
  <c r="M11" i="8"/>
  <c r="L11" i="8"/>
  <c r="K11" i="8"/>
  <c r="J11" i="8"/>
  <c r="I11" i="8"/>
  <c r="H11" i="8"/>
  <c r="G11" i="8"/>
  <c r="E11" i="8"/>
  <c r="D11" i="8"/>
  <c r="C11" i="8"/>
  <c r="V10" i="8"/>
  <c r="U10" i="8"/>
  <c r="T10" i="8"/>
  <c r="S10" i="8"/>
  <c r="R10" i="8"/>
  <c r="P10" i="8"/>
  <c r="O10" i="8"/>
  <c r="M10" i="8"/>
  <c r="L10" i="8"/>
  <c r="K10" i="8"/>
  <c r="J10" i="8"/>
  <c r="I10" i="8"/>
  <c r="H10" i="8"/>
  <c r="G10" i="8"/>
  <c r="E10" i="8"/>
  <c r="D10" i="8"/>
  <c r="C10" i="8"/>
  <c r="V9" i="8"/>
  <c r="U9" i="8"/>
  <c r="T9" i="8"/>
  <c r="S9" i="8"/>
  <c r="R9" i="8"/>
  <c r="P9" i="8"/>
  <c r="O9" i="8"/>
  <c r="M9" i="8"/>
  <c r="L9" i="8"/>
  <c r="K9" i="8"/>
  <c r="J9" i="8"/>
  <c r="I9" i="8"/>
  <c r="H9" i="8"/>
  <c r="G9" i="8"/>
  <c r="E9" i="8"/>
  <c r="D9" i="8"/>
  <c r="C9" i="8"/>
  <c r="V8" i="8"/>
  <c r="U8" i="8"/>
  <c r="T8" i="8"/>
  <c r="S8" i="8"/>
  <c r="R8" i="8"/>
  <c r="P8" i="8"/>
  <c r="O8" i="8"/>
  <c r="M8" i="8"/>
  <c r="L8" i="8"/>
  <c r="K8" i="8"/>
  <c r="J8" i="8"/>
  <c r="I8" i="8"/>
  <c r="H8" i="8"/>
  <c r="G8" i="8"/>
  <c r="E8" i="8"/>
  <c r="D8" i="8"/>
  <c r="C8" i="8"/>
  <c r="V7" i="8"/>
  <c r="U7" i="8"/>
  <c r="T7" i="8"/>
  <c r="S7" i="8"/>
  <c r="R7" i="8"/>
  <c r="P7" i="8"/>
  <c r="O7" i="8"/>
  <c r="M7" i="8"/>
  <c r="L7" i="8"/>
  <c r="K7" i="8"/>
  <c r="J7" i="8"/>
  <c r="I7" i="8"/>
  <c r="H7" i="8"/>
  <c r="G7" i="8"/>
  <c r="E7" i="8"/>
  <c r="D7" i="8"/>
  <c r="C7" i="8"/>
  <c r="V6" i="8"/>
  <c r="U6" i="8"/>
  <c r="T6" i="8"/>
  <c r="S6" i="8"/>
  <c r="R6" i="8"/>
  <c r="P6" i="8"/>
  <c r="O6" i="8"/>
  <c r="M6" i="8"/>
  <c r="L6" i="8"/>
  <c r="K6" i="8"/>
  <c r="J6" i="8"/>
  <c r="I6" i="8"/>
  <c r="H6" i="8"/>
  <c r="G6" i="8"/>
  <c r="E6" i="8"/>
  <c r="D6" i="8"/>
  <c r="C6" i="8"/>
  <c r="V5" i="8"/>
  <c r="U5" i="8"/>
  <c r="T5" i="8"/>
  <c r="S5" i="8"/>
  <c r="R5" i="8"/>
  <c r="P5" i="8"/>
  <c r="O5" i="8"/>
  <c r="M5" i="8"/>
  <c r="L5" i="8"/>
  <c r="K5" i="8"/>
  <c r="J5" i="8"/>
  <c r="I5" i="8"/>
  <c r="H5" i="8"/>
  <c r="G5" i="8"/>
  <c r="E5" i="8"/>
  <c r="D5" i="8"/>
  <c r="C5" i="8"/>
  <c r="V4" i="8"/>
  <c r="U4" i="8"/>
  <c r="T4" i="8"/>
  <c r="S4" i="8"/>
  <c r="R4" i="8"/>
  <c r="P4" i="8"/>
  <c r="O4" i="8"/>
  <c r="M4" i="8"/>
  <c r="L4" i="8"/>
  <c r="K4" i="8"/>
  <c r="J4" i="8"/>
  <c r="I4" i="8"/>
  <c r="H4" i="8"/>
  <c r="G4" i="8"/>
  <c r="E4" i="8"/>
  <c r="D4" i="8"/>
  <c r="C4" i="8"/>
  <c r="V3" i="8"/>
  <c r="U3" i="8"/>
  <c r="T3" i="8"/>
  <c r="S3" i="8"/>
  <c r="R3" i="8"/>
  <c r="P3" i="8"/>
  <c r="O3" i="8"/>
  <c r="M3" i="8"/>
  <c r="L3" i="8"/>
  <c r="K3" i="8"/>
  <c r="J3" i="8"/>
  <c r="I3" i="8"/>
  <c r="H3" i="8"/>
  <c r="G3" i="8"/>
  <c r="E3" i="8"/>
  <c r="D3" i="8"/>
  <c r="C3" i="8"/>
  <c r="V2" i="8"/>
  <c r="U2" i="8"/>
  <c r="T2" i="8"/>
  <c r="S2" i="8"/>
  <c r="R2" i="8"/>
  <c r="P2" i="8"/>
  <c r="O2" i="8"/>
  <c r="M2" i="8"/>
  <c r="L2" i="8"/>
  <c r="K2" i="8"/>
  <c r="J2" i="8"/>
  <c r="I2" i="8"/>
  <c r="H2" i="8"/>
  <c r="G2" i="8"/>
  <c r="E2" i="8"/>
  <c r="D2" i="8"/>
  <c r="C2" i="8"/>
  <c r="F109" i="10"/>
  <c r="C106" i="10"/>
  <c r="A116" i="10"/>
  <c r="F122" i="10"/>
</calcChain>
</file>

<file path=xl/sharedStrings.xml><?xml version="1.0" encoding="utf-8"?>
<sst xmlns="http://schemas.openxmlformats.org/spreadsheetml/2006/main" count="25242" uniqueCount="6232">
  <si>
    <t>QEV-37451-860</t>
  </si>
  <si>
    <t>17670-51384-MA</t>
  </si>
  <si>
    <t>R-M-1</t>
  </si>
  <si>
    <t>E-M-0.5</t>
  </si>
  <si>
    <t>FAA-43335-268</t>
  </si>
  <si>
    <t>21125-22134-PX</t>
  </si>
  <si>
    <t>A-L-1</t>
  </si>
  <si>
    <t>KAC-83089-793</t>
  </si>
  <si>
    <t>23806-46781-OU</t>
  </si>
  <si>
    <t>E-M-1</t>
  </si>
  <si>
    <t>R-L-2.5</t>
  </si>
  <si>
    <t>CVP-18956-553</t>
  </si>
  <si>
    <t>86561-91660-RB</t>
  </si>
  <si>
    <t>L-D-1</t>
  </si>
  <si>
    <t>IPP-31994-879</t>
  </si>
  <si>
    <t>65223-29612-CB</t>
  </si>
  <si>
    <t>E-D-0.5</t>
  </si>
  <si>
    <t>SNZ-65340-705</t>
  </si>
  <si>
    <t>21134-81676-FR</t>
  </si>
  <si>
    <t>L-L-0.2</t>
  </si>
  <si>
    <t>EZT-46571-659</t>
  </si>
  <si>
    <t>03396-68805-ZC</t>
  </si>
  <si>
    <t>R-M-0.5</t>
  </si>
  <si>
    <t>NWQ-70061-912</t>
  </si>
  <si>
    <t>61021-27840-ZN</t>
  </si>
  <si>
    <t>BKK-47233-845</t>
  </si>
  <si>
    <t>76239-90137-UQ</t>
  </si>
  <si>
    <t>A-D-1</t>
  </si>
  <si>
    <t>VQR-01002-970</t>
  </si>
  <si>
    <t>49315-21985-BB</t>
  </si>
  <si>
    <t>E-L-2.5</t>
  </si>
  <si>
    <t>SZW-48378-399</t>
  </si>
  <si>
    <t>34136-36674-OM</t>
  </si>
  <si>
    <t>ITA-87418-783</t>
  </si>
  <si>
    <t>39396-12890-PE</t>
  </si>
  <si>
    <t>R-D-2.5</t>
  </si>
  <si>
    <t>GNZ-46006-527</t>
  </si>
  <si>
    <t>95875-73336-RG</t>
  </si>
  <si>
    <t>L-D-0.2</t>
  </si>
  <si>
    <t>FYQ-78248-319</t>
  </si>
  <si>
    <t>25473-43727-BY</t>
  </si>
  <si>
    <t>R-M-2.5</t>
  </si>
  <si>
    <t>VAU-44387-624</t>
  </si>
  <si>
    <t>99643-51048-IQ</t>
  </si>
  <si>
    <t>A-M-0.2</t>
  </si>
  <si>
    <t>RDW-33155-159</t>
  </si>
  <si>
    <t>62173-15287-CU</t>
  </si>
  <si>
    <t>TDZ-59011-211</t>
  </si>
  <si>
    <t>57611-05522-ST</t>
  </si>
  <si>
    <t>IDU-25793-399</t>
  </si>
  <si>
    <t>76664-37050-DT</t>
  </si>
  <si>
    <t>E-D-0.2</t>
  </si>
  <si>
    <t>NUO-20013-488</t>
  </si>
  <si>
    <t>03090-88267-BQ</t>
  </si>
  <si>
    <t>A-D-0.2</t>
  </si>
  <si>
    <t>UQU-65630-479</t>
  </si>
  <si>
    <t>37651-47492-NC</t>
  </si>
  <si>
    <t>FEO-11834-332</t>
  </si>
  <si>
    <t>95399-57205-HI</t>
  </si>
  <si>
    <t>TKY-71558-096</t>
  </si>
  <si>
    <t>24010-66714-HW</t>
  </si>
  <si>
    <t>A-M-1</t>
  </si>
  <si>
    <t>OXY-65322-253</t>
  </si>
  <si>
    <t>07591-92789-UA</t>
  </si>
  <si>
    <t>E-M-0.2</t>
  </si>
  <si>
    <t>EVP-43500-491</t>
  </si>
  <si>
    <t>49231-44455-IC</t>
  </si>
  <si>
    <t>A-M-0.5</t>
  </si>
  <si>
    <t>WAG-26945-689</t>
  </si>
  <si>
    <t>50124-88608-EO</t>
  </si>
  <si>
    <t>CHE-78995-767</t>
  </si>
  <si>
    <t>00888-74814-UZ</t>
  </si>
  <si>
    <t>A-D-0.5</t>
  </si>
  <si>
    <t>RYZ-14633-602</t>
  </si>
  <si>
    <t>14158-30713-OB</t>
  </si>
  <si>
    <t>WOQ-36015-429</t>
  </si>
  <si>
    <t>51427-89175-QJ</t>
  </si>
  <si>
    <t>L-M-0.2</t>
  </si>
  <si>
    <t>L-M-0.5</t>
  </si>
  <si>
    <t>SCT-60553-454</t>
  </si>
  <si>
    <t>39123-12846-YJ</t>
  </si>
  <si>
    <t>GFK-52063-244</t>
  </si>
  <si>
    <t>44981-99666-XB</t>
  </si>
  <si>
    <t>L-L-0.5</t>
  </si>
  <si>
    <t>AMM-79521-378</t>
  </si>
  <si>
    <t>24825-51803-CQ</t>
  </si>
  <si>
    <t>QUQ-90580-772</t>
  </si>
  <si>
    <t>77634-13918-GJ</t>
  </si>
  <si>
    <t>LGD-24408-274</t>
  </si>
  <si>
    <t>13694-25001-LX</t>
  </si>
  <si>
    <t>HCT-95608-959</t>
  </si>
  <si>
    <t>08523-01791-TI</t>
  </si>
  <si>
    <t>OFX-99147-470</t>
  </si>
  <si>
    <t>49860-68865-AB</t>
  </si>
  <si>
    <t>LUO-37559-016</t>
  </si>
  <si>
    <t>21240-83132-SP</t>
  </si>
  <si>
    <t>L-M-1</t>
  </si>
  <si>
    <t>XWC-20610-167</t>
  </si>
  <si>
    <t>08350-81623-TF</t>
  </si>
  <si>
    <t>GPU-79113-136</t>
  </si>
  <si>
    <t>73284-01385-SJ</t>
  </si>
  <si>
    <t>R-D-0.2</t>
  </si>
  <si>
    <t>ULR-52653-960</t>
  </si>
  <si>
    <t>04152-34436-IE</t>
  </si>
  <si>
    <t>L-L-2.5</t>
  </si>
  <si>
    <t>HPI-42308-142</t>
  </si>
  <si>
    <t>06631-86965-XP</t>
  </si>
  <si>
    <t>XHI-30227-581</t>
  </si>
  <si>
    <t>54619-08558-ZU</t>
  </si>
  <si>
    <t>L-D-2.5</t>
  </si>
  <si>
    <t>DJH-05202-380</t>
  </si>
  <si>
    <t>85589-17020-CX</t>
  </si>
  <si>
    <t>E-M-2.5</t>
  </si>
  <si>
    <t>VMW-26889-781</t>
  </si>
  <si>
    <t>36078-91009-WU</t>
  </si>
  <si>
    <t>A-L-0.2</t>
  </si>
  <si>
    <t>DBU-81099-586</t>
  </si>
  <si>
    <t>15770-27099-GX</t>
  </si>
  <si>
    <t>A-D-2.5</t>
  </si>
  <si>
    <t>PQA-54820-810</t>
  </si>
  <si>
    <t>91460-04823-BX</t>
  </si>
  <si>
    <t>XKB-41924-202</t>
  </si>
  <si>
    <t>45089-52817-WN</t>
  </si>
  <si>
    <t>L-D-0.5</t>
  </si>
  <si>
    <t>DWZ-69106-473</t>
  </si>
  <si>
    <t>76447-50326-IC</t>
  </si>
  <si>
    <t>YHV-68700-050</t>
  </si>
  <si>
    <t>26333-67911-OL</t>
  </si>
  <si>
    <t>KRB-88066-642</t>
  </si>
  <si>
    <t>22107-86640-SB</t>
  </si>
  <si>
    <t>LQU-08404-173</t>
  </si>
  <si>
    <t>09960-34242-LZ</t>
  </si>
  <si>
    <t>L-L-1</t>
  </si>
  <si>
    <t>CWK-60159-881</t>
  </si>
  <si>
    <t>04671-85591-RT</t>
  </si>
  <si>
    <t>EEG-74197-843</t>
  </si>
  <si>
    <t>25729-68859-UA</t>
  </si>
  <si>
    <t>E-L-1</t>
  </si>
  <si>
    <t>UCZ-59708-525</t>
  </si>
  <si>
    <t>05501-86351-NX</t>
  </si>
  <si>
    <t>HUB-47311-849</t>
  </si>
  <si>
    <t>04521-04300-OK</t>
  </si>
  <si>
    <t>WYM-17686-694</t>
  </si>
  <si>
    <t>58689-55264-VK</t>
  </si>
  <si>
    <t>ZYQ-15797-695</t>
  </si>
  <si>
    <t>79436-73011-MM</t>
  </si>
  <si>
    <t>R-D-0.5</t>
  </si>
  <si>
    <t>EEJ-16185-108</t>
  </si>
  <si>
    <t>65552-60476-KY</t>
  </si>
  <si>
    <t>RWR-77888-800</t>
  </si>
  <si>
    <t>69904-02729-YS</t>
  </si>
  <si>
    <t>LHN-75209-742</t>
  </si>
  <si>
    <t>01433-04270-AX</t>
  </si>
  <si>
    <t>TIR-71396-998</t>
  </si>
  <si>
    <t>14204-14186-LA</t>
  </si>
  <si>
    <t>RXF-37618-213</t>
  </si>
  <si>
    <t>32948-34398-HC</t>
  </si>
  <si>
    <t>R-L-0.5</t>
  </si>
  <si>
    <t>ANM-16388-634</t>
  </si>
  <si>
    <t>77343-52608-FF</t>
  </si>
  <si>
    <t>WYL-29300-070</t>
  </si>
  <si>
    <t>42770-36274-QA</t>
  </si>
  <si>
    <t>R-M-0.2</t>
  </si>
  <si>
    <t>JHW-74554-805</t>
  </si>
  <si>
    <t>14103-58987-ZU</t>
  </si>
  <si>
    <t>KYS-27063-603</t>
  </si>
  <si>
    <t>69958-32065-SW</t>
  </si>
  <si>
    <t>GAZ-58626-277</t>
  </si>
  <si>
    <t>69533-84907-FA</t>
  </si>
  <si>
    <t>RPJ-37787-335</t>
  </si>
  <si>
    <t>76005-95461-CI</t>
  </si>
  <si>
    <t>A-M-2.5</t>
  </si>
  <si>
    <t>LEF-83057-763</t>
  </si>
  <si>
    <t>15395-90855-VB</t>
  </si>
  <si>
    <t>RPW-36123-215</t>
  </si>
  <si>
    <t>80640-45811-LB</t>
  </si>
  <si>
    <t>E-L-0.5</t>
  </si>
  <si>
    <t>WLL-59044-117</t>
  </si>
  <si>
    <t>28476-04082-GR</t>
  </si>
  <si>
    <t>R-D-1</t>
  </si>
  <si>
    <t>AWT-22827-563</t>
  </si>
  <si>
    <t>12018-75670-EU</t>
  </si>
  <si>
    <t>R-L-0.2</t>
  </si>
  <si>
    <t>QLM-07145-668</t>
  </si>
  <si>
    <t>86437-17399-FK</t>
  </si>
  <si>
    <t>HVQ-64398-930</t>
  </si>
  <si>
    <t>62979-53167-ML</t>
  </si>
  <si>
    <t>WRT-40778-247</t>
  </si>
  <si>
    <t>54810-81899-HL</t>
  </si>
  <si>
    <t>R-L-1</t>
  </si>
  <si>
    <t>SUB-13006-125</t>
  </si>
  <si>
    <t>26103-41504-IB</t>
  </si>
  <si>
    <t>A-L-0.5</t>
  </si>
  <si>
    <t>CQM-49696-263</t>
  </si>
  <si>
    <t>76534-45229-SG</t>
  </si>
  <si>
    <t>KXN-85094-246</t>
  </si>
  <si>
    <t>81744-27332-RR</t>
  </si>
  <si>
    <t>L-M-2.5</t>
  </si>
  <si>
    <t>XOQ-12405-419</t>
  </si>
  <si>
    <t>91513-75657-PH</t>
  </si>
  <si>
    <t>HYF-10254-369</t>
  </si>
  <si>
    <t>30373-66619-CB</t>
  </si>
  <si>
    <t>XXJ-47000-307</t>
  </si>
  <si>
    <t>31582-23562-FM</t>
  </si>
  <si>
    <t>A-L-2.5</t>
  </si>
  <si>
    <t>ZDK-82166-357</t>
  </si>
  <si>
    <t>81431-12577-VD</t>
  </si>
  <si>
    <t>IHN-19982-362</t>
  </si>
  <si>
    <t>68894-91205-MP</t>
  </si>
  <si>
    <t>VMT-10030-889</t>
  </si>
  <si>
    <t>87602-55754-VN</t>
  </si>
  <si>
    <t>NHL-11063-100</t>
  </si>
  <si>
    <t>39181-35745-WH</t>
  </si>
  <si>
    <t>ROV-87448-086</t>
  </si>
  <si>
    <t>30381-64762-NG</t>
  </si>
  <si>
    <t>DGY-35773-612</t>
  </si>
  <si>
    <t>17503-27693-ZH</t>
  </si>
  <si>
    <t>YWH-50638-556</t>
  </si>
  <si>
    <t>89442-35633-HJ</t>
  </si>
  <si>
    <t>ISL-11200-600</t>
  </si>
  <si>
    <t>13654-85265-IL</t>
  </si>
  <si>
    <t>LBZ-75997-047</t>
  </si>
  <si>
    <t>40946-22090-FP</t>
  </si>
  <si>
    <t>EUH-08089-954</t>
  </si>
  <si>
    <t>29050-93691-TS</t>
  </si>
  <si>
    <t>BLD-12227-251</t>
  </si>
  <si>
    <t>64395-74865-WF</t>
  </si>
  <si>
    <t>OPY-30711-853</t>
  </si>
  <si>
    <t>81861-66046-SU</t>
  </si>
  <si>
    <t>DBC-44122-300</t>
  </si>
  <si>
    <t>13366-78506-KP</t>
  </si>
  <si>
    <t>FJQ-60035-234</t>
  </si>
  <si>
    <t>08847-29858-HN</t>
  </si>
  <si>
    <t>HSF-66926-425</t>
  </si>
  <si>
    <t>00539-42510-RY</t>
  </si>
  <si>
    <t>LQG-41416-375</t>
  </si>
  <si>
    <t>45190-08727-NV</t>
  </si>
  <si>
    <t>VZO-97265-841</t>
  </si>
  <si>
    <t>87049-37901-FU</t>
  </si>
  <si>
    <t>MOR-12987-399</t>
  </si>
  <si>
    <t>34015-31593-JC</t>
  </si>
  <si>
    <t>UOA-23786-489</t>
  </si>
  <si>
    <t>90305-50099-SV</t>
  </si>
  <si>
    <t>AJL-52941-018</t>
  </si>
  <si>
    <t>55871-61935-MF</t>
  </si>
  <si>
    <t>E-D-1</t>
  </si>
  <si>
    <t>XSZ-84273-421</t>
  </si>
  <si>
    <t>15405-60469-TM</t>
  </si>
  <si>
    <t>NUN-48214-216</t>
  </si>
  <si>
    <t>06953-94794-FB</t>
  </si>
  <si>
    <t>AKV-93064-769</t>
  </si>
  <si>
    <t>22305-40299-CY</t>
  </si>
  <si>
    <t>BRB-40903-533</t>
  </si>
  <si>
    <t>09020-56774-GU</t>
  </si>
  <si>
    <t>E-L-0.2</t>
  </si>
  <si>
    <t>GPR-19973-483</t>
  </si>
  <si>
    <t>92926-08470-YS</t>
  </si>
  <si>
    <t>XIY-43041-882</t>
  </si>
  <si>
    <t>07250-63194-JO</t>
  </si>
  <si>
    <t>YGY-98425-969</t>
  </si>
  <si>
    <t>63787-96257-TQ</t>
  </si>
  <si>
    <t>MSB-08397-648</t>
  </si>
  <si>
    <t>49530-25460-RW</t>
  </si>
  <si>
    <t>WDR-06028-345</t>
  </si>
  <si>
    <t>66508-21373-OQ</t>
  </si>
  <si>
    <t>MXM-42948-061</t>
  </si>
  <si>
    <t>20203-03950-FY</t>
  </si>
  <si>
    <t>MGQ-98961-173</t>
  </si>
  <si>
    <t>83895-90735-XH</t>
  </si>
  <si>
    <t>RFH-64349-897</t>
  </si>
  <si>
    <t>61954-61462-RJ</t>
  </si>
  <si>
    <t>TKL-20738-660</t>
  </si>
  <si>
    <t>47939-53158-LS</t>
  </si>
  <si>
    <t>GOW-03198-575</t>
  </si>
  <si>
    <t>61513-27752-FA</t>
  </si>
  <si>
    <t>QJB-90477-635</t>
  </si>
  <si>
    <t>89714-19856-WX</t>
  </si>
  <si>
    <t>MWP-46239-785</t>
  </si>
  <si>
    <t>87979-56781-YV</t>
  </si>
  <si>
    <t>QDV-03406-248</t>
  </si>
  <si>
    <t>74126-88836-KA</t>
  </si>
  <si>
    <t>GPH-40635-105</t>
  </si>
  <si>
    <t>37397-05992-VO</t>
  </si>
  <si>
    <t>JOM-80930-071</t>
  </si>
  <si>
    <t>54904-18397-UD</t>
  </si>
  <si>
    <t>OIL-26493-755</t>
  </si>
  <si>
    <t>19017-95853-EK</t>
  </si>
  <si>
    <t>CYV-13426-645</t>
  </si>
  <si>
    <t>88593-59934-VU</t>
  </si>
  <si>
    <t>WRP-39846-614</t>
  </si>
  <si>
    <t>47493-68564-YM</t>
  </si>
  <si>
    <t>VDZ-76673-968</t>
  </si>
  <si>
    <t>82246-82543-DW</t>
  </si>
  <si>
    <t>VTV-03546-175</t>
  </si>
  <si>
    <t>03384-62101-IY</t>
  </si>
  <si>
    <t>GHR-72274-715</t>
  </si>
  <si>
    <t>86881-41559-OR</t>
  </si>
  <si>
    <t>ZGK-97262-313</t>
  </si>
  <si>
    <t>02536-18494-AQ</t>
  </si>
  <si>
    <t>ZFS-30776-804</t>
  </si>
  <si>
    <t>58638-01029-CB</t>
  </si>
  <si>
    <t>QUU-91729-492</t>
  </si>
  <si>
    <t>90312-11148-LA</t>
  </si>
  <si>
    <t>PVI-72795-960</t>
  </si>
  <si>
    <t>68239-74809-TF</t>
  </si>
  <si>
    <t>PPP-78935-365</t>
  </si>
  <si>
    <t>91074-60023-IP</t>
  </si>
  <si>
    <t>JUO-34131-517</t>
  </si>
  <si>
    <t>07972-83748-JI</t>
  </si>
  <si>
    <t>ZJE-89333-489</t>
  </si>
  <si>
    <t>08694-57330-XR</t>
  </si>
  <si>
    <t>LOO-35324-159</t>
  </si>
  <si>
    <t>68412-11126-YJ</t>
  </si>
  <si>
    <t>JBQ-93412-846</t>
  </si>
  <si>
    <t>69037-66822-DW</t>
  </si>
  <si>
    <t>EHX-66333-637</t>
  </si>
  <si>
    <t>01297-94364-XH</t>
  </si>
  <si>
    <t>WXG-25759-236</t>
  </si>
  <si>
    <t>39919-06540-ZI</t>
  </si>
  <si>
    <t>QNA-31113-984</t>
  </si>
  <si>
    <t>60512-78550-WS</t>
  </si>
  <si>
    <t>ZWI-52029-159</t>
  </si>
  <si>
    <t>40172-12000-AU</t>
  </si>
  <si>
    <t>DFS-49954-707</t>
  </si>
  <si>
    <t>39019-13649-CL</t>
  </si>
  <si>
    <t>VYP-89830-878</t>
  </si>
  <si>
    <t>12715-05198-QU</t>
  </si>
  <si>
    <t>AMT-40418-362</t>
  </si>
  <si>
    <t>04513-76520-QO</t>
  </si>
  <si>
    <t>NFQ-23241-793</t>
  </si>
  <si>
    <t>88446-59251-SQ</t>
  </si>
  <si>
    <t>JQK-64922-985</t>
  </si>
  <si>
    <t>23779-10274-KN</t>
  </si>
  <si>
    <t>YET-17732-678</t>
  </si>
  <si>
    <t>57235-92842-DK</t>
  </si>
  <si>
    <t>NKW-24945-846</t>
  </si>
  <si>
    <t>75977-30364-AY</t>
  </si>
  <si>
    <t>VKA-82720-513</t>
  </si>
  <si>
    <t>12299-30914-NG</t>
  </si>
  <si>
    <t>THA-60599-417</t>
  </si>
  <si>
    <t>59971-35626-YJ</t>
  </si>
  <si>
    <t>MEK-39769-035</t>
  </si>
  <si>
    <t>15380-76513-PS</t>
  </si>
  <si>
    <t>JAF-18294-750</t>
  </si>
  <si>
    <t>73564-98204-EY</t>
  </si>
  <si>
    <t>TME-59627-221</t>
  </si>
  <si>
    <t>72282-40594-RX</t>
  </si>
  <si>
    <t>UDG-65353-824</t>
  </si>
  <si>
    <t>17514-94165-RJ</t>
  </si>
  <si>
    <t>ENQ-42923-176</t>
  </si>
  <si>
    <t>56248-75861-JX</t>
  </si>
  <si>
    <t>CBT-55781-720</t>
  </si>
  <si>
    <t>97855-54761-IS</t>
  </si>
  <si>
    <t>NEU-86533-016</t>
  </si>
  <si>
    <t>96544-91644-IT</t>
  </si>
  <si>
    <t>BYU-58154-603</t>
  </si>
  <si>
    <t>51971-70393-QM</t>
  </si>
  <si>
    <t>EHJ-05910-257</t>
  </si>
  <si>
    <t>06812-11924-IK</t>
  </si>
  <si>
    <t>EIL-44855-309</t>
  </si>
  <si>
    <t>59741-90220-OW</t>
  </si>
  <si>
    <t>HCA-87224-420</t>
  </si>
  <si>
    <t>62682-27930-PD</t>
  </si>
  <si>
    <t>ABO-29054-365</t>
  </si>
  <si>
    <t>00256-19905-YG</t>
  </si>
  <si>
    <t>TKN-58485-031</t>
  </si>
  <si>
    <t>38890-22576-UI</t>
  </si>
  <si>
    <t>RCK-04069-371</t>
  </si>
  <si>
    <t>94573-61802-PH</t>
  </si>
  <si>
    <t>IRJ-67095-738</t>
  </si>
  <si>
    <t>86447-02699-UT</t>
  </si>
  <si>
    <t>VEA-31961-977</t>
  </si>
  <si>
    <t>51432-27169-KN</t>
  </si>
  <si>
    <t>BAF-42286-205</t>
  </si>
  <si>
    <t>43074-00987-PB</t>
  </si>
  <si>
    <t>WOR-52762-511</t>
  </si>
  <si>
    <t>04739-85772-QT</t>
  </si>
  <si>
    <t>ZWK-03995-815</t>
  </si>
  <si>
    <t>28279-78469-YW</t>
  </si>
  <si>
    <t>CKF-43291-846</t>
  </si>
  <si>
    <t>91829-99544-DS</t>
  </si>
  <si>
    <t>RMW-74160-339</t>
  </si>
  <si>
    <t>38978-59582-JP</t>
  </si>
  <si>
    <t>FMT-94584-786</t>
  </si>
  <si>
    <t>86504-96610-BH</t>
  </si>
  <si>
    <t>NWT-78222-575</t>
  </si>
  <si>
    <t>75986-98864-EZ</t>
  </si>
  <si>
    <t>EOI-02511-919</t>
  </si>
  <si>
    <t>66776-88682-RG</t>
  </si>
  <si>
    <t>UCT-03935-589</t>
  </si>
  <si>
    <t>85851-78384-DM</t>
  </si>
  <si>
    <t>SBI-60013-494</t>
  </si>
  <si>
    <t>55232-81621-BX</t>
  </si>
  <si>
    <t>QRA-73277-814</t>
  </si>
  <si>
    <t>80310-92912-JA</t>
  </si>
  <si>
    <t>EQE-31648-909</t>
  </si>
  <si>
    <t>19821-05175-WZ</t>
  </si>
  <si>
    <t>QOO-24615-950</t>
  </si>
  <si>
    <t>01338-83217-GV</t>
  </si>
  <si>
    <t>WDV-73864-037</t>
  </si>
  <si>
    <t>66044-25298-TA</t>
  </si>
  <si>
    <t>PKR-88575-066</t>
  </si>
  <si>
    <t>28728-47861-TZ</t>
  </si>
  <si>
    <t>BWR-85735-955</t>
  </si>
  <si>
    <t>32638-38620-AX</t>
  </si>
  <si>
    <t>YFX-64795-136</t>
  </si>
  <si>
    <t>83163-65741-IH</t>
  </si>
  <si>
    <t>DDO-71442-967</t>
  </si>
  <si>
    <t>89422-58281-FD</t>
  </si>
  <si>
    <t>ILQ-11027-588</t>
  </si>
  <si>
    <t>76293-30918-DQ</t>
  </si>
  <si>
    <t>KRZ-13868-122</t>
  </si>
  <si>
    <t>86779-84838-EJ</t>
  </si>
  <si>
    <t>VRM-93594-914</t>
  </si>
  <si>
    <t>66806-41795-MX</t>
  </si>
  <si>
    <t>HXL-22497-359</t>
  </si>
  <si>
    <t>64875-71224-UI</t>
  </si>
  <si>
    <t>NOP-21394-646</t>
  </si>
  <si>
    <t>16982-35708-BZ</t>
  </si>
  <si>
    <t>FTV-77095-168</t>
  </si>
  <si>
    <t>66708-26678-QK</t>
  </si>
  <si>
    <t>BOR-02906-411</t>
  </si>
  <si>
    <t>08743-09057-OO</t>
  </si>
  <si>
    <t>WMP-68847-770</t>
  </si>
  <si>
    <t>37490-01572-JW</t>
  </si>
  <si>
    <t>TMO-22785-872</t>
  </si>
  <si>
    <t>01811-60350-CU</t>
  </si>
  <si>
    <t>TJG-73587-353</t>
  </si>
  <si>
    <t>24766-58139-GT</t>
  </si>
  <si>
    <t>OOU-61343-455</t>
  </si>
  <si>
    <t>90123-70970-NY</t>
  </si>
  <si>
    <t>RMA-08327-369</t>
  </si>
  <si>
    <t>93809-05424-MG</t>
  </si>
  <si>
    <t>SFB-97929-779</t>
  </si>
  <si>
    <t>85425-33494-HQ</t>
  </si>
  <si>
    <t>AUP-10128-606</t>
  </si>
  <si>
    <t>54387-64897-XC</t>
  </si>
  <si>
    <t>YTW-40242-005</t>
  </si>
  <si>
    <t>01035-70465-UO</t>
  </si>
  <si>
    <t>PRP-53390-819</t>
  </si>
  <si>
    <t>84260-39432-ML</t>
  </si>
  <si>
    <t>GSJ-01065-125</t>
  </si>
  <si>
    <t>69779-40609-RS</t>
  </si>
  <si>
    <t>YQU-65147-580</t>
  </si>
  <si>
    <t>80247-70000-HT</t>
  </si>
  <si>
    <t>QPM-95832-683</t>
  </si>
  <si>
    <t>35058-04550-VC</t>
  </si>
  <si>
    <t>BNQ-88920-567</t>
  </si>
  <si>
    <t>27226-53717-SY</t>
  </si>
  <si>
    <t>PUX-47906-110</t>
  </si>
  <si>
    <t>02002-98725-CH</t>
  </si>
  <si>
    <t>COL-72079-610</t>
  </si>
  <si>
    <t>38487-01549-MV</t>
  </si>
  <si>
    <t>LBC-45686-819</t>
  </si>
  <si>
    <t>98573-41811-EQ</t>
  </si>
  <si>
    <t>BLQ-03709-265</t>
  </si>
  <si>
    <t>72463-75685-MV</t>
  </si>
  <si>
    <t>VFZ-91673-181</t>
  </si>
  <si>
    <t>10225-91535-AI</t>
  </si>
  <si>
    <t>WKD-81956-870</t>
  </si>
  <si>
    <t>48090-06534-HI</t>
  </si>
  <si>
    <t>TNI-91067-006</t>
  </si>
  <si>
    <t>80444-58185-FX</t>
  </si>
  <si>
    <t>IZA-61469-812</t>
  </si>
  <si>
    <t>13561-92774-WP</t>
  </si>
  <si>
    <t>PSS-22466-862</t>
  </si>
  <si>
    <t>11550-78378-GE</t>
  </si>
  <si>
    <t>REH-56504-397</t>
  </si>
  <si>
    <t>90961-35603-RP</t>
  </si>
  <si>
    <t>ALA-62598-016</t>
  </si>
  <si>
    <t>57145-03803-ZL</t>
  </si>
  <si>
    <t>EYE-70374-835</t>
  </si>
  <si>
    <t>89115-11966-VF</t>
  </si>
  <si>
    <t>CCZ-19589-212</t>
  </si>
  <si>
    <t>05754-41702-FG</t>
  </si>
  <si>
    <t>BPT-83989-157</t>
  </si>
  <si>
    <t>84269-49816-ML</t>
  </si>
  <si>
    <t>YFH-87456-208</t>
  </si>
  <si>
    <t>23600-98432-ME</t>
  </si>
  <si>
    <t>JLN-14700-924</t>
  </si>
  <si>
    <t>79058-02767-CP</t>
  </si>
  <si>
    <t>JVW-22582-137</t>
  </si>
  <si>
    <t>89208-74646-UK</t>
  </si>
  <si>
    <t>LAA-41879-001</t>
  </si>
  <si>
    <t>11408-81032-UR</t>
  </si>
  <si>
    <t>BRV-64870-915</t>
  </si>
  <si>
    <t>32070-55528-UG</t>
  </si>
  <si>
    <t>RGJ-12544-083</t>
  </si>
  <si>
    <t>48873-84433-PN</t>
  </si>
  <si>
    <t>JJX-83339-346</t>
  </si>
  <si>
    <t>32928-18158-OW</t>
  </si>
  <si>
    <t>BIU-21970-705</t>
  </si>
  <si>
    <t>89711-56688-GG</t>
  </si>
  <si>
    <t>ELJ-87741-745</t>
  </si>
  <si>
    <t>48389-71976-JB</t>
  </si>
  <si>
    <t>SGI-48226-857</t>
  </si>
  <si>
    <t>84033-80762-EQ</t>
  </si>
  <si>
    <t>AHV-66988-037</t>
  </si>
  <si>
    <t>12743-00952-KO</t>
  </si>
  <si>
    <t>ISK-42066-094</t>
  </si>
  <si>
    <t>41505-42181-EF</t>
  </si>
  <si>
    <t>FTC-35822-530</t>
  </si>
  <si>
    <t>14307-87663-KB</t>
  </si>
  <si>
    <t>VSS-56247-688</t>
  </si>
  <si>
    <t>08360-19442-GB</t>
  </si>
  <si>
    <t>HVW-25584-144</t>
  </si>
  <si>
    <t>93405-51204-UW</t>
  </si>
  <si>
    <t>MUY-15309-209</t>
  </si>
  <si>
    <t>97152-03355-IW</t>
  </si>
  <si>
    <t>VAJ-44572-469</t>
  </si>
  <si>
    <t>79216-73157-TE</t>
  </si>
  <si>
    <t>YJU-84377-606</t>
  </si>
  <si>
    <t>20259-47723-AC</t>
  </si>
  <si>
    <t>VNC-93921-469</t>
  </si>
  <si>
    <t>04666-71569-RI</t>
  </si>
  <si>
    <t>OGB-91614-810</t>
  </si>
  <si>
    <t>08909-77713-CG</t>
  </si>
  <si>
    <t>BQI-61647-496</t>
  </si>
  <si>
    <t>84340-73931-VV</t>
  </si>
  <si>
    <t>IOM-51636-823</t>
  </si>
  <si>
    <t>04609-95151-XH</t>
  </si>
  <si>
    <t>GGD-38107-641</t>
  </si>
  <si>
    <t>99562-88650-YF</t>
  </si>
  <si>
    <t>LTO-95975-728</t>
  </si>
  <si>
    <t>46560-73885-PJ</t>
  </si>
  <si>
    <t>IGM-84664-265</t>
  </si>
  <si>
    <t>80179-44620-WN</t>
  </si>
  <si>
    <t>SKO-45740-621</t>
  </si>
  <si>
    <t>FOJ-02234-063</t>
  </si>
  <si>
    <t>59081-87231-VP</t>
  </si>
  <si>
    <t>E-D-2.5</t>
  </si>
  <si>
    <t>MSJ-11909-468</t>
  </si>
  <si>
    <t>07878-45872-CC</t>
  </si>
  <si>
    <t>DKB-78053-329</t>
  </si>
  <si>
    <t>12444-05174-OO</t>
  </si>
  <si>
    <t>DFZ-45083-941</t>
  </si>
  <si>
    <t>34665-62561-AU</t>
  </si>
  <si>
    <t>OTA-40969-710</t>
  </si>
  <si>
    <t>77877-11993-QH</t>
  </si>
  <si>
    <t>GRH-45571-667</t>
  </si>
  <si>
    <t>32291-18308-YZ</t>
  </si>
  <si>
    <t>NXV-05302-067</t>
  </si>
  <si>
    <t>25754-33191-ZI</t>
  </si>
  <si>
    <t>VZH-86274-142</t>
  </si>
  <si>
    <t>53120-45532-KL</t>
  </si>
  <si>
    <t>KIX-93248-135</t>
  </si>
  <si>
    <t>36605-83052-WB</t>
  </si>
  <si>
    <t>AXR-10962-010</t>
  </si>
  <si>
    <t>53683-35977-KI</t>
  </si>
  <si>
    <t>IHS-71573-008</t>
  </si>
  <si>
    <t>07972-83134-NM</t>
  </si>
  <si>
    <t>QTR-19001-114</t>
  </si>
  <si>
    <t>WBK-62297-910</t>
  </si>
  <si>
    <t>25514-23938-IQ</t>
  </si>
  <si>
    <t>OGY-19377-175</t>
  </si>
  <si>
    <t>49084-44492-OJ</t>
  </si>
  <si>
    <t>ESR-66651-814</t>
  </si>
  <si>
    <t>76624-72205-CK</t>
  </si>
  <si>
    <t>CPX-46916-770</t>
  </si>
  <si>
    <t>12729-50170-JE</t>
  </si>
  <si>
    <t>MDC-03318-645</t>
  </si>
  <si>
    <t>43974-44760-QI</t>
  </si>
  <si>
    <t>SFF-86059-407</t>
  </si>
  <si>
    <t>30585-48726-BK</t>
  </si>
  <si>
    <t>SCL-94540-788</t>
  </si>
  <si>
    <t>16123-07017-TY</t>
  </si>
  <si>
    <t>HVU-21634-076</t>
  </si>
  <si>
    <t>27723-45097-MH</t>
  </si>
  <si>
    <t>XUS-73326-418</t>
  </si>
  <si>
    <t>37078-56703-AF</t>
  </si>
  <si>
    <t>XWD-18933-006</t>
  </si>
  <si>
    <t>79420-11075-MY</t>
  </si>
  <si>
    <t>HPD-65272-772</t>
  </si>
  <si>
    <t>57504-13456-UO</t>
  </si>
  <si>
    <t>JEG-93140-224</t>
  </si>
  <si>
    <t>53751-57560-CN</t>
  </si>
  <si>
    <t>NNH-62058-950</t>
  </si>
  <si>
    <t>96112-42558-EA</t>
  </si>
  <si>
    <t>LTD-71429-845</t>
  </si>
  <si>
    <t>03157-23165-UB</t>
  </si>
  <si>
    <t>MPV-26985-215</t>
  </si>
  <si>
    <t>51466-52850-AG</t>
  </si>
  <si>
    <t>IYO-10245-081</t>
  </si>
  <si>
    <t>57145-31023-FK</t>
  </si>
  <si>
    <t>BYZ-39669-954</t>
  </si>
  <si>
    <t>66408-53777-VE</t>
  </si>
  <si>
    <t>EFB-72860-209</t>
  </si>
  <si>
    <t>53035-99701-WG</t>
  </si>
  <si>
    <t>GMM-72397-378</t>
  </si>
  <si>
    <t>45899-92796-EI</t>
  </si>
  <si>
    <t>LYP-52345-883</t>
  </si>
  <si>
    <t>17649-28133-PY</t>
  </si>
  <si>
    <t>DFK-35846-692</t>
  </si>
  <si>
    <t>49612-33852-CN</t>
  </si>
  <si>
    <t>XAH-93337-609</t>
  </si>
  <si>
    <t>66976-43829-YG</t>
  </si>
  <si>
    <t>QKA-72582-644</t>
  </si>
  <si>
    <t>64852-04619-XZ</t>
  </si>
  <si>
    <t>ZDK-84567-102</t>
  </si>
  <si>
    <t>58690-31815-VY</t>
  </si>
  <si>
    <t>WAV-38301-984</t>
  </si>
  <si>
    <t>62863-81239-DT</t>
  </si>
  <si>
    <t>KZR-33023-209</t>
  </si>
  <si>
    <t>21177-40725-CF</t>
  </si>
  <si>
    <t>ULM-49433-003</t>
  </si>
  <si>
    <t>99421-80253-UI</t>
  </si>
  <si>
    <t>SIB-83254-136</t>
  </si>
  <si>
    <t>45315-50206-DK</t>
  </si>
  <si>
    <t>NOK-50349-551</t>
  </si>
  <si>
    <t>09595-95726-OV</t>
  </si>
  <si>
    <t>YIS-96268-844</t>
  </si>
  <si>
    <t>60221-67036-TD</t>
  </si>
  <si>
    <t>CXI-04933-855</t>
  </si>
  <si>
    <t>62923-29397-KX</t>
  </si>
  <si>
    <t>IZU-90429-382</t>
  </si>
  <si>
    <t>33011-52383-BA</t>
  </si>
  <si>
    <t>WIT-40912-783</t>
  </si>
  <si>
    <t>86768-91598-FA</t>
  </si>
  <si>
    <t>PSD-57291-590</t>
  </si>
  <si>
    <t>37191-12203-MX</t>
  </si>
  <si>
    <t>GOI-41472-677</t>
  </si>
  <si>
    <t>16545-76328-JY</t>
  </si>
  <si>
    <t>KTX-17944-494</t>
  </si>
  <si>
    <t>74330-29286-RO</t>
  </si>
  <si>
    <t>RDM-99811-230</t>
  </si>
  <si>
    <t>22349-47389-GY</t>
  </si>
  <si>
    <t>JTU-55897-581</t>
  </si>
  <si>
    <t>70290-38099-GB</t>
  </si>
  <si>
    <t>CRK-07584-240</t>
  </si>
  <si>
    <t>18741-72071-PP</t>
  </si>
  <si>
    <t>MKE-75518-399</t>
  </si>
  <si>
    <t>62588-82624-II</t>
  </si>
  <si>
    <t>AEL-51169-725</t>
  </si>
  <si>
    <t>37430-29579-HD</t>
  </si>
  <si>
    <t>ZGM-83108-823</t>
  </si>
  <si>
    <t>84132-22322-QT</t>
  </si>
  <si>
    <t>JBP-78754-392</t>
  </si>
  <si>
    <t>RNH-54912-747</t>
  </si>
  <si>
    <t>37445-17791-NQ</t>
  </si>
  <si>
    <t>JDS-33440-914</t>
  </si>
  <si>
    <t>58511-10548-ZU</t>
  </si>
  <si>
    <t>SYX-48878-182</t>
  </si>
  <si>
    <t>47725-34771-FJ</t>
  </si>
  <si>
    <t>ZGD-94763-868</t>
  </si>
  <si>
    <t>53086-67334-KT</t>
  </si>
  <si>
    <t>CZY-70361-485</t>
  </si>
  <si>
    <t>83308-82257-UN</t>
  </si>
  <si>
    <t>RJR-12175-899</t>
  </si>
  <si>
    <t>37274-08534-FM</t>
  </si>
  <si>
    <t>ELB-07929-407</t>
  </si>
  <si>
    <t>54004-04664-AA</t>
  </si>
  <si>
    <t>UJQ-54441-340</t>
  </si>
  <si>
    <t>26822-19510-SD</t>
  </si>
  <si>
    <t>OWY-43108-475</t>
  </si>
  <si>
    <t>06432-73165-ML</t>
  </si>
  <si>
    <t>GNO-91911-159</t>
  </si>
  <si>
    <t>96503-31833-CW</t>
  </si>
  <si>
    <t>CNY-06284-066</t>
  </si>
  <si>
    <t>63985-64148-MG</t>
  </si>
  <si>
    <t>OQS-46321-904</t>
  </si>
  <si>
    <t>19597-91185-CM</t>
  </si>
  <si>
    <t>IBW-87442-480</t>
  </si>
  <si>
    <t>79814-23626-JR</t>
  </si>
  <si>
    <t>DGZ-82537-477</t>
  </si>
  <si>
    <t>43439-94003-DW</t>
  </si>
  <si>
    <t>LPS-39089-432</t>
  </si>
  <si>
    <t>97655-45555-LI</t>
  </si>
  <si>
    <t>MQU-86100-929</t>
  </si>
  <si>
    <t>64418-01720-VW</t>
  </si>
  <si>
    <t>XUR-14132-391</t>
  </si>
  <si>
    <t>96836-09258-RI</t>
  </si>
  <si>
    <t>OVI-27064-381</t>
  </si>
  <si>
    <t>SHP-17012-870</t>
  </si>
  <si>
    <t>69529-07533-CV</t>
  </si>
  <si>
    <t>FDY-03414-903</t>
  </si>
  <si>
    <t>94840-49457-UD</t>
  </si>
  <si>
    <t>WXT-85291-143</t>
  </si>
  <si>
    <t>81414-81273-DK</t>
  </si>
  <si>
    <t>QNP-18893-547</t>
  </si>
  <si>
    <t>76930-61689-CH</t>
  </si>
  <si>
    <t>DOH-92927-530</t>
  </si>
  <si>
    <t>12839-56537-TQ</t>
  </si>
  <si>
    <t>HGJ-82768-173</t>
  </si>
  <si>
    <t>62741-01322-HU</t>
  </si>
  <si>
    <t>YPT-95383-088</t>
  </si>
  <si>
    <t>OYH-16533-767</t>
  </si>
  <si>
    <t>44932-34838-RM</t>
  </si>
  <si>
    <t>DWW-28642-549</t>
  </si>
  <si>
    <t>91181-19412-RQ</t>
  </si>
  <si>
    <t>CGO-79583-871</t>
  </si>
  <si>
    <t>37182-54930-XC</t>
  </si>
  <si>
    <t>TFY-52090-386</t>
  </si>
  <si>
    <t>08613-17327-XT</t>
  </si>
  <si>
    <t>NYY-73968-094</t>
  </si>
  <si>
    <t>70451-38048-AH</t>
  </si>
  <si>
    <t>QEY-71761-460</t>
  </si>
  <si>
    <t>35442-75769-PL</t>
  </si>
  <si>
    <t>GKQ-82603-910</t>
  </si>
  <si>
    <t>83737-56117-JE</t>
  </si>
  <si>
    <t>IOB-32673-745</t>
  </si>
  <si>
    <t>07095-81281-NJ</t>
  </si>
  <si>
    <t>YAU-98893-150</t>
  </si>
  <si>
    <t>77043-48851-HG</t>
  </si>
  <si>
    <t>XNM-14163-951</t>
  </si>
  <si>
    <t>78224-60622-KH</t>
  </si>
  <si>
    <t>JPB-45297-000</t>
  </si>
  <si>
    <t>83105-86631-IU</t>
  </si>
  <si>
    <t>MOU-74341-266</t>
  </si>
  <si>
    <t>99358-65399-TC</t>
  </si>
  <si>
    <t>DHJ-87461-571</t>
  </si>
  <si>
    <t>94525-76037-JP</t>
  </si>
  <si>
    <t>DKM-97676-850</t>
  </si>
  <si>
    <t>UEB-09112-118</t>
  </si>
  <si>
    <t>82718-93677-XO</t>
  </si>
  <si>
    <t>ORZ-67699-748</t>
  </si>
  <si>
    <t>44708-78241-DF</t>
  </si>
  <si>
    <t>JXP-28398-485</t>
  </si>
  <si>
    <t>23039-93032-FN</t>
  </si>
  <si>
    <t>WWH-92259-198</t>
  </si>
  <si>
    <t>35256-12529-FT</t>
  </si>
  <si>
    <t>FLR-82914-153</t>
  </si>
  <si>
    <t>86100-33488-WP</t>
  </si>
  <si>
    <t>AMB-93600-000</t>
  </si>
  <si>
    <t>64435-53100-WM</t>
  </si>
  <si>
    <t>FEP-36895-658</t>
  </si>
  <si>
    <t>44699-43836-UH</t>
  </si>
  <si>
    <t>RXW-91413-276</t>
  </si>
  <si>
    <t>29588-35679-RG</t>
  </si>
  <si>
    <t>SDB-77492-188</t>
  </si>
  <si>
    <t>64815-54078-HH</t>
  </si>
  <si>
    <t>RZN-65182-395</t>
  </si>
  <si>
    <t>59572-41990-XY</t>
  </si>
  <si>
    <t>HDQ-86094-507</t>
  </si>
  <si>
    <t>32481-61533-ZJ</t>
  </si>
  <si>
    <t>YXO-79631-417</t>
  </si>
  <si>
    <t>31587-92570-HL</t>
  </si>
  <si>
    <t>SNF-57032-096</t>
  </si>
  <si>
    <t>93832-04799-ID</t>
  </si>
  <si>
    <t>DGL-29648-995</t>
  </si>
  <si>
    <t>59367-30821-ZQ</t>
  </si>
  <si>
    <t>GPU-65651-504</t>
  </si>
  <si>
    <t>83947-45528-ET</t>
  </si>
  <si>
    <t>OJU-34452-896</t>
  </si>
  <si>
    <t>60799-92593-CX</t>
  </si>
  <si>
    <t>GZS-50547-887</t>
  </si>
  <si>
    <t>61600-55136-UM</t>
  </si>
  <si>
    <t>ESR-54041-053</t>
  </si>
  <si>
    <t>59771-90302-OF</t>
  </si>
  <si>
    <t>OGD-10781-526</t>
  </si>
  <si>
    <t>16880-78077-FB</t>
  </si>
  <si>
    <t>FVH-29271-315</t>
  </si>
  <si>
    <t>74415-50873-FC</t>
  </si>
  <si>
    <t>BNZ-20544-633</t>
  </si>
  <si>
    <t>31798-95707-NR</t>
  </si>
  <si>
    <t>FUX-85791-078</t>
  </si>
  <si>
    <t>59122-08794-WT</t>
  </si>
  <si>
    <t>YXP-20078-116</t>
  </si>
  <si>
    <t>37238-52421-JJ</t>
  </si>
  <si>
    <t>VQV-59984-866</t>
  </si>
  <si>
    <t>48854-01899-FN</t>
  </si>
  <si>
    <t>JEH-37276-048</t>
  </si>
  <si>
    <t>80896-38819-DW</t>
  </si>
  <si>
    <t>VYD-28555-589</t>
  </si>
  <si>
    <t>29814-01459-RC</t>
  </si>
  <si>
    <t>WUG-76466-650</t>
  </si>
  <si>
    <t>RJV-08261-583</t>
  </si>
  <si>
    <t>48497-29281-FE</t>
  </si>
  <si>
    <t>PMR-56062-609</t>
  </si>
  <si>
    <t>43605-12616-YH</t>
  </si>
  <si>
    <t>XLD-12920-505</t>
  </si>
  <si>
    <t>21907-75962-VB</t>
  </si>
  <si>
    <t>UBW-50312-037</t>
  </si>
  <si>
    <t>69503-12127-YD</t>
  </si>
  <si>
    <t>QAW-05889-019</t>
  </si>
  <si>
    <t>68810-07329-EU</t>
  </si>
  <si>
    <t>EPT-12715-397</t>
  </si>
  <si>
    <t>08478-75251-OG</t>
  </si>
  <si>
    <t>DHT-93810-053</t>
  </si>
  <si>
    <t>17005-82030-EA</t>
  </si>
  <si>
    <t>DMY-96037-963</t>
  </si>
  <si>
    <t>42179-95059-DO</t>
  </si>
  <si>
    <t>MBM-55936-917</t>
  </si>
  <si>
    <t>55989-39849-WO</t>
  </si>
  <si>
    <t>TPA-93614-840</t>
  </si>
  <si>
    <t>28932-49296-TM</t>
  </si>
  <si>
    <t>WDM-77521-710</t>
  </si>
  <si>
    <t>86144-10144-CB</t>
  </si>
  <si>
    <t>EIP-19142-462</t>
  </si>
  <si>
    <t>60973-72562-DQ</t>
  </si>
  <si>
    <t>ZZL-76364-387</t>
  </si>
  <si>
    <t>11263-86515-VU</t>
  </si>
  <si>
    <t>GMF-18638-786</t>
  </si>
  <si>
    <t>60004-62976-NI</t>
  </si>
  <si>
    <t>TDJ-20844-787</t>
  </si>
  <si>
    <t>77876-28498-HI</t>
  </si>
  <si>
    <t>BWK-39400-446</t>
  </si>
  <si>
    <t>61302-06948-EH</t>
  </si>
  <si>
    <t>LCB-02099-995</t>
  </si>
  <si>
    <t>06757-96251-UH</t>
  </si>
  <si>
    <t>UBA-43678-174</t>
  </si>
  <si>
    <t>44530-75983-OD</t>
  </si>
  <si>
    <t>UDH-24280-432</t>
  </si>
  <si>
    <t>44865-58249-RY</t>
  </si>
  <si>
    <t>IDQ-20193-502</t>
  </si>
  <si>
    <t>36021-61205-DF</t>
  </si>
  <si>
    <t>DJG-14442-608</t>
  </si>
  <si>
    <t>75716-12782-SS</t>
  </si>
  <si>
    <t>DWB-61381-370</t>
  </si>
  <si>
    <t>11812-00461-KH</t>
  </si>
  <si>
    <t>FRD-17347-990</t>
  </si>
  <si>
    <t>46681-78850-ZW</t>
  </si>
  <si>
    <t>YPP-27450-525</t>
  </si>
  <si>
    <t>01932-87052-KO</t>
  </si>
  <si>
    <t>EFC-39577-424</t>
  </si>
  <si>
    <t>16046-34805-ZF</t>
  </si>
  <si>
    <t>LAW-80062-016</t>
  </si>
  <si>
    <t>34546-70516-LR</t>
  </si>
  <si>
    <t>WKL-27981-758</t>
  </si>
  <si>
    <t>73699-93557-FZ</t>
  </si>
  <si>
    <t>VRT-39834-265</t>
  </si>
  <si>
    <t>86686-37462-CK</t>
  </si>
  <si>
    <t>QTC-71005-730</t>
  </si>
  <si>
    <t>14298-02150-KH</t>
  </si>
  <si>
    <t>TNX-09857-717</t>
  </si>
  <si>
    <t>48675-07824-HJ</t>
  </si>
  <si>
    <t>JZV-43874-185</t>
  </si>
  <si>
    <t>18551-80943-YQ</t>
  </si>
  <si>
    <t>ICF-17486-106</t>
  </si>
  <si>
    <t>19196-09748-DB</t>
  </si>
  <si>
    <t>BMK-49520-383</t>
  </si>
  <si>
    <t>72233-08665-IP</t>
  </si>
  <si>
    <t>HTS-15020-632</t>
  </si>
  <si>
    <t>53817-13148-RK</t>
  </si>
  <si>
    <t>YLE-18247-749</t>
  </si>
  <si>
    <t>92227-49331-QR</t>
  </si>
  <si>
    <t>KJJ-12573-591</t>
  </si>
  <si>
    <t>12997-41076-FQ</t>
  </si>
  <si>
    <t>RGU-43561-950</t>
  </si>
  <si>
    <t>44220-00348-MB</t>
  </si>
  <si>
    <t>JSN-73975-443</t>
  </si>
  <si>
    <t>93047-98331-DD</t>
  </si>
  <si>
    <t>WNR-71736-993</t>
  </si>
  <si>
    <t>HNI-91338-546</t>
  </si>
  <si>
    <t>67285-75317-XI</t>
  </si>
  <si>
    <t>CYH-53243-218</t>
  </si>
  <si>
    <t>88167-57964-PH</t>
  </si>
  <si>
    <t>SVD-75407-177</t>
  </si>
  <si>
    <t>16106-36039-QS</t>
  </si>
  <si>
    <t>NVN-66443-451</t>
  </si>
  <si>
    <t>98921-82417-GN</t>
  </si>
  <si>
    <t>JUA-13580-095</t>
  </si>
  <si>
    <t>55265-75151-AK</t>
  </si>
  <si>
    <t>ACY-56225-839</t>
  </si>
  <si>
    <t>47386-50743-FG</t>
  </si>
  <si>
    <t>QBB-07903-622</t>
  </si>
  <si>
    <t>32622-54551-UC</t>
  </si>
  <si>
    <t>JLJ-81802-619</t>
  </si>
  <si>
    <t>HFT-77191-168</t>
  </si>
  <si>
    <t>48419-02347-XP</t>
  </si>
  <si>
    <t>SZR-35951-530</t>
  </si>
  <si>
    <t>14121-20527-OJ</t>
  </si>
  <si>
    <t>IKL-95976-565</t>
  </si>
  <si>
    <t>53486-73919-BQ</t>
  </si>
  <si>
    <t>XEY-48929-474</t>
  </si>
  <si>
    <t>21889-94615-WT</t>
  </si>
  <si>
    <t>SQT-07286-736</t>
  </si>
  <si>
    <t>87726-16941-QW</t>
  </si>
  <si>
    <t>QDU-45390-361</t>
  </si>
  <si>
    <t>03677-09134-BC</t>
  </si>
  <si>
    <t>RUJ-30649-712</t>
  </si>
  <si>
    <t>93224-71517-WV</t>
  </si>
  <si>
    <t>WSV-49732-075</t>
  </si>
  <si>
    <t>76263-95145-GJ</t>
  </si>
  <si>
    <t>VJF-46305-323</t>
  </si>
  <si>
    <t>68555-89840-GZ</t>
  </si>
  <si>
    <t>CXD-74176-600</t>
  </si>
  <si>
    <t>70624-19112-AO</t>
  </si>
  <si>
    <t>ADX-50674-975</t>
  </si>
  <si>
    <t>58916-61837-QH</t>
  </si>
  <si>
    <t>RRP-51647-420</t>
  </si>
  <si>
    <t>89292-52335-YZ</t>
  </si>
  <si>
    <t>PKJ-99134-523</t>
  </si>
  <si>
    <t>77284-34297-YY</t>
  </si>
  <si>
    <t>FZQ-29439-457</t>
  </si>
  <si>
    <t>50449-80974-BZ</t>
  </si>
  <si>
    <t>USN-68115-161</t>
  </si>
  <si>
    <t>08120-16183-AW</t>
  </si>
  <si>
    <t>IXU-20263-532</t>
  </si>
  <si>
    <t>68044-89277-ML</t>
  </si>
  <si>
    <t>CBT-15092-420</t>
  </si>
  <si>
    <t>71364-35210-HS</t>
  </si>
  <si>
    <t>PKQ-46841-696</t>
  </si>
  <si>
    <t>37177-68797-ON</t>
  </si>
  <si>
    <t>XDU-05471-219</t>
  </si>
  <si>
    <t>60308-06944-GS</t>
  </si>
  <si>
    <t>NID-20149-329</t>
  </si>
  <si>
    <t>49888-39458-PF</t>
  </si>
  <si>
    <t>SVU-27222-213</t>
  </si>
  <si>
    <t>60748-46813-DZ</t>
  </si>
  <si>
    <t>RWI-84131-848</t>
  </si>
  <si>
    <t>16385-11286-NX</t>
  </si>
  <si>
    <t>GUU-40666-525</t>
  </si>
  <si>
    <t>SCN-51395-066</t>
  </si>
  <si>
    <t>72164-90254-EJ</t>
  </si>
  <si>
    <t>ULA-24644-321</t>
  </si>
  <si>
    <t>67010-92988-CT</t>
  </si>
  <si>
    <t>EOL-92666-762</t>
  </si>
  <si>
    <t>15776-91507-GT</t>
  </si>
  <si>
    <t>AJV-18231-334</t>
  </si>
  <si>
    <t>23473-41001-CD</t>
  </si>
  <si>
    <t>ZQI-47236-301</t>
  </si>
  <si>
    <t>23446-47798-ID</t>
  </si>
  <si>
    <t>ZCR-15721-658</t>
  </si>
  <si>
    <t>28327-84469-ND</t>
  </si>
  <si>
    <t>QEW-47945-682</t>
  </si>
  <si>
    <t>42466-87067-DT</t>
  </si>
  <si>
    <t>PSY-45485-542</t>
  </si>
  <si>
    <t>62246-99443-HF</t>
  </si>
  <si>
    <t>BAQ-74241-156</t>
  </si>
  <si>
    <t>99869-55718-UU</t>
  </si>
  <si>
    <t>BVU-77367-451</t>
  </si>
  <si>
    <t>77421-46059-RY</t>
  </si>
  <si>
    <t>TJE-91516-344</t>
  </si>
  <si>
    <t>49894-06550-OQ</t>
  </si>
  <si>
    <t>LIS-96202-702</t>
  </si>
  <si>
    <t>72028-63343-SU</t>
  </si>
  <si>
    <t>VIO-27668-766</t>
  </si>
  <si>
    <t>10074-20104-NN</t>
  </si>
  <si>
    <t>ZVG-20473-043</t>
  </si>
  <si>
    <t>71769-10219-IM</t>
  </si>
  <si>
    <t>KGZ-56395-231</t>
  </si>
  <si>
    <t>22221-71106-JD</t>
  </si>
  <si>
    <t>CUU-92244-729</t>
  </si>
  <si>
    <t>99735-44927-OL</t>
  </si>
  <si>
    <t>EHE-94714-312</t>
  </si>
  <si>
    <t>27132-68907-RC</t>
  </si>
  <si>
    <t>RTL-16205-161</t>
  </si>
  <si>
    <t>90440-62727-HI</t>
  </si>
  <si>
    <t>GTS-22482-014</t>
  </si>
  <si>
    <t>36769-16558-SX</t>
  </si>
  <si>
    <t>DYG-25473-881</t>
  </si>
  <si>
    <t>10138-31681-SD</t>
  </si>
  <si>
    <t>HTR-21838-286</t>
  </si>
  <si>
    <t>24669-76297-SF</t>
  </si>
  <si>
    <t>KYG-28296-920</t>
  </si>
  <si>
    <t>78050-20355-DI</t>
  </si>
  <si>
    <t>NNB-20459-430</t>
  </si>
  <si>
    <t>79825-17822-UH</t>
  </si>
  <si>
    <t>FEK-14025-351</t>
  </si>
  <si>
    <t>03990-21586-MQ</t>
  </si>
  <si>
    <t>AWH-16980-469</t>
  </si>
  <si>
    <t>27493-46921-TZ</t>
  </si>
  <si>
    <t>ZPW-31329-741</t>
  </si>
  <si>
    <t>UBI-83843-396</t>
  </si>
  <si>
    <t>58816-74064-TF</t>
  </si>
  <si>
    <t>VID-40587-569</t>
  </si>
  <si>
    <t>09818-59895-EH</t>
  </si>
  <si>
    <t>KBB-52530-416</t>
  </si>
  <si>
    <t>06488-46303-IZ</t>
  </si>
  <si>
    <t>ISJ-48676-420</t>
  </si>
  <si>
    <t>93046-67561-AY</t>
  </si>
  <si>
    <t>MIF-17920-768</t>
  </si>
  <si>
    <t>68946-40750-LK</t>
  </si>
  <si>
    <t>CPX-19312-088</t>
  </si>
  <si>
    <t>38387-64959-WW</t>
  </si>
  <si>
    <t>RXI-67978-260</t>
  </si>
  <si>
    <t>48418-60841-CC</t>
  </si>
  <si>
    <t>LKE-14821-285</t>
  </si>
  <si>
    <t>13736-92418-JS</t>
  </si>
  <si>
    <t>LRK-97117-150</t>
  </si>
  <si>
    <t>33000-22405-LO</t>
  </si>
  <si>
    <t>IGK-51227-573</t>
  </si>
  <si>
    <t>46959-60474-LT</t>
  </si>
  <si>
    <t>ZAY-43009-775</t>
  </si>
  <si>
    <t>73431-39823-UP</t>
  </si>
  <si>
    <t>EMA-63190-618</t>
  </si>
  <si>
    <t>90993-98984-JK</t>
  </si>
  <si>
    <t>FBI-35855-418</t>
  </si>
  <si>
    <t>06552-04430-AG</t>
  </si>
  <si>
    <t>TXB-80533-417</t>
  </si>
  <si>
    <t>54597-57004-QM</t>
  </si>
  <si>
    <t>MBM-00112-248</t>
  </si>
  <si>
    <t>50238-24377-ZS</t>
  </si>
  <si>
    <t>EUO-69145-988</t>
  </si>
  <si>
    <t>60370-41934-IF</t>
  </si>
  <si>
    <t>GYA-80327-368</t>
  </si>
  <si>
    <t>06899-54551-EH</t>
  </si>
  <si>
    <t>TNW-41601-420</t>
  </si>
  <si>
    <t>66458-91190-YC</t>
  </si>
  <si>
    <t>ALR-62963-723</t>
  </si>
  <si>
    <t>80463-43913-WZ</t>
  </si>
  <si>
    <t>JIG-27636-870</t>
  </si>
  <si>
    <t>67204-04870-LG</t>
  </si>
  <si>
    <t>CTE-31437-326</t>
  </si>
  <si>
    <t>22721-63196-UJ</t>
  </si>
  <si>
    <t>SLD-63003-334</t>
  </si>
  <si>
    <t>55515-37571-RS</t>
  </si>
  <si>
    <t>BXN-64230-789</t>
  </si>
  <si>
    <t>25598-77476-CB</t>
  </si>
  <si>
    <t>XEE-37895-169</t>
  </si>
  <si>
    <t>14888-85625-TM</t>
  </si>
  <si>
    <t>ZTX-80764-911</t>
  </si>
  <si>
    <t>92793-68332-NR</t>
  </si>
  <si>
    <t>WVT-88135-549</t>
  </si>
  <si>
    <t>IPA-94170-889</t>
  </si>
  <si>
    <t>64439-27325-LG</t>
  </si>
  <si>
    <t>YQL-63755-365</t>
  </si>
  <si>
    <t>78570-76770-LB</t>
  </si>
  <si>
    <t>RKW-81145-984</t>
  </si>
  <si>
    <t>98661-69719-VI</t>
  </si>
  <si>
    <t>MBT-23379-866</t>
  </si>
  <si>
    <t>82990-92703-IX</t>
  </si>
  <si>
    <t>GEJ-39834-935</t>
  </si>
  <si>
    <t>49412-86877-VY</t>
  </si>
  <si>
    <t>KRW-91640-596</t>
  </si>
  <si>
    <t>70879-00984-FJ</t>
  </si>
  <si>
    <t>AOT-70449-651</t>
  </si>
  <si>
    <t>53414-73391-CR</t>
  </si>
  <si>
    <t>DGC-21813-731</t>
  </si>
  <si>
    <t>43606-83072-OA</t>
  </si>
  <si>
    <t>JBE-92943-643</t>
  </si>
  <si>
    <t>84466-22864-CE</t>
  </si>
  <si>
    <t>ZIL-34948-499</t>
  </si>
  <si>
    <t>JSU-23781-256</t>
  </si>
  <si>
    <t>76499-89100-JQ</t>
  </si>
  <si>
    <t>VPX-44956-367</t>
  </si>
  <si>
    <t>39582-35773-ZJ</t>
  </si>
  <si>
    <t>VTB-46451-959</t>
  </si>
  <si>
    <t>66240-46962-IO</t>
  </si>
  <si>
    <t>DNZ-11665-950</t>
  </si>
  <si>
    <t>10637-45522-ID</t>
  </si>
  <si>
    <t>ITR-54735-364</t>
  </si>
  <si>
    <t>92599-58687-CS</t>
  </si>
  <si>
    <t>YDS-02797-307</t>
  </si>
  <si>
    <t>06058-48844-PI</t>
  </si>
  <si>
    <t>BPG-68988-842</t>
  </si>
  <si>
    <t>53631-24432-SY</t>
  </si>
  <si>
    <t>XZG-51938-658</t>
  </si>
  <si>
    <t>18275-73980-KL</t>
  </si>
  <si>
    <t>KAR-24978-271</t>
  </si>
  <si>
    <t>23187-65750-HZ</t>
  </si>
  <si>
    <t>FQK-28730-361</t>
  </si>
  <si>
    <t>22725-79522-GP</t>
  </si>
  <si>
    <t>BGB-67996-089</t>
  </si>
  <si>
    <t>06279-72603-JE</t>
  </si>
  <si>
    <t>XMC-20620-809</t>
  </si>
  <si>
    <t>83543-79246-ON</t>
  </si>
  <si>
    <t>ZSO-58292-191</t>
  </si>
  <si>
    <t>66794-66795-VW</t>
  </si>
  <si>
    <t>LWJ-06793-303</t>
  </si>
  <si>
    <t>95424-67020-AP</t>
  </si>
  <si>
    <t>FLM-82229-989</t>
  </si>
  <si>
    <t>73017-69644-MS</t>
  </si>
  <si>
    <t>CPV-90280-133</t>
  </si>
  <si>
    <t>OGW-60685-912</t>
  </si>
  <si>
    <t>67423-10113-LM</t>
  </si>
  <si>
    <t>DEC-11160-362</t>
  </si>
  <si>
    <t>48582-05061-RY</t>
  </si>
  <si>
    <t>WCT-07869-499</t>
  </si>
  <si>
    <t>32031-49093-KE</t>
  </si>
  <si>
    <t>FHD-89872-325</t>
  </si>
  <si>
    <t>31715-98714-OO</t>
  </si>
  <si>
    <t>AZF-45991-584</t>
  </si>
  <si>
    <t>73759-17258-KA</t>
  </si>
  <si>
    <t>MDG-14481-513</t>
  </si>
  <si>
    <t>64897-79178-MH</t>
  </si>
  <si>
    <t>OFN-49424-848</t>
  </si>
  <si>
    <t>73346-85564-JB</t>
  </si>
  <si>
    <t>NFA-03411-746</t>
  </si>
  <si>
    <t>07476-13102-NJ</t>
  </si>
  <si>
    <t>CYM-74988-450</t>
  </si>
  <si>
    <t>87223-37422-SK</t>
  </si>
  <si>
    <t>WTV-24996-658</t>
  </si>
  <si>
    <t>57837-15577-YK</t>
  </si>
  <si>
    <t>DSL-69915-544</t>
  </si>
  <si>
    <t>10142-55267-YO</t>
  </si>
  <si>
    <t>NBT-35757-542</t>
  </si>
  <si>
    <t>73647-66148-VM</t>
  </si>
  <si>
    <t>OYU-25085-528</t>
  </si>
  <si>
    <t>XCG-07109-195</t>
  </si>
  <si>
    <t>92976-19453-DT</t>
  </si>
  <si>
    <t>YZA-25234-630</t>
  </si>
  <si>
    <t>89757-51438-HX</t>
  </si>
  <si>
    <t>OKU-29966-417</t>
  </si>
  <si>
    <t>76192-13390-HZ</t>
  </si>
  <si>
    <t>MEX-29350-659</t>
  </si>
  <si>
    <t>02009-87294-SY</t>
  </si>
  <si>
    <t>NOY-99738-977</t>
  </si>
  <si>
    <t>82872-34456-LJ</t>
  </si>
  <si>
    <t>TCR-01064-030</t>
  </si>
  <si>
    <t>13181-04387-LI</t>
  </si>
  <si>
    <t>YUL-42750-776</t>
  </si>
  <si>
    <t>24845-36117-TI</t>
  </si>
  <si>
    <t>XQJ-86887-506</t>
  </si>
  <si>
    <t>CUN-90044-279</t>
  </si>
  <si>
    <t>86646-65810-TD</t>
  </si>
  <si>
    <t>ICC-73030-502</t>
  </si>
  <si>
    <t>59480-02795-IU</t>
  </si>
  <si>
    <t>ADP-04506-084</t>
  </si>
  <si>
    <t>61809-87758-LJ</t>
  </si>
  <si>
    <t>PNU-22150-408</t>
  </si>
  <si>
    <t>77408-43873-RS</t>
  </si>
  <si>
    <t>VSQ-07182-513</t>
  </si>
  <si>
    <t>18366-65239-WF</t>
  </si>
  <si>
    <t>SPF-31673-217</t>
  </si>
  <si>
    <t>19485-98072-PS</t>
  </si>
  <si>
    <t>NEX-63825-598</t>
  </si>
  <si>
    <t>72072-33025-SD</t>
  </si>
  <si>
    <t>XPG-66112-335</t>
  </si>
  <si>
    <t>58118-22461-GC</t>
  </si>
  <si>
    <t>NSQ-72210-345</t>
  </si>
  <si>
    <t>90940-63327-DJ</t>
  </si>
  <si>
    <t>XRR-28376-277</t>
  </si>
  <si>
    <t>64481-42546-II</t>
  </si>
  <si>
    <t>WHQ-25197-475</t>
  </si>
  <si>
    <t>27536-28463-NJ</t>
  </si>
  <si>
    <t>HMB-30634-745</t>
  </si>
  <si>
    <t>XTL-68000-371</t>
  </si>
  <si>
    <t>70140-82812-KD</t>
  </si>
  <si>
    <t>YES-51109-625</t>
  </si>
  <si>
    <t>91895-55605-LS</t>
  </si>
  <si>
    <t>EAY-89850-211</t>
  </si>
  <si>
    <t>43155-71724-XP</t>
  </si>
  <si>
    <t>IOQ-84840-827</t>
  </si>
  <si>
    <t>32038-81174-JF</t>
  </si>
  <si>
    <t>FBD-56220-430</t>
  </si>
  <si>
    <t>59205-20324-NB</t>
  </si>
  <si>
    <t>COV-52659-202</t>
  </si>
  <si>
    <t>99899-54612-NX</t>
  </si>
  <si>
    <t>YUO-76652-814</t>
  </si>
  <si>
    <t>26248-84194-FI</t>
  </si>
  <si>
    <t>PBT-36926-102</t>
  </si>
  <si>
    <t>BLV-60087-454</t>
  </si>
  <si>
    <t>84493-71314-WX</t>
  </si>
  <si>
    <t>QYC-63914-195</t>
  </si>
  <si>
    <t>39789-43945-IV</t>
  </si>
  <si>
    <t>OIB-77163-890</t>
  </si>
  <si>
    <t>38972-89678-ZM</t>
  </si>
  <si>
    <t>SGS-87525-238</t>
  </si>
  <si>
    <t>91465-84526-IJ</t>
  </si>
  <si>
    <t>GQR-12490-152</t>
  </si>
  <si>
    <t>22832-98538-RB</t>
  </si>
  <si>
    <t>UOJ-28238-299</t>
  </si>
  <si>
    <t>30844-91890-ZA</t>
  </si>
  <si>
    <t>ETD-58130-674</t>
  </si>
  <si>
    <t>05325-97750-WP</t>
  </si>
  <si>
    <t>UPF-60123-025</t>
  </si>
  <si>
    <t>88992-49081-AT</t>
  </si>
  <si>
    <t>NQS-01613-687</t>
  </si>
  <si>
    <t>10204-31464-SA</t>
  </si>
  <si>
    <t>MGH-36050-573</t>
  </si>
  <si>
    <t>75156-80911-YT</t>
  </si>
  <si>
    <t>UVF-59322-459</t>
  </si>
  <si>
    <t>53971-49906-PZ</t>
  </si>
  <si>
    <t>VET-41158-896</t>
  </si>
  <si>
    <t>10728-17633-ST</t>
  </si>
  <si>
    <t>XYL-52196-459</t>
  </si>
  <si>
    <t>13549-65017-VE</t>
  </si>
  <si>
    <t>BPZ-51283-916</t>
  </si>
  <si>
    <t>87688-42420-TO</t>
  </si>
  <si>
    <t>VQW-91903-926</t>
  </si>
  <si>
    <t>OLF-77983-457</t>
  </si>
  <si>
    <t>51901-35210-UI</t>
  </si>
  <si>
    <t>MVI-04946-827</t>
  </si>
  <si>
    <t>62483-50867-OM</t>
  </si>
  <si>
    <t>UOG-94188-104</t>
  </si>
  <si>
    <t>92753-50029-SD</t>
  </si>
  <si>
    <t>DSN-15872-519</t>
  </si>
  <si>
    <t>53809-98498-SN</t>
  </si>
  <si>
    <t>OUQ-73954-002</t>
  </si>
  <si>
    <t>66308-13503-KD</t>
  </si>
  <si>
    <t>LGL-16843-667</t>
  </si>
  <si>
    <t>82458-87830-JE</t>
  </si>
  <si>
    <t>TCC-89722-031</t>
  </si>
  <si>
    <t>41611-34336-WT</t>
  </si>
  <si>
    <t>TRA-79507-007</t>
  </si>
  <si>
    <t>70089-27418-UJ</t>
  </si>
  <si>
    <t>MZJ-77284-941</t>
  </si>
  <si>
    <t>99978-56910-BN</t>
  </si>
  <si>
    <t>AXN-57779-891</t>
  </si>
  <si>
    <t>09668-23340-IC</t>
  </si>
  <si>
    <t>PJB-15659-994</t>
  </si>
  <si>
    <t>39457-62611-YK</t>
  </si>
  <si>
    <t>LTS-03470-353</t>
  </si>
  <si>
    <t>90985-89807-RW</t>
  </si>
  <si>
    <t>UMM-28497-689</t>
  </si>
  <si>
    <t>MJZ-93232-402</t>
  </si>
  <si>
    <t>17816-67941-ZS</t>
  </si>
  <si>
    <t>UHW-74617-126</t>
  </si>
  <si>
    <t>90816-65619-LM</t>
  </si>
  <si>
    <t>RIK-61730-794</t>
  </si>
  <si>
    <t>69761-61146-KD</t>
  </si>
  <si>
    <t>IDJ-55379-750</t>
  </si>
  <si>
    <t>24040-20817-QB</t>
  </si>
  <si>
    <t>OHX-11953-965</t>
  </si>
  <si>
    <t>19524-21432-XP</t>
  </si>
  <si>
    <t>TVV-42245-088</t>
  </si>
  <si>
    <t>14398-43114-RV</t>
  </si>
  <si>
    <t>DYP-74337-787</t>
  </si>
  <si>
    <t>41486-52502-QQ</t>
  </si>
  <si>
    <t>OKA-93124-100</t>
  </si>
  <si>
    <t>IXW-20780-268</t>
  </si>
  <si>
    <t>20236-64364-QL</t>
  </si>
  <si>
    <t>NGG-24006-937</t>
  </si>
  <si>
    <t>29102-40100-TZ</t>
  </si>
  <si>
    <t>JZC-31180-557</t>
  </si>
  <si>
    <t>09171-42203-EB</t>
  </si>
  <si>
    <t>ZMU-63715-204</t>
  </si>
  <si>
    <t>29060-75856-UI</t>
  </si>
  <si>
    <t>GND-08192-056</t>
  </si>
  <si>
    <t>17088-16989-PL</t>
  </si>
  <si>
    <t>RYY-38961-093</t>
  </si>
  <si>
    <t>14756-18321-CL</t>
  </si>
  <si>
    <t>CVA-64996-969</t>
  </si>
  <si>
    <t>13324-78688-MI</t>
  </si>
  <si>
    <t>XTH-67276-442</t>
  </si>
  <si>
    <t>73799-04749-BM</t>
  </si>
  <si>
    <t>PVU-02950-470</t>
  </si>
  <si>
    <t>01927-46702-YT</t>
  </si>
  <si>
    <t>XSN-26809-910</t>
  </si>
  <si>
    <t>80467-17137-TO</t>
  </si>
  <si>
    <t>UDN-88321-005</t>
  </si>
  <si>
    <t>14640-87215-BK</t>
  </si>
  <si>
    <t>EXP-21628-670</t>
  </si>
  <si>
    <t>94447-35885-HK</t>
  </si>
  <si>
    <t>VGM-24161-361</t>
  </si>
  <si>
    <t>71034-49694-CS</t>
  </si>
  <si>
    <t>PKN-19556-918</t>
  </si>
  <si>
    <t>00445-42781-KX</t>
  </si>
  <si>
    <t>DXQ-44537-297</t>
  </si>
  <si>
    <t>96116-24737-LV</t>
  </si>
  <si>
    <t>BPC-54727-307</t>
  </si>
  <si>
    <t>18684-73088-YL</t>
  </si>
  <si>
    <t>KSH-47717-456</t>
  </si>
  <si>
    <t>74671-55639-TU</t>
  </si>
  <si>
    <t>ANK-59436-446</t>
  </si>
  <si>
    <t>17488-65879-XL</t>
  </si>
  <si>
    <t>AYY-83051-752</t>
  </si>
  <si>
    <t>46431-09298-OU</t>
  </si>
  <si>
    <t>CSW-59644-267</t>
  </si>
  <si>
    <t>60378-26473-FE</t>
  </si>
  <si>
    <t>ITY-92466-909</t>
  </si>
  <si>
    <t>34927-68586-ZV</t>
  </si>
  <si>
    <t>IGW-04801-466</t>
  </si>
  <si>
    <t>29051-27555-GD</t>
  </si>
  <si>
    <t>LJN-34281-921</t>
  </si>
  <si>
    <t>52143-35672-JF</t>
  </si>
  <si>
    <t>BWZ-46364-547</t>
  </si>
  <si>
    <t>64918-67725-MN</t>
  </si>
  <si>
    <t>SBC-95710-706</t>
  </si>
  <si>
    <t>85634-61759-ND</t>
  </si>
  <si>
    <t>WRN-55114-031</t>
  </si>
  <si>
    <t>40180-22940-QB</t>
  </si>
  <si>
    <t>TZU-64255-831</t>
  </si>
  <si>
    <t>34666-76738-SQ</t>
  </si>
  <si>
    <t>JVF-91003-729</t>
  </si>
  <si>
    <t>98536-88616-FF</t>
  </si>
  <si>
    <t>MVB-22135-665</t>
  </si>
  <si>
    <t>55621-06130-SA</t>
  </si>
  <si>
    <t>CKS-47815-571</t>
  </si>
  <si>
    <t>45666-86771-EH</t>
  </si>
  <si>
    <t>OAW-17338-101</t>
  </si>
  <si>
    <t>ALP-37623-536</t>
  </si>
  <si>
    <t>24689-69376-XX</t>
  </si>
  <si>
    <t>WMU-87639-108</t>
  </si>
  <si>
    <t>71891-51101-VQ</t>
  </si>
  <si>
    <t>USN-44968-231</t>
  </si>
  <si>
    <t>71749-05400-CN</t>
  </si>
  <si>
    <t>YZG-20575-451</t>
  </si>
  <si>
    <t>64845-00270-NO</t>
  </si>
  <si>
    <t>HTH-52867-812</t>
  </si>
  <si>
    <t>29851-36402-UX</t>
  </si>
  <si>
    <t>FWU-44971-444</t>
  </si>
  <si>
    <t>12190-25421-WM</t>
  </si>
  <si>
    <t>EQI-82205-066</t>
  </si>
  <si>
    <t>52316-30571-GD</t>
  </si>
  <si>
    <t>NAR-00747-074</t>
  </si>
  <si>
    <t>23243-92649-RY</t>
  </si>
  <si>
    <t>JYR-22052-185</t>
  </si>
  <si>
    <t>39528-19971-OR</t>
  </si>
  <si>
    <t>XKO-54097-932</t>
  </si>
  <si>
    <t>32743-78448-KT</t>
  </si>
  <si>
    <t>HXA-72415-025</t>
  </si>
  <si>
    <t>93417-12322-YB</t>
  </si>
  <si>
    <t>MJF-20065-335</t>
  </si>
  <si>
    <t>56891-86662-UY</t>
  </si>
  <si>
    <t>GFI-83300-059</t>
  </si>
  <si>
    <t>40414-26467-VE</t>
  </si>
  <si>
    <t>WJR-51493-682</t>
  </si>
  <si>
    <t>87858-83734-RK</t>
  </si>
  <si>
    <t>SHP-55648-472</t>
  </si>
  <si>
    <t>46818-20198-GB</t>
  </si>
  <si>
    <t>HYR-03455-684</t>
  </si>
  <si>
    <t>29808-89098-XD</t>
  </si>
  <si>
    <t>HUG-52766-375</t>
  </si>
  <si>
    <t>78786-77449-RQ</t>
  </si>
  <si>
    <t>DAH-46595-917</t>
  </si>
  <si>
    <t>27878-42224-QF</t>
  </si>
  <si>
    <t>VEM-79839-466</t>
  </si>
  <si>
    <t>OWH-11126-533</t>
  </si>
  <si>
    <t>25331-13794-SB</t>
  </si>
  <si>
    <t>UMT-26130-151</t>
  </si>
  <si>
    <t>55864-37682-GQ</t>
  </si>
  <si>
    <t>JKA-27899-806</t>
  </si>
  <si>
    <t>97005-25609-CQ</t>
  </si>
  <si>
    <t>ULU-07744-724</t>
  </si>
  <si>
    <t>94058-95794-IJ</t>
  </si>
  <si>
    <t>NOM-56457-507</t>
  </si>
  <si>
    <t>40214-03678-GU</t>
  </si>
  <si>
    <t>NZN-71683-705</t>
  </si>
  <si>
    <t>04921-85445-SL</t>
  </si>
  <si>
    <t>WMA-34232-850</t>
  </si>
  <si>
    <t>53386-94266-LJ</t>
  </si>
  <si>
    <t>EZL-27919-704</t>
  </si>
  <si>
    <t>49480-85909-DG</t>
  </si>
  <si>
    <t>ZYU-11345-774</t>
  </si>
  <si>
    <t>18293-78136-MN</t>
  </si>
  <si>
    <t>CPW-34587-459</t>
  </si>
  <si>
    <t>84641-67384-TD</t>
  </si>
  <si>
    <t>NQZ-82067-394</t>
  </si>
  <si>
    <t>72320-29738-EB</t>
  </si>
  <si>
    <t>JBW-95055-851</t>
  </si>
  <si>
    <t>47355-97488-XS</t>
  </si>
  <si>
    <t>AHY-20324-088</t>
  </si>
  <si>
    <t>63499-24884-PP</t>
  </si>
  <si>
    <t>ZSL-66684-103</t>
  </si>
  <si>
    <t>39193-51770-FM</t>
  </si>
  <si>
    <t>WNE-73911-475</t>
  </si>
  <si>
    <t>61323-91967-GG</t>
  </si>
  <si>
    <t>EZB-68383-559</t>
  </si>
  <si>
    <t>90123-01967-KS</t>
  </si>
  <si>
    <t>OVO-01283-090</t>
  </si>
  <si>
    <t>15958-25089-OS</t>
  </si>
  <si>
    <t>TXH-78646-919</t>
  </si>
  <si>
    <t>98430-37820-UV</t>
  </si>
  <si>
    <t>CYZ-37122-164</t>
  </si>
  <si>
    <t>21798-04171-XC</t>
  </si>
  <si>
    <t>AGQ-06534-750</t>
  </si>
  <si>
    <t>52798-46508-HP</t>
  </si>
  <si>
    <t>QVL-32245-818</t>
  </si>
  <si>
    <t>46478-42970-EM</t>
  </si>
  <si>
    <t>LTD-96842-834</t>
  </si>
  <si>
    <t>00246-15080-LE</t>
  </si>
  <si>
    <t>SEC-91807-425</t>
  </si>
  <si>
    <t>94091-86957-HX</t>
  </si>
  <si>
    <t>MHM-44857-599</t>
  </si>
  <si>
    <t>26295-44907-DK</t>
  </si>
  <si>
    <t>KGC-95046-911</t>
  </si>
  <si>
    <t>95351-96177-QV</t>
  </si>
  <si>
    <t>RZC-75150-413</t>
  </si>
  <si>
    <t>92204-96636-BS</t>
  </si>
  <si>
    <t>EYH-88288-452</t>
  </si>
  <si>
    <t>03010-30348-UA</t>
  </si>
  <si>
    <t>NYQ-24237-772</t>
  </si>
  <si>
    <t>13441-34686-SW</t>
  </si>
  <si>
    <t>WKB-21680-566</t>
  </si>
  <si>
    <t>96612-41722-VJ</t>
  </si>
  <si>
    <t>THE-61147-027</t>
  </si>
  <si>
    <t>PTY-86420-119</t>
  </si>
  <si>
    <t>25504-41681-WA</t>
  </si>
  <si>
    <t>QHL-27188-431</t>
  </si>
  <si>
    <t>75443-07820-DZ</t>
  </si>
  <si>
    <t>MIS-54381-047</t>
  </si>
  <si>
    <t>39276-95489-XV</t>
  </si>
  <si>
    <t>TBB-29780-459</t>
  </si>
  <si>
    <t>61437-83623-PZ</t>
  </si>
  <si>
    <t>QLC-52637-305</t>
  </si>
  <si>
    <t>34317-87258-HQ</t>
  </si>
  <si>
    <t>CWT-27056-328</t>
  </si>
  <si>
    <t>18570-80998-ZS</t>
  </si>
  <si>
    <t>ASS-05878-128</t>
  </si>
  <si>
    <t>66580-33745-OQ</t>
  </si>
  <si>
    <t>EGK-03027-418</t>
  </si>
  <si>
    <t>19820-29285-FD</t>
  </si>
  <si>
    <t>KCY-61732-849</t>
  </si>
  <si>
    <t>11349-55147-SN</t>
  </si>
  <si>
    <t>BLI-21697-702</t>
  </si>
  <si>
    <t>21141-12455-VB</t>
  </si>
  <si>
    <t>KFJ-46568-890</t>
  </si>
  <si>
    <t>71003-85639-HB</t>
  </si>
  <si>
    <t>SOK-43535-680</t>
  </si>
  <si>
    <t>58443-95866-YO</t>
  </si>
  <si>
    <t>XUE-87260-201</t>
  </si>
  <si>
    <t>89646-21249-OH</t>
  </si>
  <si>
    <t>CZF-40873-691</t>
  </si>
  <si>
    <t>64988-20636-XQ</t>
  </si>
  <si>
    <t>AIA-98989-755</t>
  </si>
  <si>
    <t>34704-83143-KS</t>
  </si>
  <si>
    <t>ITZ-21793-986</t>
  </si>
  <si>
    <t>67388-17544-XX</t>
  </si>
  <si>
    <t>YOK-93322-608</t>
  </si>
  <si>
    <t>69411-48470-ID</t>
  </si>
  <si>
    <t>LXK-00634-611</t>
  </si>
  <si>
    <t>CQW-37388-302</t>
  </si>
  <si>
    <t>97741-98924-KT</t>
  </si>
  <si>
    <t>SPA-79365-334</t>
  </si>
  <si>
    <t>79857-78167-KO</t>
  </si>
  <si>
    <t>VPX-08817-517</t>
  </si>
  <si>
    <t>46963-10322-ZA</t>
  </si>
  <si>
    <t>PBP-87115-410</t>
  </si>
  <si>
    <t>93812-74772-MV</t>
  </si>
  <si>
    <t>SFB-93752-440</t>
  </si>
  <si>
    <t>48203-23480-UB</t>
  </si>
  <si>
    <t>TBU-65158-068</t>
  </si>
  <si>
    <t>60357-65386-RD</t>
  </si>
  <si>
    <t>TEH-08414-216</t>
  </si>
  <si>
    <t>35099-13971-JI</t>
  </si>
  <si>
    <t>MAY-77231-536</t>
  </si>
  <si>
    <t>01304-59807-OB</t>
  </si>
  <si>
    <t>ATY-28980-884</t>
  </si>
  <si>
    <t>50705-17295-NK</t>
  </si>
  <si>
    <t>SWP-88281-918</t>
  </si>
  <si>
    <t>77657-61366-FY</t>
  </si>
  <si>
    <t>VCE-56531-986</t>
  </si>
  <si>
    <t>57192-13428-PL</t>
  </si>
  <si>
    <t>FVV-75700-005</t>
  </si>
  <si>
    <t>24891-77957-LU</t>
  </si>
  <si>
    <t>CFZ-53492-600</t>
  </si>
  <si>
    <t>64896-18468-BT</t>
  </si>
  <si>
    <t>LDK-71031-121</t>
  </si>
  <si>
    <t>84761-40784-SV</t>
  </si>
  <si>
    <t>EBA-82404-343</t>
  </si>
  <si>
    <t>20236-42322-CM</t>
  </si>
  <si>
    <t>USA-42811-560</t>
  </si>
  <si>
    <t>49671-11547-WG</t>
  </si>
  <si>
    <t>SNL-83703-516</t>
  </si>
  <si>
    <t>57976-33535-WK</t>
  </si>
  <si>
    <t>SUZ-83036-175</t>
  </si>
  <si>
    <t>55915-19477-MK</t>
  </si>
  <si>
    <t>RGM-01187-513</t>
  </si>
  <si>
    <t>28121-11641-UA</t>
  </si>
  <si>
    <t>CZG-01299-952</t>
  </si>
  <si>
    <t>09540-70637-EV</t>
  </si>
  <si>
    <t>KLD-88731-484</t>
  </si>
  <si>
    <t>17775-77072-PP</t>
  </si>
  <si>
    <t>BQK-38412-229</t>
  </si>
  <si>
    <t>90392-73338-BC</t>
  </si>
  <si>
    <t>TCX-76953-071</t>
  </si>
  <si>
    <t>LIN-88046-551</t>
  </si>
  <si>
    <t>10725-45724-CO</t>
  </si>
  <si>
    <t>PMV-54491-220</t>
  </si>
  <si>
    <t>87242-18006-IR</t>
  </si>
  <si>
    <t>SKA-73676-005</t>
  </si>
  <si>
    <t>36572-91896-PP</t>
  </si>
  <si>
    <t>TKH-62197-239</t>
  </si>
  <si>
    <t>25181-97933-UX</t>
  </si>
  <si>
    <t>YXF-57218-272</t>
  </si>
  <si>
    <t>55374-03175-IA</t>
  </si>
  <si>
    <t>PKJ-30083-501</t>
  </si>
  <si>
    <t>76948-43532-JS</t>
  </si>
  <si>
    <t>WTT-91832-645</t>
  </si>
  <si>
    <t>24344-88599-PP</t>
  </si>
  <si>
    <t>TRZ-94735-865</t>
  </si>
  <si>
    <t>54462-58311-YF</t>
  </si>
  <si>
    <t>UDB-09651-780</t>
  </si>
  <si>
    <t>90767-92589-LV</t>
  </si>
  <si>
    <t>EHJ-82097-549</t>
  </si>
  <si>
    <t>27517-43747-YD</t>
  </si>
  <si>
    <t>ZFR-79447-696</t>
  </si>
  <si>
    <t>77828-66867-KH</t>
  </si>
  <si>
    <t>NUU-03893-975</t>
  </si>
  <si>
    <t>41054-59693-XE</t>
  </si>
  <si>
    <t>GVG-59542-307</t>
  </si>
  <si>
    <t>26314-66792-VP</t>
  </si>
  <si>
    <t>YLY-35287-172</t>
  </si>
  <si>
    <t>69410-04668-MA</t>
  </si>
  <si>
    <t>DCI-96254-548</t>
  </si>
  <si>
    <t>KHZ-26264-253</t>
  </si>
  <si>
    <t>24972-55878-KX</t>
  </si>
  <si>
    <t>AAQ-13644-699</t>
  </si>
  <si>
    <t>46296-42617-OQ</t>
  </si>
  <si>
    <t>LWL-68108-794</t>
  </si>
  <si>
    <t>44494-89923-UW</t>
  </si>
  <si>
    <t>JQT-14347-517</t>
  </si>
  <si>
    <t>11621-09964-ID</t>
  </si>
  <si>
    <t>BMM-86471-923</t>
  </si>
  <si>
    <t>76319-80715-II</t>
  </si>
  <si>
    <t>IXU-67272-326</t>
  </si>
  <si>
    <t>91654-79216-IC</t>
  </si>
  <si>
    <t>ITE-28312-615</t>
  </si>
  <si>
    <t>56450-21890-HK</t>
  </si>
  <si>
    <t>ZHQ-30471-635</t>
  </si>
  <si>
    <t>40600-58915-WZ</t>
  </si>
  <si>
    <t>LTP-31133-134</t>
  </si>
  <si>
    <t>66527-94478-PB</t>
  </si>
  <si>
    <t>ZVQ-26122-859</t>
  </si>
  <si>
    <t>77154-45038-IH</t>
  </si>
  <si>
    <t>MIU-01481-194</t>
  </si>
  <si>
    <t>08439-55669-AI</t>
  </si>
  <si>
    <t>UEA-72681-629</t>
  </si>
  <si>
    <t>CVE-15042-481</t>
  </si>
  <si>
    <t>EJA-79176-833</t>
  </si>
  <si>
    <t>91509-62250-GN</t>
  </si>
  <si>
    <t>AHQ-40440-522</t>
  </si>
  <si>
    <t>83833-46106-ZC</t>
  </si>
  <si>
    <t>TID-21626-411</t>
  </si>
  <si>
    <t>19383-33606-PW</t>
  </si>
  <si>
    <t>RSR-96390-187</t>
  </si>
  <si>
    <t>67052-76184-CB</t>
  </si>
  <si>
    <t>BZE-96093-118</t>
  </si>
  <si>
    <t>43452-18035-DH</t>
  </si>
  <si>
    <t>LOU-41819-242</t>
  </si>
  <si>
    <t>88060-50676-MV</t>
  </si>
  <si>
    <t>FND-99527-640</t>
  </si>
  <si>
    <t>89574-96203-EP</t>
  </si>
  <si>
    <t>ASG-27179-958</t>
  </si>
  <si>
    <t>12607-75113-UV</t>
  </si>
  <si>
    <t>YKX-23510-272</t>
  </si>
  <si>
    <t>56991-05510-PR</t>
  </si>
  <si>
    <t>FSA-98650-921</t>
  </si>
  <si>
    <t>01841-48191-NL</t>
  </si>
  <si>
    <t>ZUR-55774-294</t>
  </si>
  <si>
    <t>33269-10023-CO</t>
  </si>
  <si>
    <t>FUO-99821-974</t>
  </si>
  <si>
    <t>31245-81098-PJ</t>
  </si>
  <si>
    <t>YVH-19865-819</t>
  </si>
  <si>
    <t>08946-56610-IH</t>
  </si>
  <si>
    <t>NNF-47422-501</t>
  </si>
  <si>
    <t>20260-32948-EB</t>
  </si>
  <si>
    <t>RJI-71409-490</t>
  </si>
  <si>
    <t>31613-41626-KX</t>
  </si>
  <si>
    <t>UZL-46108-213</t>
  </si>
  <si>
    <t>75961-20170-RD</t>
  </si>
  <si>
    <t>AOX-44467-109</t>
  </si>
  <si>
    <t>72524-06410-KD</t>
  </si>
  <si>
    <t>TZD-67261-174</t>
  </si>
  <si>
    <t>TBU-64277-625</t>
  </si>
  <si>
    <t>98918-34330-GY</t>
  </si>
  <si>
    <t>TYP-85767-944</t>
  </si>
  <si>
    <t>51497-50894-WU</t>
  </si>
  <si>
    <t>GTT-73214-334</t>
  </si>
  <si>
    <t>98636-90072-YE</t>
  </si>
  <si>
    <t>WAI-89905-069</t>
  </si>
  <si>
    <t>47011-57815-HJ</t>
  </si>
  <si>
    <t>OJL-96844-459</t>
  </si>
  <si>
    <t>61253-98356-VD</t>
  </si>
  <si>
    <t>VGI-33205-360</t>
  </si>
  <si>
    <t>96762-10814-DA</t>
  </si>
  <si>
    <t>PCA-14081-576</t>
  </si>
  <si>
    <t>63112-10870-LC</t>
  </si>
  <si>
    <t>SCS-67069-962</t>
  </si>
  <si>
    <t>21403-49423-PD</t>
  </si>
  <si>
    <t>BDM-03174-485</t>
  </si>
  <si>
    <t>29581-13303-VB</t>
  </si>
  <si>
    <t>UJV-32333-364</t>
  </si>
  <si>
    <t>86110-83695-YS</t>
  </si>
  <si>
    <t>FLI-11493-954</t>
  </si>
  <si>
    <t>80454-42225-FT</t>
  </si>
  <si>
    <t>IWL-13117-537</t>
  </si>
  <si>
    <t>29129-60664-KO</t>
  </si>
  <si>
    <t>OAM-76916-748</t>
  </si>
  <si>
    <t>63025-62939-AN</t>
  </si>
  <si>
    <t>UMB-11223-710</t>
  </si>
  <si>
    <t>49012-12987-QT</t>
  </si>
  <si>
    <t>LXR-09892-726</t>
  </si>
  <si>
    <t>50924-94200-SQ</t>
  </si>
  <si>
    <t>QXX-89943-393</t>
  </si>
  <si>
    <t>15673-18812-IU</t>
  </si>
  <si>
    <t>WVS-57822-366</t>
  </si>
  <si>
    <t>52151-75971-YY</t>
  </si>
  <si>
    <t>CLJ-23403-689</t>
  </si>
  <si>
    <t>19413-02045-CG</t>
  </si>
  <si>
    <t>XNU-83276-288</t>
  </si>
  <si>
    <t>98185-92775-KT</t>
  </si>
  <si>
    <t>YOG-94666-679</t>
  </si>
  <si>
    <t>86991-53901-AT</t>
  </si>
  <si>
    <t>KHG-33953-115</t>
  </si>
  <si>
    <t>78226-97287-JI</t>
  </si>
  <si>
    <t>MHD-95615-696</t>
  </si>
  <si>
    <t>27930-59250-JT</t>
  </si>
  <si>
    <t>HBH-64794-080</t>
  </si>
  <si>
    <t>40560-18556-YE</t>
  </si>
  <si>
    <t>CNJ-56058-223</t>
  </si>
  <si>
    <t>40780-22081-LX</t>
  </si>
  <si>
    <t>KHO-27106-786</t>
  </si>
  <si>
    <t>01603-43789-TN</t>
  </si>
  <si>
    <t>YAC-50329-982</t>
  </si>
  <si>
    <t>75419-92838-TI</t>
  </si>
  <si>
    <t>VVL-95291-039</t>
  </si>
  <si>
    <t>96516-97464-MF</t>
  </si>
  <si>
    <t>VUT-20974-364</t>
  </si>
  <si>
    <t>90285-56295-PO</t>
  </si>
  <si>
    <t>SFC-34054-213</t>
  </si>
  <si>
    <t>08100-71102-HQ</t>
  </si>
  <si>
    <t>UDS-04807-593</t>
  </si>
  <si>
    <t>84074-28110-OV</t>
  </si>
  <si>
    <t>FWE-98471-488</t>
  </si>
  <si>
    <t>RAU-17060-674</t>
  </si>
  <si>
    <t>12747-63766-EU</t>
  </si>
  <si>
    <t>AOL-13866-711</t>
  </si>
  <si>
    <t>83490-88357-LJ</t>
  </si>
  <si>
    <t>NOA-79645-377</t>
  </si>
  <si>
    <t>53729-30320-XZ</t>
  </si>
  <si>
    <t>KMS-49214-806</t>
  </si>
  <si>
    <t>50384-52703-LA</t>
  </si>
  <si>
    <t>ABK-08091-531</t>
  </si>
  <si>
    <t>53864-36201-FG</t>
  </si>
  <si>
    <t>GPT-67705-953</t>
  </si>
  <si>
    <t>70631-33225-MZ</t>
  </si>
  <si>
    <t>JNA-21450-177</t>
  </si>
  <si>
    <t>54798-14109-HC</t>
  </si>
  <si>
    <t>MPQ-23421-608</t>
  </si>
  <si>
    <t>08023-52962-ET</t>
  </si>
  <si>
    <t>NLI-63891-565</t>
  </si>
  <si>
    <t>41899-00283-VK</t>
  </si>
  <si>
    <t>HHF-36647-854</t>
  </si>
  <si>
    <t>39011-18412-GR</t>
  </si>
  <si>
    <t>SBN-16537-046</t>
  </si>
  <si>
    <t>60255-12579-PZ</t>
  </si>
  <si>
    <t>XZD-44484-632</t>
  </si>
  <si>
    <t>80541-38332-BP</t>
  </si>
  <si>
    <t>IKQ-39946-768</t>
  </si>
  <si>
    <t>72778-50968-UQ</t>
  </si>
  <si>
    <t>KMB-95211-174</t>
  </si>
  <si>
    <t>23941-30203-MO</t>
  </si>
  <si>
    <t>QWY-99467-368</t>
  </si>
  <si>
    <t>96434-50068-DZ</t>
  </si>
  <si>
    <t>SRG-76791-614</t>
  </si>
  <si>
    <t>11729-74102-XB</t>
  </si>
  <si>
    <t>VSN-94485-621</t>
  </si>
  <si>
    <t>88116-12604-TE</t>
  </si>
  <si>
    <t>UFZ-24348-219</t>
  </si>
  <si>
    <t>UKS-93055-397</t>
  </si>
  <si>
    <t>13082-41034-PD</t>
  </si>
  <si>
    <t>AVH-56062-335</t>
  </si>
  <si>
    <t>18082-74419-QH</t>
  </si>
  <si>
    <t>HGE-19842-613</t>
  </si>
  <si>
    <t>49401-45041-ZU</t>
  </si>
  <si>
    <t>WBA-85905-175</t>
  </si>
  <si>
    <t>41252-45992-VS</t>
  </si>
  <si>
    <t>DZI-35365-596</t>
  </si>
  <si>
    <t>XIR-88982-743</t>
  </si>
  <si>
    <t>00852-54571-WP</t>
  </si>
  <si>
    <t>VUC-72395-865</t>
  </si>
  <si>
    <t>13321-57602-GK</t>
  </si>
  <si>
    <t>BQJ-44755-910</t>
  </si>
  <si>
    <t>75006-89922-VW</t>
  </si>
  <si>
    <t>JKC-64636-831</t>
  </si>
  <si>
    <t>52098-80103-FD</t>
  </si>
  <si>
    <t>ZKI-78561-066</t>
  </si>
  <si>
    <t>60121-12432-VU</t>
  </si>
  <si>
    <t>IMP-12563-728</t>
  </si>
  <si>
    <t>68346-14810-UA</t>
  </si>
  <si>
    <t>MZL-81126-390</t>
  </si>
  <si>
    <t>48464-99723-HK</t>
  </si>
  <si>
    <t>TVF-57766-608</t>
  </si>
  <si>
    <t>88420-46464-XE</t>
  </si>
  <si>
    <t>RUX-37995-892</t>
  </si>
  <si>
    <t>37762-09530-MP</t>
  </si>
  <si>
    <t>AVK-76526-953</t>
  </si>
  <si>
    <t>47268-50127-XY</t>
  </si>
  <si>
    <t>RIU-02231-623</t>
  </si>
  <si>
    <t>25544-84179-QC</t>
  </si>
  <si>
    <t>WFK-99317-827</t>
  </si>
  <si>
    <t>32058-76765-ZL</t>
  </si>
  <si>
    <t>SFD-00372-284</t>
  </si>
  <si>
    <t>SXC-62166-515</t>
  </si>
  <si>
    <t>69171-65646-UC</t>
  </si>
  <si>
    <t>YIE-87008-621</t>
  </si>
  <si>
    <t>22503-52799-MI</t>
  </si>
  <si>
    <t>HRM-94548-288</t>
  </si>
  <si>
    <t>08934-65581-ZI</t>
  </si>
  <si>
    <t>UJG-34731-295</t>
  </si>
  <si>
    <t>15764-22559-ZT</t>
  </si>
  <si>
    <t>TWD-70988-853</t>
  </si>
  <si>
    <t>87519-68847-ZG</t>
  </si>
  <si>
    <t>CIX-22904-641</t>
  </si>
  <si>
    <t>78012-56878-UB</t>
  </si>
  <si>
    <t>DLV-65840-759</t>
  </si>
  <si>
    <t>77192-72145-RG</t>
  </si>
  <si>
    <t>RXN-55491-201</t>
  </si>
  <si>
    <t>86071-79238-CX</t>
  </si>
  <si>
    <t>UHK-63283-868</t>
  </si>
  <si>
    <t>16809-16936-WF</t>
  </si>
  <si>
    <t>PJC-31401-893</t>
  </si>
  <si>
    <t>11212-69985-ZJ</t>
  </si>
  <si>
    <t>HHO-79903-185</t>
  </si>
  <si>
    <t>53893-01719-CL</t>
  </si>
  <si>
    <t>YWM-07310-594</t>
  </si>
  <si>
    <t>66028-99867-WJ</t>
  </si>
  <si>
    <t>FHD-94983-982</t>
  </si>
  <si>
    <t>62839-56723-CH</t>
  </si>
  <si>
    <t>WQK-10857-119</t>
  </si>
  <si>
    <t>96849-52854-CR</t>
  </si>
  <si>
    <t>DXA-50313-073</t>
  </si>
  <si>
    <t>19755-55847-VW</t>
  </si>
  <si>
    <t>ONW-00560-570</t>
  </si>
  <si>
    <t>32900-82606-BO</t>
  </si>
  <si>
    <t>BRJ-19414-277</t>
  </si>
  <si>
    <t>MIQ-16322-908</t>
  </si>
  <si>
    <t>20118-28138-QD</t>
  </si>
  <si>
    <t>MVO-39328-830</t>
  </si>
  <si>
    <t>84057-45461-AH</t>
  </si>
  <si>
    <t>NTJ-88319-746</t>
  </si>
  <si>
    <t>90882-88130-KQ</t>
  </si>
  <si>
    <t>LCY-24377-948</t>
  </si>
  <si>
    <t>21617-79890-DD</t>
  </si>
  <si>
    <t>FWD-85967-769</t>
  </si>
  <si>
    <t>20256-54689-LO</t>
  </si>
  <si>
    <t>KTO-53793-109</t>
  </si>
  <si>
    <t>17572-27091-AA</t>
  </si>
  <si>
    <t>OCK-89033-348</t>
  </si>
  <si>
    <t>82300-88786-UE</t>
  </si>
  <si>
    <t>GPZ-36017-366</t>
  </si>
  <si>
    <t>65732-22589-OW</t>
  </si>
  <si>
    <t>BZP-33213-637</t>
  </si>
  <si>
    <t>77175-09826-SF</t>
  </si>
  <si>
    <t>WFH-21507-708</t>
  </si>
  <si>
    <t>07237-32539-NB</t>
  </si>
  <si>
    <t>HST-96923-073</t>
  </si>
  <si>
    <t>54722-76431-EX</t>
  </si>
  <si>
    <t>ENN-79947-323</t>
  </si>
  <si>
    <t>67847-82662-TE</t>
  </si>
  <si>
    <t>BHA-47429-889</t>
  </si>
  <si>
    <t>51114-51191-EW</t>
  </si>
  <si>
    <t>SZY-63017-318</t>
  </si>
  <si>
    <t>91809-58808-TV</t>
  </si>
  <si>
    <t>LCU-93317-340</t>
  </si>
  <si>
    <t>84996-26826-DK</t>
  </si>
  <si>
    <t>UOM-71431-481</t>
  </si>
  <si>
    <t>PJH-42618-877</t>
  </si>
  <si>
    <t>93676-95250-XJ</t>
  </si>
  <si>
    <t>XED-90333-402</t>
  </si>
  <si>
    <t>28300-14355-GF</t>
  </si>
  <si>
    <t>IKK-62234-199</t>
  </si>
  <si>
    <t>91190-84826-IQ</t>
  </si>
  <si>
    <t>KAW-95195-329</t>
  </si>
  <si>
    <t>34570-99384-AF</t>
  </si>
  <si>
    <t>QDO-57268-842</t>
  </si>
  <si>
    <t>57808-90533-UE</t>
  </si>
  <si>
    <t>IIZ-24416-212</t>
  </si>
  <si>
    <t>76060-30540-LB</t>
  </si>
  <si>
    <t>AWP-11469-510</t>
  </si>
  <si>
    <t>76730-63769-ND</t>
  </si>
  <si>
    <t>KXA-27983-918</t>
  </si>
  <si>
    <t>96042-27290-EQ</t>
  </si>
  <si>
    <t>VKQ-39009-292</t>
  </si>
  <si>
    <t>PDB-98743-282</t>
  </si>
  <si>
    <t>51940-02669-OR</t>
  </si>
  <si>
    <t>SXW-34014-556</t>
  </si>
  <si>
    <t>99144-98314-GN</t>
  </si>
  <si>
    <t>QOJ-38788-727</t>
  </si>
  <si>
    <t>16358-63919-CE</t>
  </si>
  <si>
    <t>TGF-38649-658</t>
  </si>
  <si>
    <t>67743-54817-UT</t>
  </si>
  <si>
    <t>EAI-25194-209</t>
  </si>
  <si>
    <t>44601-51441-BH</t>
  </si>
  <si>
    <t>IJK-34441-720</t>
  </si>
  <si>
    <t>97201-58870-WB</t>
  </si>
  <si>
    <t>ZMC-00336-619</t>
  </si>
  <si>
    <t>19849-12926-QF</t>
  </si>
  <si>
    <t>UPX-54529-618</t>
  </si>
  <si>
    <t>40535-56770-UM</t>
  </si>
  <si>
    <t>DLX-01059-899</t>
  </si>
  <si>
    <t>74940-09646-MU</t>
  </si>
  <si>
    <t>MEK-85120-243</t>
  </si>
  <si>
    <t>06623-54610-HC</t>
  </si>
  <si>
    <t>NFI-37188-246</t>
  </si>
  <si>
    <t>89490-75361-AF</t>
  </si>
  <si>
    <t>BXH-62195-013</t>
  </si>
  <si>
    <t>94526-79230-GZ</t>
  </si>
  <si>
    <t>YLK-78851-470</t>
  </si>
  <si>
    <t>58559-08254-UY</t>
  </si>
  <si>
    <t>DXY-76225-633</t>
  </si>
  <si>
    <t>88574-37083-WX</t>
  </si>
  <si>
    <t>UHP-24614-199</t>
  </si>
  <si>
    <t>67953-79896-AC</t>
  </si>
  <si>
    <t>HBY-35655-049</t>
  </si>
  <si>
    <t>69207-93422-CQ</t>
  </si>
  <si>
    <t>DCE-22886-861</t>
  </si>
  <si>
    <t>56060-17602-RG</t>
  </si>
  <si>
    <t>QTG-93823-843</t>
  </si>
  <si>
    <t>46859-14212-FI</t>
  </si>
  <si>
    <t>WFT-16178-396</t>
  </si>
  <si>
    <t>33555-01585-RP</t>
  </si>
  <si>
    <t>ERC-54560-934</t>
  </si>
  <si>
    <t>11932-85629-CU</t>
  </si>
  <si>
    <t>RUK-78200-416</t>
  </si>
  <si>
    <t>36192-07175-XC</t>
  </si>
  <si>
    <t>KHK-13105-388</t>
  </si>
  <si>
    <t>46242-54946-ZW</t>
  </si>
  <si>
    <t>NJR-03699-189</t>
  </si>
  <si>
    <t>95152-82155-VQ</t>
  </si>
  <si>
    <t>PJV-20427-019</t>
  </si>
  <si>
    <t>13404-39127-WQ</t>
  </si>
  <si>
    <t>UGK-07613-982</t>
  </si>
  <si>
    <t>OLA-68289-577</t>
  </si>
  <si>
    <t>40226-52317-IO</t>
  </si>
  <si>
    <t>TNR-84447-052</t>
  </si>
  <si>
    <t>34419-18068-AG</t>
  </si>
  <si>
    <t>FBZ-64200-586</t>
  </si>
  <si>
    <t>51738-61457-RS</t>
  </si>
  <si>
    <t>OBN-66334-505</t>
  </si>
  <si>
    <t>86757-52367-ON</t>
  </si>
  <si>
    <t>NXM-89323-646</t>
  </si>
  <si>
    <t>28158-93383-CK</t>
  </si>
  <si>
    <t>NHI-23264-055</t>
  </si>
  <si>
    <t>44799-09711-XW</t>
  </si>
  <si>
    <t>EQH-53569-934</t>
  </si>
  <si>
    <t>53667-91553-LT</t>
  </si>
  <si>
    <t>XKK-06692-189</t>
  </si>
  <si>
    <t>86579-92122-OC</t>
  </si>
  <si>
    <t>BYP-16005-016</t>
  </si>
  <si>
    <t>01474-63436-TP</t>
  </si>
  <si>
    <t>LWS-13938-905</t>
  </si>
  <si>
    <t>90533-82440-EE</t>
  </si>
  <si>
    <t>OLH-95722-362</t>
  </si>
  <si>
    <t>48553-69225-VX</t>
  </si>
  <si>
    <t>KCW-50949-318</t>
  </si>
  <si>
    <t>52374-27313-IV</t>
  </si>
  <si>
    <t>JGZ-16947-591</t>
  </si>
  <si>
    <t>14264-41252-SL</t>
  </si>
  <si>
    <t>LXS-63326-144</t>
  </si>
  <si>
    <t>35367-50483-AR</t>
  </si>
  <si>
    <t>CZG-86544-655</t>
  </si>
  <si>
    <t>69443-77665-QW</t>
  </si>
  <si>
    <t>WFV-88138-247</t>
  </si>
  <si>
    <t>63411-51758-QC</t>
  </si>
  <si>
    <t>RFG-28227-288</t>
  </si>
  <si>
    <t>68605-21835-UF</t>
  </si>
  <si>
    <t>QAK-77286-758</t>
  </si>
  <si>
    <t>34786-30419-XY</t>
  </si>
  <si>
    <t>CZD-56716-840</t>
  </si>
  <si>
    <t>15456-29250-RU</t>
  </si>
  <si>
    <t>UBI-59229-277</t>
  </si>
  <si>
    <t>00886-35803-FG</t>
  </si>
  <si>
    <t>WJJ-37489-898</t>
  </si>
  <si>
    <t>31599-82152-AD</t>
  </si>
  <si>
    <t>ORX-57454-917</t>
  </si>
  <si>
    <t>76209-39601-ZR</t>
  </si>
  <si>
    <t>GRB-68838-629</t>
  </si>
  <si>
    <t>15064-65241-HB</t>
  </si>
  <si>
    <t>SHT-04865-419</t>
  </si>
  <si>
    <t>69215-90789-DL</t>
  </si>
  <si>
    <t>UQI-28177-865</t>
  </si>
  <si>
    <t>04317-46176-TB</t>
  </si>
  <si>
    <t>OIB-13664-879</t>
  </si>
  <si>
    <t>04713-57765-KR</t>
  </si>
  <si>
    <t>PJS-30996-485</t>
  </si>
  <si>
    <t>HEL-86709-449</t>
  </si>
  <si>
    <t>NCH-55389-562</t>
  </si>
  <si>
    <t>GUG-45603-775</t>
  </si>
  <si>
    <t>40959-32642-DN</t>
  </si>
  <si>
    <t>KJB-98240-098</t>
  </si>
  <si>
    <t>77746-08153-PM</t>
  </si>
  <si>
    <t>JMS-48374-462</t>
  </si>
  <si>
    <t>49667-96708-JL</t>
  </si>
  <si>
    <t>YIT-15877-117</t>
  </si>
  <si>
    <t>24155-79322-EQ</t>
  </si>
  <si>
    <t>YVK-82679-655</t>
  </si>
  <si>
    <t>95342-88311-SF</t>
  </si>
  <si>
    <t>TYH-81940-054</t>
  </si>
  <si>
    <t>69374-08133-RI</t>
  </si>
  <si>
    <t>HTY-30660-254</t>
  </si>
  <si>
    <t>83844-95908-RX</t>
  </si>
  <si>
    <t>GPW-43956-761</t>
  </si>
  <si>
    <t>09667-09231-YM</t>
  </si>
  <si>
    <t>DWY-56352-412</t>
  </si>
  <si>
    <t>55427-08059-DF</t>
  </si>
  <si>
    <t>PUH-55647-976</t>
  </si>
  <si>
    <t>06624-54037-BQ</t>
  </si>
  <si>
    <t>DTB-71371-705</t>
  </si>
  <si>
    <t>48544-90737-AZ</t>
  </si>
  <si>
    <t>ZDC-64769-740</t>
  </si>
  <si>
    <t>79463-01597-FQ</t>
  </si>
  <si>
    <t>TED-81959-419</t>
  </si>
  <si>
    <t>27702-50024-XC</t>
  </si>
  <si>
    <t>FDO-25756-141</t>
  </si>
  <si>
    <t>57360-46846-NS</t>
  </si>
  <si>
    <t>HKN-31467-517</t>
  </si>
  <si>
    <t>84045-66771-SL</t>
  </si>
  <si>
    <t>POF-29666-012</t>
  </si>
  <si>
    <t>46885-00260-TL</t>
  </si>
  <si>
    <t>IRX-59256-644</t>
  </si>
  <si>
    <t>96446-62142-EN</t>
  </si>
  <si>
    <t>LTN-89139-350</t>
  </si>
  <si>
    <t>07756-71018-GU</t>
  </si>
  <si>
    <t>TXF-79780-017</t>
  </si>
  <si>
    <t>92048-47813-QB</t>
  </si>
  <si>
    <t>ALM-80762-974</t>
  </si>
  <si>
    <t>NXF-15738-707</t>
  </si>
  <si>
    <t>28699-16256-XV</t>
  </si>
  <si>
    <t>MVV-19034-198</t>
  </si>
  <si>
    <t>98476-63654-CG</t>
  </si>
  <si>
    <t>KUX-19632-830</t>
  </si>
  <si>
    <t>55409-07759-YG</t>
  </si>
  <si>
    <t>SNZ-44595-152</t>
  </si>
  <si>
    <t>06136-65250-PG</t>
  </si>
  <si>
    <t>GQA-37241-629</t>
  </si>
  <si>
    <t>08405-33165-BS</t>
  </si>
  <si>
    <t>WVV-79948-067</t>
  </si>
  <si>
    <t>66070-30559-WI</t>
  </si>
  <si>
    <t>LHX-81117-166</t>
  </si>
  <si>
    <t>01282-28364-RZ</t>
  </si>
  <si>
    <t>GCD-75444-320</t>
  </si>
  <si>
    <t>51277-93873-RP</t>
  </si>
  <si>
    <t>SGA-30059-217</t>
  </si>
  <si>
    <t>84405-83364-DG</t>
  </si>
  <si>
    <t>GNL-98714-885</t>
  </si>
  <si>
    <t>83731-53280-YC</t>
  </si>
  <si>
    <t>OQA-93249-841</t>
  </si>
  <si>
    <t>03917-13632-KC</t>
  </si>
  <si>
    <t>DUV-12075-132</t>
  </si>
  <si>
    <t>62494-09113-RP</t>
  </si>
  <si>
    <t>KPO-24942-184</t>
  </si>
  <si>
    <t>70567-65133-CN</t>
  </si>
  <si>
    <t>SRJ-79353-838</t>
  </si>
  <si>
    <t>77869-81373-AY</t>
  </si>
  <si>
    <t>XBV-40336-071</t>
  </si>
  <si>
    <t>38536-98293-JZ</t>
  </si>
  <si>
    <t>RLM-96511-467</t>
  </si>
  <si>
    <t>43014-53743-XK</t>
  </si>
  <si>
    <t>AEZ-13242-456</t>
  </si>
  <si>
    <t>UME-75640-698</t>
  </si>
  <si>
    <t>GJC-66474-557</t>
  </si>
  <si>
    <t>64965-78386-MY</t>
  </si>
  <si>
    <t>IRV-20769-219</t>
  </si>
  <si>
    <t>77131-58092-GE</t>
  </si>
  <si>
    <t>Order ID</t>
  </si>
  <si>
    <t>Order Date</t>
  </si>
  <si>
    <t>Customer ID</t>
  </si>
  <si>
    <t>Product ID</t>
  </si>
  <si>
    <t>Quantity</t>
  </si>
  <si>
    <t>Customer Name</t>
  </si>
  <si>
    <t>Email</t>
  </si>
  <si>
    <t>Country</t>
  </si>
  <si>
    <t>Coffee Type</t>
  </si>
  <si>
    <t>Roast Type</t>
  </si>
  <si>
    <t>Size</t>
  </si>
  <si>
    <t>Unit Price</t>
  </si>
  <si>
    <t>Sales</t>
  </si>
  <si>
    <t>Phone Number</t>
  </si>
  <si>
    <t>Address Line 1</t>
  </si>
  <si>
    <t>City</t>
  </si>
  <si>
    <t>Postcode</t>
  </si>
  <si>
    <t>Loyalty Card</t>
  </si>
  <si>
    <t>Aloisia Allner</t>
  </si>
  <si>
    <t>aallner0@lulu.com</t>
  </si>
  <si>
    <t>+1 (862) 817-0124</t>
  </si>
  <si>
    <t>57999 Pepper Wood Alley</t>
  </si>
  <si>
    <t>Paterson</t>
  </si>
  <si>
    <t>United States</t>
  </si>
  <si>
    <t>Yes</t>
  </si>
  <si>
    <t>73342-18763-UW</t>
  </si>
  <si>
    <t>Piotr Bote</t>
  </si>
  <si>
    <t>pbote1@yelp.com</t>
  </si>
  <si>
    <t>+353 (913) 396-4653</t>
  </si>
  <si>
    <t>2112 Ridgeway Hill</t>
  </si>
  <si>
    <t>Crumlin</t>
  </si>
  <si>
    <t>Ireland</t>
  </si>
  <si>
    <t>D6W</t>
  </si>
  <si>
    <t>No</t>
  </si>
  <si>
    <t>Jami Redholes</t>
  </si>
  <si>
    <t>jredholes2@tmall.com</t>
  </si>
  <si>
    <t>+1 (210) 986-6806</t>
  </si>
  <si>
    <t>5214 Bartillon Park</t>
  </si>
  <si>
    <t>San Antonio</t>
  </si>
  <si>
    <t>71253-00052-RN</t>
  </si>
  <si>
    <t>Dene Azema</t>
  </si>
  <si>
    <t>dazema3@facebook.com</t>
  </si>
  <si>
    <t>+1 (217) 418-0714</t>
  </si>
  <si>
    <t>27 Maywood Place</t>
  </si>
  <si>
    <t>Springfield</t>
  </si>
  <si>
    <t>Christoffer O' Shea</t>
  </si>
  <si>
    <t>+353 (698) 362-9201</t>
  </si>
  <si>
    <t>38980 Manitowish Junction</t>
  </si>
  <si>
    <t>Cill Airne</t>
  </si>
  <si>
    <t>N41</t>
  </si>
  <si>
    <t>Beryle Cottier</t>
  </si>
  <si>
    <t>+1 (570) 289-7473</t>
  </si>
  <si>
    <t>2651 Stoughton Place</t>
  </si>
  <si>
    <t>Scranton</t>
  </si>
  <si>
    <t>Shaylynn Lobe</t>
  </si>
  <si>
    <t>slobe6@nifty.com</t>
  </si>
  <si>
    <t>+1 (937) 954-4541</t>
  </si>
  <si>
    <t>7005 Mariners Cove Place</t>
  </si>
  <si>
    <t>Dayton</t>
  </si>
  <si>
    <t>Melvin Wharfe</t>
  </si>
  <si>
    <t>+353 (507) 574-3034</t>
  </si>
  <si>
    <t>7 Straubel Road</t>
  </si>
  <si>
    <t>Kill</t>
  </si>
  <si>
    <t>P24</t>
  </si>
  <si>
    <t>Guthrey Petracci</t>
  </si>
  <si>
    <t>gpetracci8@livejournal.com</t>
  </si>
  <si>
    <t>+1 (310) 868-1842</t>
  </si>
  <si>
    <t>949 Paget Parkway</t>
  </si>
  <si>
    <t>Los Angeles</t>
  </si>
  <si>
    <t>Rodger Raven</t>
  </si>
  <si>
    <t>rraven9@ed.gov</t>
  </si>
  <si>
    <t>+1 (213) 263-0288</t>
  </si>
  <si>
    <t>1 Reinke Avenue</t>
  </si>
  <si>
    <t>Ferrell Ferber</t>
  </si>
  <si>
    <t>fferbera@businesswire.com</t>
  </si>
  <si>
    <t>+1 (408) 383-5302</t>
  </si>
  <si>
    <t>68 High Crossing Court</t>
  </si>
  <si>
    <t>San Jose</t>
  </si>
  <si>
    <t>Duky Phizackerly</t>
  </si>
  <si>
    <t>dphizackerlyb@utexas.edu</t>
  </si>
  <si>
    <t>+1 (408) 533-6012</t>
  </si>
  <si>
    <t>28643 Bluejay Crossing</t>
  </si>
  <si>
    <t>Rosaleen Scholar</t>
  </si>
  <si>
    <t>rscholarc@nyu.edu</t>
  </si>
  <si>
    <t>+1 (804) 420-0420</t>
  </si>
  <si>
    <t>80915 Montana Park</t>
  </si>
  <si>
    <t>Richmond</t>
  </si>
  <si>
    <t>Terence Vanyutin</t>
  </si>
  <si>
    <t>tvanyutind@wix.com</t>
  </si>
  <si>
    <t>331 Bunting Hill</t>
  </si>
  <si>
    <t>Migrate</t>
  </si>
  <si>
    <t>Patrice Trobe</t>
  </si>
  <si>
    <t>ptrobee@wunderground.com</t>
  </si>
  <si>
    <t>+1 (314) 240-7896</t>
  </si>
  <si>
    <t>827 Declaration Plaza</t>
  </si>
  <si>
    <t>Saint Louis</t>
  </si>
  <si>
    <t>Llywellyn Oscroft</t>
  </si>
  <si>
    <t>loscroftf@ebay.co.uk</t>
  </si>
  <si>
    <t>022 Roth Place</t>
  </si>
  <si>
    <t>Philadelphia</t>
  </si>
  <si>
    <t>Minni Alabaster</t>
  </si>
  <si>
    <t>malabasterg@hexun.com</t>
  </si>
  <si>
    <t>+1 (971) 483-6255</t>
  </si>
  <si>
    <t>3 Charing Cross Trail</t>
  </si>
  <si>
    <t>Portland</t>
  </si>
  <si>
    <t>Rhianon Broxup</t>
  </si>
  <si>
    <t>rbroxuph@jimdo.com</t>
  </si>
  <si>
    <t>+1 (713) 663-1338</t>
  </si>
  <si>
    <t>83517 Thierer Court</t>
  </si>
  <si>
    <t>Houston</t>
  </si>
  <si>
    <t>Pall Redford</t>
  </si>
  <si>
    <t>predfordi@ow.ly</t>
  </si>
  <si>
    <t>7337 Hayes Junction</t>
  </si>
  <si>
    <t>Caherconlish</t>
  </si>
  <si>
    <t>F45</t>
  </si>
  <si>
    <t>Aurea Corradino</t>
  </si>
  <si>
    <t>acorradinoj@harvard.edu</t>
  </si>
  <si>
    <t>+1 (646) 202-5965</t>
  </si>
  <si>
    <t>698 Canary Terrace</t>
  </si>
  <si>
    <t>New York City</t>
  </si>
  <si>
    <t>84565-53984-SX</t>
  </si>
  <si>
    <t>Kendal Scardefield</t>
  </si>
  <si>
    <t>+353 (733) 405-3302</t>
  </si>
  <si>
    <t>3 Northridge Crossing</t>
  </si>
  <si>
    <t>Clondalkin</t>
  </si>
  <si>
    <t>D24</t>
  </si>
  <si>
    <t>Avrit Davidowsky</t>
  </si>
  <si>
    <t>adavidowskyl@netvibes.com</t>
  </si>
  <si>
    <t>+1 (616) 481-9962</t>
  </si>
  <si>
    <t>9 Warrior Junction</t>
  </si>
  <si>
    <t>Grand Rapids</t>
  </si>
  <si>
    <t>Annabel Antuk</t>
  </si>
  <si>
    <t>aantukm@kickstarter.com</t>
  </si>
  <si>
    <t>+1 (941) 740-6268</t>
  </si>
  <si>
    <t>77965 Lawn Park</t>
  </si>
  <si>
    <t>Punta Gorda</t>
  </si>
  <si>
    <t>Iorgo Kleinert</t>
  </si>
  <si>
    <t>ikleinertn@timesonline.co.uk</t>
  </si>
  <si>
    <t>+1 (360) 352-6598</t>
  </si>
  <si>
    <t>1 Morningstar Lane</t>
  </si>
  <si>
    <t>Vancouver</t>
  </si>
  <si>
    <t>Chrisy Blofeld</t>
  </si>
  <si>
    <t>cblofeldo@amazon.co.uk</t>
  </si>
  <si>
    <t>+1 (303) 936-3357</t>
  </si>
  <si>
    <t>013 Talisman Terrace</t>
  </si>
  <si>
    <t>Englewood</t>
  </si>
  <si>
    <t>Culley Farris</t>
  </si>
  <si>
    <t>+1 (941) 267-4822</t>
  </si>
  <si>
    <t>4 Mitchell Drive</t>
  </si>
  <si>
    <t>Selene Shales</t>
  </si>
  <si>
    <t>sshalesq@umich.edu</t>
  </si>
  <si>
    <t>+1 (707) 881-5004</t>
  </si>
  <si>
    <t>74 Bultman Plaza</t>
  </si>
  <si>
    <t>Petaluma</t>
  </si>
  <si>
    <t>Vivie Danneil</t>
  </si>
  <si>
    <t>vdanneilr@mtv.com</t>
  </si>
  <si>
    <t>+353 (751) 346-0399</t>
  </si>
  <si>
    <t>5626 Darwin Avenue</t>
  </si>
  <si>
    <t>Tralee</t>
  </si>
  <si>
    <t>V92</t>
  </si>
  <si>
    <t>Theresita Newbury</t>
  </si>
  <si>
    <t>tnewburys@usda.gov</t>
  </si>
  <si>
    <t>+353 (803) 587-0026</t>
  </si>
  <si>
    <t>79526 Bultman Lane</t>
  </si>
  <si>
    <t>Clonskeagh</t>
  </si>
  <si>
    <t>D04</t>
  </si>
  <si>
    <t>Mozelle Calcutt</t>
  </si>
  <si>
    <t>mcalcuttt@baidu.com</t>
  </si>
  <si>
    <t>+353 (928) 869-1762</t>
  </si>
  <si>
    <t>4389 Russell Way</t>
  </si>
  <si>
    <t>Rathwire</t>
  </si>
  <si>
    <t>Y25</t>
  </si>
  <si>
    <t>Adrian Swaine</t>
  </si>
  <si>
    <t>+1 (303) 486-9517</t>
  </si>
  <si>
    <t>95 Straubel Hill</t>
  </si>
  <si>
    <t>Aurora</t>
  </si>
  <si>
    <t>52082-49024-ON</t>
  </si>
  <si>
    <t>Ray Leivesley</t>
  </si>
  <si>
    <t>rleivesleyv@canalblog.com</t>
  </si>
  <si>
    <t>+1 (212) 535-7791</t>
  </si>
  <si>
    <t>91 Stephen Drive</t>
  </si>
  <si>
    <t>Jamaica</t>
  </si>
  <si>
    <t>04540-43685-DV</t>
  </si>
  <si>
    <t>Nelly Basezzi</t>
  </si>
  <si>
    <t>nbasezziw@webeden.co.uk</t>
  </si>
  <si>
    <t>+353 (125) 815-7345</t>
  </si>
  <si>
    <t>923 Mallard Junction</t>
  </si>
  <si>
    <t>Bailieborough</t>
  </si>
  <si>
    <t>C15</t>
  </si>
  <si>
    <t>Gallard Gatheral</t>
  </si>
  <si>
    <t>ggatheralx@123-reg.co.uk</t>
  </si>
  <si>
    <t>40 Clemons Place</t>
  </si>
  <si>
    <t>Grand Forks</t>
  </si>
  <si>
    <t>Una Welberry</t>
  </si>
  <si>
    <t>uwelberryy@ebay.co.uk</t>
  </si>
  <si>
    <t>+44 (392) 503-8132</t>
  </si>
  <si>
    <t>40915 Schlimgen Park</t>
  </si>
  <si>
    <t>Upton</t>
  </si>
  <si>
    <t>United Kingdom</t>
  </si>
  <si>
    <t>DN21</t>
  </si>
  <si>
    <t>Faber Eilhart</t>
  </si>
  <si>
    <t>feilhartz@who.int</t>
  </si>
  <si>
    <t>+1 (304) 510-6095</t>
  </si>
  <si>
    <t>6966 Victoria Street</t>
  </si>
  <si>
    <t>Charleston</t>
  </si>
  <si>
    <t>Zorina Ponting</t>
  </si>
  <si>
    <t>zponting10@altervista.org</t>
  </si>
  <si>
    <t>+1 (501) 172-1476</t>
  </si>
  <si>
    <t>7118 Holmberg Court</t>
  </si>
  <si>
    <t>Little Rock</t>
  </si>
  <si>
    <t>Silvio Strase</t>
  </si>
  <si>
    <t>sstrase11@booking.com</t>
  </si>
  <si>
    <t>+1 (303) 579-8015</t>
  </si>
  <si>
    <t>5 Forest Lane</t>
  </si>
  <si>
    <t>Denver</t>
  </si>
  <si>
    <t>Dorie de la Tremoille</t>
  </si>
  <si>
    <t>dde12@unesco.org</t>
  </si>
  <si>
    <t>+1 (612) 492-5160</t>
  </si>
  <si>
    <t>0817 Dennis Street</t>
  </si>
  <si>
    <t>Minneapolis</t>
  </si>
  <si>
    <t>Hy Zanetto</t>
  </si>
  <si>
    <t>469 Paget Place</t>
  </si>
  <si>
    <t>Tucson</t>
  </si>
  <si>
    <t>Jessica McNess</t>
  </si>
  <si>
    <t>+1 (504) 545-1478</t>
  </si>
  <si>
    <t>664 Erie Place</t>
  </si>
  <si>
    <t>New Orleans</t>
  </si>
  <si>
    <t>Lorenzo Yeoland</t>
  </si>
  <si>
    <t>lyeoland15@pbs.org</t>
  </si>
  <si>
    <t>+1 (860) 576-2887</t>
  </si>
  <si>
    <t>8510 Merrick Road</t>
  </si>
  <si>
    <t>Hartford</t>
  </si>
  <si>
    <t>Abigail Tolworthy</t>
  </si>
  <si>
    <t>atolworthy16@toplist.cz</t>
  </si>
  <si>
    <t>+1 (801) 722-4425</t>
  </si>
  <si>
    <t>74 Shopko Way</t>
  </si>
  <si>
    <t>Ogden</t>
  </si>
  <si>
    <t>Maurie Bartol</t>
  </si>
  <si>
    <t>+1 (617) 493-7594</t>
  </si>
  <si>
    <t>7625 Starling Court</t>
  </si>
  <si>
    <t>Boston</t>
  </si>
  <si>
    <t>Olag Baudassi</t>
  </si>
  <si>
    <t>obaudassi18@seesaa.net</t>
  </si>
  <si>
    <t>+1 (585) 356-6251</t>
  </si>
  <si>
    <t>55 Dottie Court</t>
  </si>
  <si>
    <t>Rochester</t>
  </si>
  <si>
    <t>Petey Kingsbury</t>
  </si>
  <si>
    <t>pkingsbury19@comcast.net</t>
  </si>
  <si>
    <t>+1 (917) 705-8224</t>
  </si>
  <si>
    <t>28 Loftsgordon Place</t>
  </si>
  <si>
    <t>Bronx</t>
  </si>
  <si>
    <t>Donna Baskeyfied</t>
  </si>
  <si>
    <t>+1 (205) 923-1460</t>
  </si>
  <si>
    <t>7586 Logan Avenue</t>
  </si>
  <si>
    <t>Birmingham</t>
  </si>
  <si>
    <t>Arda Curley</t>
  </si>
  <si>
    <t>acurley1b@hao123.com</t>
  </si>
  <si>
    <t>+1 (760) 840-3808</t>
  </si>
  <si>
    <t>45098 Scott Drive</t>
  </si>
  <si>
    <t>San Bernardino</t>
  </si>
  <si>
    <t>Raynor McGilvary</t>
  </si>
  <si>
    <t>rmcgilvary1c@tamu.edu</t>
  </si>
  <si>
    <t>496 Rockefeller Court</t>
  </si>
  <si>
    <t>Norfolk</t>
  </si>
  <si>
    <t>Isis Pikett</t>
  </si>
  <si>
    <t>ipikett1d@xinhuanet.com</t>
  </si>
  <si>
    <t>+1 (202) 871-9039</t>
  </si>
  <si>
    <t>5892 Hauk Drive</t>
  </si>
  <si>
    <t>Washington</t>
  </si>
  <si>
    <t>Inger Bouldon</t>
  </si>
  <si>
    <t>ibouldon1e@gizmodo.com</t>
  </si>
  <si>
    <t>+1 (754) 391-4736</t>
  </si>
  <si>
    <t>925 Barby Circle</t>
  </si>
  <si>
    <t>Fort Lauderdale</t>
  </si>
  <si>
    <t>Karry Flanders</t>
  </si>
  <si>
    <t>kflanders1f@over-blog.com</t>
  </si>
  <si>
    <t>+353 (467) 720-7274</t>
  </si>
  <si>
    <t>88 Blue Bill Park Avenue</t>
  </si>
  <si>
    <t>Hartley Mattioli</t>
  </si>
  <si>
    <t>hmattioli1g@webmd.com</t>
  </si>
  <si>
    <t>126 Valley Edge Street</t>
  </si>
  <si>
    <t>Kinloch</t>
  </si>
  <si>
    <t>PH43</t>
  </si>
  <si>
    <t>40768-49176-BL</t>
  </si>
  <si>
    <t>Horatio Rubberts</t>
  </si>
  <si>
    <t>hrubberts1h@google.com.hk</t>
  </si>
  <si>
    <t>+1 (801) 635-8791</t>
  </si>
  <si>
    <t>459 Russell Center</t>
  </si>
  <si>
    <t>Provo</t>
  </si>
  <si>
    <t>Archambault Gillard</t>
  </si>
  <si>
    <t>agillard1i@issuu.com</t>
  </si>
  <si>
    <t>+1 (419) 663-2236</t>
  </si>
  <si>
    <t>97490 Susan Avenue</t>
  </si>
  <si>
    <t>Toledo</t>
  </si>
  <si>
    <t>Salomo Cushworth</t>
  </si>
  <si>
    <t>+1 (609) 409-7044</t>
  </si>
  <si>
    <t>44 Oneill Parkway</t>
  </si>
  <si>
    <t>Trenton</t>
  </si>
  <si>
    <t>Theda Grizard</t>
  </si>
  <si>
    <t>tgrizard1k@odnoklassniki.ru</t>
  </si>
  <si>
    <t>+1 (813) 243-2150</t>
  </si>
  <si>
    <t>6 Knutson Pass</t>
  </si>
  <si>
    <t>Tampa</t>
  </si>
  <si>
    <t>Rozele Relton</t>
  </si>
  <si>
    <t>rrelton1l@stanford.edu</t>
  </si>
  <si>
    <t>+1 (850) 626-1181</t>
  </si>
  <si>
    <t>2484 Reindahl Court</t>
  </si>
  <si>
    <t>Pensacola</t>
  </si>
  <si>
    <t>Willa Rolling</t>
  </si>
  <si>
    <t>+1 (813) 759-3534</t>
  </si>
  <si>
    <t>3 Mockingbird Plaza</t>
  </si>
  <si>
    <t>Zephyrhills</t>
  </si>
  <si>
    <t>Stanislaus Gilroy</t>
  </si>
  <si>
    <t>sgilroy1n@eepurl.com</t>
  </si>
  <si>
    <t>9120 Harbort Terrace</t>
  </si>
  <si>
    <t>Saint Paul</t>
  </si>
  <si>
    <t>Correy Cottingham</t>
  </si>
  <si>
    <t>ccottingham1o@wikipedia.org</t>
  </si>
  <si>
    <t>+1 (260) 764-1820</t>
  </si>
  <si>
    <t>394 Logan Road</t>
  </si>
  <si>
    <t>Fort Wayne</t>
  </si>
  <si>
    <t>Pammi Endacott</t>
  </si>
  <si>
    <t>+44 (177) 260-5076</t>
  </si>
  <si>
    <t>5841 Atwood Lane</t>
  </si>
  <si>
    <t>Wootton</t>
  </si>
  <si>
    <t>NN4</t>
  </si>
  <si>
    <t>Nona Linklater</t>
  </si>
  <si>
    <t>+1 (239) 347-9766</t>
  </si>
  <si>
    <t>856 Bonner Parkway</t>
  </si>
  <si>
    <t>Naples</t>
  </si>
  <si>
    <t>Annadiane Dykes</t>
  </si>
  <si>
    <t>adykes1r@eventbrite.com</t>
  </si>
  <si>
    <t>+1 (312) 111-6203</t>
  </si>
  <si>
    <t>31 Northport Terrace</t>
  </si>
  <si>
    <t>Chicago</t>
  </si>
  <si>
    <t>Felecia Dodgson</t>
  </si>
  <si>
    <t>+1 (973) 434-8662</t>
  </si>
  <si>
    <t>48053 8th Crossing</t>
  </si>
  <si>
    <t>Newark</t>
  </si>
  <si>
    <t>Angelia Cockrem</t>
  </si>
  <si>
    <t>acockrem1t@engadget.com</t>
  </si>
  <si>
    <t>+1 (571) 316-8217</t>
  </si>
  <si>
    <t>1 Sherman Alley</t>
  </si>
  <si>
    <t>Vienna</t>
  </si>
  <si>
    <t>Belvia Umpleby</t>
  </si>
  <si>
    <t>bumpleby1u@soundcloud.com</t>
  </si>
  <si>
    <t>+1 (682) 627-0888</t>
  </si>
  <si>
    <t>710 Prairie Rose Terrace</t>
  </si>
  <si>
    <t>Fort Worth</t>
  </si>
  <si>
    <t>Nat Saleway</t>
  </si>
  <si>
    <t>nsaleway1v@dedecms.com</t>
  </si>
  <si>
    <t>+1 (323) 473-0294</t>
  </si>
  <si>
    <t>0780 Anthes Plaza</t>
  </si>
  <si>
    <t>Burbank</t>
  </si>
  <si>
    <t>Hayward Goulter</t>
  </si>
  <si>
    <t>hgoulter1w@abc.net.au</t>
  </si>
  <si>
    <t>+1 (423) 764-7751</t>
  </si>
  <si>
    <t>2081 Mariners Cove Drive</t>
  </si>
  <si>
    <t>Kingsport</t>
  </si>
  <si>
    <t>Gay Rizzello</t>
  </si>
  <si>
    <t>grizzello1x@symantec.com</t>
  </si>
  <si>
    <t>+44 (247) 225-8003</t>
  </si>
  <si>
    <t>21 Schmedeman Crossing</t>
  </si>
  <si>
    <t>Liverpool</t>
  </si>
  <si>
    <t>L33</t>
  </si>
  <si>
    <t>Shannon List</t>
  </si>
  <si>
    <t>slist1y@mapquest.com</t>
  </si>
  <si>
    <t>+1 (614) 279-9816</t>
  </si>
  <si>
    <t>7123 Algoma Center</t>
  </si>
  <si>
    <t>Columbus</t>
  </si>
  <si>
    <t>Shirlene Edmondson</t>
  </si>
  <si>
    <t>sedmondson1z@theguardian.com</t>
  </si>
  <si>
    <t>+353 (248) 428-7978</t>
  </si>
  <si>
    <t>4752 International Point</t>
  </si>
  <si>
    <t>Newmarket on Fergus</t>
  </si>
  <si>
    <t>P17</t>
  </si>
  <si>
    <t>Aurlie McCarl</t>
  </si>
  <si>
    <t>+1 (504) 209-2724</t>
  </si>
  <si>
    <t>731 David Park</t>
  </si>
  <si>
    <t>Alikee Carryer</t>
  </si>
  <si>
    <t>+1 (704) 799-5219</t>
  </si>
  <si>
    <t>247 Helena Drive</t>
  </si>
  <si>
    <t>Charlotte</t>
  </si>
  <si>
    <t>Jennifer Rangall</t>
  </si>
  <si>
    <t>jrangall22@newsvine.com</t>
  </si>
  <si>
    <t>+1 (781) 512-6637</t>
  </si>
  <si>
    <t>0 Grasskamp Lane</t>
  </si>
  <si>
    <t>Kipper Boorn</t>
  </si>
  <si>
    <t>kboorn23@ezinearticles.com</t>
  </si>
  <si>
    <t>+353 (359) 134-1550</t>
  </si>
  <si>
    <t>9513 Meadow Ridge Parkway</t>
  </si>
  <si>
    <t>Listowel</t>
  </si>
  <si>
    <t>V31</t>
  </si>
  <si>
    <t>Melania Beadle</t>
  </si>
  <si>
    <t>+353 (569) 458-9673</t>
  </si>
  <si>
    <t>4418 Quincy Terrace</t>
  </si>
  <si>
    <t>Moycullen</t>
  </si>
  <si>
    <t>A41</t>
  </si>
  <si>
    <t>Colene Elgey</t>
  </si>
  <si>
    <t>celgey25@webs.com</t>
  </si>
  <si>
    <t>+1 (432) 261-0702</t>
  </si>
  <si>
    <t>45 Marcy Crossing</t>
  </si>
  <si>
    <t>Midland</t>
  </si>
  <si>
    <t>Lothaire Mizzi</t>
  </si>
  <si>
    <t>lmizzi26@rakuten.co.jp</t>
  </si>
  <si>
    <t>+1 (214) 719-8530</t>
  </si>
  <si>
    <t>74 Atwood Lane</t>
  </si>
  <si>
    <t>Dallas</t>
  </si>
  <si>
    <t>Cletis Giacomazzo</t>
  </si>
  <si>
    <t>cgiacomazzo27@jigsy.com</t>
  </si>
  <si>
    <t>+1 (571) 703-2064</t>
  </si>
  <si>
    <t>817 Ridgeway Hill</t>
  </si>
  <si>
    <t>Dulles</t>
  </si>
  <si>
    <t>Ami Arnow</t>
  </si>
  <si>
    <t>aarnow28@arizona.edu</t>
  </si>
  <si>
    <t>+1 (650) 238-1964</t>
  </si>
  <si>
    <t>12 Oakridge Court</t>
  </si>
  <si>
    <t>Oakland</t>
  </si>
  <si>
    <t>Sheppard Yann</t>
  </si>
  <si>
    <t>syann29@senate.gov</t>
  </si>
  <si>
    <t>+1 (719) 803-5276</t>
  </si>
  <si>
    <t>4 Farmco Place</t>
  </si>
  <si>
    <t>Colorado Springs</t>
  </si>
  <si>
    <t>Bunny Naulls</t>
  </si>
  <si>
    <t>bnaulls2a@tiny.cc</t>
  </si>
  <si>
    <t>+353 (809) 128-0755</t>
  </si>
  <si>
    <t>595 Melby Avenue</t>
  </si>
  <si>
    <t>Adare</t>
  </si>
  <si>
    <t>H54</t>
  </si>
  <si>
    <t>Hally Lorait</t>
  </si>
  <si>
    <t>+1 (716) 869-3749</t>
  </si>
  <si>
    <t>80 Jana Avenue</t>
  </si>
  <si>
    <t>Buffalo</t>
  </si>
  <si>
    <t>Zaccaria Sherewood</t>
  </si>
  <si>
    <t>zsherewood2c@apache.org</t>
  </si>
  <si>
    <t>+1 (209) 433-7924</t>
  </si>
  <si>
    <t>1325 Jay Terrace</t>
  </si>
  <si>
    <t>Fresno</t>
  </si>
  <si>
    <t>Jeffrey Dufaire</t>
  </si>
  <si>
    <t>jdufaire2d@fc2.com</t>
  </si>
  <si>
    <t>8 Buell Junction</t>
  </si>
  <si>
    <t>Blancha McAmish</t>
  </si>
  <si>
    <t>bmcamish2e@tripadvisor.com</t>
  </si>
  <si>
    <t>5484 Stephen Court</t>
  </si>
  <si>
    <t>Oklahoma City</t>
  </si>
  <si>
    <t>Beitris Keaveney</t>
  </si>
  <si>
    <t>bkeaveney2f@netlog.com</t>
  </si>
  <si>
    <t>67319 Redwing Parkway</t>
  </si>
  <si>
    <t>Beaumont</t>
  </si>
  <si>
    <t>Elna Grise</t>
  </si>
  <si>
    <t>egrise2g@cargocollective.com</t>
  </si>
  <si>
    <t>92 Becker Circle</t>
  </si>
  <si>
    <t>Reno</t>
  </si>
  <si>
    <t>Torie Gottelier</t>
  </si>
  <si>
    <t>tgottelier2h@vistaprint.com</t>
  </si>
  <si>
    <t>+1 (816) 743-8492</t>
  </si>
  <si>
    <t>426 Division Avenue</t>
  </si>
  <si>
    <t>Kansas City</t>
  </si>
  <si>
    <t>Loydie Langlais</t>
  </si>
  <si>
    <t>+353 (576) 222-5069</t>
  </si>
  <si>
    <t>290 Ilene Street</t>
  </si>
  <si>
    <t>Adham Greenhead</t>
  </si>
  <si>
    <t>agreenhead2j@dailymail.co.uk</t>
  </si>
  <si>
    <t>+1 (951) 797-0738</t>
  </si>
  <si>
    <t>0062 Spenser Place</t>
  </si>
  <si>
    <t>Corona</t>
  </si>
  <si>
    <t>Hamish MacSherry</t>
  </si>
  <si>
    <t>+1 (512) 430-4374</t>
  </si>
  <si>
    <t>7 Brentwood Plaza</t>
  </si>
  <si>
    <t>Austin</t>
  </si>
  <si>
    <t>Else Langcaster</t>
  </si>
  <si>
    <t>elangcaster2l@spotify.com</t>
  </si>
  <si>
    <t>+44 (547) 590-3103</t>
  </si>
  <si>
    <t>3658 Jenna Street</t>
  </si>
  <si>
    <t>Normanton</t>
  </si>
  <si>
    <t>LE15</t>
  </si>
  <si>
    <t>Rudy Farquharson</t>
  </si>
  <si>
    <t>30178 Claremont Road</t>
  </si>
  <si>
    <t>Charlesland</t>
  </si>
  <si>
    <t>A63</t>
  </si>
  <si>
    <t>Norene Magauran</t>
  </si>
  <si>
    <t>nmagauran2n@51.la</t>
  </si>
  <si>
    <t>567 Artisan Place</t>
  </si>
  <si>
    <t>Vicki Kirdsch</t>
  </si>
  <si>
    <t>vkirdsch2o@google.fr</t>
  </si>
  <si>
    <t>0263 Golf Street</t>
  </si>
  <si>
    <t>Ilysa Whapple</t>
  </si>
  <si>
    <t>iwhapple2p@com.com</t>
  </si>
  <si>
    <t>+1 (559) 522-1152</t>
  </si>
  <si>
    <t>41598 Everett Drive</t>
  </si>
  <si>
    <t>Ruy Cancellieri</t>
  </si>
  <si>
    <t>+353 (338) 743-8327</t>
  </si>
  <si>
    <t>251 Welch Parkway</t>
  </si>
  <si>
    <t>Confey</t>
  </si>
  <si>
    <t>A86</t>
  </si>
  <si>
    <t>Aube Follett</t>
  </si>
  <si>
    <t>+1 (614) 370-6392</t>
  </si>
  <si>
    <t>8671 David Park</t>
  </si>
  <si>
    <t>Rudiger Di Bartolomeo</t>
  </si>
  <si>
    <t>+1 (209) 148-6668</t>
  </si>
  <si>
    <t>7700 Melby Park</t>
  </si>
  <si>
    <t>Stockton</t>
  </si>
  <si>
    <t>Nickey Youles</t>
  </si>
  <si>
    <t>nyoules2t@reference.com</t>
  </si>
  <si>
    <t>+353 (641) 846-7654</t>
  </si>
  <si>
    <t>12461 Dryden Pass</t>
  </si>
  <si>
    <t>Edgeworthstown</t>
  </si>
  <si>
    <t>E25</t>
  </si>
  <si>
    <t>Dyanna Aizikovitz</t>
  </si>
  <si>
    <t>daizikovitz2u@answers.com</t>
  </si>
  <si>
    <t>+353 (766) 141-6317</t>
  </si>
  <si>
    <t>7 Northland Court</t>
  </si>
  <si>
    <t>Leixlip</t>
  </si>
  <si>
    <t>Bram Revel</t>
  </si>
  <si>
    <t>brevel2v@fastcompany.com</t>
  </si>
  <si>
    <t>+1 (585) 775-6952</t>
  </si>
  <si>
    <t>6168 Westend Plaza</t>
  </si>
  <si>
    <t>Emiline Priddis</t>
  </si>
  <si>
    <t>epriddis2w@nationalgeographic.com</t>
  </si>
  <si>
    <t>+1 (205) 133-0205</t>
  </si>
  <si>
    <t>62 Amoth Terrace</t>
  </si>
  <si>
    <t>Tuscaloosa</t>
  </si>
  <si>
    <t>Queenie Veel</t>
  </si>
  <si>
    <t>qveel2x@jugem.jp</t>
  </si>
  <si>
    <t>+1 (713) 750-9202</t>
  </si>
  <si>
    <t>378 Shopko Center</t>
  </si>
  <si>
    <t>Lind Conyers</t>
  </si>
  <si>
    <t>lconyers2y@twitter.com</t>
  </si>
  <si>
    <t>+1 (915) 476-5712</t>
  </si>
  <si>
    <t>778 Summer Ridge Junction</t>
  </si>
  <si>
    <t>El Paso</t>
  </si>
  <si>
    <t>Pen Wye</t>
  </si>
  <si>
    <t>pwye2z@dagondesign.com</t>
  </si>
  <si>
    <t>+1 (719) 620-1128</t>
  </si>
  <si>
    <t>7 Dorton Terrace</t>
  </si>
  <si>
    <t>Isahella Hagland</t>
  </si>
  <si>
    <t>+1 (260) 613-2279</t>
  </si>
  <si>
    <t>07 Roxbury Street</t>
  </si>
  <si>
    <t>Terry Sheryn</t>
  </si>
  <si>
    <t>tsheryn31@mtv.com</t>
  </si>
  <si>
    <t>+1 (516) 826-3780</t>
  </si>
  <si>
    <t>58147 Eagle Crest Court</t>
  </si>
  <si>
    <t>Port Washington</t>
  </si>
  <si>
    <t>Marie-jeanne Redgrave</t>
  </si>
  <si>
    <t>mredgrave32@cargocollective.com</t>
  </si>
  <si>
    <t>+1 (413) 691-2892</t>
  </si>
  <si>
    <t>61022 Helena Street</t>
  </si>
  <si>
    <t>Betty Fominov</t>
  </si>
  <si>
    <t>bfominov33@yale.edu</t>
  </si>
  <si>
    <t>305 Tennyson Court</t>
  </si>
  <si>
    <t>Shawnee Critchlow</t>
  </si>
  <si>
    <t>scritchlow34@un.org</t>
  </si>
  <si>
    <t>+1 (804) 428-7292</t>
  </si>
  <si>
    <t>6886 Oxford Hill</t>
  </si>
  <si>
    <t>Merrel Steptow</t>
  </si>
  <si>
    <t>msteptow35@earthlink.net</t>
  </si>
  <si>
    <t>+353 (266) 235-5189</t>
  </si>
  <si>
    <t>368 Ridgeview Trail</t>
  </si>
  <si>
    <t>Cherryville</t>
  </si>
  <si>
    <t>P31</t>
  </si>
  <si>
    <t>Carmina Hubbuck</t>
  </si>
  <si>
    <t>+1 (304) 532-7229</t>
  </si>
  <si>
    <t>39749 Bobwhite Plaza</t>
  </si>
  <si>
    <t>Huntington</t>
  </si>
  <si>
    <t>Ingeberg Mulliner</t>
  </si>
  <si>
    <t>imulliner37@pinterest.com</t>
  </si>
  <si>
    <t>+44 (331) 777-9556</t>
  </si>
  <si>
    <t>61 Oak Valley Trail</t>
  </si>
  <si>
    <t>B40</t>
  </si>
  <si>
    <t>Geneva Standley</t>
  </si>
  <si>
    <t>gstandley38@dion.ne.jp</t>
  </si>
  <si>
    <t>+353 (521) 138-4331</t>
  </si>
  <si>
    <t>4 Thompson Drive</t>
  </si>
  <si>
    <t>Killorglin</t>
  </si>
  <si>
    <t>H14</t>
  </si>
  <si>
    <t>Brook Drage</t>
  </si>
  <si>
    <t>bdrage39@youku.com</t>
  </si>
  <si>
    <t>+1 (937) 566-3449</t>
  </si>
  <si>
    <t>3584 7th Parkway</t>
  </si>
  <si>
    <t>Muffin Yallop</t>
  </si>
  <si>
    <t>myallop3a@fema.gov</t>
  </si>
  <si>
    <t>+1 (907) 267-1236</t>
  </si>
  <si>
    <t>1 Beilfuss Junction</t>
  </si>
  <si>
    <t>Anchorage</t>
  </si>
  <si>
    <t>Cordi Switsur</t>
  </si>
  <si>
    <t>cswitsur3b@chronoengine.com</t>
  </si>
  <si>
    <t>+1 (615) 791-3142</t>
  </si>
  <si>
    <t>57942 North Point</t>
  </si>
  <si>
    <t>Nashville</t>
  </si>
  <si>
    <t>38903-46478-ZE</t>
  </si>
  <si>
    <t>Ezri Hows</t>
  </si>
  <si>
    <t>ehows3c@devhub.com</t>
  </si>
  <si>
    <t>+1 (760) 706-9092</t>
  </si>
  <si>
    <t>343 Burning Wood Court</t>
  </si>
  <si>
    <t>76841-77583-BJ</t>
  </si>
  <si>
    <t>Sylas Becaris</t>
  </si>
  <si>
    <t>sbecaris3d@google.ru</t>
  </si>
  <si>
    <t>+1 (704) 594-9047</t>
  </si>
  <si>
    <t>35407 Tomscot Junction</t>
  </si>
  <si>
    <t>Mahala Ludwell</t>
  </si>
  <si>
    <t>mludwell3e@blogger.com</t>
  </si>
  <si>
    <t>+1 (303) 242-3542</t>
  </si>
  <si>
    <t>6 Bay Center</t>
  </si>
  <si>
    <t>Doll Beauchamp</t>
  </si>
  <si>
    <t>dbeauchamp3f@usda.gov</t>
  </si>
  <si>
    <t>+1 (203) 189-4256</t>
  </si>
  <si>
    <t>0967 Clemons Alley</t>
  </si>
  <si>
    <t>Stamford</t>
  </si>
  <si>
    <t>Stanford Rodliff</t>
  </si>
  <si>
    <t>srodliff3g@ted.com</t>
  </si>
  <si>
    <t>+1 (757) 537-3012</t>
  </si>
  <si>
    <t>3 Lerdahl Parkway</t>
  </si>
  <si>
    <t>Newport News</t>
  </si>
  <si>
    <t>Stevana Woodham</t>
  </si>
  <si>
    <t>swoodham3h@businesswire.com</t>
  </si>
  <si>
    <t>+353 (190) 188-4918</t>
  </si>
  <si>
    <t>7 Rowland Plaza</t>
  </si>
  <si>
    <t>Drumcondra</t>
  </si>
  <si>
    <t>D11</t>
  </si>
  <si>
    <t>Hewet Synnot</t>
  </si>
  <si>
    <t>hsynnot3i@about.com</t>
  </si>
  <si>
    <t>+1 (907) 245-0601</t>
  </si>
  <si>
    <t>9667 Lunder Court</t>
  </si>
  <si>
    <t>Raleigh Lepere</t>
  </si>
  <si>
    <t>rlepere3j@shop-pro.jp</t>
  </si>
  <si>
    <t>+353 (792) 857-4513</t>
  </si>
  <si>
    <t>27 Mosinee Court</t>
  </si>
  <si>
    <t>D17</t>
  </si>
  <si>
    <t>Timofei Woofinden</t>
  </si>
  <si>
    <t>twoofinden3k@businesswire.com</t>
  </si>
  <si>
    <t>+1 (701) 503-1067</t>
  </si>
  <si>
    <t>1 Pennsylvania Center</t>
  </si>
  <si>
    <t>Fargo</t>
  </si>
  <si>
    <t>Evelina Dacca</t>
  </si>
  <si>
    <t>edacca3l@google.pl</t>
  </si>
  <si>
    <t>+1 (812) 921-5458</t>
  </si>
  <si>
    <t>83150 Dixon Park</t>
  </si>
  <si>
    <t>Evansville</t>
  </si>
  <si>
    <t>Bidget Tremellier</t>
  </si>
  <si>
    <t>+353 (900) 633-2359</t>
  </si>
  <si>
    <t>5 Sunfield Parkway</t>
  </si>
  <si>
    <t>Bobinette Hindsberg</t>
  </si>
  <si>
    <t>bhindsberg3n@blogs.com</t>
  </si>
  <si>
    <t>+1 (704) 888-5303</t>
  </si>
  <si>
    <t>7 Brickson Park Road</t>
  </si>
  <si>
    <t>Osbert Robins</t>
  </si>
  <si>
    <t>orobins3o@salon.com</t>
  </si>
  <si>
    <t>+1 (256) 196-8054</t>
  </si>
  <si>
    <t>42557 Fallview Plaza</t>
  </si>
  <si>
    <t>Huntsville</t>
  </si>
  <si>
    <t>Othello Syseland</t>
  </si>
  <si>
    <t>osyseland3p@independent.co.uk</t>
  </si>
  <si>
    <t>+1 (714) 895-0210</t>
  </si>
  <si>
    <t>957 Sachtjen Road</t>
  </si>
  <si>
    <t>Santa Ana</t>
  </si>
  <si>
    <t>Ewell Hanby</t>
  </si>
  <si>
    <t>903 Oak Center</t>
  </si>
  <si>
    <t>29732-74147-HX</t>
  </si>
  <si>
    <t>Chalmers Havenhand</t>
  </si>
  <si>
    <t>chavenhand3r@1688.com</t>
  </si>
  <si>
    <t>+353 (850) 901-7902</t>
  </si>
  <si>
    <t>8 Morningstar Plaza</t>
  </si>
  <si>
    <t>Macroom</t>
  </si>
  <si>
    <t>P12</t>
  </si>
  <si>
    <t>Lowell Keenleyside</t>
  </si>
  <si>
    <t>lkeenleyside3s@topsy.com</t>
  </si>
  <si>
    <t>+1 (636) 713-5124</t>
  </si>
  <si>
    <t>6 Hauk Junction</t>
  </si>
  <si>
    <t>Elonore Joliffe</t>
  </si>
  <si>
    <t>+353 (994) 611-5746</t>
  </si>
  <si>
    <t>7077 School Crossing</t>
  </si>
  <si>
    <t>Abraham Coleman</t>
  </si>
  <si>
    <t>+1 (808) 815-5051</t>
  </si>
  <si>
    <t>40 Packers Alley</t>
  </si>
  <si>
    <t>Honolulu</t>
  </si>
  <si>
    <t>Rivy Farington</t>
  </si>
  <si>
    <t>+1 (951) 638-0879</t>
  </si>
  <si>
    <t>54400 Brickson Park Center</t>
  </si>
  <si>
    <t>Vallie Kundt</t>
  </si>
  <si>
    <t>vkundt3w@bigcartel.com</t>
  </si>
  <si>
    <t>+353 (472) 791-2507</t>
  </si>
  <si>
    <t>3 Porter Hill</t>
  </si>
  <si>
    <t>Ballivor</t>
  </si>
  <si>
    <t>Boyd Bett</t>
  </si>
  <si>
    <t>bbett3x@google.de</t>
  </si>
  <si>
    <t>+1 (202) 632-9905</t>
  </si>
  <si>
    <t>353 Maple Wood Avenue</t>
  </si>
  <si>
    <t>Julio Armytage</t>
  </si>
  <si>
    <t>782 Spaight Center</t>
  </si>
  <si>
    <t>Portumna</t>
  </si>
  <si>
    <t>Deana Staite</t>
  </si>
  <si>
    <t>dstaite3z@scientificamerican.com</t>
  </si>
  <si>
    <t>+1 (713) 478-3937</t>
  </si>
  <si>
    <t>39 Dunning Hill</t>
  </si>
  <si>
    <t>Winn Keyse</t>
  </si>
  <si>
    <t>wkeyse40@apple.com</t>
  </si>
  <si>
    <t>+1 (650) 947-8867</t>
  </si>
  <si>
    <t>02688 Duke Park</t>
  </si>
  <si>
    <t>Orange</t>
  </si>
  <si>
    <t>Osmund Clausen-Thue</t>
  </si>
  <si>
    <t>oclausenthue41@marriott.com</t>
  </si>
  <si>
    <t>+1 (915) 558-6109</t>
  </si>
  <si>
    <t>2163 Dexter Hill</t>
  </si>
  <si>
    <t>Leonore Francisco</t>
  </si>
  <si>
    <t>lfrancisco42@fema.gov</t>
  </si>
  <si>
    <t>+1 (775) 346-9758</t>
  </si>
  <si>
    <t>48757 Bay Parkway</t>
  </si>
  <si>
    <t>Carson City</t>
  </si>
  <si>
    <t>42394-07234-AM</t>
  </si>
  <si>
    <t>Adey Lowseley</t>
  </si>
  <si>
    <t>alowseley43@timesonline.co.uk</t>
  </si>
  <si>
    <t>+1 (682) 536-4473</t>
  </si>
  <si>
    <t>01 Alpine Center</t>
  </si>
  <si>
    <t>Giacobo Skingle</t>
  </si>
  <si>
    <t>gskingle44@clickbank.net</t>
  </si>
  <si>
    <t>+1 (801) 886-5886</t>
  </si>
  <si>
    <t>61617 Roth Street</t>
  </si>
  <si>
    <t>Gerard Pirdy</t>
  </si>
  <si>
    <t>+1 (305) 345-2788</t>
  </si>
  <si>
    <t>74 Becker Lane</t>
  </si>
  <si>
    <t>Boca Raton</t>
  </si>
  <si>
    <t>Jacinthe Balsillie</t>
  </si>
  <si>
    <t>jbalsillie46@princeton.edu</t>
  </si>
  <si>
    <t>+1 (540) 905-2213</t>
  </si>
  <si>
    <t>2 Heffernan Center</t>
  </si>
  <si>
    <t>Roanoke</t>
  </si>
  <si>
    <t>Quinton Fouracres</t>
  </si>
  <si>
    <t>+1 (515) 508-1573</t>
  </si>
  <si>
    <t>53 New Castle Point</t>
  </si>
  <si>
    <t>Des Moines</t>
  </si>
  <si>
    <t>Bettina Leffek</t>
  </si>
  <si>
    <t>bleffek48@ning.com</t>
  </si>
  <si>
    <t>+1 (808) 815-3474</t>
  </si>
  <si>
    <t>0688 Burning Wood Point</t>
  </si>
  <si>
    <t>Hetti Penson</t>
  </si>
  <si>
    <t>+1 (754) 664-6126</t>
  </si>
  <si>
    <t>16 Dottie Point</t>
  </si>
  <si>
    <t>Jocko Pray</t>
  </si>
  <si>
    <t>jpray4a@youtube.com</t>
  </si>
  <si>
    <t>+1 (215) 771-6504</t>
  </si>
  <si>
    <t>7764 Thackeray Hill</t>
  </si>
  <si>
    <t>Grete Holborn</t>
  </si>
  <si>
    <t>gholborn4b@ow.ly</t>
  </si>
  <si>
    <t>+1 (203) 577-5788</t>
  </si>
  <si>
    <t>124 Sycamore Point</t>
  </si>
  <si>
    <t>Norwalk</t>
  </si>
  <si>
    <t>Fielding Keinrat</t>
  </si>
  <si>
    <t>fkeinrat4c@dailymail.co.uk</t>
  </si>
  <si>
    <t>+1 (817) 785-7050</t>
  </si>
  <si>
    <t>99382 Hagan Hill</t>
  </si>
  <si>
    <t>Arlington</t>
  </si>
  <si>
    <t>Paulo Yea</t>
  </si>
  <si>
    <t>pyea4d@aol.com</t>
  </si>
  <si>
    <t>+353 (885) 555-9183</t>
  </si>
  <si>
    <t>9760 Nelson Lane</t>
  </si>
  <si>
    <t>Ashford</t>
  </si>
  <si>
    <t>H12</t>
  </si>
  <si>
    <t>Say Risborough</t>
  </si>
  <si>
    <t>+1 (423) 485-6650</t>
  </si>
  <si>
    <t>57914 Brentwood Junction</t>
  </si>
  <si>
    <t>Chattanooga</t>
  </si>
  <si>
    <t>Alexa Sizey</t>
  </si>
  <si>
    <t>+1 (503) 774-7836</t>
  </si>
  <si>
    <t>198 Lighthouse Bay Avenue</t>
  </si>
  <si>
    <t>Kari Swede</t>
  </si>
  <si>
    <t>kswede4g@addthis.com</t>
  </si>
  <si>
    <t>+1 (405) 535-0273</t>
  </si>
  <si>
    <t>94 Pleasure Circle</t>
  </si>
  <si>
    <t>Leontine Rubrow</t>
  </si>
  <si>
    <t>lrubrow4h@microsoft.com</t>
  </si>
  <si>
    <t>+1 (202) 503-9022</t>
  </si>
  <si>
    <t>352 Jana Center</t>
  </si>
  <si>
    <t>Dottie Tift</t>
  </si>
  <si>
    <t>dtift4i@netvibes.com</t>
  </si>
  <si>
    <t>+1 (336) 766-8518</t>
  </si>
  <si>
    <t>581 Forest Run Avenue</t>
  </si>
  <si>
    <t>Greensboro</t>
  </si>
  <si>
    <t>Gerardo Schonfeld</t>
  </si>
  <si>
    <t>gschonfeld4j@oracle.com</t>
  </si>
  <si>
    <t>+1 (571) 238-0580</t>
  </si>
  <si>
    <t>60 Spohn Plaza</t>
  </si>
  <si>
    <t>Alexandria</t>
  </si>
  <si>
    <t>Claiborne Feye</t>
  </si>
  <si>
    <t>cfeye4k@google.co.jp</t>
  </si>
  <si>
    <t>+353 (471) 184-7815</t>
  </si>
  <si>
    <t>601 Northridge Circle</t>
  </si>
  <si>
    <t>Castlebridge</t>
  </si>
  <si>
    <t>R14</t>
  </si>
  <si>
    <t>Mina Elstone</t>
  </si>
  <si>
    <t>+1 (262) 320-1474</t>
  </si>
  <si>
    <t>6 Manley Plaza</t>
  </si>
  <si>
    <t>Racine</t>
  </si>
  <si>
    <t>Sherman Mewrcik</t>
  </si>
  <si>
    <t>+1 (305) 419-8626</t>
  </si>
  <si>
    <t>44305 Scofield Park</t>
  </si>
  <si>
    <t>Clearwater</t>
  </si>
  <si>
    <t>Tamarah Fero</t>
  </si>
  <si>
    <t>tfero4n@comsenz.com</t>
  </si>
  <si>
    <t>+1 (262) 954-6859</t>
  </si>
  <si>
    <t>6 Fisk Street</t>
  </si>
  <si>
    <t>Stanislaus Valsler</t>
  </si>
  <si>
    <t>+353 (479) 865-9222</t>
  </si>
  <si>
    <t>95 Southridge Alley</t>
  </si>
  <si>
    <t>Felita Dauney</t>
  </si>
  <si>
    <t>fdauney4p@sphinn.com</t>
  </si>
  <si>
    <t>+353 (669) 355-6726</t>
  </si>
  <si>
    <t>22484 Tomscot Lane</t>
  </si>
  <si>
    <t>Castlebellingham</t>
  </si>
  <si>
    <t>Y34</t>
  </si>
  <si>
    <t>Serena Earley</t>
  </si>
  <si>
    <t>searley4q@youku.com</t>
  </si>
  <si>
    <t>66197 Onsgard Place</t>
  </si>
  <si>
    <t>Craigavon</t>
  </si>
  <si>
    <t>BT66</t>
  </si>
  <si>
    <t>Minny Chamberlayne</t>
  </si>
  <si>
    <t>mchamberlayne4r@bigcartel.com</t>
  </si>
  <si>
    <t>+1 (813) 801-0026</t>
  </si>
  <si>
    <t>1 Ridgeview Place</t>
  </si>
  <si>
    <t>Bartholemy Flaherty</t>
  </si>
  <si>
    <t>bflaherty4s@moonfruit.com</t>
  </si>
  <si>
    <t>045 Jana Place</t>
  </si>
  <si>
    <t>Eadestown</t>
  </si>
  <si>
    <t>Oran Colbeck</t>
  </si>
  <si>
    <t>ocolbeck4t@sina.com.cn</t>
  </si>
  <si>
    <t>+1 (334) 441-4420</t>
  </si>
  <si>
    <t>8984 Moulton Hill</t>
  </si>
  <si>
    <t>Montgomery</t>
  </si>
  <si>
    <t>Elysee Sketch</t>
  </si>
  <si>
    <t>+1 (775) 947-1470</t>
  </si>
  <si>
    <t>2 Gina Drive</t>
  </si>
  <si>
    <t>Sparks</t>
  </si>
  <si>
    <t>Ethelda Hobbing</t>
  </si>
  <si>
    <t>ehobbing4v@nsw.gov.au</t>
  </si>
  <si>
    <t>+1 (478) 206-7670</t>
  </si>
  <si>
    <t>1 Debs Place</t>
  </si>
  <si>
    <t>Macon</t>
  </si>
  <si>
    <t>Odille Thynne</t>
  </si>
  <si>
    <t>othynne4w@auda.org.au</t>
  </si>
  <si>
    <t>+1 (562) 132-7323</t>
  </si>
  <si>
    <t>26 Oakridge Way</t>
  </si>
  <si>
    <t>Whittier</t>
  </si>
  <si>
    <t>Emlynne Heining</t>
  </si>
  <si>
    <t>eheining4x@flickr.com</t>
  </si>
  <si>
    <t>439 West Point</t>
  </si>
  <si>
    <t>Johnson City</t>
  </si>
  <si>
    <t>Katerina Melloi</t>
  </si>
  <si>
    <t>kmelloi4y@imdb.com</t>
  </si>
  <si>
    <t>+1 (315) 525-0805</t>
  </si>
  <si>
    <t>1930 Haas Way</t>
  </si>
  <si>
    <t>Tiffany Scardafield</t>
  </si>
  <si>
    <t>+353 (232) 652-5145</t>
  </si>
  <si>
    <t>69737 Hanover Center</t>
  </si>
  <si>
    <t>Portarlington</t>
  </si>
  <si>
    <t>R21</t>
  </si>
  <si>
    <t>Abrahan Mussen</t>
  </si>
  <si>
    <t>amussen50@51.la</t>
  </si>
  <si>
    <t>+1 (212) 630-8669</t>
  </si>
  <si>
    <t>22974 Beilfuss Plaza</t>
  </si>
  <si>
    <t>Brooklyn</t>
  </si>
  <si>
    <t>33284-98063-SE</t>
  </si>
  <si>
    <t>Essie Nellies</t>
  </si>
  <si>
    <t>enellies51@goodreads.com</t>
  </si>
  <si>
    <t>+1 (617) 519-0419</t>
  </si>
  <si>
    <t>9 Hallows Trail</t>
  </si>
  <si>
    <t>Anny Mundford</t>
  </si>
  <si>
    <t>amundford52@nbcnews.com</t>
  </si>
  <si>
    <t>+1 (434) 738-7279</t>
  </si>
  <si>
    <t>5097 Mitchell Plaza</t>
  </si>
  <si>
    <t>Charlottesville</t>
  </si>
  <si>
    <t>Tory Walas</t>
  </si>
  <si>
    <t>twalas53@google.ca</t>
  </si>
  <si>
    <t>+1 (214) 205-7809</t>
  </si>
  <si>
    <t>2673 Everett Place</t>
  </si>
  <si>
    <t>Garland</t>
  </si>
  <si>
    <t>Isa Blazewicz</t>
  </si>
  <si>
    <t>iblazewicz54@thetimes.co.uk</t>
  </si>
  <si>
    <t>+1 (612) 683-3450</t>
  </si>
  <si>
    <t>4646 Graceland Circle</t>
  </si>
  <si>
    <t>Angie Rizzetti</t>
  </si>
  <si>
    <t>arizzetti55@naver.com</t>
  </si>
  <si>
    <t>+1 (517) 237-7606</t>
  </si>
  <si>
    <t>24 Mendota Junction</t>
  </si>
  <si>
    <t>Lansing</t>
  </si>
  <si>
    <t>Mord Meriet</t>
  </si>
  <si>
    <t>mmeriet56@noaa.gov</t>
  </si>
  <si>
    <t>+1 (701) 560-2604</t>
  </si>
  <si>
    <t>56000 Kedzie Alley</t>
  </si>
  <si>
    <t>Lawrence Pratt</t>
  </si>
  <si>
    <t>lpratt57@netvibes.com</t>
  </si>
  <si>
    <t>57 Monterey Avenue</t>
  </si>
  <si>
    <t>Astrix Kitchingham</t>
  </si>
  <si>
    <t>akitchingham58@com.com</t>
  </si>
  <si>
    <t>+1 (405) 645-2204</t>
  </si>
  <si>
    <t>716 Shoshone Point</t>
  </si>
  <si>
    <t>Burnard Bartholin</t>
  </si>
  <si>
    <t>bbartholin59@xinhuanet.com</t>
  </si>
  <si>
    <t>+1 (918) 720-2715</t>
  </si>
  <si>
    <t>19600 Scofield Trail</t>
  </si>
  <si>
    <t>Tulsa</t>
  </si>
  <si>
    <t>Madelene Prinn</t>
  </si>
  <si>
    <t>mprinn5a@usa.gov</t>
  </si>
  <si>
    <t>+1 (734) 909-6836</t>
  </si>
  <si>
    <t>39 Dahle Road</t>
  </si>
  <si>
    <t>Detroit</t>
  </si>
  <si>
    <t>Alisun Baudino</t>
  </si>
  <si>
    <t>abaudino5b@netvibes.com</t>
  </si>
  <si>
    <t>+1 (202) 328-7869</t>
  </si>
  <si>
    <t>07 Charing Cross Circle</t>
  </si>
  <si>
    <t>Philipa Petrushanko</t>
  </si>
  <si>
    <t>ppetrushanko5c@blinklist.com</t>
  </si>
  <si>
    <t>+353 (540) 480-2145</t>
  </si>
  <si>
    <t>08 Laurel Trail</t>
  </si>
  <si>
    <t>Nenagh</t>
  </si>
  <si>
    <t>E45</t>
  </si>
  <si>
    <t>Kimberli Mustchin</t>
  </si>
  <si>
    <t>+1 (602) 411-5038</t>
  </si>
  <si>
    <t>0043 Arkansas Court</t>
  </si>
  <si>
    <t>Mesa</t>
  </si>
  <si>
    <t>Emlynne Laird</t>
  </si>
  <si>
    <t>elaird5e@bing.com</t>
  </si>
  <si>
    <t>+1 (330) 112-0053</t>
  </si>
  <si>
    <t>43451 Doe Crossing Trail</t>
  </si>
  <si>
    <t>Warren</t>
  </si>
  <si>
    <t>Marlena Howsden</t>
  </si>
  <si>
    <t>mhowsden5f@infoseek.co.jp</t>
  </si>
  <si>
    <t>+1 (901) 806-9640</t>
  </si>
  <si>
    <t>0410 Autumn Leaf Drive</t>
  </si>
  <si>
    <t>Memphis</t>
  </si>
  <si>
    <t>Nealson Cuttler</t>
  </si>
  <si>
    <t>ncuttler5g@parallels.com</t>
  </si>
  <si>
    <t>1 Melvin Circle</t>
  </si>
  <si>
    <t>62425-26461-RK</t>
  </si>
  <si>
    <t>Crin Vernham</t>
  </si>
  <si>
    <t>cvernham5h@e-recht24.de</t>
  </si>
  <si>
    <t>+353 (807) 911-7640</t>
  </si>
  <si>
    <t>96312 Michigan Parkway</t>
  </si>
  <si>
    <t>Muff</t>
  </si>
  <si>
    <t>R32</t>
  </si>
  <si>
    <t>71468-76923-BU</t>
  </si>
  <si>
    <t>Jenn Munnings</t>
  </si>
  <si>
    <t>jmunnings5i@springer.com</t>
  </si>
  <si>
    <t>+1 (305) 802-3100</t>
  </si>
  <si>
    <t>7 Merchant Point</t>
  </si>
  <si>
    <t>Pompano Beach</t>
  </si>
  <si>
    <t>23014-48364-QB</t>
  </si>
  <si>
    <t>Olympie Dautry</t>
  </si>
  <si>
    <t>odautry5j@etsy.com</t>
  </si>
  <si>
    <t>+1 (773) 841-1261</t>
  </si>
  <si>
    <t>9015 Anzinger Point</t>
  </si>
  <si>
    <t>92588-14671-JM</t>
  </si>
  <si>
    <t>Ingaborg Dunwoody</t>
  </si>
  <si>
    <t>idunwoody5k@sourceforge.net</t>
  </si>
  <si>
    <t>+44 (389) 895-0886</t>
  </si>
  <si>
    <t>687 Ruskin Center</t>
  </si>
  <si>
    <t>East End</t>
  </si>
  <si>
    <t>BH21</t>
  </si>
  <si>
    <t>Adriana Lazarus</t>
  </si>
  <si>
    <t>+1 (801) 581-0444</t>
  </si>
  <si>
    <t>9429 Porter Circle</t>
  </si>
  <si>
    <t>Tallie felip</t>
  </si>
  <si>
    <t>tfelip5m@typepad.com</t>
  </si>
  <si>
    <t>+1 (518) 651-0940</t>
  </si>
  <si>
    <t>9 Roth Point</t>
  </si>
  <si>
    <t>Albany</t>
  </si>
  <si>
    <t>Vanna Le - Count</t>
  </si>
  <si>
    <t>vle5n@disqus.com</t>
  </si>
  <si>
    <t>+1 (864) 694-6658</t>
  </si>
  <si>
    <t>69128 Ronald Regan Road</t>
  </si>
  <si>
    <t>Spartanburg</t>
  </si>
  <si>
    <t>Sarette Ducarel</t>
  </si>
  <si>
    <t>+1 (914) 915-4328</t>
  </si>
  <si>
    <t>04922 Colorado Street</t>
  </si>
  <si>
    <t>Staten Island</t>
  </si>
  <si>
    <t>Kendra Glison</t>
  </si>
  <si>
    <t>+1 (202) 137-6867</t>
  </si>
  <si>
    <t>1 Kipling Lane</t>
  </si>
  <si>
    <t>Nertie Poolman</t>
  </si>
  <si>
    <t>npoolman5q@howstuffworks.com</t>
  </si>
  <si>
    <t>356 Service Way</t>
  </si>
  <si>
    <t>Orbadiah Duny</t>
  </si>
  <si>
    <t>oduny5r@constantcontact.com</t>
  </si>
  <si>
    <t>+1 (806) 181-9003</t>
  </si>
  <si>
    <t>62772 Arkansas Pass</t>
  </si>
  <si>
    <t>Lubbock</t>
  </si>
  <si>
    <t>Constance Halfhide</t>
  </si>
  <si>
    <t>chalfhide5s@google.ru</t>
  </si>
  <si>
    <t>+353 (885) 827-8865</t>
  </si>
  <si>
    <t>75275 Sunnyside Center</t>
  </si>
  <si>
    <t>Fermoy</t>
  </si>
  <si>
    <t>P61</t>
  </si>
  <si>
    <t>Fransisco Malecky</t>
  </si>
  <si>
    <t>fmalecky5t@list-manage.com</t>
  </si>
  <si>
    <t>+44 (738) 660-4264</t>
  </si>
  <si>
    <t>11 Dakota Lane</t>
  </si>
  <si>
    <t>Whitwell</t>
  </si>
  <si>
    <t>DL10</t>
  </si>
  <si>
    <t>Anselma Attwater</t>
  </si>
  <si>
    <t>aattwater5u@wikia.com</t>
  </si>
  <si>
    <t>+1 (434) 821-8618</t>
  </si>
  <si>
    <t>72 Maryland Terrace</t>
  </si>
  <si>
    <t>Minette Whellans</t>
  </si>
  <si>
    <t>mwhellans5v@mapquest.com</t>
  </si>
  <si>
    <t>3 High Crossing Way</t>
  </si>
  <si>
    <t>Dael Camilletti</t>
  </si>
  <si>
    <t>dcamilletti5w@businesswire.com</t>
  </si>
  <si>
    <t>+1 (540) 722-6065</t>
  </si>
  <si>
    <t>782 American Terrace</t>
  </si>
  <si>
    <t>Emiline Galgey</t>
  </si>
  <si>
    <t>egalgey5x@wufoo.com</t>
  </si>
  <si>
    <t>+1 (718) 311-6732</t>
  </si>
  <si>
    <t>6 Park Meadow Plaza</t>
  </si>
  <si>
    <t>Murdock Hame</t>
  </si>
  <si>
    <t>mhame5y@newsvine.com</t>
  </si>
  <si>
    <t>+353 (649) 297-0884</t>
  </si>
  <si>
    <t>0 Burning Wood Drive</t>
  </si>
  <si>
    <t>Balally</t>
  </si>
  <si>
    <t>Ilka Gurnee</t>
  </si>
  <si>
    <t>igurnee5z@usnews.com</t>
  </si>
  <si>
    <t>+1 (801) 642-0352</t>
  </si>
  <si>
    <t>1 Troy Circle</t>
  </si>
  <si>
    <t>Salt Lake City</t>
  </si>
  <si>
    <t>Alfy Snowding</t>
  </si>
  <si>
    <t>asnowding60@comsenz.com</t>
  </si>
  <si>
    <t>+1 (419) 996-2492</t>
  </si>
  <si>
    <t>1691 Comanche Lane</t>
  </si>
  <si>
    <t>Godfry Poinsett</t>
  </si>
  <si>
    <t>gpoinsett61@berkeley.edu</t>
  </si>
  <si>
    <t>+1 (626) 451-7397</t>
  </si>
  <si>
    <t>75026 Monica Parkway</t>
  </si>
  <si>
    <t>Pasadena</t>
  </si>
  <si>
    <t>Rem Furman</t>
  </si>
  <si>
    <t>rfurman62@t.co</t>
  </si>
  <si>
    <t>+353 (829) 808-4788</t>
  </si>
  <si>
    <t>91239 Ilene Hill</t>
  </si>
  <si>
    <t>Kinsale</t>
  </si>
  <si>
    <t>Charis Crosier</t>
  </si>
  <si>
    <t>ccrosier63@xrea.com</t>
  </si>
  <si>
    <t>+1 (816) 578-2743</t>
  </si>
  <si>
    <t>54506 Arapahoe Center</t>
  </si>
  <si>
    <t>Lees Summit</t>
  </si>
  <si>
    <t>14797-35530-HY</t>
  </si>
  <si>
    <t>Monte Percifull</t>
  </si>
  <si>
    <t>mpercifull64@netlog.com</t>
  </si>
  <si>
    <t>+1 (817) 441-3285</t>
  </si>
  <si>
    <t>7 Stoughton Hill</t>
  </si>
  <si>
    <t>Lenka Rushmer</t>
  </si>
  <si>
    <t>lrushmer65@europa.eu</t>
  </si>
  <si>
    <t>+1 (949) 869-7598</t>
  </si>
  <si>
    <t>70379 Canary Plaza</t>
  </si>
  <si>
    <t>Irvine</t>
  </si>
  <si>
    <t>Waneta Edinborough</t>
  </si>
  <si>
    <t>wedinborough66@github.io</t>
  </si>
  <si>
    <t>+1 (516) 445-4950</t>
  </si>
  <si>
    <t>1 Golden Leaf Hill</t>
  </si>
  <si>
    <t>Hicksville</t>
  </si>
  <si>
    <t>Bobbe Piggott</t>
  </si>
  <si>
    <t>+1 (202) 650-1803</t>
  </si>
  <si>
    <t>812 Erie Court</t>
  </si>
  <si>
    <t>Ketty Bromehead</t>
  </si>
  <si>
    <t>kbromehead68@un.org</t>
  </si>
  <si>
    <t>+1 (646) 586-9964</t>
  </si>
  <si>
    <t>69 Birchwood Place</t>
  </si>
  <si>
    <t>Elsbeth Westerman</t>
  </si>
  <si>
    <t>ewesterman69@si.edu</t>
  </si>
  <si>
    <t>+353 (343) 455-4020</t>
  </si>
  <si>
    <t>7 Packers Court</t>
  </si>
  <si>
    <t>Anabelle Hutchens</t>
  </si>
  <si>
    <t>ahutchens6a@amazonaws.com</t>
  </si>
  <si>
    <t>+1 (913) 108-5997</t>
  </si>
  <si>
    <t>8 Russell Plaza</t>
  </si>
  <si>
    <t>Shawnee Mission</t>
  </si>
  <si>
    <t>Noak Wyvill</t>
  </si>
  <si>
    <t>nwyvill6b@naver.com</t>
  </si>
  <si>
    <t>+44 (872) 383-2829</t>
  </si>
  <si>
    <t>47 Declaration Alley</t>
  </si>
  <si>
    <t>Edinburgh</t>
  </si>
  <si>
    <t>EH9</t>
  </si>
  <si>
    <t>Beltran Mathon</t>
  </si>
  <si>
    <t>bmathon6c@barnesandnoble.com</t>
  </si>
  <si>
    <t>+1 (916) 915-5069</t>
  </si>
  <si>
    <t>6131 Huxley Pass</t>
  </si>
  <si>
    <t>Sacramento</t>
  </si>
  <si>
    <t>Kristos Streight</t>
  </si>
  <si>
    <t>kstreight6d@about.com</t>
  </si>
  <si>
    <t>+1 (570) 873-3891</t>
  </si>
  <si>
    <t>5 Anderson Court</t>
  </si>
  <si>
    <t>Wilkes Barre</t>
  </si>
  <si>
    <t>Portie Cutchie</t>
  </si>
  <si>
    <t>pcutchie6e@globo.com</t>
  </si>
  <si>
    <t>+1 (336) 679-7755</t>
  </si>
  <si>
    <t>5 Esch Parkway</t>
  </si>
  <si>
    <t>Sinclare Edsell</t>
  </si>
  <si>
    <t>+1 (302) 746-8950</t>
  </si>
  <si>
    <t>226 Harper Place</t>
  </si>
  <si>
    <t>Conny Gheraldi</t>
  </si>
  <si>
    <t>cgheraldi6g@opera.com</t>
  </si>
  <si>
    <t>+44 (494) 875-2364</t>
  </si>
  <si>
    <t>28998 Cottonwood Point</t>
  </si>
  <si>
    <t>Beryle Kenwell</t>
  </si>
  <si>
    <t>bkenwell6h@over-blog.com</t>
  </si>
  <si>
    <t>+1 (808) 836-6023</t>
  </si>
  <si>
    <t>62 Dayton Drive</t>
  </si>
  <si>
    <t>Tomas Sutty</t>
  </si>
  <si>
    <t>tsutty6i@google.es</t>
  </si>
  <si>
    <t>+1 (212) 586-1957</t>
  </si>
  <si>
    <t>736 Mosinee Court</t>
  </si>
  <si>
    <t>Samuele Ales0</t>
  </si>
  <si>
    <t>0023 Westport Terrace</t>
  </si>
  <si>
    <t>Ballinroad</t>
  </si>
  <si>
    <t>D07</t>
  </si>
  <si>
    <t>Carlie Harce</t>
  </si>
  <si>
    <t>charce6k@cafepress.com</t>
  </si>
  <si>
    <t>+353 (444) 423-0673</t>
  </si>
  <si>
    <t>8 Melrose Center</t>
  </si>
  <si>
    <t>D煤n Laoghaire</t>
  </si>
  <si>
    <t>A96</t>
  </si>
  <si>
    <t>Craggy Bril</t>
  </si>
  <si>
    <t>+1 (513) 461-0440</t>
  </si>
  <si>
    <t>955 Ridge Oak Street</t>
  </si>
  <si>
    <t>Cincinnati</t>
  </si>
  <si>
    <t>Friederike Drysdale</t>
  </si>
  <si>
    <t>fdrysdale6m@symantec.com</t>
  </si>
  <si>
    <t>+1 (989) 215-5282</t>
  </si>
  <si>
    <t>0229 Hovde Hill</t>
  </si>
  <si>
    <t>Devon Magowan</t>
  </si>
  <si>
    <t>dmagowan6n@fc2.com</t>
  </si>
  <si>
    <t>+1 (307) 159-5237</t>
  </si>
  <si>
    <t>42 Sloan Way</t>
  </si>
  <si>
    <t>Cheyenne</t>
  </si>
  <si>
    <t>Codi Littrell</t>
  </si>
  <si>
    <t>3 Colorado Lane</t>
  </si>
  <si>
    <t>Atlanta</t>
  </si>
  <si>
    <t>Christel Speak</t>
  </si>
  <si>
    <t>+1 (678) 222-0967</t>
  </si>
  <si>
    <t>8 Crowley Place</t>
  </si>
  <si>
    <t>Duluth</t>
  </si>
  <si>
    <t>Sibella Rushbrooke</t>
  </si>
  <si>
    <t>srushbrooke6q@youku.com</t>
  </si>
  <si>
    <t>+1 (916) 214-5665</t>
  </si>
  <si>
    <t>00901 Marquette Plaza</t>
  </si>
  <si>
    <t>Tammie Drynan</t>
  </si>
  <si>
    <t>tdrynan6r@deviantart.com</t>
  </si>
  <si>
    <t>+1 (813) 619-0579</t>
  </si>
  <si>
    <t>5776 Coleman Circle</t>
  </si>
  <si>
    <t>Effie Yurkov</t>
  </si>
  <si>
    <t>eyurkov6s@hud.gov</t>
  </si>
  <si>
    <t>+1 (808) 320-5976</t>
  </si>
  <si>
    <t>970 Northport Pass</t>
  </si>
  <si>
    <t>Lexie Mallan</t>
  </si>
  <si>
    <t>lmallan6t@state.gov</t>
  </si>
  <si>
    <t>+1 (225) 484-4771</t>
  </si>
  <si>
    <t>43 Longview Center</t>
  </si>
  <si>
    <t>Baton Rouge</t>
  </si>
  <si>
    <t>Georgena Bentjens</t>
  </si>
  <si>
    <t>gbentjens6u@netlog.com</t>
  </si>
  <si>
    <t>+44 (610) 153-1208</t>
  </si>
  <si>
    <t>4738 Bashford Crossing</t>
  </si>
  <si>
    <t>Newbiggin</t>
  </si>
  <si>
    <t>NE46</t>
  </si>
  <si>
    <t>Delmar Beasant</t>
  </si>
  <si>
    <t>+353 (382) 208-0531</t>
  </si>
  <si>
    <t>856 Colorado Way</t>
  </si>
  <si>
    <t>Kilkenny</t>
  </si>
  <si>
    <t>R95</t>
  </si>
  <si>
    <t>Lyn Entwistle</t>
  </si>
  <si>
    <t>lentwistle6w@omniture.com</t>
  </si>
  <si>
    <t>+1 (612) 972-1256</t>
  </si>
  <si>
    <t>54 Canary Terrace</t>
  </si>
  <si>
    <t>04947-41413-JP</t>
  </si>
  <si>
    <t>Stuart Lafee</t>
  </si>
  <si>
    <t>+1 (415) 923-7750</t>
  </si>
  <si>
    <t>259 Lake View Parkway</t>
  </si>
  <si>
    <t>San Francisco</t>
  </si>
  <si>
    <t>Mercedes Acott</t>
  </si>
  <si>
    <t>macott6y@pagesperso-orange.fr</t>
  </si>
  <si>
    <t>+1 (704) 892-0605</t>
  </si>
  <si>
    <t>37340 Lerdahl Avenue</t>
  </si>
  <si>
    <t>Connor Heaviside</t>
  </si>
  <si>
    <t>cheaviside6z@rediff.com</t>
  </si>
  <si>
    <t>+1 (602) 260-2399</t>
  </si>
  <si>
    <t>941 Graceland Terrace</t>
  </si>
  <si>
    <t>Phoenix</t>
  </si>
  <si>
    <t>Devy Bulbrook</t>
  </si>
  <si>
    <t>+1 (212) 360-7479</t>
  </si>
  <si>
    <t>567 Farmco Hill</t>
  </si>
  <si>
    <t>Leia Kernan</t>
  </si>
  <si>
    <t>lkernan71@wsj.com</t>
  </si>
  <si>
    <t>+1 (217) 146-0949</t>
  </si>
  <si>
    <t>76 Briar Crest Avenue</t>
  </si>
  <si>
    <t>Champaign</t>
  </si>
  <si>
    <t>Rosaline McLae</t>
  </si>
  <si>
    <t>rmclae72@dailymotion.com</t>
  </si>
  <si>
    <t>1065 Myrtle Center</t>
  </si>
  <si>
    <t>Swindon</t>
  </si>
  <si>
    <t>SN1</t>
  </si>
  <si>
    <t>Cleve Blowfelde</t>
  </si>
  <si>
    <t>cblowfelde73@ustream.tv</t>
  </si>
  <si>
    <t>+1 (520) 951-0585</t>
  </si>
  <si>
    <t>72657 Shelley Alley</t>
  </si>
  <si>
    <t>Zacharias Kiffe</t>
  </si>
  <si>
    <t>zkiffe74@cyberchimps.com</t>
  </si>
  <si>
    <t>+1 (414) 703-7269</t>
  </si>
  <si>
    <t>32764 Buell Pass</t>
  </si>
  <si>
    <t>Milwaukee</t>
  </si>
  <si>
    <t>Denyse O'Calleran</t>
  </si>
  <si>
    <t>docalleran75@ucla.edu</t>
  </si>
  <si>
    <t>+1 (954) 368-3867</t>
  </si>
  <si>
    <t>6384 Darwin Avenue</t>
  </si>
  <si>
    <t>Cobby Cromwell</t>
  </si>
  <si>
    <t>ccromwell76@desdev.cn</t>
  </si>
  <si>
    <t>+1 (562) 516-6052</t>
  </si>
  <si>
    <t>45604 Bunker Hill Court</t>
  </si>
  <si>
    <t>Irv Hay</t>
  </si>
  <si>
    <t>ihay77@lulu.com</t>
  </si>
  <si>
    <t>+44 (878) 199-6257</t>
  </si>
  <si>
    <t>667 Florence Drive</t>
  </si>
  <si>
    <t>Sheffield</t>
  </si>
  <si>
    <t>S33</t>
  </si>
  <si>
    <t>Tani Taffarello</t>
  </si>
  <si>
    <t>ttaffarello78@sciencedaily.com</t>
  </si>
  <si>
    <t>26 Linden Center</t>
  </si>
  <si>
    <t>Monique Canty</t>
  </si>
  <si>
    <t>mcanty79@jigsy.com</t>
  </si>
  <si>
    <t>+1 (814) 215-3753</t>
  </si>
  <si>
    <t>21342 Schiller Parkway</t>
  </si>
  <si>
    <t>Erie</t>
  </si>
  <si>
    <t>Javier Kopke</t>
  </si>
  <si>
    <t>jkopke7a@auda.org.au</t>
  </si>
  <si>
    <t>+1 (253) 638-4435</t>
  </si>
  <si>
    <t>04 Hanson Junction</t>
  </si>
  <si>
    <t>Tacoma</t>
  </si>
  <si>
    <t>Mar McIver</t>
  </si>
  <si>
    <t>+1 (571) 479-3812</t>
  </si>
  <si>
    <t>6 Carberry Pass</t>
  </si>
  <si>
    <t>Arabella Fransewich</t>
  </si>
  <si>
    <t>+353 (336) 656-6944</t>
  </si>
  <si>
    <t>675 Ruskin Road</t>
  </si>
  <si>
    <t>Kinsealy-Drinan</t>
  </si>
  <si>
    <t>Violette Hellmore</t>
  </si>
  <si>
    <t>vhellmore7d@bbc.co.uk</t>
  </si>
  <si>
    <t>+1 (501) 899-4038</t>
  </si>
  <si>
    <t>87597 Butternut Alley</t>
  </si>
  <si>
    <t>Myles Seawright</t>
  </si>
  <si>
    <t>mseawright7e@nbcnews.com</t>
  </si>
  <si>
    <t>+44 (638) 528-2467</t>
  </si>
  <si>
    <t>5021 Summit Drive</t>
  </si>
  <si>
    <t>Newton</t>
  </si>
  <si>
    <t>NG34</t>
  </si>
  <si>
    <t>Silvana Northeast</t>
  </si>
  <si>
    <t>snortheast7f@mashable.com</t>
  </si>
  <si>
    <t>+1 (775) 344-1930</t>
  </si>
  <si>
    <t>4306 Northfield Place</t>
  </si>
  <si>
    <t>23229-79220-TE</t>
  </si>
  <si>
    <t>Annecorinne Leehane</t>
  </si>
  <si>
    <t>+1 (979) 206-8419</t>
  </si>
  <si>
    <t>722 Marcy Plaza</t>
  </si>
  <si>
    <t>Bryan</t>
  </si>
  <si>
    <t>Monica Fearon</t>
  </si>
  <si>
    <t>mfearon7h@reverbnation.com</t>
  </si>
  <si>
    <t>+1 (972) 686-6332</t>
  </si>
  <si>
    <t>41524 Mandrake Center</t>
  </si>
  <si>
    <t>Denton</t>
  </si>
  <si>
    <t>Barney Chisnell</t>
  </si>
  <si>
    <t>5915 Hallows Court</t>
  </si>
  <si>
    <t>Tullamore</t>
  </si>
  <si>
    <t>R35</t>
  </si>
  <si>
    <t>Jasper Sisneros</t>
  </si>
  <si>
    <t>jsisneros7j@a8.net</t>
  </si>
  <si>
    <t>+1 (919) 448-8909</t>
  </si>
  <si>
    <t>38 Dryden Plaza</t>
  </si>
  <si>
    <t>Raleigh</t>
  </si>
  <si>
    <t>Zachariah Carlson</t>
  </si>
  <si>
    <t>zcarlson7k@bigcartel.com</t>
  </si>
  <si>
    <t>+353 (259) 651-4128</t>
  </si>
  <si>
    <t>4825 Bowman Crossing</t>
  </si>
  <si>
    <t>Shankill</t>
  </si>
  <si>
    <t>A98</t>
  </si>
  <si>
    <t>Warner Maddox</t>
  </si>
  <si>
    <t>wmaddox7l@timesonline.co.uk</t>
  </si>
  <si>
    <t>+1 (917) 310-4684</t>
  </si>
  <si>
    <t>6223 North Hill</t>
  </si>
  <si>
    <t>Donnie Hedlestone</t>
  </si>
  <si>
    <t>dhedlestone7m@craigslist.org</t>
  </si>
  <si>
    <t>+1 (203) 768-3169</t>
  </si>
  <si>
    <t>02670 Superior Way</t>
  </si>
  <si>
    <t>Teddi Crowthe</t>
  </si>
  <si>
    <t>tcrowthe7n@europa.eu</t>
  </si>
  <si>
    <t>+1 (419) 561-6809</t>
  </si>
  <si>
    <t>7 Eastlawn Alley</t>
  </si>
  <si>
    <t>Dorelia Bury</t>
  </si>
  <si>
    <t>dbury7o@tinyurl.com</t>
  </si>
  <si>
    <t>+353 (262) 842-7103</t>
  </si>
  <si>
    <t>305 Holy Cross Way</t>
  </si>
  <si>
    <t>Castleblayney</t>
  </si>
  <si>
    <t>A75</t>
  </si>
  <si>
    <t>Gussy Broadbear</t>
  </si>
  <si>
    <t>gbroadbear7p@omniture.com</t>
  </si>
  <si>
    <t>+1 (573) 758-1104</t>
  </si>
  <si>
    <t>0 Manitowish Hill</t>
  </si>
  <si>
    <t>Columbia</t>
  </si>
  <si>
    <t>Emlynne Palfrey</t>
  </si>
  <si>
    <t>epalfrey7q@devhub.com</t>
  </si>
  <si>
    <t>+1 (260) 500-7893</t>
  </si>
  <si>
    <t>2793 Vera Point</t>
  </si>
  <si>
    <t>Parsifal Metrick</t>
  </si>
  <si>
    <t>pmetrick7r@rakuten.co.jp</t>
  </si>
  <si>
    <t>+1 (314) 572-2164</t>
  </si>
  <si>
    <t>091 Old Gate Road</t>
  </si>
  <si>
    <t>Christopher Grieveson</t>
  </si>
  <si>
    <t>+1 (208) 826-3825</t>
  </si>
  <si>
    <t>91 Old Gate Road</t>
  </si>
  <si>
    <t>Karlan Karby</t>
  </si>
  <si>
    <t>kkarby7t@sbwire.com</t>
  </si>
  <si>
    <t>+1 (303) 516-4935</t>
  </si>
  <si>
    <t>4 Linden Park</t>
  </si>
  <si>
    <t>Boulder</t>
  </si>
  <si>
    <t>Flory Crumpe</t>
  </si>
  <si>
    <t>fcrumpe7u@ftc.gov</t>
  </si>
  <si>
    <t>+44 (564) 507-1056</t>
  </si>
  <si>
    <t>1 Hanover Terrace</t>
  </si>
  <si>
    <t>Norton</t>
  </si>
  <si>
    <t>NN11</t>
  </si>
  <si>
    <t>Amity Chatto</t>
  </si>
  <si>
    <t>achatto7v@sakura.ne.jp</t>
  </si>
  <si>
    <t>+44 (522) 740-3583</t>
  </si>
  <si>
    <t>2 Morrow Hill</t>
  </si>
  <si>
    <t>Nanine McCarthy</t>
  </si>
  <si>
    <t>+1 (502) 913-2943</t>
  </si>
  <si>
    <t>27 Pine View Crossing</t>
  </si>
  <si>
    <t>Louisville</t>
  </si>
  <si>
    <t>Lyndsey Megany</t>
  </si>
  <si>
    <t>+1 (716) 790-4379</t>
  </si>
  <si>
    <t>7536 Homewood Place</t>
  </si>
  <si>
    <t>Byram Mergue</t>
  </si>
  <si>
    <t>bmergue7y@umn.edu</t>
  </si>
  <si>
    <t>801 Sloan Plaza</t>
  </si>
  <si>
    <t>Canton</t>
  </si>
  <si>
    <t>Kerr Patise</t>
  </si>
  <si>
    <t>kpatise7z@jigsy.com</t>
  </si>
  <si>
    <t>+1 (617) 552-8968</t>
  </si>
  <si>
    <t>2469 Hayes Lane</t>
  </si>
  <si>
    <t>Mathew Goulter</t>
  </si>
  <si>
    <t>+353 (968) 887-1849</t>
  </si>
  <si>
    <t>3 Sunfield Terrace</t>
  </si>
  <si>
    <t>Kinlough</t>
  </si>
  <si>
    <t>F94</t>
  </si>
  <si>
    <t>Marris Grcic</t>
  </si>
  <si>
    <t>758 Acker Point</t>
  </si>
  <si>
    <t>Lynchburg</t>
  </si>
  <si>
    <t>Domeniga Duke</t>
  </si>
  <si>
    <t>dduke82@vkontakte.ru</t>
  </si>
  <si>
    <t>+1 (626) 268-7265</t>
  </si>
  <si>
    <t>472 Mosinee Crossing</t>
  </si>
  <si>
    <t>Violante Skouling</t>
  </si>
  <si>
    <t>9366 Bunting Center</t>
  </si>
  <si>
    <t>Isidore Hussey</t>
  </si>
  <si>
    <t>ihussey84@mapy.cz</t>
  </si>
  <si>
    <t>641 Birchwood Place</t>
  </si>
  <si>
    <t>Cassie Pinkerton</t>
  </si>
  <si>
    <t>cpinkerton85@upenn.edu</t>
  </si>
  <si>
    <t>+1 (202) 727-7464</t>
  </si>
  <si>
    <t>5205 Graceland Point</t>
  </si>
  <si>
    <t>Micki Fero</t>
  </si>
  <si>
    <t>+1 (203) 722-1559</t>
  </si>
  <si>
    <t>9 Burrows Way</t>
  </si>
  <si>
    <t>Danbury</t>
  </si>
  <si>
    <t>Cybill Graddell</t>
  </si>
  <si>
    <t>8 Reindahl Alley</t>
  </si>
  <si>
    <t>Dorian Vizor</t>
  </si>
  <si>
    <t>dvizor88@furl.net</t>
  </si>
  <si>
    <t>+1 (941) 130-0581</t>
  </si>
  <si>
    <t>6023 Novick Parkway</t>
  </si>
  <si>
    <t>Eddi Sedgebeer</t>
  </si>
  <si>
    <t>esedgebeer89@oaic.gov.au</t>
  </si>
  <si>
    <t>+1 (305) 898-4252</t>
  </si>
  <si>
    <t>9715 Shopko Hill</t>
  </si>
  <si>
    <t>Miami Beach</t>
  </si>
  <si>
    <t>Ken Lestrange</t>
  </si>
  <si>
    <t>klestrange8a@lulu.com</t>
  </si>
  <si>
    <t>+1 (404) 479-6402</t>
  </si>
  <si>
    <t>1961 Sage Way</t>
  </si>
  <si>
    <t>Lacee Tanti</t>
  </si>
  <si>
    <t>ltanti8b@techcrunch.com</t>
  </si>
  <si>
    <t>+1 (361) 383-8015</t>
  </si>
  <si>
    <t>29668 Bashford Trail</t>
  </si>
  <si>
    <t>Corpus Christi</t>
  </si>
  <si>
    <t>Arel De Lasci</t>
  </si>
  <si>
    <t>ade8c@1und1.de</t>
  </si>
  <si>
    <t>+1 (808) 868-6669</t>
  </si>
  <si>
    <t>80254 Cherokee Alley</t>
  </si>
  <si>
    <t>Trescha Jedrachowicz</t>
  </si>
  <si>
    <t>tjedrachowicz8d@acquirethisname.com</t>
  </si>
  <si>
    <t>+1 (512) 635-4547</t>
  </si>
  <si>
    <t>4019 Hagan Plaza</t>
  </si>
  <si>
    <t>Perkin Stonner</t>
  </si>
  <si>
    <t>pstonner8e@moonfruit.com</t>
  </si>
  <si>
    <t>+1 (410) 158-5285</t>
  </si>
  <si>
    <t>09771 Rigney Center</t>
  </si>
  <si>
    <t>Baltimore</t>
  </si>
  <si>
    <t>Darrin Tingly</t>
  </si>
  <si>
    <t>dtingly8f@goo.ne.jp</t>
  </si>
  <si>
    <t>6094 Dawn Junction</t>
  </si>
  <si>
    <t>Lexington</t>
  </si>
  <si>
    <t>32177-42200-TP</t>
  </si>
  <si>
    <t>Rhodie Whife</t>
  </si>
  <si>
    <t>rwhife8g@360.cn</t>
  </si>
  <si>
    <t>2241 Kim Trail</t>
  </si>
  <si>
    <t>Joliet</t>
  </si>
  <si>
    <t>Benn Checci</t>
  </si>
  <si>
    <t>bchecci8h@usa.gov</t>
  </si>
  <si>
    <t>+44 (237) 377-1917</t>
  </si>
  <si>
    <t>88 West Avenue</t>
  </si>
  <si>
    <t>Eaton</t>
  </si>
  <si>
    <t>DN22</t>
  </si>
  <si>
    <t>Janifer Bagot</t>
  </si>
  <si>
    <t>jbagot8i@mac.com</t>
  </si>
  <si>
    <t>+1 (402) 659-3815</t>
  </si>
  <si>
    <t>8580 Autumn Leaf Trail</t>
  </si>
  <si>
    <t>Lincoln</t>
  </si>
  <si>
    <t>Ermin Beeble</t>
  </si>
  <si>
    <t>ebeeble8j@soundcloud.com</t>
  </si>
  <si>
    <t>+1 (513) 141-9892</t>
  </si>
  <si>
    <t>14777 Leroy Avenue</t>
  </si>
  <si>
    <t>Cos Fluin</t>
  </si>
  <si>
    <t>cfluin8k@flickr.com</t>
  </si>
  <si>
    <t>88 Jenna Point</t>
  </si>
  <si>
    <t>Eveleen Bletsor</t>
  </si>
  <si>
    <t>ebletsor8l@vinaora.com</t>
  </si>
  <si>
    <t>+1 (860) 182-4246</t>
  </si>
  <si>
    <t>9076 Manley Center</t>
  </si>
  <si>
    <t>West Hartford</t>
  </si>
  <si>
    <t>Paola Brydell</t>
  </si>
  <si>
    <t>pbrydell8m@bloglovin.com</t>
  </si>
  <si>
    <t>+353 (522) 527-0155</t>
  </si>
  <si>
    <t>826 Judy Alley</t>
  </si>
  <si>
    <t>Claudetta Rushe</t>
  </si>
  <si>
    <t>crushe8n@about.me</t>
  </si>
  <si>
    <t>+1 (704) 883-8274</t>
  </si>
  <si>
    <t>7 Corben Plaza</t>
  </si>
  <si>
    <t>Natka Leethem</t>
  </si>
  <si>
    <t>nleethem8o@mac.com</t>
  </si>
  <si>
    <t>+1 (318) 839-1492</t>
  </si>
  <si>
    <t>12 Stone Corner Avenue</t>
  </si>
  <si>
    <t>Ailene Nesfield</t>
  </si>
  <si>
    <t>anesfield8p@people.com.cn</t>
  </si>
  <si>
    <t>+44 (418) 372-8139</t>
  </si>
  <si>
    <t>59 Rieder Lane</t>
  </si>
  <si>
    <t>Belfast</t>
  </si>
  <si>
    <t>BT2</t>
  </si>
  <si>
    <t>Stacy Pickworth</t>
  </si>
  <si>
    <t>+1 (702) 723-3139</t>
  </si>
  <si>
    <t>81014 Delladonna Terrace</t>
  </si>
  <si>
    <t>Las Vegas</t>
  </si>
  <si>
    <t>Melli Brockway</t>
  </si>
  <si>
    <t>mbrockway8r@ibm.com</t>
  </si>
  <si>
    <t>+1 (515) 216-0617</t>
  </si>
  <si>
    <t>0528 Thackeray Pass</t>
  </si>
  <si>
    <t>Nanny Lush</t>
  </si>
  <si>
    <t>nlush8s@dedecms.com</t>
  </si>
  <si>
    <t>+353 (360) 805-4030</t>
  </si>
  <si>
    <t>1 Annamark Drive</t>
  </si>
  <si>
    <t>Selma McMillian</t>
  </si>
  <si>
    <t>smcmillian8t@csmonitor.com</t>
  </si>
  <si>
    <t>+1 (330) 407-0631</t>
  </si>
  <si>
    <t>6404 Heffernan Junction</t>
  </si>
  <si>
    <t>Akron</t>
  </si>
  <si>
    <t>Tess Bennison</t>
  </si>
  <si>
    <t>tbennison8u@google.cn</t>
  </si>
  <si>
    <t>+1 (561) 413-7904</t>
  </si>
  <si>
    <t>00225 Fieldstone Center</t>
  </si>
  <si>
    <t>West Palm Beach</t>
  </si>
  <si>
    <t>Gabie Tweed</t>
  </si>
  <si>
    <t>gtweed8v@yolasite.com</t>
  </si>
  <si>
    <t>0 Fairview Lane</t>
  </si>
  <si>
    <t>37916-57149-GE</t>
  </si>
  <si>
    <t>Freddie Cusick</t>
  </si>
  <si>
    <t>fcusick8w@hatena.ne.jp</t>
  </si>
  <si>
    <t>+1 (319) 601-1652</t>
  </si>
  <si>
    <t>1 Steensland Drive</t>
  </si>
  <si>
    <t>Iowa City</t>
  </si>
  <si>
    <t>Gaile Goggin</t>
  </si>
  <si>
    <t>ggoggin8x@wix.com</t>
  </si>
  <si>
    <t>+353 (484) 159-9549</t>
  </si>
  <si>
    <t>654 Mandrake Plaza</t>
  </si>
  <si>
    <t>Sandyford</t>
  </si>
  <si>
    <t>Skylar Jeyness</t>
  </si>
  <si>
    <t>sjeyness8y@biglobe.ne.jp</t>
  </si>
  <si>
    <t>+353 (460) 272-4069</t>
  </si>
  <si>
    <t>43 Fremont Point</t>
  </si>
  <si>
    <t>Dublin</t>
  </si>
  <si>
    <t>Donica Bonhome</t>
  </si>
  <si>
    <t>dbonhome8z@shinystat.com</t>
  </si>
  <si>
    <t>+1 (865) 238-4985</t>
  </si>
  <si>
    <t>73509 Victoria Junction</t>
  </si>
  <si>
    <t>Knoxville</t>
  </si>
  <si>
    <t>Diena Peetermann</t>
  </si>
  <si>
    <t>+1 (913) 671-7118</t>
  </si>
  <si>
    <t>05926 Northfield Parkway</t>
  </si>
  <si>
    <t>Trina Le Sarr</t>
  </si>
  <si>
    <t>tle91@epa.gov</t>
  </si>
  <si>
    <t>+1 (415) 176-8216</t>
  </si>
  <si>
    <t>96 Rigney Trail</t>
  </si>
  <si>
    <t>Flynn Antony</t>
  </si>
  <si>
    <t>+1 (205) 680-5859</t>
  </si>
  <si>
    <t>5678 Doe Crossing Junction</t>
  </si>
  <si>
    <t>Baudoin Alldridge</t>
  </si>
  <si>
    <t>balldridge93@yandex.ru</t>
  </si>
  <si>
    <t>+1 (646) 561-0082</t>
  </si>
  <si>
    <t>14 Oriole Hill</t>
  </si>
  <si>
    <t>Homer Dulany</t>
  </si>
  <si>
    <t>+1 (915) 761-6081</t>
  </si>
  <si>
    <t>1988 Autumn Leaf Crossing</t>
  </si>
  <si>
    <t>Lisa Goodger</t>
  </si>
  <si>
    <t>lgoodger95@guardian.co.uk</t>
  </si>
  <si>
    <t>86634 Nova Plaza</t>
  </si>
  <si>
    <t>33622-01348-PF</t>
  </si>
  <si>
    <t>Fiorenze Drogan</t>
  </si>
  <si>
    <t>fdrogan96@gnu.org</t>
  </si>
  <si>
    <t>+1 (202) 698-9605</t>
  </si>
  <si>
    <t>70193 Sunfield Circle</t>
  </si>
  <si>
    <t>Corine Drewett</t>
  </si>
  <si>
    <t>cdrewett97@wikipedia.org</t>
  </si>
  <si>
    <t>+1 (561) 651-3098</t>
  </si>
  <si>
    <t>1881 Elgar Parkway</t>
  </si>
  <si>
    <t>Boynton Beach</t>
  </si>
  <si>
    <t>Quinn Parsons</t>
  </si>
  <si>
    <t>qparsons98@blogtalkradio.com</t>
  </si>
  <si>
    <t>+1 (323) 848-5169</t>
  </si>
  <si>
    <t>47 Farwell Park</t>
  </si>
  <si>
    <t>Vivyan Ceely</t>
  </si>
  <si>
    <t>vceely99@auda.org.au</t>
  </si>
  <si>
    <t>+1 (410) 876-8486</t>
  </si>
  <si>
    <t>080 Stoughton Hill</t>
  </si>
  <si>
    <t>Elonore Goodings</t>
  </si>
  <si>
    <t>7 Grim Point</t>
  </si>
  <si>
    <t>Clement Vasiliev</t>
  </si>
  <si>
    <t>cvasiliev9b@discuz.net</t>
  </si>
  <si>
    <t>+1 (214) 507-8264</t>
  </si>
  <si>
    <t>49 Eliot Alley</t>
  </si>
  <si>
    <t>Terencio O'Moylan</t>
  </si>
  <si>
    <t>tomoylan9c@liveinternet.ru</t>
  </si>
  <si>
    <t>+44 (911) 807-7254</t>
  </si>
  <si>
    <t>19 Kings Pass</t>
  </si>
  <si>
    <t>Church End</t>
  </si>
  <si>
    <t>CB4</t>
  </si>
  <si>
    <t>34104-15243-UX</t>
  </si>
  <si>
    <t>Jeddy Vanyarkin</t>
  </si>
  <si>
    <t>+1 (614) 733-3977</t>
  </si>
  <si>
    <t>90 Fieldstone Way</t>
  </si>
  <si>
    <t>Wyatan Fetherston</t>
  </si>
  <si>
    <t>wfetherston9e@constantcontact.com</t>
  </si>
  <si>
    <t>+1 (212) 724-3420</t>
  </si>
  <si>
    <t>74 Morning Avenue</t>
  </si>
  <si>
    <t>Emmaline Rasmus</t>
  </si>
  <si>
    <t>erasmus9f@techcrunch.com</t>
  </si>
  <si>
    <t>+1 (617) 830-9474</t>
  </si>
  <si>
    <t>045 Jackson Junction</t>
  </si>
  <si>
    <t>Wesley Giorgioni</t>
  </si>
  <si>
    <t>wgiorgioni9g@wikipedia.org</t>
  </si>
  <si>
    <t>+1 (415) 960-7198</t>
  </si>
  <si>
    <t>45 Trailsway Avenue</t>
  </si>
  <si>
    <t>Lucienne Scargle</t>
  </si>
  <si>
    <t>lscargle9h@myspace.com</t>
  </si>
  <si>
    <t>+1 (317) 136-7045</t>
  </si>
  <si>
    <t>62 Pepper Wood Plaza</t>
  </si>
  <si>
    <t>Indianapolis</t>
  </si>
  <si>
    <t>40507-83899-MR</t>
  </si>
  <si>
    <t>Christy Franseco</t>
  </si>
  <si>
    <t>cfranseco9i@phoca.cz</t>
  </si>
  <si>
    <t>59947 Nobel Park</t>
  </si>
  <si>
    <t>Jacksonville</t>
  </si>
  <si>
    <t>Noam Climance</t>
  </si>
  <si>
    <t>nclimance9j@europa.eu</t>
  </si>
  <si>
    <t>34 Orin Crossing</t>
  </si>
  <si>
    <t>Seattle</t>
  </si>
  <si>
    <t>Catarina Donn</t>
  </si>
  <si>
    <t>+353 (950) 306-4776</t>
  </si>
  <si>
    <t>74 Logan Avenue</t>
  </si>
  <si>
    <t>Dunmanway</t>
  </si>
  <si>
    <t>P47</t>
  </si>
  <si>
    <t>Ameline Snazle</t>
  </si>
  <si>
    <t>asnazle9l@oracle.com</t>
  </si>
  <si>
    <t>+1 (334) 193-6359</t>
  </si>
  <si>
    <t>246 Katie Terrace</t>
  </si>
  <si>
    <t>Rebeka Worg</t>
  </si>
  <si>
    <t>rworg9m@arstechnica.com</t>
  </si>
  <si>
    <t>+1 (214) 985-2470</t>
  </si>
  <si>
    <t>8753 Texas Court</t>
  </si>
  <si>
    <t>Lewes Danes</t>
  </si>
  <si>
    <t>ldanes9n@umn.edu</t>
  </si>
  <si>
    <t>+1 (785) 398-5129</t>
  </si>
  <si>
    <t>37 Graedel Court</t>
  </si>
  <si>
    <t>Topeka</t>
  </si>
  <si>
    <t>Shelli Keynd</t>
  </si>
  <si>
    <t>skeynd9o@narod.ru</t>
  </si>
  <si>
    <t>+1 (903) 299-3053</t>
  </si>
  <si>
    <t>9 Iowa Court</t>
  </si>
  <si>
    <t>Tyler</t>
  </si>
  <si>
    <t>Dell Daveridge</t>
  </si>
  <si>
    <t>ddaveridge9p@arstechnica.com</t>
  </si>
  <si>
    <t>+1 (213) 474-2139</t>
  </si>
  <si>
    <t>09652 Crowley Lane</t>
  </si>
  <si>
    <t>Joshuah Awdry</t>
  </si>
  <si>
    <t>jawdry9q@utexas.edu</t>
  </si>
  <si>
    <t>+1 (318) 747-7610</t>
  </si>
  <si>
    <t>7961 Blackbird Road</t>
  </si>
  <si>
    <t>Shreveport</t>
  </si>
  <si>
    <t>Ethel Ryles</t>
  </si>
  <si>
    <t>eryles9r@fastcompany.com</t>
  </si>
  <si>
    <t>+1 (208) 760-1705</t>
  </si>
  <si>
    <t>8 Schurz Place</t>
  </si>
  <si>
    <t>Boise</t>
  </si>
  <si>
    <t>91336-36621-RB</t>
  </si>
  <si>
    <t>Selie Baulcombe</t>
  </si>
  <si>
    <t>sbaulcombe9s@dropbox.com</t>
  </si>
  <si>
    <t>+1 (760) 131-9436</t>
  </si>
  <si>
    <t>21543 Bluejay Court</t>
  </si>
  <si>
    <t>Maitilde Boxill</t>
  </si>
  <si>
    <t>+1 (334) 191-0127</t>
  </si>
  <si>
    <t>65 Cardinal Plaza</t>
  </si>
  <si>
    <t>Jodee Caldicott</t>
  </si>
  <si>
    <t>jcaldicott9u@usda.gov</t>
  </si>
  <si>
    <t>2690 Oak Way</t>
  </si>
  <si>
    <t>Fort Pierce</t>
  </si>
  <si>
    <t>Marianna Vedmore</t>
  </si>
  <si>
    <t>mvedmore9v@a8.net</t>
  </si>
  <si>
    <t>+1 (336) 366-8873</t>
  </si>
  <si>
    <t>368 Waubesa Way</t>
  </si>
  <si>
    <t>Willey Romao</t>
  </si>
  <si>
    <t>wromao9w@chronoengine.com</t>
  </si>
  <si>
    <t>+1 (916) 623-2394</t>
  </si>
  <si>
    <t>013 Vernon Way</t>
  </si>
  <si>
    <t>Enriqueta Ixor</t>
  </si>
  <si>
    <t>+1 (512) 200-9234</t>
  </si>
  <si>
    <t>068 Meadow Ridge Lane</t>
  </si>
  <si>
    <t>Round Rock</t>
  </si>
  <si>
    <t>Tomasina Cotmore</t>
  </si>
  <si>
    <t>tcotmore9y@amazonaws.com</t>
  </si>
  <si>
    <t>+1 (571) 250-3012</t>
  </si>
  <si>
    <t>2146 Helena Court</t>
  </si>
  <si>
    <t>Reston</t>
  </si>
  <si>
    <t>Yuma Skipsey</t>
  </si>
  <si>
    <t>yskipsey9z@spotify.com</t>
  </si>
  <si>
    <t>+44 (257) 759-9950</t>
  </si>
  <si>
    <t>321 Killdeer Center</t>
  </si>
  <si>
    <t>Charlton</t>
  </si>
  <si>
    <t>OX12</t>
  </si>
  <si>
    <t>Nicko Corps</t>
  </si>
  <si>
    <t>ncorpsa0@gmpg.org</t>
  </si>
  <si>
    <t>+1 (803) 730-8217</t>
  </si>
  <si>
    <t>119 Iowa Plaza</t>
  </si>
  <si>
    <t>09003-89770-JO</t>
  </si>
  <si>
    <t>Christabel Rubury</t>
  </si>
  <si>
    <t>cruburya1@geocities.jp</t>
  </si>
  <si>
    <t>+1 (615) 747-8432</t>
  </si>
  <si>
    <t>8895 Spaight Circle</t>
  </si>
  <si>
    <t>Feliks Babber</t>
  </si>
  <si>
    <t>fbabbera2@stanford.edu</t>
  </si>
  <si>
    <t>+1 (623) 550-6050</t>
  </si>
  <si>
    <t>18 Helena Trail</t>
  </si>
  <si>
    <t>Kaja Loxton</t>
  </si>
  <si>
    <t>kloxtona3@opensource.org</t>
  </si>
  <si>
    <t>8477 East Trail</t>
  </si>
  <si>
    <t>Miami</t>
  </si>
  <si>
    <t>Parker Tofful</t>
  </si>
  <si>
    <t>ptoffula4@posterous.com</t>
  </si>
  <si>
    <t>+1 (310) 210-6841</t>
  </si>
  <si>
    <t>97465 Almo Alley</t>
  </si>
  <si>
    <t>Casi Gwinnett</t>
  </si>
  <si>
    <t>cgwinnetta5@behance.net</t>
  </si>
  <si>
    <t>0 Elgar Parkway</t>
  </si>
  <si>
    <t>Anaheim</t>
  </si>
  <si>
    <t>Saree Ellesworth</t>
  </si>
  <si>
    <t>+1 (757) 211-0153</t>
  </si>
  <si>
    <t>715 Oxford Lane</t>
  </si>
  <si>
    <t>Silvio Iorizzi</t>
  </si>
  <si>
    <t>5 Dwight Plaza</t>
  </si>
  <si>
    <t>Leesa Flaonier</t>
  </si>
  <si>
    <t>lflaoniera8@wordpress.org</t>
  </si>
  <si>
    <t>+1 (718) 586-2839</t>
  </si>
  <si>
    <t>25 Saint Paul Drive</t>
  </si>
  <si>
    <t>Abba Pummell</t>
  </si>
  <si>
    <t>3 Service Pass</t>
  </si>
  <si>
    <t>Corinna Catcheside</t>
  </si>
  <si>
    <t>ccatchesideaa@macromedia.com</t>
  </si>
  <si>
    <t>+1 (801) 121-6042</t>
  </si>
  <si>
    <t>8 Kim Street</t>
  </si>
  <si>
    <t>Cortney Gibbonson</t>
  </si>
  <si>
    <t>cgibbonsonab@accuweather.com</t>
  </si>
  <si>
    <t>+1 (206) 848-3585</t>
  </si>
  <si>
    <t>861 David Crossing</t>
  </si>
  <si>
    <t>Terri Farra</t>
  </si>
  <si>
    <t>tfarraac@behance.net</t>
  </si>
  <si>
    <t>+1 (432) 648-9589</t>
  </si>
  <si>
    <t>06448 Burrows Terrace</t>
  </si>
  <si>
    <t>Odessa</t>
  </si>
  <si>
    <t>Corney Curme</t>
  </si>
  <si>
    <t>+353 (772) 127-7148</t>
  </si>
  <si>
    <t>0535 Michigan Plaza</t>
  </si>
  <si>
    <t>Castleknock</t>
  </si>
  <si>
    <t>K78</t>
  </si>
  <si>
    <t>Gothart Bamfield</t>
  </si>
  <si>
    <t>gbamfieldae@yellowpages.com</t>
  </si>
  <si>
    <t>+1 (214) 200-7886</t>
  </si>
  <si>
    <t>41203 Vernon Street</t>
  </si>
  <si>
    <t>Irving</t>
  </si>
  <si>
    <t>Waylin Hollingdale</t>
  </si>
  <si>
    <t>whollingdaleaf@about.me</t>
  </si>
  <si>
    <t>+1 (937) 354-2653</t>
  </si>
  <si>
    <t>3 Heath Trail</t>
  </si>
  <si>
    <t>Judd De Leek</t>
  </si>
  <si>
    <t>jdeag@xrea.com</t>
  </si>
  <si>
    <t>+1 (616) 966-1581</t>
  </si>
  <si>
    <t>90 Saint Paul Plaza</t>
  </si>
  <si>
    <t>Vanya Skullet</t>
  </si>
  <si>
    <t>vskulletah@tinyurl.com</t>
  </si>
  <si>
    <t>+353 (215) 420-1467</t>
  </si>
  <si>
    <t>4 Grim Road</t>
  </si>
  <si>
    <t>Jany Rudeforth</t>
  </si>
  <si>
    <t>jrudeforthai@wunderground.com</t>
  </si>
  <si>
    <t>+353 (232) 377-5407</t>
  </si>
  <si>
    <t>614 Commercial Center</t>
  </si>
  <si>
    <t>Tullyallen</t>
  </si>
  <si>
    <t>Ashbey Tomaszewski</t>
  </si>
  <si>
    <t>atomaszewskiaj@answers.com</t>
  </si>
  <si>
    <t>7685 Oxford Crossing</t>
  </si>
  <si>
    <t>Sutton</t>
  </si>
  <si>
    <t>CT15</t>
  </si>
  <si>
    <t>21815-71230-UT</t>
  </si>
  <si>
    <t>Fanni Marti</t>
  </si>
  <si>
    <t>fmartiak@stumbleupon.com</t>
  </si>
  <si>
    <t>+1 (217) 599-8947</t>
  </si>
  <si>
    <t>160 Ruskin Park</t>
  </si>
  <si>
    <t>Pren Bess</t>
  </si>
  <si>
    <t>pbessal@qq.com</t>
  </si>
  <si>
    <t>+1 (949) 121-4600</t>
  </si>
  <si>
    <t>36559 Sommers Parkway</t>
  </si>
  <si>
    <t>Elka Windress</t>
  </si>
  <si>
    <t>ewindressam@marketwatch.com</t>
  </si>
  <si>
    <t>+1 (443) 619-7953</t>
  </si>
  <si>
    <t>78 Anderson Alley</t>
  </si>
  <si>
    <t>Marty Kidstoun</t>
  </si>
  <si>
    <t>+1 (717) 990-3931</t>
  </si>
  <si>
    <t>4 Sundown Circle</t>
  </si>
  <si>
    <t>Harrisburg</t>
  </si>
  <si>
    <t>Nickey Dimbleby</t>
  </si>
  <si>
    <t>+1 (469) 579-2051</t>
  </si>
  <si>
    <t>525 Warner Hill</t>
  </si>
  <si>
    <t>Virgil Baumadier</t>
  </si>
  <si>
    <t>vbaumadierap@google.cn</t>
  </si>
  <si>
    <t>+1 (816) 987-4857</t>
  </si>
  <si>
    <t>89508 Atwood Way</t>
  </si>
  <si>
    <t>Lenore Messenbird</t>
  </si>
  <si>
    <t>+1 (217) 713-5108</t>
  </si>
  <si>
    <t>7881 Dahle Center</t>
  </si>
  <si>
    <t>Shirleen Welds</t>
  </si>
  <si>
    <t>sweldsar@wired.com</t>
  </si>
  <si>
    <t>+1 (203) 568-7058</t>
  </si>
  <si>
    <t>002 Summer Ridge Terrace</t>
  </si>
  <si>
    <t>New Haven</t>
  </si>
  <si>
    <t>Maisie Sarvar</t>
  </si>
  <si>
    <t>msarvaras@artisteer.com</t>
  </si>
  <si>
    <t>+1 (404) 401-6865</t>
  </si>
  <si>
    <t>83 Saint Paul Drive</t>
  </si>
  <si>
    <t>Lawrenceville</t>
  </si>
  <si>
    <t>Andrej Havick</t>
  </si>
  <si>
    <t>ahavickat@nsw.gov.au</t>
  </si>
  <si>
    <t>+1 (828) 769-0743</t>
  </si>
  <si>
    <t>720 Pennsylvania Pass</t>
  </si>
  <si>
    <t>Asheville</t>
  </si>
  <si>
    <t>Sloan Diviny</t>
  </si>
  <si>
    <t>sdivinyau@ask.com</t>
  </si>
  <si>
    <t>3904 Birchwood Terrace</t>
  </si>
  <si>
    <t>Itch Norquoy</t>
  </si>
  <si>
    <t>inorquoyav@businessweek.com</t>
  </si>
  <si>
    <t>1 Welch Court</t>
  </si>
  <si>
    <t>Anson Iddison</t>
  </si>
  <si>
    <t>aiddisonaw@usa.gov</t>
  </si>
  <si>
    <t>+1 (714) 658-0310</t>
  </si>
  <si>
    <t>8 Steensland Junction</t>
  </si>
  <si>
    <t>94341-60520-PF</t>
  </si>
  <si>
    <t>Dov Sprosson</t>
  </si>
  <si>
    <t>dsprossonax@wunderground.com</t>
  </si>
  <si>
    <t>+1 (240) 598-3988</t>
  </si>
  <si>
    <t>7 Anzinger Drive</t>
  </si>
  <si>
    <t>Hagerstown</t>
  </si>
  <si>
    <t>Randal Longfield</t>
  </si>
  <si>
    <t>rlongfielday@bluehost.com</t>
  </si>
  <si>
    <t>+1 (612) 210-6966</t>
  </si>
  <si>
    <t>513 Commercial Avenue</t>
  </si>
  <si>
    <t>Gregorius Kislingbury</t>
  </si>
  <si>
    <t>gkislingburyaz@samsung.com</t>
  </si>
  <si>
    <t>4 Jenifer Street</t>
  </si>
  <si>
    <t>Xenos Gibbons</t>
  </si>
  <si>
    <t>xgibbonsb0@artisteer.com</t>
  </si>
  <si>
    <t>+1 (909) 614-0008</t>
  </si>
  <si>
    <t>002 7th Junction</t>
  </si>
  <si>
    <t>Fleur Parres</t>
  </si>
  <si>
    <t>fparresb1@imageshack.us</t>
  </si>
  <si>
    <t>+1 (585) 672-4256</t>
  </si>
  <si>
    <t>641 Steensland Pass</t>
  </si>
  <si>
    <t>Gran Sibray</t>
  </si>
  <si>
    <t>gsibrayb2@wsj.com</t>
  </si>
  <si>
    <t>+1 (360) 389-5295</t>
  </si>
  <si>
    <t>5018 Iowa Pass</t>
  </si>
  <si>
    <t>Ingelbert Hotchkin</t>
  </si>
  <si>
    <t>ihotchkinb3@mit.edu</t>
  </si>
  <si>
    <t>+44 (387) 464-9544</t>
  </si>
  <si>
    <t>322 Basil Pass</t>
  </si>
  <si>
    <t>Preston</t>
  </si>
  <si>
    <t>PR1</t>
  </si>
  <si>
    <t>Neely Broadberrie</t>
  </si>
  <si>
    <t>nbroadberrieb4@gnu.org</t>
  </si>
  <si>
    <t>+1 (202) 327-2217</t>
  </si>
  <si>
    <t>8571 Buena Vista Junction</t>
  </si>
  <si>
    <t>Rutger Pithcock</t>
  </si>
  <si>
    <t>rpithcockb5@yellowbook.com</t>
  </si>
  <si>
    <t>+1 (865) 655-9540</t>
  </si>
  <si>
    <t>2425 Corben Street</t>
  </si>
  <si>
    <t>Gale Croysdale</t>
  </si>
  <si>
    <t>gcroysdaleb6@nih.gov</t>
  </si>
  <si>
    <t>+1 (304) 384-2939</t>
  </si>
  <si>
    <t>1657 Delladonna Hill</t>
  </si>
  <si>
    <t>Benedetto Gozzett</t>
  </si>
  <si>
    <t>bgozzettb7@github.com</t>
  </si>
  <si>
    <t>+1 (214) 700-0229</t>
  </si>
  <si>
    <t>0389 Hintze Pass</t>
  </si>
  <si>
    <t>Tania Craggs</t>
  </si>
  <si>
    <t>tcraggsb8@house.gov</t>
  </si>
  <si>
    <t>+353 (239) 197-6142</t>
  </si>
  <si>
    <t>0 Eagan Parkway</t>
  </si>
  <si>
    <t>Whitegate</t>
  </si>
  <si>
    <t>D15</t>
  </si>
  <si>
    <t>Leonie Cullrford</t>
  </si>
  <si>
    <t>lcullrfordb9@xing.com</t>
  </si>
  <si>
    <t>+1 (530) 998-9789</t>
  </si>
  <si>
    <t>71 Sycamore Crossing</t>
  </si>
  <si>
    <t>Chico</t>
  </si>
  <si>
    <t>Auguste Rizon</t>
  </si>
  <si>
    <t>arizonba@xing.com</t>
  </si>
  <si>
    <t>+1 (501) 732-3644</t>
  </si>
  <si>
    <t>19 Merrick Pass</t>
  </si>
  <si>
    <t>Lorin Guerrazzi</t>
  </si>
  <si>
    <t>+353 (764) 294-5957</t>
  </si>
  <si>
    <t>8244 La Follette Street</t>
  </si>
  <si>
    <t>Balrothery</t>
  </si>
  <si>
    <t>K32</t>
  </si>
  <si>
    <t>Felice Miell</t>
  </si>
  <si>
    <t>fmiellbc@spiegel.de</t>
  </si>
  <si>
    <t>+1 (732) 770-5368</t>
  </si>
  <si>
    <t>35 Hoepker Pass</t>
  </si>
  <si>
    <t>New Brunswick</t>
  </si>
  <si>
    <t>Hamish Skeech</t>
  </si>
  <si>
    <t>+353 (677) 415-3920</t>
  </si>
  <si>
    <t>5662 Messerschmidt Lane</t>
  </si>
  <si>
    <t>Valleymount</t>
  </si>
  <si>
    <t>A83</t>
  </si>
  <si>
    <t>Giordano Lorenzin</t>
  </si>
  <si>
    <t>+1 (415) 414-0382</t>
  </si>
  <si>
    <t>577 Roth Pass</t>
  </si>
  <si>
    <t>Harwilll Bishell</t>
  </si>
  <si>
    <t>+1 (337) 322-9762</t>
  </si>
  <si>
    <t>7960 Roth Center</t>
  </si>
  <si>
    <t>Lafayette</t>
  </si>
  <si>
    <t>Freeland Missenden</t>
  </si>
  <si>
    <t>+1 (619) 481-1493</t>
  </si>
  <si>
    <t>1 Randy Place</t>
  </si>
  <si>
    <t>San Diego</t>
  </si>
  <si>
    <t>Waylan Springall</t>
  </si>
  <si>
    <t>wspringallbh@jugem.jp</t>
  </si>
  <si>
    <t>+1 (626) 495-9253</t>
  </si>
  <si>
    <t>99 Schurz Pass</t>
  </si>
  <si>
    <t>Alhambra</t>
  </si>
  <si>
    <t>Kiri Avramow</t>
  </si>
  <si>
    <t>+1 (903) 801-9492</t>
  </si>
  <si>
    <t>2443 Bluejay Alley</t>
  </si>
  <si>
    <t>Gregg Hawkyens</t>
  </si>
  <si>
    <t>ghawkyensbj@census.gov</t>
  </si>
  <si>
    <t>48 Vidon Street</t>
  </si>
  <si>
    <t>Reggis Pracy</t>
  </si>
  <si>
    <t>+1 (937) 683-0925</t>
  </si>
  <si>
    <t>33211 Pleasure Circle</t>
  </si>
  <si>
    <t>Paula Denis</t>
  </si>
  <si>
    <t>+1 (602) 598-9823</t>
  </si>
  <si>
    <t>74 Texas Road</t>
  </si>
  <si>
    <t>Broderick McGilvra</t>
  </si>
  <si>
    <t>bmcgilvrabm@so-net.ne.jp</t>
  </si>
  <si>
    <t>880 Mockingbird Plaza</t>
  </si>
  <si>
    <t>Annabella Danzey</t>
  </si>
  <si>
    <t>adanzeybn@github.com</t>
  </si>
  <si>
    <t>+1 (402) 633-9913</t>
  </si>
  <si>
    <t>5692 Eastwood Hill</t>
  </si>
  <si>
    <t>83537-35563-UF</t>
  </si>
  <si>
    <t>Anthia McKeller</t>
  </si>
  <si>
    <t>amckellerbo@ning.com</t>
  </si>
  <si>
    <t>+1 (717) 414-0043</t>
  </si>
  <si>
    <t>0 Debra Crossing</t>
  </si>
  <si>
    <t>01881-40815-VO</t>
  </si>
  <si>
    <t>Faith Powley</t>
  </si>
  <si>
    <t>fpowleybp@dyndns.org</t>
  </si>
  <si>
    <t>+1 (504) 873-5980</t>
  </si>
  <si>
    <t>3 Talisman Hill</t>
  </si>
  <si>
    <t>Nevins Glowacz</t>
  </si>
  <si>
    <t>+1 (608) 617-1365</t>
  </si>
  <si>
    <t>8103 Maywood Center</t>
  </si>
  <si>
    <t>Madison</t>
  </si>
  <si>
    <t>Adelice Isabell</t>
  </si>
  <si>
    <t>+1 (304) 604-2131</t>
  </si>
  <si>
    <t>93 Hintze Point</t>
  </si>
  <si>
    <t>Yulma Dombrell</t>
  </si>
  <si>
    <t>ydombrellbs@dedecms.com</t>
  </si>
  <si>
    <t>+1 (501) 136-0040</t>
  </si>
  <si>
    <t>83 Sunbrook Lane</t>
  </si>
  <si>
    <t>Alric Darth</t>
  </si>
  <si>
    <t>adarthbt@t.co</t>
  </si>
  <si>
    <t>+1 (907) 557-6903</t>
  </si>
  <si>
    <t>86 Pawling Court</t>
  </si>
  <si>
    <t>Manuel Darrigoe</t>
  </si>
  <si>
    <t>mdarrigoebu@hud.gov</t>
  </si>
  <si>
    <t>+353 (973) 320-9537</t>
  </si>
  <si>
    <t>744 Prairie Rose Court</t>
  </si>
  <si>
    <t>Longwood</t>
  </si>
  <si>
    <t>D02</t>
  </si>
  <si>
    <t>Kynthia Berick</t>
  </si>
  <si>
    <t>+1 (562) 331-4713</t>
  </si>
  <si>
    <t>1678 Armistice Alley</t>
  </si>
  <si>
    <t>Minetta Ackrill</t>
  </si>
  <si>
    <t>mackrillbw@bandcamp.com</t>
  </si>
  <si>
    <t>+1 (330) 603-2373</t>
  </si>
  <si>
    <t>4 Arizona Road</t>
  </si>
  <si>
    <t>61516-88984-DK</t>
  </si>
  <si>
    <t>Maximo Bricksey</t>
  </si>
  <si>
    <t>mbrickseybx@youku.com</t>
  </si>
  <si>
    <t>+1 (757) 614-2072</t>
  </si>
  <si>
    <t>0082 Hooker Drive</t>
  </si>
  <si>
    <t>Chesapeake</t>
  </si>
  <si>
    <t>Melosa Kippen</t>
  </si>
  <si>
    <t>mkippenby@dion.ne.jp</t>
  </si>
  <si>
    <t>+1 (601) 262-2557</t>
  </si>
  <si>
    <t>87 Brentwood Hill</t>
  </si>
  <si>
    <t>Jackson</t>
  </si>
  <si>
    <t>Witty Ranson</t>
  </si>
  <si>
    <t>wransonbz@ted.com</t>
  </si>
  <si>
    <t>+353 (376) 165-2897</t>
  </si>
  <si>
    <t>012 Debra Center</t>
  </si>
  <si>
    <t>Kildare</t>
  </si>
  <si>
    <t>R51</t>
  </si>
  <si>
    <t>Rod Gowdie</t>
  </si>
  <si>
    <t>+1 (360) 347-6756</t>
  </si>
  <si>
    <t>7 Hansons Trail</t>
  </si>
  <si>
    <t>Lemuel Rignold</t>
  </si>
  <si>
    <t>lrignoldc1@miibeian.gov.cn</t>
  </si>
  <si>
    <t>+1 (916) 472-7804</t>
  </si>
  <si>
    <t>15027 Mcbride Pass</t>
  </si>
  <si>
    <t>Nevsa Fields</t>
  </si>
  <si>
    <t>+1 (617) 535-7583</t>
  </si>
  <si>
    <t>09 Lotheville Place</t>
  </si>
  <si>
    <t>Chance Rowthorn</t>
  </si>
  <si>
    <t>crowthornc3@msn.com</t>
  </si>
  <si>
    <t>+1 (785) 380-3311</t>
  </si>
  <si>
    <t>320 Rockefeller Alley</t>
  </si>
  <si>
    <t>Orly Ryland</t>
  </si>
  <si>
    <t>orylandc4@deviantart.com</t>
  </si>
  <si>
    <t>+1 (701) 417-3513</t>
  </si>
  <si>
    <t>3513 Burning Wood Way</t>
  </si>
  <si>
    <t>Willabella Abramski</t>
  </si>
  <si>
    <t>+1 (832) 263-0050</t>
  </si>
  <si>
    <t>40 Jenifer Alley</t>
  </si>
  <si>
    <t>48314-32864-VI</t>
  </si>
  <si>
    <t>Brandy Lottrington</t>
  </si>
  <si>
    <t>blottringtonc6@redcross.org</t>
  </si>
  <si>
    <t>+1 (405) 720-9470</t>
  </si>
  <si>
    <t>6 Ilene Hill</t>
  </si>
  <si>
    <t>Chickie Ragless</t>
  </si>
  <si>
    <t>craglessc7@webmd.com</t>
  </si>
  <si>
    <t>+353 (736) 602-8469</t>
  </si>
  <si>
    <t>98053 Elmside Drive</t>
  </si>
  <si>
    <t>Freda Hollows</t>
  </si>
  <si>
    <t>fhollowsc8@blogtalkradio.com</t>
  </si>
  <si>
    <t>+1 (716) 632-6865</t>
  </si>
  <si>
    <t>353 Portage Center</t>
  </si>
  <si>
    <t>Livy Lathleiff</t>
  </si>
  <si>
    <t>llathleiffc9@nationalgeographic.com</t>
  </si>
  <si>
    <t>+353 (895) 566-0110</t>
  </si>
  <si>
    <t>0671 Scoville Way</t>
  </si>
  <si>
    <t>Koralle Heads</t>
  </si>
  <si>
    <t>kheadsca@jalbum.net</t>
  </si>
  <si>
    <t>+1 (484) 131-2636</t>
  </si>
  <si>
    <t>2 Cherokee Hill</t>
  </si>
  <si>
    <t>Bethlehem</t>
  </si>
  <si>
    <t>Theo Bowne</t>
  </si>
  <si>
    <t>tbownecb@unicef.org</t>
  </si>
  <si>
    <t>+353 (540) 432-8009</t>
  </si>
  <si>
    <t>79 Prairieview Point</t>
  </si>
  <si>
    <t>Watergrasshill</t>
  </si>
  <si>
    <t>T56</t>
  </si>
  <si>
    <t>Rasia Jacquemard</t>
  </si>
  <si>
    <t>rjacquemardcc@acquirethisname.com</t>
  </si>
  <si>
    <t>+353 (959) 389-1521</t>
  </si>
  <si>
    <t>415 Fremont Junction</t>
  </si>
  <si>
    <t>Monasterevin</t>
  </si>
  <si>
    <t>W34</t>
  </si>
  <si>
    <t>Kizzie Warman</t>
  </si>
  <si>
    <t>kwarmancd@printfriendly.com</t>
  </si>
  <si>
    <t>67365 Homewood Center</t>
  </si>
  <si>
    <t>Wain Cholomin</t>
  </si>
  <si>
    <t>wcholomince@about.com</t>
  </si>
  <si>
    <t>+44 (512) 340-9049</t>
  </si>
  <si>
    <t>566 Arrowood Way</t>
  </si>
  <si>
    <t>B12</t>
  </si>
  <si>
    <t>Arleen Braidman</t>
  </si>
  <si>
    <t>abraidmancf@census.gov</t>
  </si>
  <si>
    <t>4 Golf View Hill</t>
  </si>
  <si>
    <t>Pru Durban</t>
  </si>
  <si>
    <t>pdurbancg@symantec.com</t>
  </si>
  <si>
    <t>+353 (709) 884-1892</t>
  </si>
  <si>
    <t>2 Forest Street</t>
  </si>
  <si>
    <t>Longford</t>
  </si>
  <si>
    <t>N39</t>
  </si>
  <si>
    <t>Antone Harrold</t>
  </si>
  <si>
    <t>aharroldch@miibeian.gov.cn</t>
  </si>
  <si>
    <t>+1 (419) 153-2104</t>
  </si>
  <si>
    <t>90 Kensington Road</t>
  </si>
  <si>
    <t>Sim Pamphilon</t>
  </si>
  <si>
    <t>spamphilonci@mlb.com</t>
  </si>
  <si>
    <t>+353 (456) 630-8490</t>
  </si>
  <si>
    <t>36194 Susan Street</t>
  </si>
  <si>
    <t>Ballylinan</t>
  </si>
  <si>
    <t>P56</t>
  </si>
  <si>
    <t>Mohandis Spurden</t>
  </si>
  <si>
    <t>mspurdencj@exblog.jp</t>
  </si>
  <si>
    <t>+1 (704) 256-1371</t>
  </si>
  <si>
    <t>55290 Manufacturers Lane</t>
  </si>
  <si>
    <t>Morgen Seson</t>
  </si>
  <si>
    <t>msesonck@census.gov</t>
  </si>
  <si>
    <t>+1 (206) 642-0902</t>
  </si>
  <si>
    <t>92847 Schlimgen Road</t>
  </si>
  <si>
    <t>Nalani Pirrone</t>
  </si>
  <si>
    <t>npirronecl@weibo.com</t>
  </si>
  <si>
    <t>+1 (570) 223-3194</t>
  </si>
  <si>
    <t>1585 Bashford Center</t>
  </si>
  <si>
    <t>Reube Cawley</t>
  </si>
  <si>
    <t>rcawleycm@yellowbook.com</t>
  </si>
  <si>
    <t>54210 Eagan Avenue</t>
  </si>
  <si>
    <t>Ballyboden</t>
  </si>
  <si>
    <t>Stan Barribal</t>
  </si>
  <si>
    <t>sbarribalcn@microsoft.com</t>
  </si>
  <si>
    <t>+353 (310) 256-3698</t>
  </si>
  <si>
    <t>6743 Cascade Drive</t>
  </si>
  <si>
    <t>Bagenalstown</t>
  </si>
  <si>
    <t>Agnes Adamides</t>
  </si>
  <si>
    <t>aadamidesco@bizjournals.com</t>
  </si>
  <si>
    <t>+44 (131) 485-2183</t>
  </si>
  <si>
    <t>6338 Arkansas Drive</t>
  </si>
  <si>
    <t>L74</t>
  </si>
  <si>
    <t>Carmelita Thowes</t>
  </si>
  <si>
    <t>cthowescp@craigslist.org</t>
  </si>
  <si>
    <t>+1 (585) 785-2424</t>
  </si>
  <si>
    <t>33398 Hallows Circle</t>
  </si>
  <si>
    <t>Rodolfo Willoway</t>
  </si>
  <si>
    <t>rwillowaycq@admin.ch</t>
  </si>
  <si>
    <t>+1 (520) 126-8439</t>
  </si>
  <si>
    <t>58 Schlimgen Parkway</t>
  </si>
  <si>
    <t>Alvis Elwin</t>
  </si>
  <si>
    <t>aelwincr@privacy.gov.au</t>
  </si>
  <si>
    <t>+1 (612) 244-0885</t>
  </si>
  <si>
    <t>26 Everett Hill</t>
  </si>
  <si>
    <t>Araldo Bilbrook</t>
  </si>
  <si>
    <t>abilbrookcs@booking.com</t>
  </si>
  <si>
    <t>+353 (138) 323-3320</t>
  </si>
  <si>
    <t>4 Raven Alley</t>
  </si>
  <si>
    <t>Ashbourne</t>
  </si>
  <si>
    <t>A84</t>
  </si>
  <si>
    <t>Ransell McKall</t>
  </si>
  <si>
    <t>rmckallct@sakura.ne.jp</t>
  </si>
  <si>
    <t>+44 (841) 988-2775</t>
  </si>
  <si>
    <t>451 Nevada Terrace</t>
  </si>
  <si>
    <t>Bristol</t>
  </si>
  <si>
    <t>BS41</t>
  </si>
  <si>
    <t>Borg Daile</t>
  </si>
  <si>
    <t>bdailecu@vistaprint.com</t>
  </si>
  <si>
    <t>+1 (770) 330-7785</t>
  </si>
  <si>
    <t>385 Corben Parkway</t>
  </si>
  <si>
    <t>Adolphe Treherne</t>
  </si>
  <si>
    <t>atrehernecv@state.tx.us</t>
  </si>
  <si>
    <t>+353 (860) 359-7907</t>
  </si>
  <si>
    <t>66 Sundown Place</t>
  </si>
  <si>
    <t>Farranacoush</t>
  </si>
  <si>
    <t>P81</t>
  </si>
  <si>
    <t>Annetta Brentnall</t>
  </si>
  <si>
    <t>abrentnallcw@biglobe.ne.jp</t>
  </si>
  <si>
    <t>+44 (373) 897-1797</t>
  </si>
  <si>
    <t>00 Ludington Pass</t>
  </si>
  <si>
    <t>Dick Drinkall</t>
  </si>
  <si>
    <t>ddrinkallcx@psu.edu</t>
  </si>
  <si>
    <t>+1 (865) 407-3871</t>
  </si>
  <si>
    <t>82460 Grover Parkway</t>
  </si>
  <si>
    <t>Dagny Kornel</t>
  </si>
  <si>
    <t>dkornelcy@cyberchimps.com</t>
  </si>
  <si>
    <t>+1 (989) 565-9120</t>
  </si>
  <si>
    <t>60360 Killdeer Alley</t>
  </si>
  <si>
    <t>Saginaw</t>
  </si>
  <si>
    <t>Rhona Lequeux</t>
  </si>
  <si>
    <t>rlequeuxcz@newyorker.com</t>
  </si>
  <si>
    <t>+1 (904) 161-6088</t>
  </si>
  <si>
    <t>093 Mayfield Place</t>
  </si>
  <si>
    <t>Saint Augustine</t>
  </si>
  <si>
    <t>Julius Mccaull</t>
  </si>
  <si>
    <t>jmccaulld0@parallels.com</t>
  </si>
  <si>
    <t>89 Gulseth Circle</t>
  </si>
  <si>
    <t>San Rafael</t>
  </si>
  <si>
    <t>27064-10803-SB</t>
  </si>
  <si>
    <t>Jolyn Dymoke</t>
  </si>
  <si>
    <t>jdymoked1@mapquest.com</t>
  </si>
  <si>
    <t>+1 (408) 775-2801</t>
  </si>
  <si>
    <t>2 Aberg Lane</t>
  </si>
  <si>
    <t>Alberto Hutchinson</t>
  </si>
  <si>
    <t>ahutchinsond2@imgur.com</t>
  </si>
  <si>
    <t>+1 (404) 775-3251</t>
  </si>
  <si>
    <t>327 Erie Way</t>
  </si>
  <si>
    <t>Lamond Gheeraert</t>
  </si>
  <si>
    <t>+1 (785) 654-9564</t>
  </si>
  <si>
    <t>02354 Melvin Parkway</t>
  </si>
  <si>
    <t>Roxine Drivers</t>
  </si>
  <si>
    <t>rdriversd4@hexun.com</t>
  </si>
  <si>
    <t>+1 (913) 127-4257</t>
  </si>
  <si>
    <t>842 Cardinal Court</t>
  </si>
  <si>
    <t>Heloise Zeal</t>
  </si>
  <si>
    <t>hzeald5@google.de</t>
  </si>
  <si>
    <t>+1 (206) 775-4468</t>
  </si>
  <si>
    <t>0420 Schurz Parkway</t>
  </si>
  <si>
    <t>Granger Smallcombe</t>
  </si>
  <si>
    <t>gsmallcombed6@ucla.edu</t>
  </si>
  <si>
    <t>+353 (374) 810-4528</t>
  </si>
  <si>
    <t>8448 Oxford Trail</t>
  </si>
  <si>
    <t>Daryn Dibley</t>
  </si>
  <si>
    <t>ddibleyd7@feedburner.com</t>
  </si>
  <si>
    <t>5676 Southridge Street</t>
  </si>
  <si>
    <t>Kissimmee</t>
  </si>
  <si>
    <t>Gardy Dimitriou</t>
  </si>
  <si>
    <t>gdimitrioud8@chronoengine.com</t>
  </si>
  <si>
    <t>+1 (585) 303-7337</t>
  </si>
  <si>
    <t>0 Gale Pass</t>
  </si>
  <si>
    <t>Fanny Flanagan</t>
  </si>
  <si>
    <t>fflanagand9@woothemes.com</t>
  </si>
  <si>
    <t>+1 (903) 455-7155</t>
  </si>
  <si>
    <t>268 Northport Drive</t>
  </si>
  <si>
    <t>Ailey Brash</t>
  </si>
  <si>
    <t>abrashda@plala.or.jp</t>
  </si>
  <si>
    <t>+1 (917) 544-7136</t>
  </si>
  <si>
    <t>64700 Eagan Crossing</t>
  </si>
  <si>
    <t>Flushing</t>
  </si>
  <si>
    <t>21565-13068-SH</t>
  </si>
  <si>
    <t>Tatiana Thorn</t>
  </si>
  <si>
    <t>+1 (571) 867-8277</t>
  </si>
  <si>
    <t>30943 High Crossing Point</t>
  </si>
  <si>
    <t>Sterling</t>
  </si>
  <si>
    <t>04776-34127-MX</t>
  </si>
  <si>
    <t>Wendeline McInerney</t>
  </si>
  <si>
    <t>wmcinerneydc@wordpress.com</t>
  </si>
  <si>
    <t>+1 (804) 658-7521</t>
  </si>
  <si>
    <t>92 Swallow Street</t>
  </si>
  <si>
    <t>Nanny Izhakov</t>
  </si>
  <si>
    <t>nizhakovdd@aol.com</t>
  </si>
  <si>
    <t>+44 (570) 683-9517</t>
  </si>
  <si>
    <t>013 Tennyson Terrace</t>
  </si>
  <si>
    <t>Seaton</t>
  </si>
  <si>
    <t>Stanly Keets</t>
  </si>
  <si>
    <t>skeetsde@answers.com</t>
  </si>
  <si>
    <t>+1 (703) 230-2979</t>
  </si>
  <si>
    <t>2500 Crest Line Plaza</t>
  </si>
  <si>
    <t>Orion Dyott</t>
  </si>
  <si>
    <t>+1 (801) 322-2923</t>
  </si>
  <si>
    <t>26 Londonderry Court</t>
  </si>
  <si>
    <t>Keefer Cake</t>
  </si>
  <si>
    <t>kcakedg@huffingtonpost.com</t>
  </si>
  <si>
    <t>1 Crowley Crossing</t>
  </si>
  <si>
    <t>Morna Hansed</t>
  </si>
  <si>
    <t>mhanseddh@instagram.com</t>
  </si>
  <si>
    <t>+353 (997) 520-7802</t>
  </si>
  <si>
    <t>1 Dwight Point</t>
  </si>
  <si>
    <t>Tr谩 Mh贸r</t>
  </si>
  <si>
    <t>R93</t>
  </si>
  <si>
    <t>Franny Kienlein</t>
  </si>
  <si>
    <t>fkienleindi@trellian.com</t>
  </si>
  <si>
    <t>+353 (972) 241-3434</t>
  </si>
  <si>
    <t>1 Manitowish Pass</t>
  </si>
  <si>
    <t>Coolock</t>
  </si>
  <si>
    <t>Klarika Egglestone</t>
  </si>
  <si>
    <t>kegglestonedj@sphinn.com</t>
  </si>
  <si>
    <t>+353 (452) 975-6438</t>
  </si>
  <si>
    <t>2765 Sunfield Terrace</t>
  </si>
  <si>
    <t>Becky Semkins</t>
  </si>
  <si>
    <t>bsemkinsdk@unc.edu</t>
  </si>
  <si>
    <t>+353 (209) 764-2690</t>
  </si>
  <si>
    <t>7219 Clemons Place</t>
  </si>
  <si>
    <t>Kinnegad</t>
  </si>
  <si>
    <t>Sean Lorenzetti</t>
  </si>
  <si>
    <t>slorenzettidl@is.gd</t>
  </si>
  <si>
    <t>+1 (915) 581-0694</t>
  </si>
  <si>
    <t>1104 Paget Lane</t>
  </si>
  <si>
    <t>Bob Giannazzi</t>
  </si>
  <si>
    <t>bgiannazzidm@apple.com</t>
  </si>
  <si>
    <t>+1 (754) 827-8970</t>
  </si>
  <si>
    <t>57 Division Plaza</t>
  </si>
  <si>
    <t>Kendra Backshell</t>
  </si>
  <si>
    <t>+1 (317) 595-9406</t>
  </si>
  <si>
    <t>47101 Northfield Lane</t>
  </si>
  <si>
    <t>Uriah Lethbrig</t>
  </si>
  <si>
    <t>ulethbrigdo@hc360.com</t>
  </si>
  <si>
    <t>+1 (414) 580-9714</t>
  </si>
  <si>
    <t>38 Carioca Center</t>
  </si>
  <si>
    <t>Sky Farnish</t>
  </si>
  <si>
    <t>sfarnishdp@dmoz.org</t>
  </si>
  <si>
    <t>+44 (847) 377-8172</t>
  </si>
  <si>
    <t>170 Prentice Center</t>
  </si>
  <si>
    <t>Felicia Jecock</t>
  </si>
  <si>
    <t>fjecockdq@unicef.org</t>
  </si>
  <si>
    <t>+1 (225) 116-2959</t>
  </si>
  <si>
    <t>403 Vahlen Junction</t>
  </si>
  <si>
    <t>Currey MacAllister</t>
  </si>
  <si>
    <t>+1 (203) 490-3839</t>
  </si>
  <si>
    <t>07300 Walton Point</t>
  </si>
  <si>
    <t>Hamlen Pallister</t>
  </si>
  <si>
    <t>hpallisterds@ning.com</t>
  </si>
  <si>
    <t>+1 (850) 517-1353</t>
  </si>
  <si>
    <t>19513 Golf Course Junction</t>
  </si>
  <si>
    <t>Chantal Mersh</t>
  </si>
  <si>
    <t>cmershdt@drupal.org</t>
  </si>
  <si>
    <t>+353 (343) 889-4565</t>
  </si>
  <si>
    <t>52843 Longview Street</t>
  </si>
  <si>
    <t>Milltown</t>
  </si>
  <si>
    <t>71631-11462-TH</t>
  </si>
  <si>
    <t>Brendin Bredee</t>
  </si>
  <si>
    <t>bbredeedu@flickr.com</t>
  </si>
  <si>
    <t>+44 (494) 148-6095</t>
  </si>
  <si>
    <t>2 Nancy Lane</t>
  </si>
  <si>
    <t>Malynda Purbrick</t>
  </si>
  <si>
    <t>+353 (160) 183-4278</t>
  </si>
  <si>
    <t>9233 3rd Avenue</t>
  </si>
  <si>
    <t>Alf Housaman</t>
  </si>
  <si>
    <t>+1 (616) 511-3898</t>
  </si>
  <si>
    <t>8581 Mcguire Road</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</si>
  <si>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</si>
  <si>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</si>
  <si>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</si>
  <si>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</si>
  <si>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</si>
  <si>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</si>
  <si>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</si>
  <si>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</si>
  <si>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</si>
  <si>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</si>
  <si>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</si>
  <si>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</si>
  <si>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</si>
  <si>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Elmira</t>
  </si>
  <si>
    <t>68493-99734-LP</t>
  </si>
  <si>
    <t>Nadia Erswell</t>
  </si>
  <si>
    <t>nerswelle0@mlb.com</t>
  </si>
  <si>
    <t>+1 (920) 518-4152</t>
  </si>
  <si>
    <t>2973 Sachtjen Road</t>
  </si>
  <si>
    <t>Wain Stearley</t>
  </si>
  <si>
    <t>wstearleye1@census.gov</t>
  </si>
  <si>
    <t>+1 (336) 213-3687</t>
  </si>
  <si>
    <t>7 La Follette Road</t>
  </si>
  <si>
    <t>High Point</t>
  </si>
  <si>
    <t>Diane-marie Wincer</t>
  </si>
  <si>
    <t>dwincere2@marriott.com</t>
  </si>
  <si>
    <t>+1 (915) 676-6367</t>
  </si>
  <si>
    <t>04 Stuart Way</t>
  </si>
  <si>
    <t>Perry Lyfield</t>
  </si>
  <si>
    <t>plyfielde3@baidu.com</t>
  </si>
  <si>
    <t>+1 (216) 614-9325</t>
  </si>
  <si>
    <t>1263 Thackeray Parkway</t>
  </si>
  <si>
    <t>Cleveland</t>
  </si>
  <si>
    <t>Heall Perris</t>
  </si>
  <si>
    <t>hperrise4@studiopress.com</t>
  </si>
  <si>
    <t>+353 (954) 293-8675</t>
  </si>
  <si>
    <t>043 Bashford Point</t>
  </si>
  <si>
    <t>Ballymahon</t>
  </si>
  <si>
    <t>F52</t>
  </si>
  <si>
    <t>Marja Urion</t>
  </si>
  <si>
    <t>murione5@alexa.com</t>
  </si>
  <si>
    <t>+353 (715) 989-0283</t>
  </si>
  <si>
    <t>2 Sycamore Avenue</t>
  </si>
  <si>
    <t>Virginia</t>
  </si>
  <si>
    <t>D18</t>
  </si>
  <si>
    <t>Camellia Kid</t>
  </si>
  <si>
    <t>ckide6@narod.ru</t>
  </si>
  <si>
    <t>+353 (866) 707-2603</t>
  </si>
  <si>
    <t>37515 Wayridge Lane</t>
  </si>
  <si>
    <t>Carolann Beine</t>
  </si>
  <si>
    <t>cbeinee7@xinhuanet.com</t>
  </si>
  <si>
    <t>+1 (205) 468-0236</t>
  </si>
  <si>
    <t>81 West Plaza</t>
  </si>
  <si>
    <t>Celia Bakeup</t>
  </si>
  <si>
    <t>cbakeupe8@globo.com</t>
  </si>
  <si>
    <t>+1 (320) 375-8504</t>
  </si>
  <si>
    <t>73 Bellgrove Circle</t>
  </si>
  <si>
    <t>Saint Cloud</t>
  </si>
  <si>
    <t>Nataniel Helkin</t>
  </si>
  <si>
    <t>nhelkine9@example.com</t>
  </si>
  <si>
    <t>9 Loftsgordon Pass</t>
  </si>
  <si>
    <t>Pippo Witherington</t>
  </si>
  <si>
    <t>pwitheringtonea@networkadvertising.org</t>
  </si>
  <si>
    <t>+1 (810) 202-8870</t>
  </si>
  <si>
    <t>63 School Crossing</t>
  </si>
  <si>
    <t>Tildie Tilzey</t>
  </si>
  <si>
    <t>ttilzeyeb@hostgator.com</t>
  </si>
  <si>
    <t>+1 (314) 876-7205</t>
  </si>
  <si>
    <t>2812 Westend Hill</t>
  </si>
  <si>
    <t>Cindra Burling</t>
  </si>
  <si>
    <t>+1 (518) 562-5402</t>
  </si>
  <si>
    <t>5461 Anniversary Crossing</t>
  </si>
  <si>
    <t>Schenectady</t>
  </si>
  <si>
    <t>Channa Belamy</t>
  </si>
  <si>
    <t>+1 (863) 303-5561</t>
  </si>
  <si>
    <t>14 American Ash Parkway</t>
  </si>
  <si>
    <t>Lakeland</t>
  </si>
  <si>
    <t>Karl Imorts</t>
  </si>
  <si>
    <t>kimortsee@alexa.com</t>
  </si>
  <si>
    <t>+1 (321) 156-1160</t>
  </si>
  <si>
    <t>250 Elmside Junction</t>
  </si>
  <si>
    <t>Melbourne</t>
  </si>
  <si>
    <t>44086-16292-EU</t>
  </si>
  <si>
    <t>Philippine Starte</t>
  </si>
  <si>
    <t>pstarteef@accuweather.com</t>
  </si>
  <si>
    <t>+1 (713) 329-2578</t>
  </si>
  <si>
    <t>2904 Monterey Plaza</t>
  </si>
  <si>
    <t>Mag Armistead</t>
  </si>
  <si>
    <t>marmisteadeg@blogtalkradio.com</t>
  </si>
  <si>
    <t>+1 (504) 611-3400</t>
  </si>
  <si>
    <t>805 Kenwood Plaza</t>
  </si>
  <si>
    <t>15451-65859-BG</t>
  </si>
  <si>
    <t>Janela Lemerle</t>
  </si>
  <si>
    <t>jlemerleeh@ustream.tv</t>
  </si>
  <si>
    <t>+1 (405) 469-7785</t>
  </si>
  <si>
    <t>1 Myrtle Hill</t>
  </si>
  <si>
    <t>Vasili Upstone</t>
  </si>
  <si>
    <t>vupstoneei@google.pl</t>
  </si>
  <si>
    <t>+1 (785) 366-9983</t>
  </si>
  <si>
    <t>7 Dunning Trail</t>
  </si>
  <si>
    <t>Berty Beelby</t>
  </si>
  <si>
    <t>bbeelbyej@rediff.com</t>
  </si>
  <si>
    <t>+353 (537) 360-4393</t>
  </si>
  <si>
    <t>844 Sachs Avenue</t>
  </si>
  <si>
    <t>Lucan</t>
  </si>
  <si>
    <t>Erny Stenyng</t>
  </si>
  <si>
    <t>+1 (217) 450-8384</t>
  </si>
  <si>
    <t>8 Pond Parkway</t>
  </si>
  <si>
    <t>Edin Yantsurev</t>
  </si>
  <si>
    <t>+1 (856) 793-3491</t>
  </si>
  <si>
    <t>208 Main Park</t>
  </si>
  <si>
    <t>Camden</t>
  </si>
  <si>
    <t>Webb Speechly</t>
  </si>
  <si>
    <t>wspeechlyem@amazon.com</t>
  </si>
  <si>
    <t>+1 (206) 440-5750</t>
  </si>
  <si>
    <t>5 Helena Center</t>
  </si>
  <si>
    <t>Irvine Phillpot</t>
  </si>
  <si>
    <t>iphillpoten@buzzfeed.com</t>
  </si>
  <si>
    <t>+44 (610) 826-3107</t>
  </si>
  <si>
    <t>07208 Eastlawn Drive</t>
  </si>
  <si>
    <t>Lem Pennacci</t>
  </si>
  <si>
    <t>lpennaccieo@statcounter.com</t>
  </si>
  <si>
    <t>+1 (254) 597-0519</t>
  </si>
  <si>
    <t>23 Kinsman Way</t>
  </si>
  <si>
    <t>Waco</t>
  </si>
  <si>
    <t>Starr Arpin</t>
  </si>
  <si>
    <t>sarpinep@moonfruit.com</t>
  </si>
  <si>
    <t>+1 (804) 588-4160</t>
  </si>
  <si>
    <t>12 Bobwhite Road</t>
  </si>
  <si>
    <t>Donny Fries</t>
  </si>
  <si>
    <t>dfrieseq@cargocollective.com</t>
  </si>
  <si>
    <t>+1 (419) 138-9171</t>
  </si>
  <si>
    <t>404 Granby Trail</t>
  </si>
  <si>
    <t>Rana Sharer</t>
  </si>
  <si>
    <t>rsharerer@flavors.me</t>
  </si>
  <si>
    <t>+1 (304) 632-1951</t>
  </si>
  <si>
    <t>0 Granby Parkway</t>
  </si>
  <si>
    <t>Nannie Naseby</t>
  </si>
  <si>
    <t>nnasebyes@umich.edu</t>
  </si>
  <si>
    <t>+1 (407) 225-7234</t>
  </si>
  <si>
    <t>84666 Melvin Street</t>
  </si>
  <si>
    <t>Winter Haven</t>
  </si>
  <si>
    <t>Rea Offell</t>
  </si>
  <si>
    <t>+1 (214) 171-1701</t>
  </si>
  <si>
    <t>3356 Ruskin Way</t>
  </si>
  <si>
    <t>Kris O'Cullen</t>
  </si>
  <si>
    <t>koculleneu@ca.gov</t>
  </si>
  <si>
    <t>+353 (284) 183-7528</t>
  </si>
  <si>
    <t>39 Chinook Crossing</t>
  </si>
  <si>
    <t>Timoteo Glisane</t>
  </si>
  <si>
    <t>+353 (316) 279-4429</t>
  </si>
  <si>
    <t>2 Coolidge Crossing</t>
  </si>
  <si>
    <t>59361-00606-CU</t>
  </si>
  <si>
    <t>Wyatan Cokly</t>
  </si>
  <si>
    <t>wcoklyew@acquirethisname.com</t>
  </si>
  <si>
    <t>+1 (614) 162-7928</t>
  </si>
  <si>
    <t>51 Browning Park</t>
  </si>
  <si>
    <t>Hildegarde Brangan</t>
  </si>
  <si>
    <t>hbranganex@woothemes.com</t>
  </si>
  <si>
    <t>5 Pleasure Junction</t>
  </si>
  <si>
    <t>Amii Gallyon</t>
  </si>
  <si>
    <t>agallyoney@engadget.com</t>
  </si>
  <si>
    <t>229 Spohn Center</t>
  </si>
  <si>
    <t>Naperville</t>
  </si>
  <si>
    <t>Birgit Domange</t>
  </si>
  <si>
    <t>bdomangeez@yahoo.co.jp</t>
  </si>
  <si>
    <t>5 Sherman Drive</t>
  </si>
  <si>
    <t>Killian Osler</t>
  </si>
  <si>
    <t>koslerf0@gmpg.org</t>
  </si>
  <si>
    <t>+1 (517) 647-5356</t>
  </si>
  <si>
    <t>81 Stuart Street</t>
  </si>
  <si>
    <t>Lora Dukes</t>
  </si>
  <si>
    <t>+353 (963) 987-6580</t>
  </si>
  <si>
    <t>4 Lakewood Gardens Lane</t>
  </si>
  <si>
    <t>Boyle</t>
  </si>
  <si>
    <t>Zack Pellett</t>
  </si>
  <si>
    <t>zpellettf2@dailymotion.com</t>
  </si>
  <si>
    <t>+1 (318) 218-5955</t>
  </si>
  <si>
    <t>0 Lukken Court</t>
  </si>
  <si>
    <t>Ilaire Sprakes</t>
  </si>
  <si>
    <t>isprakesf3@spiegel.de</t>
  </si>
  <si>
    <t>+1 (408) 319-9787</t>
  </si>
  <si>
    <t>1969 Lakeland Avenue</t>
  </si>
  <si>
    <t>Heda Fromant</t>
  </si>
  <si>
    <t>hfromantf4@ucsd.edu</t>
  </si>
  <si>
    <t>+1 (610) 156-1700</t>
  </si>
  <si>
    <t>3341 Cascade Park</t>
  </si>
  <si>
    <t>Rufus Flear</t>
  </si>
  <si>
    <t>rflearf5@artisteer.com</t>
  </si>
  <si>
    <t>+44 (271) 881-4912</t>
  </si>
  <si>
    <t>30 Mayer Terrace</t>
  </si>
  <si>
    <t>Dom Milella</t>
  </si>
  <si>
    <t>+353 (361) 732-3444</t>
  </si>
  <si>
    <t>87 Cascade Crossing</t>
  </si>
  <si>
    <t>Manorhamilton</t>
  </si>
  <si>
    <t>H16</t>
  </si>
  <si>
    <t>64247-71448-NK</t>
  </si>
  <si>
    <t>Almire MacAless</t>
  </si>
  <si>
    <t>+1 (410) 274-0692</t>
  </si>
  <si>
    <t>897 Del Mar Center</t>
  </si>
  <si>
    <t>Bette-ann Munden</t>
  </si>
  <si>
    <t>bmundenf8@elpais.com</t>
  </si>
  <si>
    <t>+1 (405) 290-3207</t>
  </si>
  <si>
    <t>465 Oxford Street</t>
  </si>
  <si>
    <t>Wilek Lightollers</t>
  </si>
  <si>
    <t>wlightollersf9@baidu.com</t>
  </si>
  <si>
    <t>+1 (646) 793-8756</t>
  </si>
  <si>
    <t>8 Sunnyside Lane</t>
  </si>
  <si>
    <t>Nick Brakespear</t>
  </si>
  <si>
    <t>nbrakespearfa@rediff.com</t>
  </si>
  <si>
    <t>+1 (973) 380-3976</t>
  </si>
  <si>
    <t>2 Jenna Hill</t>
  </si>
  <si>
    <t>Malynda Glawsop</t>
  </si>
  <si>
    <t>mglawsopfb@reverbnation.com</t>
  </si>
  <si>
    <t>+1 (203) 608-9937</t>
  </si>
  <si>
    <t>682 Express Court</t>
  </si>
  <si>
    <t>Granville Alberts</t>
  </si>
  <si>
    <t>galbertsfc@etsy.com</t>
  </si>
  <si>
    <t>+44 (788) 686-0408</t>
  </si>
  <si>
    <t>0 Pierstorff Center</t>
  </si>
  <si>
    <t>Vasily Polglase</t>
  </si>
  <si>
    <t>vpolglasefd@about.me</t>
  </si>
  <si>
    <t>63 Maryland Trail</t>
  </si>
  <si>
    <t>Madelaine Sharples</t>
  </si>
  <si>
    <t>+44 (572) 727-1868</t>
  </si>
  <si>
    <t>0 Mayfield Avenue</t>
  </si>
  <si>
    <t>IV1</t>
  </si>
  <si>
    <t>Sigfrid Busch</t>
  </si>
  <si>
    <t>sbuschff@so-net.ne.jp</t>
  </si>
  <si>
    <t>+353 (953) 333-8754</t>
  </si>
  <si>
    <t>6666 Express Pass</t>
  </si>
  <si>
    <t>Bantry</t>
  </si>
  <si>
    <t>P75</t>
  </si>
  <si>
    <t>Cissiee Raisbeck</t>
  </si>
  <si>
    <t>craisbeckfg@webnode.com</t>
  </si>
  <si>
    <t>8026 Nobel Parkway</t>
  </si>
  <si>
    <t>30256-29772-KK</t>
  </si>
  <si>
    <t>Leslie Laughton</t>
  </si>
  <si>
    <t>+1 (321) 828-8078</t>
  </si>
  <si>
    <t>79 Acker Point</t>
  </si>
  <si>
    <t>Orlando</t>
  </si>
  <si>
    <t>Kenton Wetherick</t>
  </si>
  <si>
    <t>+1 (859) 628-7241</t>
  </si>
  <si>
    <t>6976 Knutson Lane</t>
  </si>
  <si>
    <t>Reamonn Aynold</t>
  </si>
  <si>
    <t>raynoldfj@ustream.tv</t>
  </si>
  <si>
    <t>+1 (414) 429-0919</t>
  </si>
  <si>
    <t>0380 Orin Road</t>
  </si>
  <si>
    <t>Hatty Dovydenas</t>
  </si>
  <si>
    <t>+1 (281) 416-9557</t>
  </si>
  <si>
    <t>227 Huxley Hill</t>
  </si>
  <si>
    <t>Amarillo</t>
  </si>
  <si>
    <t>Nathaniel Bloxland</t>
  </si>
  <si>
    <t>+353 (652) 208-7526</t>
  </si>
  <si>
    <t>04385 Tony Alley</t>
  </si>
  <si>
    <t>Daingean</t>
  </si>
  <si>
    <t>E91</t>
  </si>
  <si>
    <t>Brendan Grece</t>
  </si>
  <si>
    <t>bgrecefm@naver.com</t>
  </si>
  <si>
    <t>+44 (933) 508-3795</t>
  </si>
  <si>
    <t>5 Butterfield Plaza</t>
  </si>
  <si>
    <t>Halton</t>
  </si>
  <si>
    <t>LS9</t>
  </si>
  <si>
    <t>11107-57605-HS</t>
  </si>
  <si>
    <t>Steffie Maddrell</t>
  </si>
  <si>
    <t>smaddrellfn@123-reg.co.uk</t>
  </si>
  <si>
    <t>+1 (770) 714-7866</t>
  </si>
  <si>
    <t>39 Shasta Way</t>
  </si>
  <si>
    <t>Abbe Thys</t>
  </si>
  <si>
    <t>athysfo@cdc.gov</t>
  </si>
  <si>
    <t>+1 (865) 217-6208</t>
  </si>
  <si>
    <t>847 Sloan Parkway</t>
  </si>
  <si>
    <t>Jackquelin Chugg</t>
  </si>
  <si>
    <t>jchuggfp@about.me</t>
  </si>
  <si>
    <t>+1 (913) 466-8319</t>
  </si>
  <si>
    <t>973 Kings Hill</t>
  </si>
  <si>
    <t>Audra Kelston</t>
  </si>
  <si>
    <t>akelstonfq@sakura.ne.jp</t>
  </si>
  <si>
    <t>+1 (954) 981-8804</t>
  </si>
  <si>
    <t>9522 Oak Valley Way</t>
  </si>
  <si>
    <t>Elvina Angel</t>
  </si>
  <si>
    <t>+353 (921) 742-1111</t>
  </si>
  <si>
    <t>4 Hanson Parkway</t>
  </si>
  <si>
    <t>Claiborne Mottram</t>
  </si>
  <si>
    <t>cmottramfs@harvard.edu</t>
  </si>
  <si>
    <t>+1 (512) 333-9861</t>
  </si>
  <si>
    <t>5 Monument Point</t>
  </si>
  <si>
    <t>66005-20240-MI</t>
  </si>
  <si>
    <t>Dilly Marrison</t>
  </si>
  <si>
    <t>dmarrisonft@geocities.jp</t>
  </si>
  <si>
    <t>+1 (216) 996-5932</t>
  </si>
  <si>
    <t>23 Hallows Plaza</t>
  </si>
  <si>
    <t>Donalt Sangwin</t>
  </si>
  <si>
    <t>dsangwinfu@weebly.com</t>
  </si>
  <si>
    <t>+1 (301) 879-4079</t>
  </si>
  <si>
    <t>47 Granby Junction</t>
  </si>
  <si>
    <t>Hyattsville</t>
  </si>
  <si>
    <t>Elizabet Aizikowitz</t>
  </si>
  <si>
    <t>eaizikowitzfv@virginia.edu</t>
  </si>
  <si>
    <t>+44 (148) 635-3706</t>
  </si>
  <si>
    <t>7835 Namekagon Alley</t>
  </si>
  <si>
    <t>Ashley</t>
  </si>
  <si>
    <t>SN13</t>
  </si>
  <si>
    <t>Herbie Peppard</t>
  </si>
  <si>
    <t>2 International Lane</t>
  </si>
  <si>
    <t>Cornie Venour</t>
  </si>
  <si>
    <t>cvenourfx@ask.com</t>
  </si>
  <si>
    <t>+1 (318) 578-8039</t>
  </si>
  <si>
    <t>90 Commercial Pass</t>
  </si>
  <si>
    <t>Maggy Harby</t>
  </si>
  <si>
    <t>mharbyfy@163.com</t>
  </si>
  <si>
    <t>69 Jackson Junction</t>
  </si>
  <si>
    <t>Reggie Thickpenny</t>
  </si>
  <si>
    <t>rthickpennyfz@cafepress.com</t>
  </si>
  <si>
    <t>+1 (213) 234-9242</t>
  </si>
  <si>
    <t>791 School Center</t>
  </si>
  <si>
    <t>Phyllys Ormerod</t>
  </si>
  <si>
    <t>pormerodg0@redcross.org</t>
  </si>
  <si>
    <t>+1 (919) 491-2772</t>
  </si>
  <si>
    <t>04 Arrowood Court</t>
  </si>
  <si>
    <t>Durham</t>
  </si>
  <si>
    <t>Don Flintiff</t>
  </si>
  <si>
    <t>dflintiffg1@e-recht24.de</t>
  </si>
  <si>
    <t>7 Helena Junction</t>
  </si>
  <si>
    <t>London</t>
  </si>
  <si>
    <t>WC1B</t>
  </si>
  <si>
    <t>Tymon Zanetti</t>
  </si>
  <si>
    <t>tzanettig2@gravatar.com</t>
  </si>
  <si>
    <t>+353 (351) 897-2630</t>
  </si>
  <si>
    <t>561 Cherokee Trail</t>
  </si>
  <si>
    <t>Loughrea</t>
  </si>
  <si>
    <t>H62</t>
  </si>
  <si>
    <t>09530-56210-WO</t>
  </si>
  <si>
    <t>Bili Follet</t>
  </si>
  <si>
    <t>bfolletg3@a8.net</t>
  </si>
  <si>
    <t>+353 (147) 609-3789</t>
  </si>
  <si>
    <t>91 Darwin Circle</t>
  </si>
  <si>
    <t>Reinaldos Kirtley</t>
  </si>
  <si>
    <t>rkirtleyg4@hatena.ne.jp</t>
  </si>
  <si>
    <t>+1 (626) 635-6367</t>
  </si>
  <si>
    <t>6356 Di Loreto Road</t>
  </si>
  <si>
    <t>Carney Clemencet</t>
  </si>
  <si>
    <t>cclemencetg5@weather.com</t>
  </si>
  <si>
    <t>09240 Arkansas Point</t>
  </si>
  <si>
    <t>Russell Donet</t>
  </si>
  <si>
    <t>rdonetg6@oakley.com</t>
  </si>
  <si>
    <t>+1 (804) 583-2067</t>
  </si>
  <si>
    <t>1 Petterle Terrace</t>
  </si>
  <si>
    <t>Sidney Gawen</t>
  </si>
  <si>
    <t>sgaweng7@creativecommons.org</t>
  </si>
  <si>
    <t>+1 (571) 317-3089</t>
  </si>
  <si>
    <t>9231 Stang Drive</t>
  </si>
  <si>
    <t>Rickey Readie</t>
  </si>
  <si>
    <t>rreadieg8@guardian.co.uk</t>
  </si>
  <si>
    <t>+1 (775) 993-8273</t>
  </si>
  <si>
    <t>8 Everett Court</t>
  </si>
  <si>
    <t>64328-37891-JA</t>
  </si>
  <si>
    <t>Conchita Dietzler</t>
  </si>
  <si>
    <t>cdietzlerg9@goo.gl</t>
  </si>
  <si>
    <t>+353 (428) 656-7060</t>
  </si>
  <si>
    <t>1 Thierer Parkway</t>
  </si>
  <si>
    <t>Zilvia Claisse</t>
  </si>
  <si>
    <t>+1 (612) 477-9298</t>
  </si>
  <si>
    <t>529 Judy Circle</t>
  </si>
  <si>
    <t>Bar O' Mahony</t>
  </si>
  <si>
    <t>bogb@elpais.com</t>
  </si>
  <si>
    <t>478 Harper Junction</t>
  </si>
  <si>
    <t>Valenka Stansbury</t>
  </si>
  <si>
    <t>vstansburygc@unblog.fr</t>
  </si>
  <si>
    <t>+1 (915) 530-3435</t>
  </si>
  <si>
    <t>10283 Ramsey Hill</t>
  </si>
  <si>
    <t>Daniel Heinonen</t>
  </si>
  <si>
    <t>dheinonengd@printfriendly.com</t>
  </si>
  <si>
    <t>715 Kropf Hill</t>
  </si>
  <si>
    <t>Decatur</t>
  </si>
  <si>
    <t>Jewelle Shenton</t>
  </si>
  <si>
    <t>jshentonge@google.com.hk</t>
  </si>
  <si>
    <t>+1 (650) 712-0135</t>
  </si>
  <si>
    <t>46367 Waubesa Hill</t>
  </si>
  <si>
    <t>Jennifer Wilkisson</t>
  </si>
  <si>
    <t>jwilkissongf@nba.com</t>
  </si>
  <si>
    <t>26051 Golf Course Road</t>
  </si>
  <si>
    <t>Huntington Beach</t>
  </si>
  <si>
    <t>Kylie Mowat</t>
  </si>
  <si>
    <t>+1 (206) 275-3973</t>
  </si>
  <si>
    <t>06512 Shopko Court</t>
  </si>
  <si>
    <t>Cody Verissimo</t>
  </si>
  <si>
    <t>cverissimogh@theglobeandmail.com</t>
  </si>
  <si>
    <t>18 Bluestem Avenue</t>
  </si>
  <si>
    <t>Gabriel Starcks</t>
  </si>
  <si>
    <t>gstarcksgi@abc.net.au</t>
  </si>
  <si>
    <t>+1 (423) 903-3146</t>
  </si>
  <si>
    <t>5 Northland Alley</t>
  </si>
  <si>
    <t>Darby Dummer</t>
  </si>
  <si>
    <t>6664 Huxley Place</t>
  </si>
  <si>
    <t>Manchester</t>
  </si>
  <si>
    <t>M14</t>
  </si>
  <si>
    <t>Kienan Scholard</t>
  </si>
  <si>
    <t>kscholardgk@sbwire.com</t>
  </si>
  <si>
    <t>+1 (614) 199-9032</t>
  </si>
  <si>
    <t>47910 Longview Place</t>
  </si>
  <si>
    <t>Bo Kindley</t>
  </si>
  <si>
    <t>bkindleygl@wikimedia.org</t>
  </si>
  <si>
    <t>+1 (650) 799-2315</t>
  </si>
  <si>
    <t>2 Village Plaza</t>
  </si>
  <si>
    <t>Krissie Hammett</t>
  </si>
  <si>
    <t>khammettgm@dmoz.org</t>
  </si>
  <si>
    <t>+1 (415) 825-4799</t>
  </si>
  <si>
    <t>798 Grover Lane</t>
  </si>
  <si>
    <t>Alisha Hulburt</t>
  </si>
  <si>
    <t>ahulburtgn@fda.gov</t>
  </si>
  <si>
    <t>7997 Artisan Crossing</t>
  </si>
  <si>
    <t>Peyter Lauritzen</t>
  </si>
  <si>
    <t>plauritzengo@photobucket.com</t>
  </si>
  <si>
    <t>+1 (215) 308-0788</t>
  </si>
  <si>
    <t>833 Monument Circle</t>
  </si>
  <si>
    <t>Aurelia Burgwin</t>
  </si>
  <si>
    <t>aburgwingp@redcross.org</t>
  </si>
  <si>
    <t>+1 (314) 407-3962</t>
  </si>
  <si>
    <t>0 Amoth Alley</t>
  </si>
  <si>
    <t>Emalee Rolin</t>
  </si>
  <si>
    <t>erolingq@google.fr</t>
  </si>
  <si>
    <t>+1 (419) 597-8743</t>
  </si>
  <si>
    <t>2 Merry Center</t>
  </si>
  <si>
    <t>Donavon Fowle</t>
  </si>
  <si>
    <t>dfowlegr@epa.gov</t>
  </si>
  <si>
    <t>1 Mockingbird Trail</t>
  </si>
  <si>
    <t>Jorge Bettison</t>
  </si>
  <si>
    <t>+353 (782) 457-9198</t>
  </si>
  <si>
    <t>3336 Lien Plaza</t>
  </si>
  <si>
    <t>Wang Powlesland</t>
  </si>
  <si>
    <t>wpowleslandgt@soundcloud.com</t>
  </si>
  <si>
    <t>+1 (412) 453-4798</t>
  </si>
  <si>
    <t>2 Novick Junction</t>
  </si>
  <si>
    <t>Pittsburgh</t>
  </si>
  <si>
    <t>73171-33001-FC</t>
  </si>
  <si>
    <t>Brendin Peattie</t>
  </si>
  <si>
    <t>bpeattiegu@imgur.com</t>
  </si>
  <si>
    <t>+1 (954) 385-1889</t>
  </si>
  <si>
    <t>4135 Burrows Court</t>
  </si>
  <si>
    <t>Laurence Ellingham</t>
  </si>
  <si>
    <t>lellinghamgv@sciencedaily.com</t>
  </si>
  <si>
    <t>+1 (318) 670-8027</t>
  </si>
  <si>
    <t>4286 Kingsford Crossing</t>
  </si>
  <si>
    <t>Billy Neiland</t>
  </si>
  <si>
    <t>02971 Alpine Court</t>
  </si>
  <si>
    <t>Ancell Fendt</t>
  </si>
  <si>
    <t>afendtgx@forbes.com</t>
  </si>
  <si>
    <t>+1 (414) 811-7606</t>
  </si>
  <si>
    <t>6 Rutledge Trail</t>
  </si>
  <si>
    <t>Angelia Cleyburn</t>
  </si>
  <si>
    <t>acleyburngy@lycos.com</t>
  </si>
  <si>
    <t>+1 (754) 355-3802</t>
  </si>
  <si>
    <t>45127 Melvin Avenue</t>
  </si>
  <si>
    <t>Temple Castiglione</t>
  </si>
  <si>
    <t>tcastiglionegz@xing.com</t>
  </si>
  <si>
    <t>+1 (318) 820-6128</t>
  </si>
  <si>
    <t>0915 Novick Avenue</t>
  </si>
  <si>
    <t>Betti Lacasa</t>
  </si>
  <si>
    <t>+353 (930) 704-1778</t>
  </si>
  <si>
    <t>4 Lindbergh Trail</t>
  </si>
  <si>
    <t>Gunilla Lynch</t>
  </si>
  <si>
    <t>+1 (916) 626-5223</t>
  </si>
  <si>
    <t>9945 Eagan Circle</t>
  </si>
  <si>
    <t>62762-19458-UY</t>
  </si>
  <si>
    <t>Vita Pummery</t>
  </si>
  <si>
    <t>+1 (615) 549-8774</t>
  </si>
  <si>
    <t>999 Sachtjen Avenue</t>
  </si>
  <si>
    <t>Shay Couronne</t>
  </si>
  <si>
    <t>scouronneh3@mozilla.org</t>
  </si>
  <si>
    <t>+1 (701) 894-8081</t>
  </si>
  <si>
    <t>67 David Lane</t>
  </si>
  <si>
    <t>Linus Flippelli</t>
  </si>
  <si>
    <t>lflippellih4@github.io</t>
  </si>
  <si>
    <t>+44 (200) 860-6521</t>
  </si>
  <si>
    <t>3657 International Terrace</t>
  </si>
  <si>
    <t>Middleton</t>
  </si>
  <si>
    <t>LE16</t>
  </si>
  <si>
    <t>Rachelle Elizabeth</t>
  </si>
  <si>
    <t>relizabethh5@live.com</t>
  </si>
  <si>
    <t>+1 (918) 203-3263</t>
  </si>
  <si>
    <t>2668 Dixon Plaza</t>
  </si>
  <si>
    <t>Innis Renhard</t>
  </si>
  <si>
    <t>irenhardh6@i2i.jp</t>
  </si>
  <si>
    <t>+1 (646) 225-6560</t>
  </si>
  <si>
    <t>73184 Fieldstone Junction</t>
  </si>
  <si>
    <t>Winne Roche</t>
  </si>
  <si>
    <t>wrocheh7@xinhuanet.com</t>
  </si>
  <si>
    <t>+1 (317) 439-5584</t>
  </si>
  <si>
    <t>378 Scofield Place</t>
  </si>
  <si>
    <t>Seminole</t>
  </si>
  <si>
    <t>94022-69223-DP</t>
  </si>
  <si>
    <t>Josy Bus</t>
  </si>
  <si>
    <t>jbush8@guardian.co.uk</t>
  </si>
  <si>
    <t>+353 (439) 947-1816</t>
  </si>
  <si>
    <t>548 Melvin Pass</t>
  </si>
  <si>
    <t>Cordy Odgaard</t>
  </si>
  <si>
    <t>codgaardh9@nsw.gov.au</t>
  </si>
  <si>
    <t>+1 (503) 203-1484</t>
  </si>
  <si>
    <t>5 Florence Court</t>
  </si>
  <si>
    <t>Bertine Byrd</t>
  </si>
  <si>
    <t>bbyrdha@4shared.com</t>
  </si>
  <si>
    <t>3482 Morning Circle</t>
  </si>
  <si>
    <t>Nelie Garnson</t>
  </si>
  <si>
    <t>+44 (141) 640-7113</t>
  </si>
  <si>
    <t>821 Annamark Park</t>
  </si>
  <si>
    <t>Merton</t>
  </si>
  <si>
    <t>SW19</t>
  </si>
  <si>
    <t>Dianne Chardin</t>
  </si>
  <si>
    <t>dchardinhc@nhs.uk</t>
  </si>
  <si>
    <t>6495 Warrior Point</t>
  </si>
  <si>
    <t>Ballybofey</t>
  </si>
  <si>
    <t>V23</t>
  </si>
  <si>
    <t>Hailee Radbone</t>
  </si>
  <si>
    <t>hradbonehd@newsvine.com</t>
  </si>
  <si>
    <t>+1 (415) 968-9559</t>
  </si>
  <si>
    <t>265 Maple Parkway</t>
  </si>
  <si>
    <t>Wallis Bernth</t>
  </si>
  <si>
    <t>wbernthhe@miitbeian.gov.cn</t>
  </si>
  <si>
    <t>+1 (412) 597-3861</t>
  </si>
  <si>
    <t>5 Ramsey Plaza</t>
  </si>
  <si>
    <t>Byron Acarson</t>
  </si>
  <si>
    <t>bacarsonhf@cnn.com</t>
  </si>
  <si>
    <t>+1 (713) 418-6385</t>
  </si>
  <si>
    <t>0 Bay Center</t>
  </si>
  <si>
    <t>Faunie Brigham</t>
  </si>
  <si>
    <t>fbrighamhg@blog.com</t>
  </si>
  <si>
    <t>+353 (620) 657-2946</t>
  </si>
  <si>
    <t>7246 Green Pass</t>
  </si>
  <si>
    <t>Castlerea</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</si>
  <si>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</si>
  <si>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</si>
  <si>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</si>
  <si>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</si>
  <si>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</si>
  <si>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</si>
  <si>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</si>
  <si>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</si>
  <si>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</si>
  <si>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</si>
  <si>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</si>
  <si>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</si>
  <si>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</si>
  <si>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Marjorie Yoxen</t>
  </si>
  <si>
    <t>myoxenhk@google.com</t>
  </si>
  <si>
    <t>+1 (213) 241-8051</t>
  </si>
  <si>
    <t>84 Oak Valley Drive</t>
  </si>
  <si>
    <t>Gaspar McGavin</t>
  </si>
  <si>
    <t>gmcgavinhl@histats.com</t>
  </si>
  <si>
    <t>+1 (570) 745-7589</t>
  </si>
  <si>
    <t>573 Anhalt Park</t>
  </si>
  <si>
    <t>Lindy Uttermare</t>
  </si>
  <si>
    <t>luttermarehm@engadget.com</t>
  </si>
  <si>
    <t>+1 (817) 793-6871</t>
  </si>
  <si>
    <t>77 Lake View Road</t>
  </si>
  <si>
    <t>Eal D'Ambrogio</t>
  </si>
  <si>
    <t>edambrogiohn@techcrunch.com</t>
  </si>
  <si>
    <t>+1 (816) 196-1729</t>
  </si>
  <si>
    <t>32 Darwin Court</t>
  </si>
  <si>
    <t>Carolee Winchcombe</t>
  </si>
  <si>
    <t>cwinchcombeho@jiathis.com</t>
  </si>
  <si>
    <t>+1 (501) 772-4397</t>
  </si>
  <si>
    <t>687 Bluestem Point</t>
  </si>
  <si>
    <t>Benedikta Paumier</t>
  </si>
  <si>
    <t>bpaumierhp@umn.edu</t>
  </si>
  <si>
    <t>+353 (777) 856-8236</t>
  </si>
  <si>
    <t>319 Carioca Alley</t>
  </si>
  <si>
    <t>Ballisodare</t>
  </si>
  <si>
    <t>Neville Piatto</t>
  </si>
  <si>
    <t>+353 (573) 561-9754</t>
  </si>
  <si>
    <t>118 Vermont Junction</t>
  </si>
  <si>
    <t>Jeno Capey</t>
  </si>
  <si>
    <t>jcapeyhr@bravesites.com</t>
  </si>
  <si>
    <t>+1 (814) 974-7878</t>
  </si>
  <si>
    <t>9 Evergreen Circle</t>
  </si>
  <si>
    <t>05503-73375-RU</t>
  </si>
  <si>
    <t>Carmella Bruffell</t>
  </si>
  <si>
    <t>+44 (138) 190-7521</t>
  </si>
  <si>
    <t>996 Meadow Valley Point</t>
  </si>
  <si>
    <t>Yardley Basill</t>
  </si>
  <si>
    <t>ybasillht@theguardian.com</t>
  </si>
  <si>
    <t>+1 (412) 297-2806</t>
  </si>
  <si>
    <t>10675 Loomis Place</t>
  </si>
  <si>
    <t>Maggy Baistow</t>
  </si>
  <si>
    <t>mbaistowhu@i2i.jp</t>
  </si>
  <si>
    <t>+44 (876) 508-3376</t>
  </si>
  <si>
    <t>9531 Dexter Drive</t>
  </si>
  <si>
    <t>Ford</t>
  </si>
  <si>
    <t>GL54</t>
  </si>
  <si>
    <t>Courtney Pallant</t>
  </si>
  <si>
    <t>cpallanthv@typepad.com</t>
  </si>
  <si>
    <t>117 American Ash Crossing</t>
  </si>
  <si>
    <t>Marne Mingey</t>
  </si>
  <si>
    <t>+1 (786) 445-8879</t>
  </si>
  <si>
    <t>7 South Parkway</t>
  </si>
  <si>
    <t>Denny O' Ronan</t>
  </si>
  <si>
    <t>dohx@redcross.org</t>
  </si>
  <si>
    <t>+1 (325) 276-3690</t>
  </si>
  <si>
    <t>92 Kingsford Court</t>
  </si>
  <si>
    <t>San Angelo</t>
  </si>
  <si>
    <t>Dottie Rallin</t>
  </si>
  <si>
    <t>drallinhy@howstuffworks.com</t>
  </si>
  <si>
    <t>+1 (518) 981-1531</t>
  </si>
  <si>
    <t>13617 Harbort Lane</t>
  </si>
  <si>
    <t>Ardith Chill</t>
  </si>
  <si>
    <t>achillhz@epa.gov</t>
  </si>
  <si>
    <t>+44 (411) 344-1320</t>
  </si>
  <si>
    <t>677 Bartillon Avenue</t>
  </si>
  <si>
    <t>Thorpe</t>
  </si>
  <si>
    <t>BD23</t>
  </si>
  <si>
    <t>Tuckie Mathonnet</t>
  </si>
  <si>
    <t>tmathonneti0@google.co.jp</t>
  </si>
  <si>
    <t>+1 (614) 781-0396</t>
  </si>
  <si>
    <t>407 Roth Circle</t>
  </si>
  <si>
    <t>Charmane Denys</t>
  </si>
  <si>
    <t>cdenysi1@is.gd</t>
  </si>
  <si>
    <t>+44 (341) 297-2539</t>
  </si>
  <si>
    <t>480 Shopko Street</t>
  </si>
  <si>
    <t>Carlton</t>
  </si>
  <si>
    <t>DL8</t>
  </si>
  <si>
    <t>Cecily Stebbings</t>
  </si>
  <si>
    <t>cstebbingsi2@drupal.org</t>
  </si>
  <si>
    <t>+1 (951) 986-4062</t>
  </si>
  <si>
    <t>6 Green Ridge Drive</t>
  </si>
  <si>
    <t>Giana Tonnesen</t>
  </si>
  <si>
    <t>+1 (202) 931-2413</t>
  </si>
  <si>
    <t>041 Lighthouse Bay Center</t>
  </si>
  <si>
    <t>Rhetta Zywicki</t>
  </si>
  <si>
    <t>rzywickii4@ifeng.com</t>
  </si>
  <si>
    <t>18 Ruskin Plaza</t>
  </si>
  <si>
    <t>Ballinteer</t>
  </si>
  <si>
    <t>Almeria Burgett</t>
  </si>
  <si>
    <t>aburgetti5@moonfruit.com</t>
  </si>
  <si>
    <t>+1 (419) 372-4746</t>
  </si>
  <si>
    <t>50879 Reindahl Road</t>
  </si>
  <si>
    <t>Marvin Malloy</t>
  </si>
  <si>
    <t>mmalloyi6@seattletimes.com</t>
  </si>
  <si>
    <t>+1 (202) 284-7115</t>
  </si>
  <si>
    <t>2 Ohio Drive</t>
  </si>
  <si>
    <t>Maxim McParland</t>
  </si>
  <si>
    <t>mmcparlandi7@w3.org</t>
  </si>
  <si>
    <t>17 Valley Edge Terrace</t>
  </si>
  <si>
    <t>Cedar Rapids</t>
  </si>
  <si>
    <t>Sylas Jennaroy</t>
  </si>
  <si>
    <t>sjennaroyi8@purevolume.com</t>
  </si>
  <si>
    <t>22 South Court</t>
  </si>
  <si>
    <t>Wren Place</t>
  </si>
  <si>
    <t>wplacei9@wsj.com</t>
  </si>
  <si>
    <t>+1 (408) 106-8863</t>
  </si>
  <si>
    <t>9 Artisan Avenue</t>
  </si>
  <si>
    <t>Sunnyvale</t>
  </si>
  <si>
    <t>10248-53779-DT</t>
  </si>
  <si>
    <t>Hewitt Jarret</t>
  </si>
  <si>
    <t>88563 Veith Circle</t>
  </si>
  <si>
    <t>Dollie Gadsden</t>
  </si>
  <si>
    <t>dgadsdenib@google.com.hk</t>
  </si>
  <si>
    <t>+353 (847) 447-7835</t>
  </si>
  <si>
    <t>70 Ludington Terrace</t>
  </si>
  <si>
    <t>Cluain Meala</t>
  </si>
  <si>
    <t>Val Wakelin</t>
  </si>
  <si>
    <t>vwakelinic@unesco.org</t>
  </si>
  <si>
    <t>+1 (517) 163-7746</t>
  </si>
  <si>
    <t>2003 Muir Lane</t>
  </si>
  <si>
    <t>Annie Campsall</t>
  </si>
  <si>
    <t>acampsallid@zimbio.com</t>
  </si>
  <si>
    <t>+1 (713) 339-5547</t>
  </si>
  <si>
    <t>52003 Burning Wood Plaza</t>
  </si>
  <si>
    <t>Shermy Moseby</t>
  </si>
  <si>
    <t>smosebyie@stanford.edu</t>
  </si>
  <si>
    <t>463 Mandrake Terrace</t>
  </si>
  <si>
    <t>Murfreesboro</t>
  </si>
  <si>
    <t>Corrie Wass</t>
  </si>
  <si>
    <t>cwassif@prweb.com</t>
  </si>
  <si>
    <t>9978 Monterey Crossing</t>
  </si>
  <si>
    <t>Ira Sjostrom</t>
  </si>
  <si>
    <t>isjostromig@pbs.org</t>
  </si>
  <si>
    <t>+1 (814) 359-4610</t>
  </si>
  <si>
    <t>68502 Stoughton Court</t>
  </si>
  <si>
    <t>71845-97930-ME</t>
  </si>
  <si>
    <t>Helli Load</t>
  </si>
  <si>
    <t>hloadih@weibo.com</t>
  </si>
  <si>
    <t>+1 (601) 387-9366</t>
  </si>
  <si>
    <t>7062 Hollow Ridge Alley</t>
  </si>
  <si>
    <t>Jermaine Branchett</t>
  </si>
  <si>
    <t>jbranchettii@bravesites.com</t>
  </si>
  <si>
    <t>+1 (806) 376-6144</t>
  </si>
  <si>
    <t>55287 Atwood Alley</t>
  </si>
  <si>
    <t>Nissie Rudland</t>
  </si>
  <si>
    <t>nrudlandij@blogs.com</t>
  </si>
  <si>
    <t>+353 (445) 224-6111</t>
  </si>
  <si>
    <t>60371 Doe Crossing Place</t>
  </si>
  <si>
    <t>Gorey</t>
  </si>
  <si>
    <t>Janella Millett</t>
  </si>
  <si>
    <t>jmillettik@addtoany.com</t>
  </si>
  <si>
    <t>+1 (919) 302-3228</t>
  </si>
  <si>
    <t>3 Novick Alley</t>
  </si>
  <si>
    <t>Ferdie Tourry</t>
  </si>
  <si>
    <t>ftourryil@google.de</t>
  </si>
  <si>
    <t>+1 (843) 243-1686</t>
  </si>
  <si>
    <t>9422 Forest Dale Circle</t>
  </si>
  <si>
    <t>Florence</t>
  </si>
  <si>
    <t>Cecil Weatherall</t>
  </si>
  <si>
    <t>cweatherallim@toplist.cz</t>
  </si>
  <si>
    <t>+1 (315) 335-0182</t>
  </si>
  <si>
    <t>218 5th Plaza</t>
  </si>
  <si>
    <t>Syracuse</t>
  </si>
  <si>
    <t>Gale Heindrick</t>
  </si>
  <si>
    <t>gheindrickin@usda.gov</t>
  </si>
  <si>
    <t>+1 (229) 111-7292</t>
  </si>
  <si>
    <t>37 Schiller Place</t>
  </si>
  <si>
    <t>Layne Imason</t>
  </si>
  <si>
    <t>limasonio@discuz.net</t>
  </si>
  <si>
    <t>9 Village Green Parkway</t>
  </si>
  <si>
    <t>Hazel Saill</t>
  </si>
  <si>
    <t>hsaillip@odnoklassniki.ru</t>
  </si>
  <si>
    <t>+1 (913) 968-8024</t>
  </si>
  <si>
    <t>3186 Bay Lane</t>
  </si>
  <si>
    <t>Hermann Larvor</t>
  </si>
  <si>
    <t>hlarvoriq@last.fm</t>
  </si>
  <si>
    <t>+1 (941) 779-2195</t>
  </si>
  <si>
    <t>65129 Becker Drive</t>
  </si>
  <si>
    <t>Bradenton</t>
  </si>
  <si>
    <t>Terri Lyford</t>
  </si>
  <si>
    <t>+1 (610) 942-2790</t>
  </si>
  <si>
    <t>00 Buell Avenue</t>
  </si>
  <si>
    <t>Allentown</t>
  </si>
  <si>
    <t>Gabey Cogan</t>
  </si>
  <si>
    <t>+1 (757) 101-9459</t>
  </si>
  <si>
    <t>05001 Continental Crossing</t>
  </si>
  <si>
    <t>Hampton</t>
  </si>
  <si>
    <t>Charin Penwarden</t>
  </si>
  <si>
    <t>cpenwardenit@mlb.com</t>
  </si>
  <si>
    <t>+353 (765) 345-5590</t>
  </si>
  <si>
    <t>1 Nobel Terrace</t>
  </si>
  <si>
    <t>Milty Middis</t>
  </si>
  <si>
    <t>mmiddisiu@dmoz.org</t>
  </si>
  <si>
    <t>+1 (316) 736-9645</t>
  </si>
  <si>
    <t>8 Schiller Point</t>
  </si>
  <si>
    <t>Wichita</t>
  </si>
  <si>
    <t>Adrianne Vairow</t>
  </si>
  <si>
    <t>avairowiv@studiopress.com</t>
  </si>
  <si>
    <t>+44 (236) 517-2586</t>
  </si>
  <si>
    <t>73486 Cardinal Terrace</t>
  </si>
  <si>
    <t>Anjanette Goldie</t>
  </si>
  <si>
    <t>agoldieiw@goo.gl</t>
  </si>
  <si>
    <t>3729 Susan Drive</t>
  </si>
  <si>
    <t>Nicky Ayris</t>
  </si>
  <si>
    <t>nayrisix@t-online.de</t>
  </si>
  <si>
    <t>+44 (627) 552-5656</t>
  </si>
  <si>
    <t>7 Reinke Circle</t>
  </si>
  <si>
    <t>Laryssa Benediktovich</t>
  </si>
  <si>
    <t>lbenediktovichiy@wunderground.com</t>
  </si>
  <si>
    <t>+1 (904) 330-1211</t>
  </si>
  <si>
    <t>5 Prairieview Drive</t>
  </si>
  <si>
    <t>Theo Jacobovitz</t>
  </si>
  <si>
    <t>tjacobovitziz@cbc.ca</t>
  </si>
  <si>
    <t>+1 (713) 642-2082</t>
  </si>
  <si>
    <t>21597 Bonner Pass</t>
  </si>
  <si>
    <t>Becca Ableson</t>
  </si>
  <si>
    <t>+1 (971) 254-5295</t>
  </si>
  <si>
    <t>69493 Hanson Place</t>
  </si>
  <si>
    <t>Jeno Druitt</t>
  </si>
  <si>
    <t>jdruittj1@feedburner.com</t>
  </si>
  <si>
    <t>+1 (650) 693-6904</t>
  </si>
  <si>
    <t>1726 1st Drive</t>
  </si>
  <si>
    <t>Deonne Shortall</t>
  </si>
  <si>
    <t>dshortallj2@wikipedia.org</t>
  </si>
  <si>
    <t>+1 (714) 917-8665</t>
  </si>
  <si>
    <t>0 Kropf Lane</t>
  </si>
  <si>
    <t>Wilton Cottier</t>
  </si>
  <si>
    <t>wcottierj3@cafepress.com</t>
  </si>
  <si>
    <t>+1 (408) 261-7902</t>
  </si>
  <si>
    <t>341 Oak Point</t>
  </si>
  <si>
    <t>Kevan Grinsted</t>
  </si>
  <si>
    <t>kgrinstedj4@google.com.br</t>
  </si>
  <si>
    <t>+353 (773) 225-6216</t>
  </si>
  <si>
    <t>3 Kennedy Plaza</t>
  </si>
  <si>
    <t>Tallaght</t>
  </si>
  <si>
    <t>Dionne Skyner</t>
  </si>
  <si>
    <t>dskynerj5@hubpages.com</t>
  </si>
  <si>
    <t>+1 (719) 937-4913</t>
  </si>
  <si>
    <t>39 Kings Junction</t>
  </si>
  <si>
    <t>Francesco Dressel</t>
  </si>
  <si>
    <t>1 Fulton Road</t>
  </si>
  <si>
    <t>09357-10966-VA</t>
  </si>
  <si>
    <t>Paola Normanvill</t>
  </si>
  <si>
    <t>pnormanvillj7@biblegateway.com</t>
  </si>
  <si>
    <t>+1 (561) 922-9845</t>
  </si>
  <si>
    <t>904 Butternut Alley</t>
  </si>
  <si>
    <t>Ambrosio Weinmann</t>
  </si>
  <si>
    <t>aweinmannj8@shinystat.com</t>
  </si>
  <si>
    <t>+1 (513) 966-3308</t>
  </si>
  <si>
    <t>8 Waywood Alley</t>
  </si>
  <si>
    <t>Elden Andriessen</t>
  </si>
  <si>
    <t>eandriessenj9@europa.eu</t>
  </si>
  <si>
    <t>+1 (314) 307-5250</t>
  </si>
  <si>
    <t>64390 Sommers Road</t>
  </si>
  <si>
    <t>Roxie Deaconson</t>
  </si>
  <si>
    <t>rdeaconsonja@archive.org</t>
  </si>
  <si>
    <t>+1 (914) 524-1161</t>
  </si>
  <si>
    <t>70166 Marcy Center</t>
  </si>
  <si>
    <t>Yonkers</t>
  </si>
  <si>
    <t>Davida Caro</t>
  </si>
  <si>
    <t>dcarojb@twitter.com</t>
  </si>
  <si>
    <t>+1 (410) 594-3041</t>
  </si>
  <si>
    <t>476 Hoepker Place</t>
  </si>
  <si>
    <t>Johna Bluck</t>
  </si>
  <si>
    <t>jbluckjc@imageshack.us</t>
  </si>
  <si>
    <t>+1 (904) 875-3139</t>
  </si>
  <si>
    <t>8387 Del Sol Drive</t>
  </si>
  <si>
    <t>Myrle Dearden</t>
  </si>
  <si>
    <t>06 Scoville Alley</t>
  </si>
  <si>
    <t>Bayside</t>
  </si>
  <si>
    <t>D13</t>
  </si>
  <si>
    <t>Jimmy Dymoke</t>
  </si>
  <si>
    <t>jdymokeje@prnewswire.com</t>
  </si>
  <si>
    <t>+353 (390) 459-9269</t>
  </si>
  <si>
    <t>8424 Milwaukee Court</t>
  </si>
  <si>
    <t>Orland Tadman</t>
  </si>
  <si>
    <t>otadmanjf@ft.com</t>
  </si>
  <si>
    <t>+1 (305) 205-3682</t>
  </si>
  <si>
    <t>94 John Wall Terrace</t>
  </si>
  <si>
    <t>Barrett Gudde</t>
  </si>
  <si>
    <t>bguddejg@dailymotion.com</t>
  </si>
  <si>
    <t>1 Buhler Trail</t>
  </si>
  <si>
    <t>Nathan Sictornes</t>
  </si>
  <si>
    <t>nsictornesjh@buzzfeed.com</t>
  </si>
  <si>
    <t>+353 (410) 713-0145</t>
  </si>
  <si>
    <t>26 Little Fleur Trail</t>
  </si>
  <si>
    <t>Vivyan Dunning</t>
  </si>
  <si>
    <t>vdunningji@independent.co.uk</t>
  </si>
  <si>
    <t>9681 Dapin Center</t>
  </si>
  <si>
    <t>Doralin Baison</t>
  </si>
  <si>
    <t>+353 (214) 406-4884</t>
  </si>
  <si>
    <t>9 Dayton Park</t>
  </si>
  <si>
    <t>Josefina Ferens</t>
  </si>
  <si>
    <t>+1 (212) 163-1916</t>
  </si>
  <si>
    <t>51 Bluejay Point</t>
  </si>
  <si>
    <t>Shelley Gehring</t>
  </si>
  <si>
    <t>sgehringjl@gnu.org</t>
  </si>
  <si>
    <t>+1 (864) 940-7075</t>
  </si>
  <si>
    <t>663 Westend Hill</t>
  </si>
  <si>
    <t>Barrie Fallowes</t>
  </si>
  <si>
    <t>bfallowesjm@purevolume.com</t>
  </si>
  <si>
    <t>+1 (805) 975-3527</t>
  </si>
  <si>
    <t>1768 Hoepker Place</t>
  </si>
  <si>
    <t>Bakersfield</t>
  </si>
  <si>
    <t>Nicolas Aiton</t>
  </si>
  <si>
    <t>+353 (861) 791-0313</t>
  </si>
  <si>
    <t>4 Colorado Center</t>
  </si>
  <si>
    <t>Dungarvan</t>
  </si>
  <si>
    <t>Shelli De Banke</t>
  </si>
  <si>
    <t>sdejo@newsvine.com</t>
  </si>
  <si>
    <t>+1 (314) 496-2561</t>
  </si>
  <si>
    <t>290 Ridgeview Way</t>
  </si>
  <si>
    <t>Lyell Murch</t>
  </si>
  <si>
    <t>+1 (260) 280-7251</t>
  </si>
  <si>
    <t>18 Darwin Park</t>
  </si>
  <si>
    <t>Stearne Count</t>
  </si>
  <si>
    <t>scountjq@nba.com</t>
  </si>
  <si>
    <t>+1 (952) 721-7276</t>
  </si>
  <si>
    <t>31 Holy Cross Lane</t>
  </si>
  <si>
    <t>Young America</t>
  </si>
  <si>
    <t>Selia Ragles</t>
  </si>
  <si>
    <t>sraglesjr@blogtalkradio.com</t>
  </si>
  <si>
    <t>+1 (479) 494-1369</t>
  </si>
  <si>
    <t>214 Dwight Hill</t>
  </si>
  <si>
    <t>Fort Smith</t>
  </si>
  <si>
    <t>Silas Deehan</t>
  </si>
  <si>
    <t>77 Sycamore Pass</t>
  </si>
  <si>
    <t>Sacha Bruun</t>
  </si>
  <si>
    <t>sbruunjt@blogtalkradio.com</t>
  </si>
  <si>
    <t>+1 (209) 784-1969</t>
  </si>
  <si>
    <t>44 Northview Lane</t>
  </si>
  <si>
    <t>Alon Pllu</t>
  </si>
  <si>
    <t>aplluju@dagondesign.com</t>
  </si>
  <si>
    <t>+353 (915) 742-6707</t>
  </si>
  <si>
    <t>043 American Circle</t>
  </si>
  <si>
    <t>Navan</t>
  </si>
  <si>
    <t>Gilberto Cornier</t>
  </si>
  <si>
    <t>gcornierjv@techcrunch.com</t>
  </si>
  <si>
    <t>39353 Northview Avenue</t>
  </si>
  <si>
    <t>20077-67239-EC</t>
  </si>
  <si>
    <t>Selestina Greedyer</t>
  </si>
  <si>
    <t>sgreedyerjw@parallels.com</t>
  </si>
  <si>
    <t>+353 (388) 882-1500</t>
  </si>
  <si>
    <t>9707 Leroy Junction</t>
  </si>
  <si>
    <t>Willabella Harvison</t>
  </si>
  <si>
    <t>wharvisonjx@gizmodo.com</t>
  </si>
  <si>
    <t>+1 (610) 316-8430</t>
  </si>
  <si>
    <t>0 Sachs Way</t>
  </si>
  <si>
    <t>Darice Heaford</t>
  </si>
  <si>
    <t>dheafordjy@twitpic.com</t>
  </si>
  <si>
    <t>+1 (325) 537-8835</t>
  </si>
  <si>
    <t>43 Grasskamp Junction</t>
  </si>
  <si>
    <t>Granger Fantham</t>
  </si>
  <si>
    <t>gfanthamjz@hexun.com</t>
  </si>
  <si>
    <t>+1 (323) 878-8818</t>
  </si>
  <si>
    <t>46555 Graceland Court</t>
  </si>
  <si>
    <t>Reynolds Crookshanks</t>
  </si>
  <si>
    <t>rcrookshanksk0@unc.edu</t>
  </si>
  <si>
    <t>+1 (517) 654-6004</t>
  </si>
  <si>
    <t>52495 Pawling Place</t>
  </si>
  <si>
    <t>Niels Leake</t>
  </si>
  <si>
    <t>nleakek1@cmu.edu</t>
  </si>
  <si>
    <t>+1 (786) 470-1233</t>
  </si>
  <si>
    <t>1138 Vermont Alley</t>
  </si>
  <si>
    <t>Hetti Measures</t>
  </si>
  <si>
    <t>+1 (562) 343-9707</t>
  </si>
  <si>
    <t>3287 Corry Plaza</t>
  </si>
  <si>
    <t>Gay Eilhersen</t>
  </si>
  <si>
    <t>geilhersenk3@networksolutions.com</t>
  </si>
  <si>
    <t>+1 (559) 791-5117</t>
  </si>
  <si>
    <t>60707 Hallows Point</t>
  </si>
  <si>
    <t>Nico Hubert</t>
  </si>
  <si>
    <t>+1 (646) 228-3492</t>
  </si>
  <si>
    <t>027 Village Avenue</t>
  </si>
  <si>
    <t>Cristina Aleixo</t>
  </si>
  <si>
    <t>caleixok5@globo.com</t>
  </si>
  <si>
    <t>+1 (719) 241-4639</t>
  </si>
  <si>
    <t>9 Lindbergh Center</t>
  </si>
  <si>
    <t>Derrek Allpress</t>
  </si>
  <si>
    <t>+1 (562) 723-4457</t>
  </si>
  <si>
    <t>66 Lakeland Trail</t>
  </si>
  <si>
    <t>Long Beach</t>
  </si>
  <si>
    <t>Rikki Tomkowicz</t>
  </si>
  <si>
    <t>rtomkowiczk7@bravesites.com</t>
  </si>
  <si>
    <t>+353 (849) 645-1593</t>
  </si>
  <si>
    <t>76 Larry Junction</t>
  </si>
  <si>
    <t>Lusk</t>
  </si>
  <si>
    <t>K45</t>
  </si>
  <si>
    <t>Rochette Huscroft</t>
  </si>
  <si>
    <t>rhuscroftk8@jimdo.com</t>
  </si>
  <si>
    <t>+1 (775) 223-5044</t>
  </si>
  <si>
    <t>6111 Bobwhite Way</t>
  </si>
  <si>
    <t>Selle Scurrer</t>
  </si>
  <si>
    <t>sscurrerk9@flavors.me</t>
  </si>
  <si>
    <t>+44 (520) 402-1303</t>
  </si>
  <si>
    <t>99 Mariners Cove Trail</t>
  </si>
  <si>
    <t>Andie Rudram</t>
  </si>
  <si>
    <t>arudramka@prnewswire.com</t>
  </si>
  <si>
    <t>+1 (702) 333-7442</t>
  </si>
  <si>
    <t>5600 Bultman Court</t>
  </si>
  <si>
    <t>Leta Clarricoates</t>
  </si>
  <si>
    <t>+1 (302) 620-1205</t>
  </si>
  <si>
    <t>12504 Westport Hill</t>
  </si>
  <si>
    <t>Wilmington</t>
  </si>
  <si>
    <t>Jacquelyn Maha</t>
  </si>
  <si>
    <t>jmahakc@cyberchimps.com</t>
  </si>
  <si>
    <t>+1 (702) 238-8287</t>
  </si>
  <si>
    <t>604 Hintze Place</t>
  </si>
  <si>
    <t>Glory Clemon</t>
  </si>
  <si>
    <t>gclemonkd@networksolutions.com</t>
  </si>
  <si>
    <t>+1 (205) 681-2376</t>
  </si>
  <si>
    <t>5 Pleasure Point</t>
  </si>
  <si>
    <t>Alica Kift</t>
  </si>
  <si>
    <t>+1 (209) 133-9447</t>
  </si>
  <si>
    <t>4214 Amoth Avenue</t>
  </si>
  <si>
    <t>Garden Grove</t>
  </si>
  <si>
    <t>Babb Pollins</t>
  </si>
  <si>
    <t>bpollinskf@shinystat.com</t>
  </si>
  <si>
    <t>76 Ilene Way</t>
  </si>
  <si>
    <t>Jarret Toye</t>
  </si>
  <si>
    <t>jtoyekg@pinterest.com</t>
  </si>
  <si>
    <t>+353 (587) 270-6561</t>
  </si>
  <si>
    <t>89789 Sachtjen Hill</t>
  </si>
  <si>
    <t>Carlie Linskill</t>
  </si>
  <si>
    <t>clinskillkh@sphinn.com</t>
  </si>
  <si>
    <t>+1 (513) 743-7556</t>
  </si>
  <si>
    <t>05296 Debra Alley</t>
  </si>
  <si>
    <t>Natal Vigrass</t>
  </si>
  <si>
    <t>nvigrasski@ezinearticles.com</t>
  </si>
  <si>
    <t>+44 (336) 257-7415</t>
  </si>
  <si>
    <t>1375 Parkside Junction</t>
  </si>
  <si>
    <t>94278-27169-QC</t>
  </si>
  <si>
    <t>Burlie Issac</t>
  </si>
  <si>
    <t>+1 (503) 459-5544</t>
  </si>
  <si>
    <t>3 Tennessee Lane</t>
  </si>
  <si>
    <t>Kandace Cragell</t>
  </si>
  <si>
    <t>kcragellkk@google.com</t>
  </si>
  <si>
    <t>+353 (458) 634-2269</t>
  </si>
  <si>
    <t>772 Buhler Point</t>
  </si>
  <si>
    <t>Lyon Ibert</t>
  </si>
  <si>
    <t>libertkl@huffingtonpost.com</t>
  </si>
  <si>
    <t>+1 (408) 546-0790</t>
  </si>
  <si>
    <t>623 Paget Crossing</t>
  </si>
  <si>
    <t>Reese Lidgey</t>
  </si>
  <si>
    <t>rlidgeykm@vimeo.com</t>
  </si>
  <si>
    <t>+1 (901) 276-4141</t>
  </si>
  <si>
    <t>22 Northwestern Alley</t>
  </si>
  <si>
    <t>Tersina Castagne</t>
  </si>
  <si>
    <t>tcastagnekn@wikia.com</t>
  </si>
  <si>
    <t>+1 (407) 154-6967</t>
  </si>
  <si>
    <t>403 Mifflin Pass</t>
  </si>
  <si>
    <t>Samuele Klaaassen</t>
  </si>
  <si>
    <t>+1 (313) 436-2249</t>
  </si>
  <si>
    <t>52 2nd Road</t>
  </si>
  <si>
    <t>Jordana Halden</t>
  </si>
  <si>
    <t>jhaldenkp@comcast.net</t>
  </si>
  <si>
    <t>+353 (278) 873-4395</t>
  </si>
  <si>
    <t>70 Oriole Lane</t>
  </si>
  <si>
    <t>Clones</t>
  </si>
  <si>
    <t>H23</t>
  </si>
  <si>
    <t>Hussein Olliff</t>
  </si>
  <si>
    <t>holliffkq@sciencedirect.com</t>
  </si>
  <si>
    <t>+353 (203) 716-7239</t>
  </si>
  <si>
    <t>251 Shoshone Terrace</t>
  </si>
  <si>
    <t>Stradbally</t>
  </si>
  <si>
    <t>Teddi Quadri</t>
  </si>
  <si>
    <t>tquadrikr@opensource.org</t>
  </si>
  <si>
    <t>+353 (789) 442-3189</t>
  </si>
  <si>
    <t>35 Meadow Vale Circle</t>
  </si>
  <si>
    <t>Ballina</t>
  </si>
  <si>
    <t>F26</t>
  </si>
  <si>
    <t>Felita Eshmade</t>
  </si>
  <si>
    <t>feshmadeks@umn.edu</t>
  </si>
  <si>
    <t>+1 (804) 531-4136</t>
  </si>
  <si>
    <t>08 Shopko Park</t>
  </si>
  <si>
    <t>Melodie OIlier</t>
  </si>
  <si>
    <t>moilierkt@paginegialle.it</t>
  </si>
  <si>
    <t>+353 (675) 503-7567</t>
  </si>
  <si>
    <t>146 Waxwing Point</t>
  </si>
  <si>
    <t>Glasnevin</t>
  </si>
  <si>
    <t>Hazel Iacopini</t>
  </si>
  <si>
    <t>+1 (682) 246-6139</t>
  </si>
  <si>
    <t>7594 Hollow Ridge Road</t>
  </si>
  <si>
    <t>Vinny Shoebotham</t>
  </si>
  <si>
    <t>vshoebothamkv@redcross.org</t>
  </si>
  <si>
    <t>+1 (212) 998-0802</t>
  </si>
  <si>
    <t>93569 Hintze Way</t>
  </si>
  <si>
    <t>Bran Sterke</t>
  </si>
  <si>
    <t>bsterkekw@biblegateway.com</t>
  </si>
  <si>
    <t>+1 (682) 617-0470</t>
  </si>
  <si>
    <t>0066 Hanover Avenue</t>
  </si>
  <si>
    <t>Simone Capon</t>
  </si>
  <si>
    <t>scaponkx@craigslist.org</t>
  </si>
  <si>
    <t>+1 (602) 619-0168</t>
  </si>
  <si>
    <t>0616 Utah Parkway</t>
  </si>
  <si>
    <t>91950-91273-JT</t>
  </si>
  <si>
    <t>Philomena Traite</t>
  </si>
  <si>
    <t>ptraiteky@huffingtonpost.com</t>
  </si>
  <si>
    <t>75 Saint Paul Junction</t>
  </si>
  <si>
    <t>Foster Constance</t>
  </si>
  <si>
    <t>fconstancekz@ifeng.com</t>
  </si>
  <si>
    <t>+1 (214) 388-6754</t>
  </si>
  <si>
    <t>2236 Mitchell Trail</t>
  </si>
  <si>
    <t>Fernando Sulman</t>
  </si>
  <si>
    <t>fsulmanl0@washington.edu</t>
  </si>
  <si>
    <t>+1 (828) 464-2678</t>
  </si>
  <si>
    <t>45 Village Terrace</t>
  </si>
  <si>
    <t>Dorotea Hollyman</t>
  </si>
  <si>
    <t>dhollymanl1@ibm.com</t>
  </si>
  <si>
    <t>+1 (406) 851-1244</t>
  </si>
  <si>
    <t>46861 Esker Avenue</t>
  </si>
  <si>
    <t>Billings</t>
  </si>
  <si>
    <t>Lorelei Nardoni</t>
  </si>
  <si>
    <t>lnardonil2@hao123.com</t>
  </si>
  <si>
    <t>77724 Roxbury Road</t>
  </si>
  <si>
    <t>Dallas Yarham</t>
  </si>
  <si>
    <t>dyarhaml3@moonfruit.com</t>
  </si>
  <si>
    <t>+1 (816) 213-5248</t>
  </si>
  <si>
    <t>689 8th Hill</t>
  </si>
  <si>
    <t>Independence</t>
  </si>
  <si>
    <t>Arlana Ferrea</t>
  </si>
  <si>
    <t>aferreal4@wikia.com</t>
  </si>
  <si>
    <t>5299 Springs Park</t>
  </si>
  <si>
    <t>Chuck Kendrick</t>
  </si>
  <si>
    <t>ckendrickl5@webnode.com</t>
  </si>
  <si>
    <t>74028 Hansons Crossing</t>
  </si>
  <si>
    <t>Monroe</t>
  </si>
  <si>
    <t>Sharona Danilchik</t>
  </si>
  <si>
    <t>sdanilchikl6@mit.edu</t>
  </si>
  <si>
    <t>+44 (292) 975-0144</t>
  </si>
  <si>
    <t>273 Nelson Parkway</t>
  </si>
  <si>
    <t>Sarajane Potter</t>
  </si>
  <si>
    <t>+1 (817) 389-2294</t>
  </si>
  <si>
    <t>5 Hermina Drive</t>
  </si>
  <si>
    <t>Bobby Folomkin</t>
  </si>
  <si>
    <t>bfolomkinl8@yolasite.com</t>
  </si>
  <si>
    <t>+1 (701) 278-8412</t>
  </si>
  <si>
    <t>2676 Alpine Lane</t>
  </si>
  <si>
    <t>Rafferty Pursglove</t>
  </si>
  <si>
    <t>rpursglovel9@biblegateway.com</t>
  </si>
  <si>
    <t>+1 (214) 813-8745</t>
  </si>
  <si>
    <t>4 Buena Vista Circle</t>
  </si>
  <si>
    <t>81059-24087-UE</t>
  </si>
  <si>
    <t>Riva De Micoli</t>
  </si>
  <si>
    <t>rdela@usa.gov</t>
  </si>
  <si>
    <t>+1 (614) 894-2436</t>
  </si>
  <si>
    <t>62449 Manitowish Point</t>
  </si>
  <si>
    <t>46168-23489-RD</t>
  </si>
  <si>
    <t>Antoine Taunton.</t>
  </si>
  <si>
    <t>atauntonlb@bing.com</t>
  </si>
  <si>
    <t>+1 (512) 286-0114</t>
  </si>
  <si>
    <t>42 Melrose Parkway</t>
  </si>
  <si>
    <t>11664-43119-GV</t>
  </si>
  <si>
    <t>Krishnah Incogna</t>
  </si>
  <si>
    <t>+1 (334) 451-9490</t>
  </si>
  <si>
    <t>948 Graedel Place</t>
  </si>
  <si>
    <t>Dalia Eburah</t>
  </si>
  <si>
    <t>deburahld@google.co.jp</t>
  </si>
  <si>
    <t>+44 (607) 596-3921</t>
  </si>
  <si>
    <t>23 Summerview Place</t>
  </si>
  <si>
    <t>Martie Brimilcombe</t>
  </si>
  <si>
    <t>mbrimilcombele@cnn.com</t>
  </si>
  <si>
    <t>2260 Kinsman Junction</t>
  </si>
  <si>
    <t>Suzanna Bollam</t>
  </si>
  <si>
    <t>sbollamlf@list-manage.com</t>
  </si>
  <si>
    <t>+1 (303) 746-0415</t>
  </si>
  <si>
    <t>5 Buhler Center</t>
  </si>
  <si>
    <t>Littleton</t>
  </si>
  <si>
    <t>Mellisa Mebes</t>
  </si>
  <si>
    <t>+1 (410) 273-2348</t>
  </si>
  <si>
    <t>803 Crest Line Parkway</t>
  </si>
  <si>
    <t>Alva Filipczak</t>
  </si>
  <si>
    <t>afilipczaklh@ning.com</t>
  </si>
  <si>
    <t>+353 (176) 447-3656</t>
  </si>
  <si>
    <t>4847 Vera Crossing</t>
  </si>
  <si>
    <t>Dorette Hinemoor</t>
  </si>
  <si>
    <t>+1 (754) 336-4224</t>
  </si>
  <si>
    <t>121 Union Point</t>
  </si>
  <si>
    <t>Rhetta Elnaugh</t>
  </si>
  <si>
    <t>relnaughlj@comsenz.com</t>
  </si>
  <si>
    <t>+1 (619) 728-2474</t>
  </si>
  <si>
    <t>48 Randy Street</t>
  </si>
  <si>
    <t>Jule Deehan</t>
  </si>
  <si>
    <t>jdeehanlk@about.me</t>
  </si>
  <si>
    <t>+1 (972) 327-1194</t>
  </si>
  <si>
    <t>11217 Maywood Terrace</t>
  </si>
  <si>
    <t>Janella Eden</t>
  </si>
  <si>
    <t>jedenll@e-recht24.de</t>
  </si>
  <si>
    <t>613 Merrick Way</t>
  </si>
  <si>
    <t>35463-72088-KU</t>
  </si>
  <si>
    <t>Devora Maton</t>
  </si>
  <si>
    <t>dmatonlm@utexas.edu</t>
  </si>
  <si>
    <t>+1 (616) 449-5632</t>
  </si>
  <si>
    <t>77 Butternut Park</t>
  </si>
  <si>
    <t>Ugo Southerden</t>
  </si>
  <si>
    <t>usoutherdenln@hao123.com</t>
  </si>
  <si>
    <t>+1 (786) 490-0037</t>
  </si>
  <si>
    <t>63 Holmberg Avenue</t>
  </si>
  <si>
    <t>Verne Dunkerley</t>
  </si>
  <si>
    <t>+1 (763) 806-0186</t>
  </si>
  <si>
    <t>5770 Crest Line Place</t>
  </si>
  <si>
    <t>Lacee Burtenshaw</t>
  </si>
  <si>
    <t>lburtenshawlp@shinystat.com</t>
  </si>
  <si>
    <t>+1 (678) 536-4251</t>
  </si>
  <si>
    <t>8 Prentice Way</t>
  </si>
  <si>
    <t>Adorne Gregoratti</t>
  </si>
  <si>
    <t>agregorattilq@vistaprint.com</t>
  </si>
  <si>
    <t>+353 (773) 508-6581</t>
  </si>
  <si>
    <t>27208 Maple Avenue</t>
  </si>
  <si>
    <t>Malahide</t>
  </si>
  <si>
    <t>K36</t>
  </si>
  <si>
    <t>Chris Croster</t>
  </si>
  <si>
    <t>ccrosterlr@gov.uk</t>
  </si>
  <si>
    <t>+1 (813) 621-3097</t>
  </si>
  <si>
    <t>9 Brickson Park Street</t>
  </si>
  <si>
    <t>Graeme Whitehead</t>
  </si>
  <si>
    <t>gwhiteheadls@hp.com</t>
  </si>
  <si>
    <t>39 Pawling Place</t>
  </si>
  <si>
    <t>Haslett Jodrelle</t>
  </si>
  <si>
    <t>hjodrellelt@samsung.com</t>
  </si>
  <si>
    <t>+1 (305) 334-0992</t>
  </si>
  <si>
    <t>9 Macpherson Avenue</t>
  </si>
  <si>
    <t>Cam Jewster</t>
  </si>
  <si>
    <t>cjewsterlu@moonfruit.com</t>
  </si>
  <si>
    <t>+1 (937) 925-7390</t>
  </si>
  <si>
    <t>24010 Sunnyside Drive</t>
  </si>
  <si>
    <t>Beryl Osborn</t>
  </si>
  <si>
    <t>+1 (312) 648-4940</t>
  </si>
  <si>
    <t>71 Donald Trail</t>
  </si>
  <si>
    <t>Kaela Nottram</t>
  </si>
  <si>
    <t>knottramlw@odnoklassniki.ru</t>
  </si>
  <si>
    <t>+353 (549) 358-7019</t>
  </si>
  <si>
    <t>5 Moulton Court</t>
  </si>
  <si>
    <t>Arklow</t>
  </si>
  <si>
    <t>Y14</t>
  </si>
  <si>
    <t>Nobe Buney</t>
  </si>
  <si>
    <t>nbuneylx@jugem.jp</t>
  </si>
  <si>
    <t>+1 (510) 973-7084</t>
  </si>
  <si>
    <t>7 Anzinger Parkway</t>
  </si>
  <si>
    <t>Silvan McShea</t>
  </si>
  <si>
    <t>smcshealy@photobucket.com</t>
  </si>
  <si>
    <t>+1 (360) 578-2262</t>
  </si>
  <si>
    <t>017 Loeprich Trail</t>
  </si>
  <si>
    <t>Olympia</t>
  </si>
  <si>
    <t>Karylin Huddart</t>
  </si>
  <si>
    <t>khuddartlz@about.com</t>
  </si>
  <si>
    <t>+1 (214) 931-4518</t>
  </si>
  <si>
    <t>831 Meadow Valley Way</t>
  </si>
  <si>
    <t>Jereme Gippes</t>
  </si>
  <si>
    <t>jgippesm0@cloudflare.com</t>
  </si>
  <si>
    <t>+44 (185) 319-5850</t>
  </si>
  <si>
    <t>47392 Spenser Trail</t>
  </si>
  <si>
    <t>Twyford</t>
  </si>
  <si>
    <t>LE14</t>
  </si>
  <si>
    <t>Lukas Whittlesee</t>
  </si>
  <si>
    <t>lwhittleseem1@e-recht24.de</t>
  </si>
  <si>
    <t>+1 (540) 413-9605</t>
  </si>
  <si>
    <t>720 Victoria Parkway</t>
  </si>
  <si>
    <t>Gregorius Trengrove</t>
  </si>
  <si>
    <t>gtrengrovem2@elpais.com</t>
  </si>
  <si>
    <t>+1 (516) 513-7620</t>
  </si>
  <si>
    <t>0862 Farwell Avenue</t>
  </si>
  <si>
    <t>New Hyde Park</t>
  </si>
  <si>
    <t>Wright Caldero</t>
  </si>
  <si>
    <t>wcalderom3@stumbleupon.com</t>
  </si>
  <si>
    <t>+1 (714) 117-5483</t>
  </si>
  <si>
    <t>5933 Graceland Way</t>
  </si>
  <si>
    <t>Merell Zanazzi</t>
  </si>
  <si>
    <t>+1 (606) 824-3445</t>
  </si>
  <si>
    <t>4 Memorial Place</t>
  </si>
  <si>
    <t>Jed Kennicott</t>
  </si>
  <si>
    <t>jkennicottm5@yahoo.co.jp</t>
  </si>
  <si>
    <t>+1 (813) 579-8389</t>
  </si>
  <si>
    <t>2 Holy Cross Pass</t>
  </si>
  <si>
    <t>Guenevere Ruggen</t>
  </si>
  <si>
    <t>gruggenm6@nymag.com</t>
  </si>
  <si>
    <t>+1 (408) 211-2306</t>
  </si>
  <si>
    <t>67 Mendota Hill</t>
  </si>
  <si>
    <t>Gonzales Cicculi</t>
  </si>
  <si>
    <t>63861 Bunting Road</t>
  </si>
  <si>
    <t>Man Fright</t>
  </si>
  <si>
    <t>mfrightm8@harvard.edu</t>
  </si>
  <si>
    <t>+353 (955) 108-0675</t>
  </si>
  <si>
    <t>27242 Fordem Crossing</t>
  </si>
  <si>
    <t>Boyce Tarte</t>
  </si>
  <si>
    <t>btartem9@aol.com</t>
  </si>
  <si>
    <t>+1 (360) 927-6561</t>
  </si>
  <si>
    <t>084 Reindahl Park</t>
  </si>
  <si>
    <t>Caddric Krzysztofiak</t>
  </si>
  <si>
    <t>ckrzysztofiakma@skyrock.com</t>
  </si>
  <si>
    <t>+1 (972) 782-4187</t>
  </si>
  <si>
    <t>6 Dayton Alley</t>
  </si>
  <si>
    <t>Mesquite</t>
  </si>
  <si>
    <t>Darn Penquet</t>
  </si>
  <si>
    <t>dpenquetmb@diigo.com</t>
  </si>
  <si>
    <t>19199 Mariners Cove Avenue</t>
  </si>
  <si>
    <t>Jammie Cloke</t>
  </si>
  <si>
    <t>+44 (540) 353-5754</t>
  </si>
  <si>
    <t>844 Lawn Drive</t>
  </si>
  <si>
    <t>Chester Clowton</t>
  </si>
  <si>
    <t>+1 (763) 691-6777</t>
  </si>
  <si>
    <t>15196 Pleasure Court</t>
  </si>
  <si>
    <t>Monticello</t>
  </si>
  <si>
    <t>Kathleen Diable</t>
  </si>
  <si>
    <t>81 Arapahoe Circle</t>
  </si>
  <si>
    <t>Koren Ferretti</t>
  </si>
  <si>
    <t>kferrettimf@huffingtonpost.com</t>
  </si>
  <si>
    <t>+353 (526) 215-2582</t>
  </si>
  <si>
    <t>372 Northland Street</t>
  </si>
  <si>
    <t>44938-31785-YZ</t>
  </si>
  <si>
    <t>Agretha Melland</t>
  </si>
  <si>
    <t>amellandmg@pen.io</t>
  </si>
  <si>
    <t>+1 (212) 500-7483</t>
  </si>
  <si>
    <t>5424 Beilfuss Court</t>
  </si>
  <si>
    <t>Chaddie Bennie</t>
  </si>
  <si>
    <t>+1 (915) 204-2588</t>
  </si>
  <si>
    <t>935 Lawn Circle</t>
  </si>
  <si>
    <t>Alberta Balsdone</t>
  </si>
  <si>
    <t>abalsdonemi@toplist.cz</t>
  </si>
  <si>
    <t>+1 (863) 490-5370</t>
  </si>
  <si>
    <t>3 Kings Plaza</t>
  </si>
  <si>
    <t>Largo</t>
  </si>
  <si>
    <t>Brice Romera</t>
  </si>
  <si>
    <t>bromeramj@list-manage.com</t>
  </si>
  <si>
    <t>+353 (640) 110-9801</t>
  </si>
  <si>
    <t>2311 Eastlawn Plaza</t>
  </si>
  <si>
    <t>Foxrock</t>
  </si>
  <si>
    <t>45009-09239-IV</t>
  </si>
  <si>
    <t>Micky Glover</t>
  </si>
  <si>
    <t>mglovermk@cnbc.com</t>
  </si>
  <si>
    <t>+44 (898) 129-9218</t>
  </si>
  <si>
    <t>95 Grasskamp Point</t>
  </si>
  <si>
    <t>Burnside</t>
  </si>
  <si>
    <t>EH52</t>
  </si>
  <si>
    <t>Conchita Bryde</t>
  </si>
  <si>
    <t>cbrydeml@tuttocitta.it</t>
  </si>
  <si>
    <t>+1 (405) 497-2199</t>
  </si>
  <si>
    <t>74 Crowley Plaza</t>
  </si>
  <si>
    <t>Silvanus Enefer</t>
  </si>
  <si>
    <t>senefermm@blog.com</t>
  </si>
  <si>
    <t>+1 (202) 877-3473</t>
  </si>
  <si>
    <t>52 Carey Plaza</t>
  </si>
  <si>
    <t>Lenci Haggerstone</t>
  </si>
  <si>
    <t>lhaggerstonemn@independent.co.uk</t>
  </si>
  <si>
    <t>+1 (770) 779-0007</t>
  </si>
  <si>
    <t>52441 Evergreen Lane</t>
  </si>
  <si>
    <t>Marvin Gundry</t>
  </si>
  <si>
    <t>mgundrymo@omniture.com</t>
  </si>
  <si>
    <t>+353 (500) 164-9392</t>
  </si>
  <si>
    <t>4 Harper Avenue</t>
  </si>
  <si>
    <t>Bayard Wellan</t>
  </si>
  <si>
    <t>bwellanmp@cafepress.com</t>
  </si>
  <si>
    <t>7203 Main Crossing</t>
  </si>
  <si>
    <t>Allis Wilmore</t>
  </si>
  <si>
    <t>+1 (713) 984-5207</t>
  </si>
  <si>
    <t>94 Moulton Street</t>
  </si>
  <si>
    <t>Caddric Atcheson</t>
  </si>
  <si>
    <t>catchesonmr@xinhuanet.com</t>
  </si>
  <si>
    <t>+1 (202) 975-7723</t>
  </si>
  <si>
    <t>1 Hovde Pass</t>
  </si>
  <si>
    <t>Eustace Stenton</t>
  </si>
  <si>
    <t>estentonms@google.it</t>
  </si>
  <si>
    <t>+1 (512) 819-1430</t>
  </si>
  <si>
    <t>8472 Graedel Circle</t>
  </si>
  <si>
    <t>Ericka Tripp</t>
  </si>
  <si>
    <t>etrippmt@wp.com</t>
  </si>
  <si>
    <t>+1 (602) 971-9708</t>
  </si>
  <si>
    <t>4 4th Pass</t>
  </si>
  <si>
    <t>Lyndsey MacManus</t>
  </si>
  <si>
    <t>lmacmanusmu@imdb.com</t>
  </si>
  <si>
    <t>+1 (912) 191-6620</t>
  </si>
  <si>
    <t>9 Springs Crossing</t>
  </si>
  <si>
    <t>Savannah</t>
  </si>
  <si>
    <t>Tess Benediktovich</t>
  </si>
  <si>
    <t>tbenediktovichmv@ebay.com</t>
  </si>
  <si>
    <t>+1 (505) 523-8113</t>
  </si>
  <si>
    <t>1068 Sutherland Plaza</t>
  </si>
  <si>
    <t>Albuquerque</t>
  </si>
  <si>
    <t>Correy Bourner</t>
  </si>
  <si>
    <t>cbournermw@chronoengine.com</t>
  </si>
  <si>
    <t>6058 Lunder Junction</t>
  </si>
  <si>
    <t>78661-52235-WG</t>
  </si>
  <si>
    <t>Uta Kohring</t>
  </si>
  <si>
    <t>ukohringmx@seattletimes.com</t>
  </si>
  <si>
    <t>+1 (619) 602-9063</t>
  </si>
  <si>
    <t>3 Loftsgordon Plaza</t>
  </si>
  <si>
    <t>Kandy Heddan</t>
  </si>
  <si>
    <t>kheddanmy@icq.com</t>
  </si>
  <si>
    <t>+1 (850) 796-6812</t>
  </si>
  <si>
    <t>6234 Heath Court</t>
  </si>
  <si>
    <t>Ibby Charters</t>
  </si>
  <si>
    <t>ichartersmz@abc.net.au</t>
  </si>
  <si>
    <t>+1 (202) 710-9776</t>
  </si>
  <si>
    <t>9435 Troy Circle</t>
  </si>
  <si>
    <t>Adora Roubert</t>
  </si>
  <si>
    <t>aroubertn0@tmall.com</t>
  </si>
  <si>
    <t>+1 (772) 366-6549</t>
  </si>
  <si>
    <t>27591 Michigan Place</t>
  </si>
  <si>
    <t>Port Saint Lucie</t>
  </si>
  <si>
    <t>Hillel Mairs</t>
  </si>
  <si>
    <t>hmairsn1@so-net.ne.jp</t>
  </si>
  <si>
    <t>+1 (304) 834-9665</t>
  </si>
  <si>
    <t>325 Forest Run Crossing</t>
  </si>
  <si>
    <t>Helaina Rainforth</t>
  </si>
  <si>
    <t>hrainforthn2@blog.com</t>
  </si>
  <si>
    <t>+1 (215) 607-9440</t>
  </si>
  <si>
    <t>132 New Castle Drive</t>
  </si>
  <si>
    <t>Odelia Skerme</t>
  </si>
  <si>
    <t>oskermen3@hatena.ne.jp</t>
  </si>
  <si>
    <t>+1 (405) 615-0298</t>
  </si>
  <si>
    <t>4 Tony Circle</t>
  </si>
  <si>
    <t>Isac Jesper</t>
  </si>
  <si>
    <t>ijespern4@theglobeandmail.com</t>
  </si>
  <si>
    <t>+1 (239) 918-0943</t>
  </si>
  <si>
    <t>810 Sage Court</t>
  </si>
  <si>
    <t>Lenette Dwerryhouse</t>
  </si>
  <si>
    <t>ldwerryhousen5@gravatar.com</t>
  </si>
  <si>
    <t>+1 (682) 812-1698</t>
  </si>
  <si>
    <t>2 Wayridge Court</t>
  </si>
  <si>
    <t>Nadeen Broomer</t>
  </si>
  <si>
    <t>nbroomern6@examiner.com</t>
  </si>
  <si>
    <t>+1 (402) 219-2018</t>
  </si>
  <si>
    <t>51 Straubel Terrace</t>
  </si>
  <si>
    <t>Omaha</t>
  </si>
  <si>
    <t>Konstantine Thoumasson</t>
  </si>
  <si>
    <t>kthoumassonn7@bloglovin.com</t>
  </si>
  <si>
    <t>342 North Lane</t>
  </si>
  <si>
    <t>Frans Habbergham</t>
  </si>
  <si>
    <t>fhabberghamn8@discovery.com</t>
  </si>
  <si>
    <t>+1 (775) 814-9362</t>
  </si>
  <si>
    <t>76 Fallview Crossing</t>
  </si>
  <si>
    <t>86783-78048-GC</t>
  </si>
  <si>
    <t>Margarette Woolham</t>
  </si>
  <si>
    <t>mwoolhamn9@nature.com</t>
  </si>
  <si>
    <t>+1 (321) 687-2352</t>
  </si>
  <si>
    <t>5 Sunnyside Drive</t>
  </si>
  <si>
    <t>Romain Avrashin</t>
  </si>
  <si>
    <t>ravrashinna@tamu.edu</t>
  </si>
  <si>
    <t>+1 (202) 973-9890</t>
  </si>
  <si>
    <t>88 Westerfield Point</t>
  </si>
  <si>
    <t>Miran Doidge</t>
  </si>
  <si>
    <t>mdoidgenb@etsy.com</t>
  </si>
  <si>
    <t>+1 (831) 955-4716</t>
  </si>
  <si>
    <t>94 Del Mar Lane</t>
  </si>
  <si>
    <t>Salinas</t>
  </si>
  <si>
    <t>Janeva Edinboro</t>
  </si>
  <si>
    <t>jedinboronc@reverbnation.com</t>
  </si>
  <si>
    <t>+1 (754) 219-4187</t>
  </si>
  <si>
    <t>24 Bowman Point</t>
  </si>
  <si>
    <t>Trumaine Tewelson</t>
  </si>
  <si>
    <t>ttewelsonnd@cdbaby.com</t>
  </si>
  <si>
    <t>903 Scoville Court</t>
  </si>
  <si>
    <t>06624-75300-AR</t>
  </si>
  <si>
    <t>Niles Krimmer</t>
  </si>
  <si>
    <t>nkrimmerne@bbb.org</t>
  </si>
  <si>
    <t>0401 Bashford Avenue</t>
  </si>
  <si>
    <t>Glendale</t>
  </si>
  <si>
    <t>De Drewitt</t>
  </si>
  <si>
    <t>ddrewittnf@mapquest.com</t>
  </si>
  <si>
    <t>+1 (571) 504-1175</t>
  </si>
  <si>
    <t>6 Tomscot Hill</t>
  </si>
  <si>
    <t>Adelheid Gladhill</t>
  </si>
  <si>
    <t>agladhillng@stanford.edu</t>
  </si>
  <si>
    <t>+1 (410) 991-5601</t>
  </si>
  <si>
    <t>36 Atwood Plaza</t>
  </si>
  <si>
    <t>Murielle Lorinez</t>
  </si>
  <si>
    <t>mlorineznh@whitehouse.gov</t>
  </si>
  <si>
    <t>029 Bluejay Circle</t>
  </si>
  <si>
    <t>Edin Mathe</t>
  </si>
  <si>
    <t>+1 (404) 514-8311</t>
  </si>
  <si>
    <t>49261 Merry Crossing</t>
  </si>
  <si>
    <t>Mordy Van Der Vlies</t>
  </si>
  <si>
    <t>mvannj@wikipedia.org</t>
  </si>
  <si>
    <t>297 Fulton Way</t>
  </si>
  <si>
    <t>Mobile</t>
  </si>
  <si>
    <t>Spencer Wastell</t>
  </si>
  <si>
    <t>+1 (432) 765-8747</t>
  </si>
  <si>
    <t>80 Oak Alley</t>
  </si>
  <si>
    <t>Jemimah Ethelston</t>
  </si>
  <si>
    <t>jethelstonnl@creativecommons.org</t>
  </si>
  <si>
    <t>+1 (954) 385-3551</t>
  </si>
  <si>
    <t>676 Mcbride Lane</t>
  </si>
  <si>
    <t>Hollywood</t>
  </si>
  <si>
    <t>39652-20484-RV</t>
  </si>
  <si>
    <t>Bobbe Jevon</t>
  </si>
  <si>
    <t>bjevonnm@feedburner.com</t>
  </si>
  <si>
    <t>+1 (785) 211-7568</t>
  </si>
  <si>
    <t>66 Roth Center</t>
  </si>
  <si>
    <t>Perice Eberz</t>
  </si>
  <si>
    <t>peberznn@woothemes.com</t>
  </si>
  <si>
    <t>+1 (530) 938-1204</t>
  </si>
  <si>
    <t>490 Elmside Court</t>
  </si>
  <si>
    <t>Bear Gaish</t>
  </si>
  <si>
    <t>bgaishno@altervista.org</t>
  </si>
  <si>
    <t>0010 Dayton Crossing</t>
  </si>
  <si>
    <t>Lynnea Danton</t>
  </si>
  <si>
    <t>ldantonnp@miitbeian.gov.cn</t>
  </si>
  <si>
    <t>111 Mosinee Alley</t>
  </si>
  <si>
    <t>Skipton Morrall</t>
  </si>
  <si>
    <t>smorrallnq@answers.com</t>
  </si>
  <si>
    <t>+1 (304) 897-5422</t>
  </si>
  <si>
    <t>52731 Fair Oaks Way</t>
  </si>
  <si>
    <t>Devan Crownshaw</t>
  </si>
  <si>
    <t>dcrownshawnr@photobucket.com</t>
  </si>
  <si>
    <t>+1 (610) 576-4733</t>
  </si>
  <si>
    <t>25669 Spohn Plaza</t>
  </si>
  <si>
    <t>67938-81768-NX</t>
  </si>
  <si>
    <t>Kriste Wessel</t>
  </si>
  <si>
    <t>kwesselns@wikispaces.com</t>
  </si>
  <si>
    <t>+44 (739) 768-8321</t>
  </si>
  <si>
    <t>2664 Karstens Court</t>
  </si>
  <si>
    <t>W1F</t>
  </si>
  <si>
    <t>Joceline Reddoch</t>
  </si>
  <si>
    <t>jreddochnt@sun.com</t>
  </si>
  <si>
    <t>+1 (863) 742-5292</t>
  </si>
  <si>
    <t>79075 Helena Road</t>
  </si>
  <si>
    <t>Shelley Titley</t>
  </si>
  <si>
    <t>stitleynu@whitehouse.gov</t>
  </si>
  <si>
    <t>+1 (701) 350-6149</t>
  </si>
  <si>
    <t>8279 Old Gate Lane</t>
  </si>
  <si>
    <t>Redd Simao</t>
  </si>
  <si>
    <t>rsimaonv@simplemachines.org</t>
  </si>
  <si>
    <t>+1 (479) 898-5090</t>
  </si>
  <si>
    <t>37 Ridgeway Street</t>
  </si>
  <si>
    <t>Cece Inker</t>
  </si>
  <si>
    <t>+1 (863) 977-9033</t>
  </si>
  <si>
    <t>67 Annamark Street</t>
  </si>
  <si>
    <t>Noel Chisholm</t>
  </si>
  <si>
    <t>nchisholmnx@example.com</t>
  </si>
  <si>
    <t>+1 (865) 228-1100</t>
  </si>
  <si>
    <t>85 Calypso Place</t>
  </si>
  <si>
    <t>Grazia Oats</t>
  </si>
  <si>
    <t>goatsny@live.com</t>
  </si>
  <si>
    <t>+1 (213) 813-1072</t>
  </si>
  <si>
    <t>7552 Dottie Road</t>
  </si>
  <si>
    <t>Meade Birkin</t>
  </si>
  <si>
    <t>mbirkinnz@java.com</t>
  </si>
  <si>
    <t>+1 (954) 431-7206</t>
  </si>
  <si>
    <t>218 Elka Trail</t>
  </si>
  <si>
    <t>Ronda Pyson</t>
  </si>
  <si>
    <t>rpysono0@constantcontact.com</t>
  </si>
  <si>
    <t>+353 (836) 436-1472</t>
  </si>
  <si>
    <t>850 Jenna Court</t>
  </si>
  <si>
    <t>13764-02913-LA</t>
  </si>
  <si>
    <t>Rachele Ebrall</t>
  </si>
  <si>
    <t>+1 (312) 585-2288</t>
  </si>
  <si>
    <t>709 Blackbird Crossing</t>
  </si>
  <si>
    <t>Rafaela Treacher</t>
  </si>
  <si>
    <t>rtreachero2@usa.gov</t>
  </si>
  <si>
    <t>+353 (552) 867-2244</t>
  </si>
  <si>
    <t>16 Prentice Court</t>
  </si>
  <si>
    <t>Greystones</t>
  </si>
  <si>
    <t>Bee Fattorini</t>
  </si>
  <si>
    <t>bfattorinio3@quantcast.com</t>
  </si>
  <si>
    <t>433 Caliangt Park</t>
  </si>
  <si>
    <t>Monaghan</t>
  </si>
  <si>
    <t>H18</t>
  </si>
  <si>
    <t>Margie Palleske</t>
  </si>
  <si>
    <t>mpalleskeo4@nyu.edu</t>
  </si>
  <si>
    <t>+1 (561) 371-1596</t>
  </si>
  <si>
    <t>30 Dixon Trail</t>
  </si>
  <si>
    <t>Alexina Randals</t>
  </si>
  <si>
    <t>+1 (916) 300-4433</t>
  </si>
  <si>
    <t>713 Hayes Junction</t>
  </si>
  <si>
    <t>Filip Antcliffe</t>
  </si>
  <si>
    <t>fantcliffeo6@amazon.co.jp</t>
  </si>
  <si>
    <t>+353 (581) 217-6697</t>
  </si>
  <si>
    <t>05 Bobwhite Pass</t>
  </si>
  <si>
    <t>Peyter Matignon</t>
  </si>
  <si>
    <t>pmatignono7@harvard.edu</t>
  </si>
  <si>
    <t>+44 (792) 626-3977</t>
  </si>
  <si>
    <t>3162 Arizona Way</t>
  </si>
  <si>
    <t>Kirkton</t>
  </si>
  <si>
    <t>KW10</t>
  </si>
  <si>
    <t>Claudie Weond</t>
  </si>
  <si>
    <t>cweondo8@theglobeandmail.com</t>
  </si>
  <si>
    <t>+1 (828) 335-1268</t>
  </si>
  <si>
    <t>41 Coolidge Way</t>
  </si>
  <si>
    <t>Modesty MacConnechie</t>
  </si>
  <si>
    <t>mmacconnechieo9@reuters.com</t>
  </si>
  <si>
    <t>+1 (304) 620-6008</t>
  </si>
  <si>
    <t>526 Onsgard Park</t>
  </si>
  <si>
    <t>Jaquenette Skentelbery</t>
  </si>
  <si>
    <t>jskentelberyoa@paypal.com</t>
  </si>
  <si>
    <t>+1 (713) 976-5419</t>
  </si>
  <si>
    <t>90235 Holy Cross Parkway</t>
  </si>
  <si>
    <t>Orazio Comber</t>
  </si>
  <si>
    <t>ocomberob@goo.gl</t>
  </si>
  <si>
    <t>+353 (947) 836-2302</t>
  </si>
  <si>
    <t>725 Autumn Leaf Place</t>
  </si>
  <si>
    <t>66934-67426-WC</t>
  </si>
  <si>
    <t>Domini Bram</t>
  </si>
  <si>
    <t>dbramoc@ifeng.com</t>
  </si>
  <si>
    <t>+1 (202) 790-0537</t>
  </si>
  <si>
    <t>7528 Luster Court</t>
  </si>
  <si>
    <t>Zachary Tramel</t>
  </si>
  <si>
    <t>ztramelod@netlog.com</t>
  </si>
  <si>
    <t>+1 (862) 925-5943</t>
  </si>
  <si>
    <t>28834 Wayridge Lane</t>
  </si>
  <si>
    <t>Izaak Primak</t>
  </si>
  <si>
    <t>+1 (206) 705-3979</t>
  </si>
  <si>
    <t>55 Buhler Pass</t>
  </si>
  <si>
    <t>Brittani Thoresbie</t>
  </si>
  <si>
    <t>+1 (303) 606-9146</t>
  </si>
  <si>
    <t>643 Logan Plaza</t>
  </si>
  <si>
    <t>Constanta Hatfull</t>
  </si>
  <si>
    <t>chatfullog@ebay.com</t>
  </si>
  <si>
    <t>+1 (815) 382-1966</t>
  </si>
  <si>
    <t>2 Nelson Alley</t>
  </si>
  <si>
    <t>Rockford</t>
  </si>
  <si>
    <t>Bobbe Castagneto</t>
  </si>
  <si>
    <t>+1 (406) 972-9050</t>
  </si>
  <si>
    <t>5 Moose Terrace</t>
  </si>
  <si>
    <t>32562-55185-DQ</t>
  </si>
  <si>
    <t>Chastity Swatman</t>
  </si>
  <si>
    <t>cswatmanoi@cbslocal.com</t>
  </si>
  <si>
    <t>+1 (404) 916-1168</t>
  </si>
  <si>
    <t>4 Eastwood Alley</t>
  </si>
  <si>
    <t>Lindon Agnolo</t>
  </si>
  <si>
    <t>lagnolooj@pinterest.com</t>
  </si>
  <si>
    <t>+1 (918) 228-6949</t>
  </si>
  <si>
    <t>82499 Mallard Lane</t>
  </si>
  <si>
    <t>Delainey Kiddy</t>
  </si>
  <si>
    <t>dkiddyok@fda.gov</t>
  </si>
  <si>
    <t>+1 (209) 103-3933</t>
  </si>
  <si>
    <t>66184 Melby Avenue</t>
  </si>
  <si>
    <t>Helli Petroulis</t>
  </si>
  <si>
    <t>hpetroulisol@state.tx.us</t>
  </si>
  <si>
    <t>+353 (783) 893-0842</t>
  </si>
  <si>
    <t>56 Hollow Ridge Circle</t>
  </si>
  <si>
    <t>Mullagh</t>
  </si>
  <si>
    <t>Marty Scholl</t>
  </si>
  <si>
    <t>mschollom@taobao.com</t>
  </si>
  <si>
    <t>+1 (415) 613-5939</t>
  </si>
  <si>
    <t>59992 Canary Crossing</t>
  </si>
  <si>
    <t>Kienan Ferson</t>
  </si>
  <si>
    <t>kfersonon@g.co</t>
  </si>
  <si>
    <t>+1 (251) 291-1195</t>
  </si>
  <si>
    <t>72997 Annamark Plaza</t>
  </si>
  <si>
    <t>Blake Kelloway</t>
  </si>
  <si>
    <t>bkellowayoo@omniture.com</t>
  </si>
  <si>
    <t>+1 (415) 757-3377</t>
  </si>
  <si>
    <t>7351 Sloan Pass</t>
  </si>
  <si>
    <t>Scarlett Oliffe</t>
  </si>
  <si>
    <t>soliffeop@yellowbook.com</t>
  </si>
  <si>
    <t>+1 (212) 198-9134</t>
  </si>
  <si>
    <t>1866 Ohio Point</t>
  </si>
  <si>
    <t>Kippie Marrison</t>
  </si>
  <si>
    <t>kmarrisonoq@dropbox.com</t>
  </si>
  <si>
    <t>+1 (303) 808-6803</t>
  </si>
  <si>
    <t>84 Sutherland Alley</t>
  </si>
  <si>
    <t>Celestia Dolohunty</t>
  </si>
  <si>
    <t>cdolohuntyor@dailymail.co.uk</t>
  </si>
  <si>
    <t>+1 (619) 353-0412</t>
  </si>
  <si>
    <t>836 Towne Court</t>
  </si>
  <si>
    <t>Patsy Vasilenko</t>
  </si>
  <si>
    <t>pvasilenkoos@addtoany.com</t>
  </si>
  <si>
    <t>+44 (116) 714-6469</t>
  </si>
  <si>
    <t>56 Ridge Oak Point</t>
  </si>
  <si>
    <t>Raphaela Schankelborg</t>
  </si>
  <si>
    <t>rschankelborgot@ameblo.jp</t>
  </si>
  <si>
    <t>528 Debs Terrace</t>
  </si>
  <si>
    <t>Sharity Wickens</t>
  </si>
  <si>
    <t>+353 (724) 224-5556</t>
  </si>
  <si>
    <t>5873 Lake View Parkway</t>
  </si>
  <si>
    <t>Cavan</t>
  </si>
  <si>
    <t>Derick Snow</t>
  </si>
  <si>
    <t>+1 (718) 461-3002</t>
  </si>
  <si>
    <t>813 La Follette Place</t>
  </si>
  <si>
    <t>Baxy Cargen</t>
  </si>
  <si>
    <t>bcargenow@geocities.jp</t>
  </si>
  <si>
    <t>+1 (253) 509-6510</t>
  </si>
  <si>
    <t>58 Carpenter Pass</t>
  </si>
  <si>
    <t>Ryann Stickler</t>
  </si>
  <si>
    <t>rsticklerox@printfriendly.com</t>
  </si>
  <si>
    <t>+44 (830) 367-6129</t>
  </si>
  <si>
    <t>471 Sage Center</t>
  </si>
  <si>
    <t>Daryn Cassius</t>
  </si>
  <si>
    <t>+1 (269) 398-0766</t>
  </si>
  <si>
    <t>19 Ridgeway Road</t>
  </si>
  <si>
    <t>Battle Creek</t>
  </si>
  <si>
    <t>06062-66586-TK</t>
  </si>
  <si>
    <t>Bud Danett</t>
  </si>
  <si>
    <t>bdanettoz@kickstarter.com</t>
  </si>
  <si>
    <t>3 Dennis Road</t>
  </si>
  <si>
    <t>Skelly Dolohunty</t>
  </si>
  <si>
    <t>+353 (239) 716-2717</t>
  </si>
  <si>
    <t>34010 Kensington Trail</t>
  </si>
  <si>
    <t>Ballymun</t>
  </si>
  <si>
    <t>Drake Jevon</t>
  </si>
  <si>
    <t>djevonp1@ibm.com</t>
  </si>
  <si>
    <t>+1 (832) 733-7027</t>
  </si>
  <si>
    <t>27430 Fairfield Parkway</t>
  </si>
  <si>
    <t>Hall Ranner</t>
  </si>
  <si>
    <t>hrannerp2@omniture.com</t>
  </si>
  <si>
    <t>+1 (513) 635-0251</t>
  </si>
  <si>
    <t>51 Sunfield Crossing</t>
  </si>
  <si>
    <t>Berkly Imrie</t>
  </si>
  <si>
    <t>bimriep3@addtoany.com</t>
  </si>
  <si>
    <t>+1 (559) 761-5288</t>
  </si>
  <si>
    <t>1815 Annamark Way</t>
  </si>
  <si>
    <t>Dorey Sopper</t>
  </si>
  <si>
    <t>dsopperp4@eventbrite.com</t>
  </si>
  <si>
    <t>+1 (612) 870-1604</t>
  </si>
  <si>
    <t>0244 Northfield Place</t>
  </si>
  <si>
    <t>Darcy Lochran</t>
  </si>
  <si>
    <t>+1 (915) 776-4578</t>
  </si>
  <si>
    <t>7464 Nobel Way</t>
  </si>
  <si>
    <t>Lauritz Ledgley</t>
  </si>
  <si>
    <t>lledgleyp6@de.vu</t>
  </si>
  <si>
    <t>+1 (515) 261-2295</t>
  </si>
  <si>
    <t>99138 Waywood Junction</t>
  </si>
  <si>
    <t>Tawnya Menary</t>
  </si>
  <si>
    <t>tmenaryp7@phoca.cz</t>
  </si>
  <si>
    <t>+1 (971) 467-6353</t>
  </si>
  <si>
    <t>5546 Kensington Hill</t>
  </si>
  <si>
    <t>Gustaf Ciccotti</t>
  </si>
  <si>
    <t>gciccottip8@so-net.ne.jp</t>
  </si>
  <si>
    <t>+1 (832) 392-5010</t>
  </si>
  <si>
    <t>94417 Boyd Trail</t>
  </si>
  <si>
    <t>Bobbe Renner</t>
  </si>
  <si>
    <t>+1 (919) 456-9860</t>
  </si>
  <si>
    <t>9 Westerfield Place</t>
  </si>
  <si>
    <t>Wilton Jallin</t>
  </si>
  <si>
    <t>wjallinpa@pcworld.com</t>
  </si>
  <si>
    <t>+1 (617) 201-1702</t>
  </si>
  <si>
    <t>6511 Haas Road</t>
  </si>
  <si>
    <t>Mindy Bogey</t>
  </si>
  <si>
    <t>mbogeypb@thetimes.co.uk</t>
  </si>
  <si>
    <t>+1 (202) 479-4238</t>
  </si>
  <si>
    <t>7791 Westend Point</t>
  </si>
  <si>
    <t>Paulie Fonzone</t>
  </si>
  <si>
    <t>+1 (518) 905-1184</t>
  </si>
  <si>
    <t>596 Manufacturers Alley</t>
  </si>
  <si>
    <t>Merrile Cobbledick</t>
  </si>
  <si>
    <t>mcobbledickpd@ucsd.edu</t>
  </si>
  <si>
    <t>+1 (520) 567-8210</t>
  </si>
  <si>
    <t>949 Nobel Plaza</t>
  </si>
  <si>
    <t>Antonius Lewry</t>
  </si>
  <si>
    <t>alewrype@whitehouse.gov</t>
  </si>
  <si>
    <t>+1 (334) 368-9435</t>
  </si>
  <si>
    <t>86 Pine View Pass</t>
  </si>
  <si>
    <t>Isis Hessel</t>
  </si>
  <si>
    <t>ihesselpf@ox.ac.uk</t>
  </si>
  <si>
    <t>+1 (907) 873-3538</t>
  </si>
  <si>
    <t>2900 Pennsylvania Court</t>
  </si>
  <si>
    <t>Fairbanks</t>
  </si>
  <si>
    <t>Harland Trematick</t>
  </si>
  <si>
    <t>1235 Shopko Point</t>
  </si>
  <si>
    <t>Chloris Sorrell</t>
  </si>
  <si>
    <t>csorrellph@amazon.com</t>
  </si>
  <si>
    <t>+44 (160) 225-1993</t>
  </si>
  <si>
    <t>5 Scott Lane</t>
  </si>
  <si>
    <t>S8</t>
  </si>
  <si>
    <t>11513-19816-IJ</t>
  </si>
  <si>
    <t>Odette Tocque</t>
  </si>
  <si>
    <t>otocquepi@abc.net.au</t>
  </si>
  <si>
    <t>+1 (786) 201-0196</t>
  </si>
  <si>
    <t>731 Anzinger Park</t>
  </si>
  <si>
    <t>Quintina Heavyside</t>
  </si>
  <si>
    <t>qheavysidepj@unc.edu</t>
  </si>
  <si>
    <t>+1 (859) 572-4305</t>
  </si>
  <si>
    <t>7995 Macpherson Drive</t>
  </si>
  <si>
    <t>Hadley Reuven</t>
  </si>
  <si>
    <t>hreuvenpk@whitehouse.gov</t>
  </si>
  <si>
    <t>+1 (616) 851-0525</t>
  </si>
  <si>
    <t>227 Burning Wood Drive</t>
  </si>
  <si>
    <t>Mitch Attwool</t>
  </si>
  <si>
    <t>mattwoolpl@nba.com</t>
  </si>
  <si>
    <t>+1 (515) 821-3701</t>
  </si>
  <si>
    <t>6229 Dawn Junction</t>
  </si>
  <si>
    <t>Charin Maplethorp</t>
  </si>
  <si>
    <t>35 Alpine Circle</t>
  </si>
  <si>
    <t>Goldie Wynes</t>
  </si>
  <si>
    <t>gwynespn@dagondesign.com</t>
  </si>
  <si>
    <t>+1 (512) 118-8603</t>
  </si>
  <si>
    <t>5251 Everett Way</t>
  </si>
  <si>
    <t>Celie MacCourt</t>
  </si>
  <si>
    <t>cmaccourtpo@amazon.com</t>
  </si>
  <si>
    <t>01678 4th Hill</t>
  </si>
  <si>
    <t>00841-75330-ZV</t>
  </si>
  <si>
    <t>Rori Ollin</t>
  </si>
  <si>
    <t>+1 (626) 704-3749</t>
  </si>
  <si>
    <t>05889 Heath Place</t>
  </si>
  <si>
    <t>Evy Wilsone</t>
  </si>
  <si>
    <t>ewilsonepq@eepurl.com</t>
  </si>
  <si>
    <t>+1 (202) 969-6382</t>
  </si>
  <si>
    <t>13130 Heffernan Point</t>
  </si>
  <si>
    <t>Dolores Duffie</t>
  </si>
  <si>
    <t>dduffiepr@time.com</t>
  </si>
  <si>
    <t>+1 (971) 936-3214</t>
  </si>
  <si>
    <t>3 Jenifer Circle</t>
  </si>
  <si>
    <t>Mathilda Matiasek</t>
  </si>
  <si>
    <t>mmatiasekps@ucoz.ru</t>
  </si>
  <si>
    <t>30867 Magdeline Way</t>
  </si>
  <si>
    <t>Jarred Camillo</t>
  </si>
  <si>
    <t>jcamillopt@shinystat.com</t>
  </si>
  <si>
    <t>+1 (202) 572-0994</t>
  </si>
  <si>
    <t>48965 Mesta Lane</t>
  </si>
  <si>
    <t>Kameko Philbrick</t>
  </si>
  <si>
    <t>kphilbrickpu@cdc.gov</t>
  </si>
  <si>
    <t>987 Westridge Terrace</t>
  </si>
  <si>
    <t>Mallory Shrimpling</t>
  </si>
  <si>
    <t>40 Declaration Point</t>
  </si>
  <si>
    <t>Barnett Sillis</t>
  </si>
  <si>
    <t>bsillispw@istockphoto.com</t>
  </si>
  <si>
    <t>+1 (305) 267-4961</t>
  </si>
  <si>
    <t>53 Shasta Plaza</t>
  </si>
  <si>
    <t>Brenn Dundredge</t>
  </si>
  <si>
    <t>+1 (405) 369-5173</t>
  </si>
  <si>
    <t>5 Morrow Street</t>
  </si>
  <si>
    <t>Read Cutts</t>
  </si>
  <si>
    <t>rcuttspy@techcrunch.com</t>
  </si>
  <si>
    <t>+1 (815) 758-8653</t>
  </si>
  <si>
    <t>820 Reinke Pass</t>
  </si>
  <si>
    <t>Michale Delves</t>
  </si>
  <si>
    <t>mdelvespz@nature.com</t>
  </si>
  <si>
    <t>+1 (334) 881-9178</t>
  </si>
  <si>
    <t>670 Shoshone Circle</t>
  </si>
  <si>
    <t>Devland Gritton</t>
  </si>
  <si>
    <t>dgrittonq0@nydailynews.com</t>
  </si>
  <si>
    <t>+1 (626) 968-5148</t>
  </si>
  <si>
    <t>095 Jenna Junction</t>
  </si>
  <si>
    <t>91240-83405-ZQ</t>
  </si>
  <si>
    <t>Caitlin Cattermull</t>
  </si>
  <si>
    <t>ccattermullq1@columbia.edu</t>
  </si>
  <si>
    <t>+1 (312) 880-3388</t>
  </si>
  <si>
    <t>1 Gina Street</t>
  </si>
  <si>
    <t>Dell Gut</t>
  </si>
  <si>
    <t>dgutq2@umich.edu</t>
  </si>
  <si>
    <t>+1 (281) 648-9915</t>
  </si>
  <si>
    <t>30506 Bowman Avenue</t>
  </si>
  <si>
    <t>Willy Pummery</t>
  </si>
  <si>
    <t>wpummeryq3@topsy.com</t>
  </si>
  <si>
    <t>+1 (231) 416-9594</t>
  </si>
  <si>
    <t>9795 Acker Plaza</t>
  </si>
  <si>
    <t>Muskegon</t>
  </si>
  <si>
    <t>Geoffrey Siuda</t>
  </si>
  <si>
    <t>gsiudaq4@nytimes.com</t>
  </si>
  <si>
    <t>+1 (202) 315-8135</t>
  </si>
  <si>
    <t>64284 Pearson Parkway</t>
  </si>
  <si>
    <t>Henderson Crowne</t>
  </si>
  <si>
    <t>hcrowneq5@wufoo.com</t>
  </si>
  <si>
    <t>+353 (476) 525-5512</t>
  </si>
  <si>
    <t>706 Eagan Lane</t>
  </si>
  <si>
    <t>Sallins</t>
  </si>
  <si>
    <t>W91</t>
  </si>
  <si>
    <t>Vernor Pawsey</t>
  </si>
  <si>
    <t>vpawseyq6@tiny.cc</t>
  </si>
  <si>
    <t>+1 (478) 568-4944</t>
  </si>
  <si>
    <t>883 Eagan Point</t>
  </si>
  <si>
    <t>Augustin Waterhouse</t>
  </si>
  <si>
    <t>awaterhouseq7@istockphoto.com</t>
  </si>
  <si>
    <t>+1 (318) 129-0806</t>
  </si>
  <si>
    <t>23530 Lake View Trail</t>
  </si>
  <si>
    <t>Fanchon Haughian</t>
  </si>
  <si>
    <t>fhaughianq8@1688.com</t>
  </si>
  <si>
    <t>+1 (253) 974-5538</t>
  </si>
  <si>
    <t>2017 Ronald Regan Trail</t>
  </si>
  <si>
    <t>Jaimie Hatz</t>
  </si>
  <si>
    <t>+1 (915) 920-9318</t>
  </si>
  <si>
    <t>3 Atwood Avenue</t>
  </si>
  <si>
    <t>Edeline Edney</t>
  </si>
  <si>
    <t>+1 (205) 866-7629</t>
  </si>
  <si>
    <t>43 Crest Line Road</t>
  </si>
  <si>
    <t>Rickie Faltin</t>
  </si>
  <si>
    <t>rfaltinqb@topsy.com</t>
  </si>
  <si>
    <t>2 Laurel Drive</t>
  </si>
  <si>
    <t>Gnni Cheeke</t>
  </si>
  <si>
    <t>gcheekeqc@sitemeter.com</t>
  </si>
  <si>
    <t>+44 (677) 694-1404</t>
  </si>
  <si>
    <t>934 Loomis Junction</t>
  </si>
  <si>
    <t>EC3M</t>
  </si>
  <si>
    <t>Gwenni Ratt</t>
  </si>
  <si>
    <t>grattqd@phpbb.com</t>
  </si>
  <si>
    <t>+353 (878) 618-9723</t>
  </si>
  <si>
    <t>55 Montana Road</t>
  </si>
  <si>
    <t>Castlemartyr</t>
  </si>
  <si>
    <t>H71</t>
  </si>
  <si>
    <t>Johnath Fairebrother</t>
  </si>
  <si>
    <t>+1 (302) 159-1841</t>
  </si>
  <si>
    <t>05 Bluestem Street</t>
  </si>
  <si>
    <t>Ingamar Eberlein</t>
  </si>
  <si>
    <t>ieberleinqf@hc360.com</t>
  </si>
  <si>
    <t>+1 (717) 323-3451</t>
  </si>
  <si>
    <t>8 Delaware Circle</t>
  </si>
  <si>
    <t>Jilly Dreng</t>
  </si>
  <si>
    <t>jdrengqg@uiuc.edu</t>
  </si>
  <si>
    <t>+353 (350) 974-1489</t>
  </si>
  <si>
    <t>0 Cardinal Park</t>
  </si>
  <si>
    <t>47723-84396-MT</t>
  </si>
  <si>
    <t>Jillane Jedrzej</t>
  </si>
  <si>
    <t>jjedrzejqh@dailymail.co.uk</t>
  </si>
  <si>
    <t>+1 (915) 844-8777</t>
  </si>
  <si>
    <t>8 Melby Hill</t>
  </si>
  <si>
    <t>48392-32021-EC</t>
  </si>
  <si>
    <t>Correy Lampel</t>
  </si>
  <si>
    <t>clampelqi@jimdo.com</t>
  </si>
  <si>
    <t>+1 (314) 143-0842</t>
  </si>
  <si>
    <t>445 Brown Way</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</si>
  <si>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</si>
  <si>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</si>
  <si>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</si>
  <si>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</si>
  <si>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</si>
  <si>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</si>
  <si>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</si>
  <si>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</si>
  <si>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</si>
  <si>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</si>
  <si>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</si>
  <si>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</si>
  <si>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</si>
  <si>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</si>
  <si>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</si>
  <si>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</si>
  <si>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</si>
  <si>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</si>
  <si>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</si>
  <si>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Inglewood</t>
  </si>
  <si>
    <t>Rhodie Strathern</t>
  </si>
  <si>
    <t>rstrathernqn@devhub.com</t>
  </si>
  <si>
    <t>63071 Warner Terrace</t>
  </si>
  <si>
    <t>Chad Miguel</t>
  </si>
  <si>
    <t>cmiguelqo@exblog.jp</t>
  </si>
  <si>
    <t>+1 (240) 449-8992</t>
  </si>
  <si>
    <t>83 Sauthoff Junction</t>
  </si>
  <si>
    <t>Florinda Matusovsky</t>
  </si>
  <si>
    <t>+1 (518) 618-9919</t>
  </si>
  <si>
    <t>2 Moland Court</t>
  </si>
  <si>
    <t>Morly Rocks</t>
  </si>
  <si>
    <t>mrocksqq@exblog.jp</t>
  </si>
  <si>
    <t>+353 (731) 124-0228</t>
  </si>
  <si>
    <t>21 Spenser Court</t>
  </si>
  <si>
    <t>Crossmolina</t>
  </si>
  <si>
    <t>Yuri Burrells</t>
  </si>
  <si>
    <t>yburrellsqr@vinaora.com</t>
  </si>
  <si>
    <t>+1 (859) 101-4742</t>
  </si>
  <si>
    <t>4 Brickson Park Court</t>
  </si>
  <si>
    <t>Cleopatra Goodrum</t>
  </si>
  <si>
    <t>cgoodrumqs@goodreads.com</t>
  </si>
  <si>
    <t>+1 (619) 944-5888</t>
  </si>
  <si>
    <t>94 Roxbury Road</t>
  </si>
  <si>
    <t>Joey Jefferys</t>
  </si>
  <si>
    <t>jjefferysqt@blog.com</t>
  </si>
  <si>
    <t>526 Helena Crossing</t>
  </si>
  <si>
    <t>Bearnard Wardell</t>
  </si>
  <si>
    <t>bwardellqu@adobe.com</t>
  </si>
  <si>
    <t>+1 (347) 311-2289</t>
  </si>
  <si>
    <t>57299 Tennessee Hill</t>
  </si>
  <si>
    <t>Zeke Walisiak</t>
  </si>
  <si>
    <t>zwalisiakqv@ucsd.edu</t>
  </si>
  <si>
    <t>+353 (848) 172-8155</t>
  </si>
  <si>
    <t>7 Birchwood Street</t>
  </si>
  <si>
    <t>Booterstown</t>
  </si>
  <si>
    <t>Wiley Leopold</t>
  </si>
  <si>
    <t>wleopoldqw@blogspot.com</t>
  </si>
  <si>
    <t>+1 (352) 173-9191</t>
  </si>
  <si>
    <t>5 Elmside Terrace</t>
  </si>
  <si>
    <t>Gainesville</t>
  </si>
  <si>
    <t>Chiarra Shalders</t>
  </si>
  <si>
    <t>cshaldersqx@cisco.com</t>
  </si>
  <si>
    <t>+1 (305) 787-2810</t>
  </si>
  <si>
    <t>445 Heath Terrace</t>
  </si>
  <si>
    <t>Sharl Southerill</t>
  </si>
  <si>
    <t>+1 (865) 959-4075</t>
  </si>
  <si>
    <t>39 Nelson Pass</t>
  </si>
  <si>
    <t>Noni Furber</t>
  </si>
  <si>
    <t>nfurberqz@jugem.jp</t>
  </si>
  <si>
    <t>+1 (817) 813-2784</t>
  </si>
  <si>
    <t>565 Sloan Avenue</t>
  </si>
  <si>
    <t>Dinah Crutcher</t>
  </si>
  <si>
    <t>+353 (706) 448-6304</t>
  </si>
  <si>
    <t>89147 Northport Trail</t>
  </si>
  <si>
    <t>Charlean Keave</t>
  </si>
  <si>
    <t>ckeaver1@ucoz.com</t>
  </si>
  <si>
    <t>+1 (850) 410-9647</t>
  </si>
  <si>
    <t>08019 Fairfield Pass</t>
  </si>
  <si>
    <t>Sada Roseborough</t>
  </si>
  <si>
    <t>sroseboroughr2@virginia.edu</t>
  </si>
  <si>
    <t>+1 (253) 735-5179</t>
  </si>
  <si>
    <t>779 Memorial Avenue</t>
  </si>
  <si>
    <t>Clayton Kingwell</t>
  </si>
  <si>
    <t>ckingwellr3@squarespace.com</t>
  </si>
  <si>
    <t>+353 (182) 469-0985</t>
  </si>
  <si>
    <t>947 Burrows Park</t>
  </si>
  <si>
    <t>Rathnew</t>
  </si>
  <si>
    <t>Kacy Canto</t>
  </si>
  <si>
    <t>kcantor4@gmpg.org</t>
  </si>
  <si>
    <t>+1 (260) 735-9621</t>
  </si>
  <si>
    <t>43 Doe Crossing Center</t>
  </si>
  <si>
    <t>Mab Blakemore</t>
  </si>
  <si>
    <t>mblakemorer5@nsw.gov.au</t>
  </si>
  <si>
    <t>+1 (806) 227-6812</t>
  </si>
  <si>
    <t>70 Crescent Oaks Junction</t>
  </si>
  <si>
    <t>58408-27638-IB</t>
  </si>
  <si>
    <t>Dedie Gooderridge</t>
  </si>
  <si>
    <t>dgooderridger6@lycos.com</t>
  </si>
  <si>
    <t>+1 (202) 793-3951</t>
  </si>
  <si>
    <t>181 Londonderry Circle</t>
  </si>
  <si>
    <t>Javier Causnett</t>
  </si>
  <si>
    <t>+1 (301) 396-9701</t>
  </si>
  <si>
    <t>511 Rowland Alley</t>
  </si>
  <si>
    <t>Silver Spring</t>
  </si>
  <si>
    <t>Demetris Micheli</t>
  </si>
  <si>
    <t>+1 (608) 138-8374</t>
  </si>
  <si>
    <t>33123 Rigney Pass</t>
  </si>
  <si>
    <t>Chloette Bernardot</t>
  </si>
  <si>
    <t>cbernardotr9@wix.com</t>
  </si>
  <si>
    <t>+1 (936) 783-5732</t>
  </si>
  <si>
    <t>6672 Cordelia Point</t>
  </si>
  <si>
    <t>Conroe</t>
  </si>
  <si>
    <t>Kim Kemery</t>
  </si>
  <si>
    <t>kkemeryra@t.co</t>
  </si>
  <si>
    <t>+1 (817) 407-3513</t>
  </si>
  <si>
    <t>95 Delladonna Parkway</t>
  </si>
  <si>
    <t>Fanchette Parlot</t>
  </si>
  <si>
    <t>fparlotrb@forbes.com</t>
  </si>
  <si>
    <t>+1 (614) 706-1246</t>
  </si>
  <si>
    <t>7765 Westridge Lane</t>
  </si>
  <si>
    <t>Ramon Cheak</t>
  </si>
  <si>
    <t>rcheakrc@tripadvisor.com</t>
  </si>
  <si>
    <t>23 Paget Point</t>
  </si>
  <si>
    <t>Bundoran</t>
  </si>
  <si>
    <t>Koressa O'Geneay</t>
  </si>
  <si>
    <t>kogeneayrd@utexas.edu</t>
  </si>
  <si>
    <t>+1 (303) 637-0326</t>
  </si>
  <si>
    <t>77 Rigney Hill</t>
  </si>
  <si>
    <t>Claudell Ayre</t>
  </si>
  <si>
    <t>cayrere@symantec.com</t>
  </si>
  <si>
    <t>+1 (386) 573-2575</t>
  </si>
  <si>
    <t>5645 Lotheville Crossing</t>
  </si>
  <si>
    <t>Daytona Beach</t>
  </si>
  <si>
    <t>Lorianne Kyneton</t>
  </si>
  <si>
    <t>lkynetonrf@macromedia.com</t>
  </si>
  <si>
    <t>+44 (618) 634-9365</t>
  </si>
  <si>
    <t>1926 3rd Center</t>
  </si>
  <si>
    <t>Adele McFayden</t>
  </si>
  <si>
    <t>+44 (123) 755-7484</t>
  </si>
  <si>
    <t>28 Darwin Terrace</t>
  </si>
  <si>
    <t>Wirral</t>
  </si>
  <si>
    <t>CH48</t>
  </si>
  <si>
    <t>Herta Layne</t>
  </si>
  <si>
    <t>+1 (636) 143-8338</t>
  </si>
  <si>
    <t>5495 Talisman Plaza</t>
  </si>
  <si>
    <t>98051-37183-SK</t>
  </si>
  <si>
    <t>Dierdre Scrigmour</t>
  </si>
  <si>
    <t>dscrigmourri@cnbc.com</t>
  </si>
  <si>
    <t>+1 (858) 976-1767</t>
  </si>
  <si>
    <t>018 Luster Pass</t>
  </si>
  <si>
    <t>Oceanside</t>
  </si>
  <si>
    <t>48689-81852-DT</t>
  </si>
  <si>
    <t>Romy Whittlesea</t>
  </si>
  <si>
    <t>+1 (423) 297-8063</t>
  </si>
  <si>
    <t>65 Reinke Point</t>
  </si>
  <si>
    <t>Desdemona Eye</t>
  </si>
  <si>
    <t>+353 (252) 896-2096</t>
  </si>
  <si>
    <t>191 Manitowish Crossing</t>
  </si>
  <si>
    <t>Margarette Sterland</t>
  </si>
  <si>
    <t>+1 (215) 872-6809</t>
  </si>
  <si>
    <t>5 Kenwood Pass</t>
  </si>
  <si>
    <t>Catharine Scoines</t>
  </si>
  <si>
    <t>+353 (693) 290-4775</t>
  </si>
  <si>
    <t>39192 Glendale Hill</t>
  </si>
  <si>
    <t>Jennica Tewelson</t>
  </si>
  <si>
    <t>jtewelsonrn@samsung.com</t>
  </si>
  <si>
    <t>+1 (469) 573-8379</t>
  </si>
  <si>
    <t>4040 Hoard Junction</t>
  </si>
  <si>
    <t>Marguerite Graves</t>
  </si>
  <si>
    <t>+1 (479) 204-9111</t>
  </si>
  <si>
    <t>91413 Scott Way</t>
  </si>
  <si>
    <t>10940-42739-ET</t>
  </si>
  <si>
    <t>Etan Featenby</t>
  </si>
  <si>
    <t>+1 (719) 416-9560</t>
  </si>
  <si>
    <t>885 Toban Plaza</t>
  </si>
  <si>
    <t>Nicolina Jenny</t>
  </si>
  <si>
    <t>njennyrq@bigcartel.com</t>
  </si>
  <si>
    <t>+1 (562) 679-4750</t>
  </si>
  <si>
    <t>6099 American Ash Court</t>
  </si>
  <si>
    <t>Vidovic Antonelli</t>
  </si>
  <si>
    <t>+44 (810) 927-9266</t>
  </si>
  <si>
    <t>3242 Corscot Pass</t>
  </si>
  <si>
    <t>EC1V</t>
  </si>
  <si>
    <t>Price per 100g</t>
  </si>
  <si>
    <t>Profit</t>
  </si>
  <si>
    <t>Ara</t>
  </si>
  <si>
    <t>L</t>
  </si>
  <si>
    <t>M</t>
  </si>
  <si>
    <t>D</t>
  </si>
  <si>
    <t>Rob</t>
  </si>
  <si>
    <t>Lib</t>
  </si>
  <si>
    <t>Exc</t>
  </si>
  <si>
    <t>Arabica</t>
  </si>
  <si>
    <t>Robusta</t>
  </si>
  <si>
    <t>Liberica</t>
  </si>
  <si>
    <t>Excelsa</t>
  </si>
  <si>
    <t>Light</t>
  </si>
  <si>
    <t>Medium</t>
  </si>
  <si>
    <t>Dark</t>
  </si>
  <si>
    <t>year</t>
  </si>
  <si>
    <t>month</t>
  </si>
  <si>
    <t>DATE</t>
  </si>
  <si>
    <t>phone no.</t>
  </si>
  <si>
    <t>Coffee type</t>
  </si>
  <si>
    <t>Roast type</t>
  </si>
  <si>
    <t>Total profit</t>
  </si>
  <si>
    <t>Profit margin</t>
  </si>
  <si>
    <t>Row Labels</t>
  </si>
  <si>
    <t>Grand Total</t>
  </si>
  <si>
    <t>Sum of Sales</t>
  </si>
  <si>
    <t>Sum of Quantity</t>
  </si>
  <si>
    <t>April</t>
  </si>
  <si>
    <t>August</t>
  </si>
  <si>
    <t>February</t>
  </si>
  <si>
    <t>January</t>
  </si>
  <si>
    <t>June</t>
  </si>
  <si>
    <t>March</t>
  </si>
  <si>
    <t>2019</t>
  </si>
  <si>
    <t>2020</t>
  </si>
  <si>
    <t>2021</t>
  </si>
  <si>
    <t>2022</t>
  </si>
  <si>
    <t>Column Labels</t>
  </si>
  <si>
    <t>Count of Customer ID</t>
  </si>
  <si>
    <t>Count of Customer Name</t>
  </si>
  <si>
    <t>=</t>
  </si>
  <si>
    <t>Sum of Total profit</t>
  </si>
  <si>
    <t>May</t>
  </si>
  <si>
    <t>July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</si>
</sst>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bgColor indexed="64"/>
      </patternFill>
    </fill>
    <fill>
      <patternFill patternType="solid">
        <fgColor rgb="FFFFFFFF"/>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0" fontId="0" fillId="33" borderId="0" xfId="0" applyFill="1"/>
    <xf numFmtId="0" fontId="0" fillId="0" borderId="0" xfId="0" pivotButton="1"/>
    <xf numFmtId="0" fontId="0" fillId="0" borderId="0" xfId="0" applyAlignment="1">
      <alignment horizontal="left"/>
    </xf>
    <xf numFmtId="0" fontId="0" fillId="0" borderId="0" xfId="0" applyAlignment="1">
      <alignment horizontal="left" indent="1"/>
    </xf>
    <xf numFmtId="0" fontId="0" fillId="34" borderId="0" xfId="0" applyFill="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
    <dxf>
      <fill>
        <patternFill>
          <bgColor theme="9" tint="-0.24994659260841701"/>
        </patternFill>
      </fill>
    </dxf>
    <dxf>
      <fill>
        <patternFill>
          <bgColor theme="8" tint="0.59996337778862885"/>
        </patternFill>
      </fill>
    </dxf>
    <dxf>
      <fill>
        <patternFill>
          <bgColor theme="1"/>
        </patternFill>
      </fill>
    </dxf>
  </dxfs>
  <tableStyles count="2" defaultTableStyle="TableStyleMedium2" defaultPivotStyle="PivotStyleLight16">
    <tableStyle name="Slicer Style 1" pivot="0" table="0" count="4">
      <tableStyleElement type="wholeTable" dxfId="2"/>
    </tableStyle>
    <tableStyle name="Slicer Style 2" pivot="0" table="0" count="3">
      <tableStyleElement type="wholeTable" dxfId="1"/>
      <tableStyleElement type="headerRow" dxfId="0"/>
    </tableStyle>
  </tableStyles>
  <colors>
    <mruColors>
      <color rgb="FFFFFFFF"/>
    </mruColors>
  </colors>
  <extLst>
    <ext xmlns:x14="http://schemas.microsoft.com/office/spreadsheetml/2009/9/main" uri="{46F421CA-312F-682f-3DD2-61675219B42D}">
      <x14:dxfs count="4">
        <dxf>
          <fill>
            <patternFill>
              <bgColor theme="9" tint="-0.24994659260841701"/>
            </patternFill>
          </fill>
        </dxf>
        <dxf>
          <fill>
            <patternFill>
              <bgColor theme="2" tint="-9.9948118533890809E-2"/>
            </patternFill>
          </fill>
        </dxf>
        <dxf>
          <fill>
            <patternFill>
              <bgColor theme="2" tint="-9.9948118533890809E-2"/>
            </patternFill>
          </fill>
        </dxf>
        <dxf>
          <fill>
            <patternFill>
              <bgColor theme="2" tint="-9.9948118533890809E-2"/>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3"/>
            <x14:slicerStyleElement type="selectedItemWithData" dxfId="2"/>
            <x14:slicerStyleElement type="selectedItemWithNoData" dxfId="1"/>
          </x14:slicerStyleElements>
        </x14:slicerStyle>
        <x14:slicerStyle name="Slicer Style 2">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v>2019</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Lit>
              <c:ptCount val="4"/>
              <c:pt idx="0">
                <c:v>Arabica</c:v>
              </c:pt>
              <c:pt idx="1">
                <c:v>Excelsa</c:v>
              </c:pt>
              <c:pt idx="2">
                <c:v>Liberica</c:v>
              </c:pt>
              <c:pt idx="3">
                <c:v>Robusta</c:v>
              </c:pt>
            </c:strLit>
          </c:cat>
          <c:val>
            <c:numLit>
              <c:formatCode>General</c:formatCode>
              <c:ptCount val="4"/>
              <c:pt idx="0">
                <c:v>0</c:v>
              </c:pt>
              <c:pt idx="1">
                <c:v>0</c:v>
              </c:pt>
              <c:pt idx="2">
                <c:v>0</c:v>
              </c:pt>
              <c:pt idx="3">
                <c:v>0</c:v>
              </c:pt>
            </c:numLit>
          </c:val>
          <c:extLst>
            <c:ext xmlns:c16="http://schemas.microsoft.com/office/drawing/2014/chart" uri="{C3380CC4-5D6E-409C-BE32-E72D297353CC}">
              <c16:uniqueId val="{00000000-30AD-47AE-A5A2-25F493D04F8E}"/>
            </c:ext>
          </c:extLst>
        </c:ser>
        <c:ser>
          <c:idx val="1"/>
          <c:order val="1"/>
          <c:tx>
            <c:v>2020</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Lit>
              <c:ptCount val="4"/>
              <c:pt idx="0">
                <c:v>Arabica</c:v>
              </c:pt>
              <c:pt idx="1">
                <c:v>Excelsa</c:v>
              </c:pt>
              <c:pt idx="2">
                <c:v>Liberica</c:v>
              </c:pt>
              <c:pt idx="3">
                <c:v>Robusta</c:v>
              </c:pt>
            </c:strLit>
          </c:cat>
          <c:val>
            <c:numLit>
              <c:formatCode>General</c:formatCode>
              <c:ptCount val="4"/>
              <c:pt idx="0">
                <c:v>0</c:v>
              </c:pt>
              <c:pt idx="1">
                <c:v>0</c:v>
              </c:pt>
              <c:pt idx="2">
                <c:v>0</c:v>
              </c:pt>
              <c:pt idx="3">
                <c:v>0</c:v>
              </c:pt>
            </c:numLit>
          </c:val>
          <c:extLst>
            <c:ext xmlns:c16="http://schemas.microsoft.com/office/drawing/2014/chart" uri="{C3380CC4-5D6E-409C-BE32-E72D297353CC}">
              <c16:uniqueId val="{00000001-30AD-47AE-A5A2-25F493D04F8E}"/>
            </c:ext>
          </c:extLst>
        </c:ser>
        <c:ser>
          <c:idx val="2"/>
          <c:order val="2"/>
          <c:tx>
            <c:v>2021</c:v>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Lit>
              <c:ptCount val="4"/>
              <c:pt idx="0">
                <c:v>Arabica</c:v>
              </c:pt>
              <c:pt idx="1">
                <c:v>Excelsa</c:v>
              </c:pt>
              <c:pt idx="2">
                <c:v>Liberica</c:v>
              </c:pt>
              <c:pt idx="3">
                <c:v>Robusta</c:v>
              </c:pt>
            </c:strLit>
          </c:cat>
          <c:val>
            <c:numLit>
              <c:formatCode>General</c:formatCode>
              <c:ptCount val="4"/>
              <c:pt idx="0">
                <c:v>0</c:v>
              </c:pt>
              <c:pt idx="1">
                <c:v>0</c:v>
              </c:pt>
              <c:pt idx="2">
                <c:v>0</c:v>
              </c:pt>
              <c:pt idx="3">
                <c:v>0</c:v>
              </c:pt>
            </c:numLit>
          </c:val>
          <c:extLst>
            <c:ext xmlns:c16="http://schemas.microsoft.com/office/drawing/2014/chart" uri="{C3380CC4-5D6E-409C-BE32-E72D297353CC}">
              <c16:uniqueId val="{00000002-30AD-47AE-A5A2-25F493D04F8E}"/>
            </c:ext>
          </c:extLst>
        </c:ser>
        <c:ser>
          <c:idx val="3"/>
          <c:order val="3"/>
          <c:tx>
            <c:v>2022</c:v>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Lit>
              <c:ptCount val="4"/>
              <c:pt idx="0">
                <c:v>Arabica</c:v>
              </c:pt>
              <c:pt idx="1">
                <c:v>Excelsa</c:v>
              </c:pt>
              <c:pt idx="2">
                <c:v>Liberica</c:v>
              </c:pt>
              <c:pt idx="3">
                <c:v>Robusta</c:v>
              </c:pt>
            </c:strLit>
          </c:cat>
          <c:val>
            <c:numLit>
              <c:formatCode>General</c:formatCode>
              <c:ptCount val="4"/>
              <c:pt idx="0">
                <c:v>0</c:v>
              </c:pt>
              <c:pt idx="1">
                <c:v>0</c:v>
              </c:pt>
              <c:pt idx="2">
                <c:v>0</c:v>
              </c:pt>
              <c:pt idx="3">
                <c:v>0</c:v>
              </c:pt>
            </c:numLit>
          </c:val>
          <c:extLst>
            <c:ext xmlns:c16="http://schemas.microsoft.com/office/drawing/2014/chart" uri="{C3380CC4-5D6E-409C-BE32-E72D297353CC}">
              <c16:uniqueId val="{00000003-30AD-47AE-A5A2-25F493D04F8E}"/>
            </c:ext>
          </c:extLst>
        </c:ser>
        <c:dLbls>
          <c:showLegendKey val="0"/>
          <c:showVal val="0"/>
          <c:showCatName val="0"/>
          <c:showSerName val="0"/>
          <c:showPercent val="0"/>
          <c:showBubbleSize val="0"/>
        </c:dLbls>
        <c:gapWidth val="150"/>
        <c:shape val="box"/>
        <c:axId val="563724576"/>
        <c:axId val="563729376"/>
        <c:axId val="0"/>
      </c:bar3DChart>
      <c:catAx>
        <c:axId val="56372457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63729376"/>
        <c:crosses val="autoZero"/>
        <c:auto val="1"/>
        <c:lblAlgn val="ctr"/>
        <c:lblOffset val="100"/>
        <c:noMultiLvlLbl val="0"/>
      </c:catAx>
      <c:valAx>
        <c:axId val="563729376"/>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637245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[dash board.xlsx]pivot table!sale varys</c:name>
    <c:fmtId val="0"/>
  </c:pivotSource>
  <c:chart>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3"/>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4"/>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table'!$B$13:$B$14</c:f>
              <c:strCache>
                <c:ptCount val="1"/>
                <c:pt idx="0">
                  <c:v>2022</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table'!$A$15:$A$17</c:f>
              <c:strCache>
                <c:ptCount val="2"/>
                <c:pt idx="0">
                  <c:v>Ireland</c:v>
                </c:pt>
                <c:pt idx="1">
                  <c:v>United States</c:v>
                </c:pt>
              </c:strCache>
            </c:strRef>
          </c:cat>
          <c:val>
            <c:numRef>
              <c:f>'pivot table'!$B$15:$B$17</c:f>
              <c:numCache>
                <c:formatCode>General</c:formatCode>
                <c:ptCount val="2"/>
                <c:pt idx="0">
                  <c:v>91.539999999999992</c:v>
                </c:pt>
                <c:pt idx="1">
                  <c:v>421.88</c:v>
                </c:pt>
              </c:numCache>
            </c:numRef>
          </c:val>
          <c:extLst>
            <c:ext xmlns:c16="http://schemas.microsoft.com/office/drawing/2014/chart" uri="{C3380CC4-5D6E-409C-BE32-E72D297353CC}">
              <c16:uniqueId val="{00000000-B24F-47E3-BA9C-038C08B6C8EC}"/>
            </c:ext>
          </c:extLst>
        </c:ser>
        <c:dLbls>
          <c:showLegendKey val="0"/>
          <c:showVal val="0"/>
          <c:showCatName val="0"/>
          <c:showSerName val="0"/>
          <c:showPercent val="0"/>
          <c:showBubbleSize val="0"/>
        </c:dLbls>
        <c:gapWidth val="150"/>
        <c:shape val="box"/>
        <c:axId val="563709696"/>
        <c:axId val="563727936"/>
        <c:axId val="0"/>
      </c:bar3DChart>
      <c:catAx>
        <c:axId val="5637096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63727936"/>
        <c:crosses val="autoZero"/>
        <c:auto val="1"/>
        <c:lblAlgn val="ctr"/>
        <c:lblOffset val="100"/>
        <c:noMultiLvlLbl val="0"/>
      </c:catAx>
      <c:valAx>
        <c:axId val="563727936"/>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637096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 board.xlsx]pivot table!cities sales</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lumMod val="50000"/>
            </a:schemeClr>
          </a:solidFill>
          <a:ln w="19050">
            <a:solidFill>
              <a:schemeClr val="tx1">
                <a:lumMod val="95000"/>
                <a:lumOff val="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spPr>
          <a:solidFill>
            <a:schemeClr val="accent2">
              <a:lumMod val="50000"/>
            </a:schemeClr>
          </a:solidFill>
          <a:ln w="19050">
            <a:solidFill>
              <a:schemeClr val="tx1">
                <a:lumMod val="95000"/>
                <a:lumOff val="5000"/>
              </a:schemeClr>
            </a:solidFill>
          </a:ln>
          <a:effectLst/>
        </c:spPr>
      </c:pivotFmt>
    </c:pivotFmts>
    <c:plotArea>
      <c:layout/>
      <c:barChart>
        <c:barDir val="col"/>
        <c:grouping val="clustered"/>
        <c:varyColors val="0"/>
        <c:ser>
          <c:idx val="0"/>
          <c:order val="0"/>
          <c:tx>
            <c:strRef>
              <c:f>'pivot table'!$B$133</c:f>
              <c:strCache>
                <c:ptCount val="1"/>
                <c:pt idx="0">
                  <c:v>Total</c:v>
                </c:pt>
              </c:strCache>
            </c:strRef>
          </c:tx>
          <c:spPr>
            <a:solidFill>
              <a:schemeClr val="accent2">
                <a:lumMod val="50000"/>
              </a:schemeClr>
            </a:solidFill>
            <a:ln w="19050">
              <a:solidFill>
                <a:schemeClr val="tx1">
                  <a:lumMod val="95000"/>
                  <a:lumOff val="5000"/>
                </a:schemeClr>
              </a:solidFill>
            </a:ln>
            <a:effectLst/>
          </c:spPr>
          <c:invertIfNegative val="0"/>
          <c:dPt>
            <c:idx val="5"/>
            <c:invertIfNegative val="0"/>
            <c:bubble3D val="0"/>
            <c:extLst>
              <c:ext xmlns:c16="http://schemas.microsoft.com/office/drawing/2014/chart" uri="{C3380CC4-5D6E-409C-BE32-E72D297353CC}">
                <c16:uniqueId val="{00000001-62B1-41E4-8CB0-EDFD4CAF53C3}"/>
              </c:ext>
            </c:extLst>
          </c:dPt>
          <c:dPt>
            <c:idx val="7"/>
            <c:invertIfNegative val="0"/>
            <c:bubble3D val="0"/>
            <c:extLst>
              <c:ext xmlns:c16="http://schemas.microsoft.com/office/drawing/2014/chart" uri="{C3380CC4-5D6E-409C-BE32-E72D297353CC}">
                <c16:uniqueId val="{00000000-EE90-4A22-9B2B-340878E67BD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table'!$A$134:$A$146</c:f>
              <c:strCache>
                <c:ptCount val="12"/>
                <c:pt idx="0">
                  <c:v>Adare</c:v>
                </c:pt>
                <c:pt idx="1">
                  <c:v>Arklow</c:v>
                </c:pt>
                <c:pt idx="2">
                  <c:v>Fort Lauderdale</c:v>
                </c:pt>
                <c:pt idx="3">
                  <c:v>Fort Smith</c:v>
                </c:pt>
                <c:pt idx="4">
                  <c:v>Gainesville</c:v>
                </c:pt>
                <c:pt idx="5">
                  <c:v>Lees Summit</c:v>
                </c:pt>
                <c:pt idx="6">
                  <c:v>Montgomery</c:v>
                </c:pt>
                <c:pt idx="7">
                  <c:v>Monticello</c:v>
                </c:pt>
                <c:pt idx="8">
                  <c:v>Philadelphia</c:v>
                </c:pt>
                <c:pt idx="9">
                  <c:v>Richmond</c:v>
                </c:pt>
                <c:pt idx="10">
                  <c:v>Rochester</c:v>
                </c:pt>
                <c:pt idx="11">
                  <c:v>Toledo</c:v>
                </c:pt>
              </c:strCache>
            </c:strRef>
          </c:cat>
          <c:val>
            <c:numRef>
              <c:f>'pivot table'!$B$134:$B$146</c:f>
              <c:numCache>
                <c:formatCode>General</c:formatCode>
                <c:ptCount val="12"/>
                <c:pt idx="0">
                  <c:v>45.769999999999996</c:v>
                </c:pt>
                <c:pt idx="1">
                  <c:v>45.769999999999996</c:v>
                </c:pt>
                <c:pt idx="2">
                  <c:v>19.899999999999999</c:v>
                </c:pt>
                <c:pt idx="3">
                  <c:v>47.76</c:v>
                </c:pt>
                <c:pt idx="4">
                  <c:v>5.97</c:v>
                </c:pt>
                <c:pt idx="5">
                  <c:v>14.924999999999999</c:v>
                </c:pt>
                <c:pt idx="6">
                  <c:v>91.539999999999992</c:v>
                </c:pt>
                <c:pt idx="7">
                  <c:v>5.97</c:v>
                </c:pt>
                <c:pt idx="8">
                  <c:v>114.42499999999998</c:v>
                </c:pt>
                <c:pt idx="9">
                  <c:v>49.75</c:v>
                </c:pt>
                <c:pt idx="10">
                  <c:v>11.94</c:v>
                </c:pt>
                <c:pt idx="11">
                  <c:v>59.699999999999996</c:v>
                </c:pt>
              </c:numCache>
            </c:numRef>
          </c:val>
          <c:extLst>
            <c:ext xmlns:c16="http://schemas.microsoft.com/office/drawing/2014/chart" uri="{C3380CC4-5D6E-409C-BE32-E72D297353CC}">
              <c16:uniqueId val="{00000000-F858-4292-A471-2B5DBE3D8697}"/>
            </c:ext>
          </c:extLst>
        </c:ser>
        <c:dLbls>
          <c:showLegendKey val="0"/>
          <c:showVal val="0"/>
          <c:showCatName val="0"/>
          <c:showSerName val="0"/>
          <c:showPercent val="0"/>
          <c:showBubbleSize val="0"/>
        </c:dLbls>
        <c:gapWidth val="150"/>
        <c:axId val="990516992"/>
        <c:axId val="990523232"/>
      </c:barChart>
      <c:catAx>
        <c:axId val="99051699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0523232"/>
        <c:crosses val="autoZero"/>
        <c:auto val="1"/>
        <c:lblAlgn val="ctr"/>
        <c:lblOffset val="100"/>
        <c:noMultiLvlLbl val="0"/>
      </c:catAx>
      <c:valAx>
        <c:axId val="9905232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05169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[dash board.xlsx]pivot table!customer distribution</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hade val="65000"/>
                  <a:satMod val="103000"/>
                  <a:lumMod val="102000"/>
                  <a:tint val="94000"/>
                </a:schemeClr>
              </a:gs>
              <a:gs pos="50000">
                <a:schemeClr val="accent2">
                  <a:shade val="65000"/>
                  <a:satMod val="110000"/>
                  <a:lumMod val="100000"/>
                  <a:shade val="100000"/>
                </a:schemeClr>
              </a:gs>
              <a:gs pos="100000">
                <a:schemeClr val="accent2">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2">
                  <a:tint val="65000"/>
                  <a:satMod val="103000"/>
                  <a:lumMod val="102000"/>
                  <a:tint val="94000"/>
                </a:schemeClr>
              </a:gs>
              <a:gs pos="50000">
                <a:schemeClr val="accent2">
                  <a:tint val="65000"/>
                  <a:satMod val="110000"/>
                  <a:lumMod val="100000"/>
                  <a:shade val="100000"/>
                </a:schemeClr>
              </a:gs>
              <a:gs pos="100000">
                <a:schemeClr val="accent2">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table'!$E$21</c:f>
              <c:strCache>
                <c:ptCount val="1"/>
                <c:pt idx="0">
                  <c:v>Total</c:v>
                </c:pt>
              </c:strCache>
            </c:strRef>
          </c:tx>
          <c:dPt>
            <c:idx val="0"/>
            <c:bubble3D val="0"/>
            <c:spPr>
              <a:gradFill rotWithShape="1">
                <a:gsLst>
                  <a:gs pos="0">
                    <a:schemeClr val="accent2">
                      <a:shade val="65000"/>
                      <a:satMod val="103000"/>
                      <a:lumMod val="102000"/>
                      <a:tint val="94000"/>
                    </a:schemeClr>
                  </a:gs>
                  <a:gs pos="50000">
                    <a:schemeClr val="accent2">
                      <a:shade val="65000"/>
                      <a:satMod val="110000"/>
                      <a:lumMod val="100000"/>
                      <a:shade val="100000"/>
                    </a:schemeClr>
                  </a:gs>
                  <a:gs pos="100000">
                    <a:schemeClr val="accent2">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A735-4B7B-8B9D-745C9C939730}"/>
              </c:ext>
            </c:extLst>
          </c:dPt>
          <c:dPt>
            <c:idx val="1"/>
            <c:bubble3D val="0"/>
            <c:spPr>
              <a:gradFill rotWithShape="1">
                <a:gsLst>
                  <a:gs pos="0">
                    <a:schemeClr val="accent2">
                      <a:tint val="65000"/>
                      <a:satMod val="103000"/>
                      <a:lumMod val="102000"/>
                      <a:tint val="94000"/>
                    </a:schemeClr>
                  </a:gs>
                  <a:gs pos="50000">
                    <a:schemeClr val="accent2">
                      <a:tint val="65000"/>
                      <a:satMod val="110000"/>
                      <a:lumMod val="100000"/>
                      <a:shade val="100000"/>
                    </a:schemeClr>
                  </a:gs>
                  <a:gs pos="100000">
                    <a:schemeClr val="accent2">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A735-4B7B-8B9D-745C9C939730}"/>
              </c:ext>
            </c:extLst>
          </c:dPt>
          <c:dPt>
            <c:idx val="2"/>
            <c:bubble3D val="0"/>
            <c:spPr>
              <a:gradFill rotWithShape="1">
                <a:gsLst>
                  <a:gs pos="0">
                    <a:schemeClr val="accent2">
                      <a:tint val="30000"/>
                      <a:satMod val="103000"/>
                      <a:lumMod val="102000"/>
                      <a:tint val="94000"/>
                    </a:schemeClr>
                  </a:gs>
                  <a:gs pos="50000">
                    <a:schemeClr val="accent2">
                      <a:tint val="30000"/>
                      <a:satMod val="110000"/>
                      <a:lumMod val="100000"/>
                      <a:shade val="100000"/>
                    </a:schemeClr>
                  </a:gs>
                  <a:gs pos="100000">
                    <a:schemeClr val="accent2">
                      <a:tint val="3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A735-4B7B-8B9D-745C9C93973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table'!$D$22:$D$24</c:f>
              <c:strCache>
                <c:ptCount val="2"/>
                <c:pt idx="0">
                  <c:v>Ireland</c:v>
                </c:pt>
                <c:pt idx="1">
                  <c:v>United States</c:v>
                </c:pt>
              </c:strCache>
            </c:strRef>
          </c:cat>
          <c:val>
            <c:numRef>
              <c:f>'pivot table'!$E$22:$E$24</c:f>
              <c:numCache>
                <c:formatCode>General</c:formatCode>
                <c:ptCount val="2"/>
                <c:pt idx="0">
                  <c:v>2</c:v>
                </c:pt>
                <c:pt idx="1">
                  <c:v>11</c:v>
                </c:pt>
              </c:numCache>
            </c:numRef>
          </c:val>
          <c:extLst>
            <c:ext xmlns:c16="http://schemas.microsoft.com/office/drawing/2014/chart" uri="{C3380CC4-5D6E-409C-BE32-E72D297353CC}">
              <c16:uniqueId val="{00000000-1691-430D-B87F-2A36B21B4E06}"/>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 board.xlsx]pivot table!year sales</c:name>
    <c:fmtId val="0"/>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
        <c:idx val="3"/>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
        <c:idx val="4"/>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s>
    <c:plotArea>
      <c:layout/>
      <c:barChart>
        <c:barDir val="col"/>
        <c:grouping val="clustered"/>
        <c:varyColors val="0"/>
        <c:ser>
          <c:idx val="0"/>
          <c:order val="0"/>
          <c:tx>
            <c:strRef>
              <c:f>'pivot table'!$B$97:$B$98</c:f>
              <c:strCache>
                <c:ptCount val="1"/>
                <c:pt idx="0">
                  <c:v>2022</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'pivot table'!$A$99:$A$100</c:f>
              <c:strCache>
                <c:ptCount val="1"/>
                <c:pt idx="0">
                  <c:v>Robusta</c:v>
                </c:pt>
              </c:strCache>
            </c:strRef>
          </c:cat>
          <c:val>
            <c:numRef>
              <c:f>'pivot table'!$B$99:$B$100</c:f>
              <c:numCache>
                <c:formatCode>General</c:formatCode>
                <c:ptCount val="1"/>
                <c:pt idx="0">
                  <c:v>513.41999999999996</c:v>
                </c:pt>
              </c:numCache>
            </c:numRef>
          </c:val>
          <c:extLst>
            <c:ext xmlns:c16="http://schemas.microsoft.com/office/drawing/2014/chart" uri="{C3380CC4-5D6E-409C-BE32-E72D297353CC}">
              <c16:uniqueId val="{00000000-F4FA-4EC3-A62D-445A3B2757E5}"/>
            </c:ext>
          </c:extLst>
        </c:ser>
        <c:dLbls>
          <c:showLegendKey val="0"/>
          <c:showVal val="0"/>
          <c:showCatName val="0"/>
          <c:showSerName val="0"/>
          <c:showPercent val="0"/>
          <c:showBubbleSize val="0"/>
        </c:dLbls>
        <c:gapWidth val="315"/>
        <c:overlap val="-40"/>
        <c:axId val="1556157920"/>
        <c:axId val="1556168480"/>
      </c:barChart>
      <c:catAx>
        <c:axId val="1556157920"/>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56168480"/>
        <c:crosses val="autoZero"/>
        <c:auto val="1"/>
        <c:lblAlgn val="ctr"/>
        <c:lblOffset val="100"/>
        <c:noMultiLvlLbl val="0"/>
      </c:catAx>
      <c:valAx>
        <c:axId val="1556168480"/>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561579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[dash board.xlsx]pivot table!montly coffee performances</c:name>
    <c:fmtId val="0"/>
  </c:pivotSource>
  <c:chart>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pivotFmt>
      <c:pivotFmt>
        <c:idx val="9"/>
        <c:spPr>
          <a:solidFill>
            <a:schemeClr val="accent2"/>
          </a:solidFill>
          <a:ln>
            <a:noFill/>
          </a:ln>
          <a:effectLst/>
        </c:spPr>
        <c:marker>
          <c:symbol val="none"/>
        </c:marker>
      </c:pivotFmt>
      <c:pivotFmt>
        <c:idx val="10"/>
        <c:spPr>
          <a:solidFill>
            <a:schemeClr val="accent2"/>
          </a:solidFill>
          <a:ln>
            <a:noFill/>
          </a:ln>
          <a:effectLst/>
        </c:spPr>
        <c:marker>
          <c:symbol val="none"/>
        </c:marker>
      </c:pivotFmt>
      <c:pivotFmt>
        <c:idx val="11"/>
        <c:spPr>
          <a:solidFill>
            <a:schemeClr val="accent2"/>
          </a:solidFill>
          <a:ln>
            <a:noFill/>
          </a:ln>
          <a:effectLst/>
        </c:spPr>
        <c:marker>
          <c:symbol val="none"/>
        </c:marker>
      </c:pivotFmt>
    </c:pivotFmts>
    <c:plotArea>
      <c:layout/>
      <c:barChart>
        <c:barDir val="col"/>
        <c:grouping val="clustered"/>
        <c:varyColors val="0"/>
        <c:ser>
          <c:idx val="0"/>
          <c:order val="0"/>
          <c:tx>
            <c:strRef>
              <c:f>'pivot table'!$E$53:$E$54</c:f>
              <c:strCache>
                <c:ptCount val="1"/>
                <c:pt idx="0">
                  <c:v>Robusta</c:v>
                </c:pt>
              </c:strCache>
            </c:strRef>
          </c:tx>
          <c:spPr>
            <a:solidFill>
              <a:schemeClr val="accent2"/>
            </a:solidFill>
            <a:ln>
              <a:noFill/>
            </a:ln>
            <a:effectLst/>
          </c:spPr>
          <c:invertIfNegative val="0"/>
          <c:cat>
            <c:strRef>
              <c:f>'pivot table'!$D$55:$D$63</c:f>
              <c:strCache>
                <c:ptCount val="8"/>
                <c:pt idx="0">
                  <c:v>January</c:v>
                </c:pt>
                <c:pt idx="1">
                  <c:v>February</c:v>
                </c:pt>
                <c:pt idx="2">
                  <c:v>March</c:v>
                </c:pt>
                <c:pt idx="3">
                  <c:v>April</c:v>
                </c:pt>
                <c:pt idx="4">
                  <c:v>May</c:v>
                </c:pt>
                <c:pt idx="5">
                  <c:v>June</c:v>
                </c:pt>
                <c:pt idx="6">
                  <c:v>July</c:v>
                </c:pt>
                <c:pt idx="7">
                  <c:v>August</c:v>
                </c:pt>
              </c:strCache>
            </c:strRef>
          </c:cat>
          <c:val>
            <c:numRef>
              <c:f>'pivot table'!$E$55:$E$63</c:f>
              <c:numCache>
                <c:formatCode>General</c:formatCode>
                <c:ptCount val="8"/>
                <c:pt idx="0">
                  <c:v>45.769999999999996</c:v>
                </c:pt>
                <c:pt idx="1">
                  <c:v>17.91</c:v>
                </c:pt>
                <c:pt idx="2">
                  <c:v>5.97</c:v>
                </c:pt>
                <c:pt idx="3">
                  <c:v>59.699999999999996</c:v>
                </c:pt>
                <c:pt idx="4">
                  <c:v>29.849999999999998</c:v>
                </c:pt>
                <c:pt idx="5">
                  <c:v>211.93499999999997</c:v>
                </c:pt>
                <c:pt idx="6">
                  <c:v>127.35999999999999</c:v>
                </c:pt>
                <c:pt idx="7">
                  <c:v>14.924999999999999</c:v>
                </c:pt>
              </c:numCache>
            </c:numRef>
          </c:val>
          <c:extLst>
            <c:ext xmlns:c16="http://schemas.microsoft.com/office/drawing/2014/chart" uri="{C3380CC4-5D6E-409C-BE32-E72D297353CC}">
              <c16:uniqueId val="{00000000-CAA9-4EEA-867E-521FEF2317B8}"/>
            </c:ext>
          </c:extLst>
        </c:ser>
        <c:dLbls>
          <c:showLegendKey val="0"/>
          <c:showVal val="0"/>
          <c:showCatName val="0"/>
          <c:showSerName val="0"/>
          <c:showPercent val="0"/>
          <c:showBubbleSize val="0"/>
        </c:dLbls>
        <c:gapWidth val="199"/>
        <c:axId val="990562112"/>
        <c:axId val="990548192"/>
      </c:barChart>
      <c:catAx>
        <c:axId val="99056211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accent2">
                    <a:lumMod val="60000"/>
                    <a:lumOff val="40000"/>
                  </a:schemeClr>
                </a:solidFill>
                <a:latin typeface="+mn-lt"/>
                <a:ea typeface="+mn-ea"/>
                <a:cs typeface="+mn-cs"/>
              </a:defRPr>
            </a:pPr>
            <a:endParaRPr lang="en-US"/>
          </a:p>
        </c:txPr>
        <c:crossAx val="990548192"/>
        <c:crosses val="autoZero"/>
        <c:auto val="1"/>
        <c:lblAlgn val="ctr"/>
        <c:lblOffset val="100"/>
        <c:noMultiLvlLbl val="0"/>
      </c:catAx>
      <c:valAx>
        <c:axId val="990548192"/>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2">
                    <a:lumMod val="60000"/>
                    <a:lumOff val="40000"/>
                  </a:schemeClr>
                </a:solidFill>
                <a:latin typeface="+mn-lt"/>
                <a:ea typeface="+mn-ea"/>
                <a:cs typeface="+mn-cs"/>
              </a:defRPr>
            </a:pPr>
            <a:endParaRPr lang="en-US"/>
          </a:p>
        </c:txPr>
        <c:crossAx val="9905621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85000"/>
        <a:lumOff val="1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[dash board.xlsx]pivot table!PivotTable4</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tint val="65000"/>
            </a:schemeClr>
          </a:solidFill>
          <a:ln w="19050">
            <a:solidFill>
              <a:schemeClr val="lt1"/>
            </a:solidFill>
          </a:ln>
          <a:effectLst/>
        </c:spPr>
      </c:pivotFmt>
      <c:pivotFmt>
        <c:idx val="2"/>
        <c:spPr>
          <a:solidFill>
            <a:schemeClr val="accent2"/>
          </a:solidFill>
          <a:ln w="19050">
            <a:solidFill>
              <a:schemeClr val="lt1"/>
            </a:solidFill>
          </a:ln>
          <a:effectLst/>
        </c:spPr>
      </c:pivotFmt>
      <c:pivotFmt>
        <c:idx val="3"/>
        <c:spPr>
          <a:solidFill>
            <a:schemeClr val="accent2">
              <a:shade val="65000"/>
            </a:schemeClr>
          </a:solidFill>
          <a:ln w="19050">
            <a:solidFill>
              <a:schemeClr val="lt1"/>
            </a:solidFill>
          </a:ln>
          <a:effectLst/>
        </c:spPr>
      </c:pivotFmt>
      <c:pivotFmt>
        <c:idx val="4"/>
        <c:spPr>
          <a:solidFill>
            <a:schemeClr val="accent2">
              <a:tint val="65000"/>
            </a:schemeClr>
          </a:solidFill>
          <a:ln w="19050">
            <a:solidFill>
              <a:schemeClr val="lt1"/>
            </a:solidFill>
          </a:ln>
          <a:effectLst/>
        </c:spPr>
      </c:pivotFmt>
      <c:pivotFmt>
        <c:idx val="5"/>
        <c:spPr>
          <a:solidFill>
            <a:schemeClr val="accent2">
              <a:tint val="77000"/>
            </a:schemeClr>
          </a:solidFill>
          <a:ln w="19050">
            <a:solidFill>
              <a:schemeClr val="lt1"/>
            </a:solidFill>
          </a:ln>
          <a:effectLst/>
        </c:spPr>
      </c:pivotFmt>
      <c:pivotFmt>
        <c:idx val="6"/>
        <c:spPr>
          <a:solidFill>
            <a:schemeClr val="accent2">
              <a:shade val="76000"/>
            </a:schemeClr>
          </a:solidFill>
          <a:ln w="19050">
            <a:solidFill>
              <a:schemeClr val="lt1"/>
            </a:solidFill>
          </a:ln>
          <a:effectLst/>
        </c:spPr>
      </c:pivotFmt>
      <c:pivotFmt>
        <c:idx val="7"/>
        <c:spPr>
          <a:solidFill>
            <a:schemeClr val="accent2">
              <a:shade val="58000"/>
            </a:schemeClr>
          </a:solidFill>
          <a:ln w="19050">
            <a:solidFill>
              <a:schemeClr val="lt1"/>
            </a:solidFill>
          </a:ln>
          <a:effectLst/>
        </c:spPr>
      </c:pivotFmt>
    </c:pivotFmts>
    <c:plotArea>
      <c:layout/>
      <c:pieChart>
        <c:varyColors val="1"/>
        <c:ser>
          <c:idx val="0"/>
          <c:order val="0"/>
          <c:tx>
            <c:strRef>
              <c:f>'pivot table'!$B$38</c:f>
              <c:strCache>
                <c:ptCount val="1"/>
                <c:pt idx="0">
                  <c:v>Total</c:v>
                </c:pt>
              </c:strCache>
            </c:strRef>
          </c:tx>
          <c:dPt>
            <c:idx val="0"/>
            <c:bubble3D val="0"/>
            <c:spPr>
              <a:solidFill>
                <a:schemeClr val="accent2">
                  <a:shade val="76000"/>
                </a:schemeClr>
              </a:solidFill>
              <a:ln w="19050">
                <a:solidFill>
                  <a:schemeClr val="lt1"/>
                </a:solidFill>
              </a:ln>
              <a:effectLst/>
            </c:spPr>
            <c:extLst>
              <c:ext xmlns:c16="http://schemas.microsoft.com/office/drawing/2014/chart" uri="{C3380CC4-5D6E-409C-BE32-E72D297353CC}">
                <c16:uniqueId val="{00000001-2190-4853-AEEA-E13DB75914A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190-4853-AEEA-E13DB75914AE}"/>
              </c:ext>
            </c:extLst>
          </c:dPt>
          <c:dPt>
            <c:idx val="2"/>
            <c:bubble3D val="0"/>
            <c:spPr>
              <a:solidFill>
                <a:schemeClr val="accent2"/>
              </a:solidFill>
              <a:ln w="19050">
                <a:solidFill>
                  <a:schemeClr val="lt1"/>
                </a:solidFill>
              </a:ln>
              <a:effectLst/>
            </c:spPr>
            <c:extLst>
              <c:ext xmlns:c16="http://schemas.microsoft.com/office/drawing/2014/chart" uri="{C3380CC4-5D6E-409C-BE32-E72D297353CC}">
                <c16:uniqueId val="{00000005-2190-4853-AEEA-E13DB75914AE}"/>
              </c:ext>
            </c:extLst>
          </c:dPt>
          <c:dPt>
            <c:idx val="3"/>
            <c:bubble3D val="0"/>
            <c:spPr>
              <a:solidFill>
                <a:schemeClr val="accent2"/>
              </a:solidFill>
              <a:ln w="19050">
                <a:solidFill>
                  <a:schemeClr val="lt1"/>
                </a:solidFill>
              </a:ln>
              <a:effectLst/>
            </c:spPr>
            <c:extLst>
              <c:ext xmlns:c16="http://schemas.microsoft.com/office/drawing/2014/chart" uri="{C3380CC4-5D6E-409C-BE32-E72D297353CC}">
                <c16:uniqueId val="{00000007-7E18-469C-AFDA-51607927055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table'!$A$39:$A$40</c:f>
              <c:strCache>
                <c:ptCount val="1"/>
                <c:pt idx="0">
                  <c:v>Medium</c:v>
                </c:pt>
              </c:strCache>
            </c:strRef>
          </c:cat>
          <c:val>
            <c:numRef>
              <c:f>'pivot table'!$B$39:$B$40</c:f>
              <c:numCache>
                <c:formatCode>General</c:formatCode>
                <c:ptCount val="1"/>
                <c:pt idx="0">
                  <c:v>513.41999999999996</c:v>
                </c:pt>
              </c:numCache>
            </c:numRef>
          </c:val>
          <c:extLst>
            <c:ext xmlns:c16="http://schemas.microsoft.com/office/drawing/2014/chart" uri="{C3380CC4-5D6E-409C-BE32-E72D297353CC}">
              <c16:uniqueId val="{00000000-57AE-4E0A-AC70-DA9ABD27CB64}"/>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accent2">
                  <a:lumMod val="60000"/>
                  <a:lumOff val="4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85000"/>
        <a:lumOff val="1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 board.xlsx]pivot table!monthly walk ins</c:name>
    <c:fmtId val="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Monthly customers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barChart>
        <c:barDir val="col"/>
        <c:grouping val="stacked"/>
        <c:varyColors val="0"/>
        <c:ser>
          <c:idx val="0"/>
          <c:order val="0"/>
          <c:tx>
            <c:strRef>
              <c:f>'pivot table'!$B$70</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table'!$A$71:$A$79</c:f>
              <c:strCache>
                <c:ptCount val="8"/>
                <c:pt idx="0">
                  <c:v>January</c:v>
                </c:pt>
                <c:pt idx="1">
                  <c:v>February</c:v>
                </c:pt>
                <c:pt idx="2">
                  <c:v>March</c:v>
                </c:pt>
                <c:pt idx="3">
                  <c:v>April</c:v>
                </c:pt>
                <c:pt idx="4">
                  <c:v>May</c:v>
                </c:pt>
                <c:pt idx="5">
                  <c:v>June</c:v>
                </c:pt>
                <c:pt idx="6">
                  <c:v>July</c:v>
                </c:pt>
                <c:pt idx="7">
                  <c:v>August</c:v>
                </c:pt>
              </c:strCache>
            </c:strRef>
          </c:cat>
          <c:val>
            <c:numRef>
              <c:f>'pivot table'!$B$71:$B$79</c:f>
              <c:numCache>
                <c:formatCode>General</c:formatCode>
                <c:ptCount val="8"/>
                <c:pt idx="0">
                  <c:v>1</c:v>
                </c:pt>
                <c:pt idx="1">
                  <c:v>1</c:v>
                </c:pt>
                <c:pt idx="2">
                  <c:v>1</c:v>
                </c:pt>
                <c:pt idx="3">
                  <c:v>1</c:v>
                </c:pt>
                <c:pt idx="4">
                  <c:v>1</c:v>
                </c:pt>
                <c:pt idx="5">
                  <c:v>3</c:v>
                </c:pt>
                <c:pt idx="6">
                  <c:v>4</c:v>
                </c:pt>
                <c:pt idx="7">
                  <c:v>1</c:v>
                </c:pt>
              </c:numCache>
            </c:numRef>
          </c:val>
          <c:extLst>
            <c:ext xmlns:c16="http://schemas.microsoft.com/office/drawing/2014/chart" uri="{C3380CC4-5D6E-409C-BE32-E72D297353CC}">
              <c16:uniqueId val="{00000000-F4AD-4F06-AE69-F090CB4586CD}"/>
            </c:ext>
          </c:extLst>
        </c:ser>
        <c:dLbls>
          <c:showLegendKey val="0"/>
          <c:showVal val="0"/>
          <c:showCatName val="0"/>
          <c:showSerName val="0"/>
          <c:showPercent val="0"/>
          <c:showBubbleSize val="0"/>
        </c:dLbls>
        <c:gapWidth val="150"/>
        <c:overlap val="100"/>
        <c:axId val="1162488191"/>
        <c:axId val="1174730447"/>
      </c:barChart>
      <c:catAx>
        <c:axId val="116248819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74730447"/>
        <c:crosses val="autoZero"/>
        <c:auto val="1"/>
        <c:lblAlgn val="ctr"/>
        <c:lblOffset val="100"/>
        <c:noMultiLvlLbl val="0"/>
      </c:catAx>
      <c:valAx>
        <c:axId val="117473044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624881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[dash board.xlsx]pivot table!montly coffee performances</c:name>
    <c:fmtId val="14"/>
  </c:pivotSource>
  <c:chart>
    <c:title>
      <c:tx>
        <c:rich>
          <a:bodyPr rot="0" spcFirstLastPara="1" vertOverflow="ellipsis" vert="horz" wrap="square" anchor="ctr" anchorCtr="1"/>
          <a:lstStyle/>
          <a:p>
            <a:pPr>
              <a:defRPr sz="1400" b="1" i="0" u="none" strike="noStrike" kern="1200" cap="none" spc="50" normalizeH="0" baseline="0">
                <a:solidFill>
                  <a:schemeClr val="tx1">
                    <a:lumMod val="65000"/>
                    <a:lumOff val="35000"/>
                  </a:schemeClr>
                </a:solidFill>
                <a:latin typeface="Times New Roman" panose="02020603050405020304" pitchFamily="18" charset="0"/>
                <a:ea typeface="+mj-ea"/>
                <a:cs typeface="Times New Roman" panose="02020603050405020304" pitchFamily="18" charset="0"/>
              </a:defRPr>
            </a:pPr>
            <a:r>
              <a:rPr lang="en-US" sz="1400" b="1">
                <a:solidFill>
                  <a:schemeClr val="tx1"/>
                </a:solidFill>
                <a:latin typeface="Times New Roman" panose="02020603050405020304" pitchFamily="18" charset="0"/>
                <a:cs typeface="Times New Roman" panose="02020603050405020304" pitchFamily="18" charset="0"/>
              </a:rPr>
              <a:t>Monthly performance </a:t>
            </a:r>
          </a:p>
        </c:rich>
      </c:tx>
      <c:layout>
        <c:manualLayout>
          <c:xMode val="edge"/>
          <c:yMode val="edge"/>
          <c:x val="0.26670425346700355"/>
          <c:y val="2.3912029588776765E-2"/>
        </c:manualLayout>
      </c:layout>
      <c:overlay val="0"/>
      <c:spPr>
        <a:noFill/>
        <a:ln>
          <a:noFill/>
        </a:ln>
        <a:effectLst/>
      </c:spPr>
      <c:txPr>
        <a:bodyPr rot="0" spcFirstLastPara="1" vertOverflow="ellipsis" vert="horz" wrap="square" anchor="ctr" anchorCtr="1"/>
        <a:lstStyle/>
        <a:p>
          <a:pPr>
            <a:defRPr sz="1400" b="1" i="0" u="none" strike="noStrike" kern="1200" cap="none" spc="50" normalizeH="0" baseline="0">
              <a:solidFill>
                <a:schemeClr val="tx1">
                  <a:lumMod val="65000"/>
                  <a:lumOff val="35000"/>
                </a:schemeClr>
              </a:solidFill>
              <a:latin typeface="Times New Roman" panose="02020603050405020304" pitchFamily="18" charset="0"/>
              <a:ea typeface="+mj-ea"/>
              <a:cs typeface="Times New Roman" panose="02020603050405020304" pitchFamily="18" charset="0"/>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pivotFmt>
      <c:pivotFmt>
        <c:idx val="13"/>
      </c:pivotFmt>
      <c:pivotFmt>
        <c:idx val="14"/>
      </c:pivotFmt>
      <c:pivotFmt>
        <c:idx val="15"/>
      </c:pivotFmt>
      <c:pivotFmt>
        <c:idx val="16"/>
        <c:spPr>
          <a:solidFill>
            <a:schemeClr val="accent4">
              <a:alpha val="70000"/>
            </a:schemeClr>
          </a:solidFill>
          <a:ln>
            <a:noFill/>
          </a:ln>
          <a:effectLst/>
        </c:spPr>
        <c:marker>
          <c:symbol val="none"/>
        </c:marker>
      </c:pivotFmt>
      <c:pivotFmt>
        <c:idx val="17"/>
        <c:spPr>
          <a:solidFill>
            <a:schemeClr val="accent4">
              <a:alpha val="70000"/>
            </a:schemeClr>
          </a:solidFill>
          <a:ln>
            <a:noFill/>
          </a:ln>
          <a:effectLst/>
        </c:spPr>
        <c:marker>
          <c:symbol val="none"/>
        </c:marker>
      </c:pivotFmt>
      <c:pivotFmt>
        <c:idx val="18"/>
        <c:spPr>
          <a:solidFill>
            <a:schemeClr val="accent4">
              <a:alpha val="70000"/>
            </a:schemeClr>
          </a:solidFill>
          <a:ln>
            <a:noFill/>
          </a:ln>
          <a:effectLst/>
        </c:spPr>
        <c:marker>
          <c:symbol val="none"/>
        </c:marker>
      </c:pivotFmt>
      <c:pivotFmt>
        <c:idx val="19"/>
        <c:spPr>
          <a:solidFill>
            <a:schemeClr val="accent4">
              <a:alpha val="70000"/>
            </a:schemeClr>
          </a:solidFill>
          <a:ln>
            <a:noFill/>
          </a:ln>
          <a:effectLst/>
        </c:spPr>
        <c:marker>
          <c:symbol val="none"/>
        </c:marker>
      </c:pivotFmt>
    </c:pivotFmts>
    <c:plotArea>
      <c:layout>
        <c:manualLayout>
          <c:layoutTarget val="inner"/>
          <c:xMode val="edge"/>
          <c:yMode val="edge"/>
          <c:x val="0.12472414427485393"/>
          <c:y val="3.5642830304298823E-2"/>
          <c:w val="0.82011770712961218"/>
          <c:h val="0.7055865412656751"/>
        </c:manualLayout>
      </c:layout>
      <c:barChart>
        <c:barDir val="col"/>
        <c:grouping val="clustered"/>
        <c:varyColors val="0"/>
        <c:ser>
          <c:idx val="0"/>
          <c:order val="0"/>
          <c:tx>
            <c:strRef>
              <c:f>'pivot table'!$E$53:$E$54</c:f>
              <c:strCache>
                <c:ptCount val="1"/>
                <c:pt idx="0">
                  <c:v>Robusta</c:v>
                </c:pt>
              </c:strCache>
            </c:strRef>
          </c:tx>
          <c:spPr>
            <a:solidFill>
              <a:schemeClr val="accent4">
                <a:alpha val="70000"/>
              </a:schemeClr>
            </a:solidFill>
            <a:ln>
              <a:noFill/>
            </a:ln>
            <a:effectLst/>
          </c:spPr>
          <c:invertIfNegative val="0"/>
          <c:cat>
            <c:strRef>
              <c:f>'pivot table'!$D$55:$D$63</c:f>
              <c:strCache>
                <c:ptCount val="8"/>
                <c:pt idx="0">
                  <c:v>January</c:v>
                </c:pt>
                <c:pt idx="1">
                  <c:v>February</c:v>
                </c:pt>
                <c:pt idx="2">
                  <c:v>March</c:v>
                </c:pt>
                <c:pt idx="3">
                  <c:v>April</c:v>
                </c:pt>
                <c:pt idx="4">
                  <c:v>May</c:v>
                </c:pt>
                <c:pt idx="5">
                  <c:v>June</c:v>
                </c:pt>
                <c:pt idx="6">
                  <c:v>July</c:v>
                </c:pt>
                <c:pt idx="7">
                  <c:v>August</c:v>
                </c:pt>
              </c:strCache>
            </c:strRef>
          </c:cat>
          <c:val>
            <c:numRef>
              <c:f>'pivot table'!$E$55:$E$63</c:f>
              <c:numCache>
                <c:formatCode>General</c:formatCode>
                <c:ptCount val="8"/>
                <c:pt idx="0">
                  <c:v>45.769999999999996</c:v>
                </c:pt>
                <c:pt idx="1">
                  <c:v>17.91</c:v>
                </c:pt>
                <c:pt idx="2">
                  <c:v>5.97</c:v>
                </c:pt>
                <c:pt idx="3">
                  <c:v>59.699999999999996</c:v>
                </c:pt>
                <c:pt idx="4">
                  <c:v>29.849999999999998</c:v>
                </c:pt>
                <c:pt idx="5">
                  <c:v>211.93499999999997</c:v>
                </c:pt>
                <c:pt idx="6">
                  <c:v>127.35999999999999</c:v>
                </c:pt>
                <c:pt idx="7">
                  <c:v>14.924999999999999</c:v>
                </c:pt>
              </c:numCache>
            </c:numRef>
          </c:val>
          <c:extLst>
            <c:ext xmlns:c16="http://schemas.microsoft.com/office/drawing/2014/chart" uri="{C3380CC4-5D6E-409C-BE32-E72D297353CC}">
              <c16:uniqueId val="{00000000-5E26-48F8-8196-179673324FF9}"/>
            </c:ext>
          </c:extLst>
        </c:ser>
        <c:dLbls>
          <c:showLegendKey val="0"/>
          <c:showVal val="0"/>
          <c:showCatName val="0"/>
          <c:showSerName val="0"/>
          <c:showPercent val="0"/>
          <c:showBubbleSize val="0"/>
        </c:dLbls>
        <c:gapWidth val="80"/>
        <c:overlap val="25"/>
        <c:axId val="990562112"/>
        <c:axId val="990548192"/>
      </c:barChart>
      <c:catAx>
        <c:axId val="990562112"/>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990548192"/>
        <c:crosses val="autoZero"/>
        <c:auto val="1"/>
        <c:lblAlgn val="ctr"/>
        <c:lblOffset val="100"/>
        <c:noMultiLvlLbl val="0"/>
      </c:catAx>
      <c:valAx>
        <c:axId val="990548192"/>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9905621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[dash board.xlsx]pivot table!cities sales</c:name>
    <c:fmtId val="15"/>
  </c:pivotSource>
  <c:chart>
    <c:title>
      <c:tx>
        <c:rich>
          <a:bodyPr rot="0" spcFirstLastPara="1" vertOverflow="ellipsis" vert="horz" wrap="square" anchor="ctr" anchorCtr="1"/>
          <a:lstStyle/>
          <a:p>
            <a:pPr>
              <a:defRPr sz="1600" b="1" i="0" u="none" strike="noStrike" kern="1200" baseline="0">
                <a:solidFill>
                  <a:schemeClr val="tx2"/>
                </a:solidFill>
                <a:latin typeface="Times New Roman" panose="02020603050405020304" pitchFamily="18" charset="0"/>
                <a:ea typeface="+mn-ea"/>
                <a:cs typeface="Times New Roman" panose="02020603050405020304" pitchFamily="18" charset="0"/>
              </a:defRPr>
            </a:pPr>
            <a:r>
              <a:rPr lang="en-US">
                <a:solidFill>
                  <a:schemeClr val="tx1"/>
                </a:solidFill>
                <a:latin typeface="Times New Roman" panose="02020603050405020304" pitchFamily="18" charset="0"/>
                <a:cs typeface="Times New Roman" panose="02020603050405020304" pitchFamily="18" charset="0"/>
              </a:rPr>
              <a:t>City Sales</a:t>
            </a:r>
          </a:p>
        </c:rich>
      </c:tx>
      <c:layout>
        <c:manualLayout>
          <c:xMode val="edge"/>
          <c:yMode val="edge"/>
          <c:x val="0.41044492702833085"/>
          <c:y val="7.6363674540682408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pivotFmt>
      <c:pivotFmt>
        <c:idx val="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marker>
          <c:symbol val="none"/>
        </c:marker>
      </c:pivotFmt>
    </c:pivotFmts>
    <c:plotArea>
      <c:layout/>
      <c:barChart>
        <c:barDir val="col"/>
        <c:grouping val="clustered"/>
        <c:varyColors val="0"/>
        <c:ser>
          <c:idx val="0"/>
          <c:order val="0"/>
          <c:tx>
            <c:strRef>
              <c:f>'pivot table'!$B$133</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invertIfNegative val="0"/>
          <c:dPt>
            <c:idx val="7"/>
            <c:invertIfNegative val="0"/>
            <c:bubble3D val="0"/>
            <c:extLst>
              <c:ext xmlns:c16="http://schemas.microsoft.com/office/drawing/2014/chart" uri="{C3380CC4-5D6E-409C-BE32-E72D297353CC}">
                <c16:uniqueId val="{00000000-7BB7-4D30-A084-7409A757927F}"/>
              </c:ext>
            </c:extLst>
          </c:dPt>
          <c:cat>
            <c:strRef>
              <c:f>'pivot table'!$A$134:$A$146</c:f>
              <c:strCache>
                <c:ptCount val="12"/>
                <c:pt idx="0">
                  <c:v>Adare</c:v>
                </c:pt>
                <c:pt idx="1">
                  <c:v>Arklow</c:v>
                </c:pt>
                <c:pt idx="2">
                  <c:v>Fort Lauderdale</c:v>
                </c:pt>
                <c:pt idx="3">
                  <c:v>Fort Smith</c:v>
                </c:pt>
                <c:pt idx="4">
                  <c:v>Gainesville</c:v>
                </c:pt>
                <c:pt idx="5">
                  <c:v>Lees Summit</c:v>
                </c:pt>
                <c:pt idx="6">
                  <c:v>Montgomery</c:v>
                </c:pt>
                <c:pt idx="7">
                  <c:v>Monticello</c:v>
                </c:pt>
                <c:pt idx="8">
                  <c:v>Philadelphia</c:v>
                </c:pt>
                <c:pt idx="9">
                  <c:v>Richmond</c:v>
                </c:pt>
                <c:pt idx="10">
                  <c:v>Rochester</c:v>
                </c:pt>
                <c:pt idx="11">
                  <c:v>Toledo</c:v>
                </c:pt>
              </c:strCache>
            </c:strRef>
          </c:cat>
          <c:val>
            <c:numRef>
              <c:f>'pivot table'!$B$134:$B$146</c:f>
              <c:numCache>
                <c:formatCode>General</c:formatCode>
                <c:ptCount val="12"/>
                <c:pt idx="0">
                  <c:v>45.769999999999996</c:v>
                </c:pt>
                <c:pt idx="1">
                  <c:v>45.769999999999996</c:v>
                </c:pt>
                <c:pt idx="2">
                  <c:v>19.899999999999999</c:v>
                </c:pt>
                <c:pt idx="3">
                  <c:v>47.76</c:v>
                </c:pt>
                <c:pt idx="4">
                  <c:v>5.97</c:v>
                </c:pt>
                <c:pt idx="5">
                  <c:v>14.924999999999999</c:v>
                </c:pt>
                <c:pt idx="6">
                  <c:v>91.539999999999992</c:v>
                </c:pt>
                <c:pt idx="7">
                  <c:v>5.97</c:v>
                </c:pt>
                <c:pt idx="8">
                  <c:v>114.42499999999998</c:v>
                </c:pt>
                <c:pt idx="9">
                  <c:v>49.75</c:v>
                </c:pt>
                <c:pt idx="10">
                  <c:v>11.94</c:v>
                </c:pt>
                <c:pt idx="11">
                  <c:v>59.699999999999996</c:v>
                </c:pt>
              </c:numCache>
            </c:numRef>
          </c:val>
          <c:extLst>
            <c:ext xmlns:c16="http://schemas.microsoft.com/office/drawing/2014/chart" uri="{C3380CC4-5D6E-409C-BE32-E72D297353CC}">
              <c16:uniqueId val="{00000001-7BB7-4D30-A084-7409A757927F}"/>
            </c:ext>
          </c:extLst>
        </c:ser>
        <c:dLbls>
          <c:showLegendKey val="0"/>
          <c:showVal val="0"/>
          <c:showCatName val="0"/>
          <c:showSerName val="0"/>
          <c:showPercent val="0"/>
          <c:showBubbleSize val="0"/>
        </c:dLbls>
        <c:gapWidth val="100"/>
        <c:overlap val="-24"/>
        <c:axId val="990516992"/>
        <c:axId val="990523232"/>
      </c:barChart>
      <c:catAx>
        <c:axId val="990516992"/>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990523232"/>
        <c:crosses val="autoZero"/>
        <c:auto val="1"/>
        <c:lblAlgn val="ctr"/>
        <c:lblOffset val="100"/>
        <c:noMultiLvlLbl val="0"/>
      </c:catAx>
      <c:valAx>
        <c:axId val="990523232"/>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9905169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[dash board.xlsx]pivot table!year sales</c:name>
    <c:fmtId val="23"/>
  </c:pivotSource>
  <c:chart>
    <c:title>
      <c:tx>
        <c:rich>
          <a:bodyPr/>
          <a:lstStyle/>
          <a:p>
            <a:pPr>
              <a:defRPr/>
            </a:pPr>
            <a:r>
              <a:rPr lang="en-US"/>
              <a:t>Yearly</a:t>
            </a:r>
            <a:r>
              <a:rPr lang="en-US" baseline="0"/>
              <a:t> Sales</a:t>
            </a:r>
            <a:endParaRPr lang="en-US"/>
          </a:p>
        </c:rich>
      </c:tx>
      <c:layout/>
      <c:overlay val="0"/>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pivotFmt>
      <c:pivotFmt>
        <c:idx val="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marker>
          <c:symbol val="none"/>
        </c:marker>
      </c:pivotFmt>
      <c:pivotFmt>
        <c:idx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marker>
          <c:symbol val="none"/>
        </c:marker>
      </c:pivotFmt>
      <c:pivotFmt>
        <c:idx val="7"/>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marker>
          <c:symbol val="none"/>
        </c:marker>
      </c:pivotFmt>
      <c:pivotFmt>
        <c:idx val="8"/>
        <c:marker>
          <c:symbol val="none"/>
        </c:marker>
      </c:pivotFmt>
      <c:pivotFmt>
        <c:idx val="9"/>
        <c:marker>
          <c:symbol val="none"/>
        </c:marker>
      </c:pivotFmt>
      <c:pivotFmt>
        <c:idx val="10"/>
        <c:marker>
          <c:symbol val="none"/>
        </c:marker>
      </c:pivotFmt>
      <c:pivotFmt>
        <c:idx val="11"/>
        <c:marker>
          <c:symbol val="none"/>
        </c:marker>
      </c:pivotFmt>
    </c:pivotFmts>
    <c:plotArea>
      <c:layout/>
      <c:barChart>
        <c:barDir val="col"/>
        <c:grouping val="clustered"/>
        <c:varyColors val="0"/>
        <c:ser>
          <c:idx val="0"/>
          <c:order val="0"/>
          <c:tx>
            <c:strRef>
              <c:f>'pivot table'!$B$97:$B$98</c:f>
              <c:strCache>
                <c:ptCount val="1"/>
                <c:pt idx="0">
                  <c:v>2022</c:v>
                </c:pt>
              </c:strCache>
            </c:strRef>
          </c:tx>
          <c:invertIfNegative val="0"/>
          <c:dPt>
            <c:idx val="7"/>
            <c:invertIfNegative val="0"/>
            <c:bubble3D val="0"/>
            <c:extLst>
              <c:ext xmlns:c16="http://schemas.microsoft.com/office/drawing/2014/chart" uri="{C3380CC4-5D6E-409C-BE32-E72D297353CC}">
                <c16:uniqueId val="{00000004-1EA6-45C0-9AEA-E4E3EFC5F002}"/>
              </c:ext>
            </c:extLst>
          </c:dPt>
          <c:cat>
            <c:strRef>
              <c:f>'pivot table'!$A$99:$A$100</c:f>
              <c:strCache>
                <c:ptCount val="1"/>
                <c:pt idx="0">
                  <c:v>Robusta</c:v>
                </c:pt>
              </c:strCache>
            </c:strRef>
          </c:cat>
          <c:val>
            <c:numRef>
              <c:f>'pivot table'!$B$99:$B$100</c:f>
              <c:numCache>
                <c:formatCode>General</c:formatCode>
                <c:ptCount val="1"/>
                <c:pt idx="0">
                  <c:v>513.41999999999996</c:v>
                </c:pt>
              </c:numCache>
            </c:numRef>
          </c:val>
          <c:extLst>
            <c:ext xmlns:c16="http://schemas.microsoft.com/office/drawing/2014/chart" uri="{C3380CC4-5D6E-409C-BE32-E72D297353CC}">
              <c16:uniqueId val="{00000005-1EA6-45C0-9AEA-E4E3EFC5F002}"/>
            </c:ext>
          </c:extLst>
        </c:ser>
        <c:dLbls>
          <c:showLegendKey val="0"/>
          <c:showVal val="0"/>
          <c:showCatName val="0"/>
          <c:showSerName val="0"/>
          <c:showPercent val="0"/>
          <c:showBubbleSize val="0"/>
        </c:dLbls>
        <c:gapWidth val="100"/>
        <c:overlap val="-24"/>
        <c:axId val="990516992"/>
        <c:axId val="990523232"/>
      </c:barChart>
      <c:catAx>
        <c:axId val="990516992"/>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990523232"/>
        <c:crosses val="autoZero"/>
        <c:auto val="1"/>
        <c:lblAlgn val="ctr"/>
        <c:lblOffset val="100"/>
        <c:noMultiLvlLbl val="0"/>
      </c:catAx>
      <c:valAx>
        <c:axId val="990523232"/>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9905169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[dash board.xlsx]pivot table!monthly walk ins</c:name>
    <c:fmtId val="7"/>
  </c:pivotSource>
  <c:chart>
    <c:title>
      <c:tx>
        <c:rich>
          <a:bodyPr rot="0" spcFirstLastPara="1" vertOverflow="ellipsis" vert="horz" wrap="square" anchor="ctr" anchorCtr="1"/>
          <a:lstStyle/>
          <a:p>
            <a:pPr>
              <a:defRPr sz="1600" b="1" i="0" u="none" strike="noStrike" kern="1200" baseline="0">
                <a:solidFill>
                  <a:schemeClr val="tx2"/>
                </a:solidFill>
                <a:latin typeface="Times New Roman" panose="02020603050405020304" pitchFamily="18" charset="0"/>
                <a:ea typeface="+mn-ea"/>
                <a:cs typeface="Times New Roman" panose="02020603050405020304" pitchFamily="18" charset="0"/>
              </a:defRPr>
            </a:pPr>
            <a:r>
              <a:rPr lang="en-US">
                <a:solidFill>
                  <a:schemeClr val="tx1"/>
                </a:solidFill>
                <a:latin typeface="Times New Roman" panose="02020603050405020304" pitchFamily="18" charset="0"/>
                <a:cs typeface="Times New Roman" panose="02020603050405020304" pitchFamily="18" charset="0"/>
              </a:rPr>
              <a:t>Monthly customers </a:t>
            </a:r>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marker>
          <c:symbol val="none"/>
        </c:marker>
      </c:pivotFmt>
    </c:pivotFmts>
    <c:plotArea>
      <c:layout/>
      <c:barChart>
        <c:barDir val="col"/>
        <c:grouping val="stacked"/>
        <c:varyColors val="0"/>
        <c:ser>
          <c:idx val="0"/>
          <c:order val="0"/>
          <c:tx>
            <c:strRef>
              <c:f>'pivot table'!$B$70</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invertIfNegative val="0"/>
          <c:cat>
            <c:strRef>
              <c:f>'pivot table'!$A$71:$A$79</c:f>
              <c:strCache>
                <c:ptCount val="8"/>
                <c:pt idx="0">
                  <c:v>January</c:v>
                </c:pt>
                <c:pt idx="1">
                  <c:v>February</c:v>
                </c:pt>
                <c:pt idx="2">
                  <c:v>March</c:v>
                </c:pt>
                <c:pt idx="3">
                  <c:v>April</c:v>
                </c:pt>
                <c:pt idx="4">
                  <c:v>May</c:v>
                </c:pt>
                <c:pt idx="5">
                  <c:v>June</c:v>
                </c:pt>
                <c:pt idx="6">
                  <c:v>July</c:v>
                </c:pt>
                <c:pt idx="7">
                  <c:v>August</c:v>
                </c:pt>
              </c:strCache>
            </c:strRef>
          </c:cat>
          <c:val>
            <c:numRef>
              <c:f>'pivot table'!$B$71:$B$79</c:f>
              <c:numCache>
                <c:formatCode>General</c:formatCode>
                <c:ptCount val="8"/>
                <c:pt idx="0">
                  <c:v>1</c:v>
                </c:pt>
                <c:pt idx="1">
                  <c:v>1</c:v>
                </c:pt>
                <c:pt idx="2">
                  <c:v>1</c:v>
                </c:pt>
                <c:pt idx="3">
                  <c:v>1</c:v>
                </c:pt>
                <c:pt idx="4">
                  <c:v>1</c:v>
                </c:pt>
                <c:pt idx="5">
                  <c:v>3</c:v>
                </c:pt>
                <c:pt idx="6">
                  <c:v>4</c:v>
                </c:pt>
                <c:pt idx="7">
                  <c:v>1</c:v>
                </c:pt>
              </c:numCache>
            </c:numRef>
          </c:val>
          <c:extLst>
            <c:ext xmlns:c16="http://schemas.microsoft.com/office/drawing/2014/chart" uri="{C3380CC4-5D6E-409C-BE32-E72D297353CC}">
              <c16:uniqueId val="{00000000-B577-4BB7-9AE9-AC9219705E87}"/>
            </c:ext>
          </c:extLst>
        </c:ser>
        <c:dLbls>
          <c:showLegendKey val="0"/>
          <c:showVal val="0"/>
          <c:showCatName val="0"/>
          <c:showSerName val="0"/>
          <c:showPercent val="0"/>
          <c:showBubbleSize val="0"/>
        </c:dLbls>
        <c:gapWidth val="150"/>
        <c:overlap val="100"/>
        <c:axId val="1162488191"/>
        <c:axId val="1174730447"/>
      </c:barChart>
      <c:catAx>
        <c:axId val="1162488191"/>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174730447"/>
        <c:crosses val="autoZero"/>
        <c:auto val="1"/>
        <c:lblAlgn val="ctr"/>
        <c:lblOffset val="100"/>
        <c:noMultiLvlLbl val="0"/>
      </c:catAx>
      <c:valAx>
        <c:axId val="1174730447"/>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1624881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5">
  <a:schemeClr val="accent2"/>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Reversed" id="22">
  <a:schemeClr val="accent2"/>
</cs:colorStyle>
</file>

<file path=xl/charts/colors7.xml><?xml version="1.0" encoding="utf-8"?>
<cs:colorStyle xmlns:cs="http://schemas.microsoft.com/office/drawing/2012/chartStyle" xmlns:a="http://schemas.openxmlformats.org/drawingml/2006/main" meth="withinLinearReversed" id="22">
  <a:schemeClr val="accent2"/>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 id="17">
  <a:schemeClr val="accent4"/>
</cs:colorStyle>
</file>

<file path=xl/charts/colors10.xml><?xml version="1.0" encoding="utf-8"?>
<cs:colorStyle xmlns:cs="http://schemas.microsoft.com/office/drawing/2012/chartStyle" xmlns:a="http://schemas.openxmlformats.org/drawingml/2006/main" meth="withinLinear" id="17">
  <a:schemeClr val="accent4"/>
</cs:colorStyle>
</file>

<file path=xl/charts/colors11.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1.xml><?xml version="1.0" encoding="utf-8"?>
<cs:chartStyle xmlns:cs="http://schemas.microsoft.com/office/drawing/2012/chartStyle" xmlns:a="http://schemas.openxmlformats.org/drawingml/2006/main" id="30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12</xdr:col>
      <xdr:colOff>600074</xdr:colOff>
      <xdr:row>4</xdr:row>
      <xdr:rowOff>28575</xdr:rowOff>
    </xdr:from>
    <xdr:to>
      <xdr:col>17</xdr:col>
      <xdr:colOff>66675</xdr:colOff>
      <xdr:row>15</xdr:row>
      <xdr:rowOff>114300</xdr:rowOff>
    </xdr:to>
    <xdr:graphicFrame macro="">
      <xdr:nvGraphicFramePr>
        <xdr:cNvPr id="2" name="Chart 1">
          <a:extLst>
            <a:ext uri="{FF2B5EF4-FFF2-40B4-BE49-F238E27FC236}">
              <a16:creationId xmlns:a16="http://schemas.microsoft.com/office/drawing/2014/main" id="{33A133C4-AB15-B37F-7A35-2F0970F378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133350</xdr:colOff>
      <xdr:row>11</xdr:row>
      <xdr:rowOff>119062</xdr:rowOff>
    </xdr:from>
    <xdr:to>
      <xdr:col>10</xdr:col>
      <xdr:colOff>76200</xdr:colOff>
      <xdr:row>18</xdr:row>
      <xdr:rowOff>152400</xdr:rowOff>
    </xdr:to>
    <xdr:graphicFrame macro="">
      <xdr:nvGraphicFramePr>
        <xdr:cNvPr id="3" name="Chart 2">
          <a:extLst>
            <a:ext uri="{FF2B5EF4-FFF2-40B4-BE49-F238E27FC236}">
              <a16:creationId xmlns:a16="http://schemas.microsoft.com/office/drawing/2014/main" id="{FC175868-C3F1-07A2-AF98-77564A0D4D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85723</xdr:colOff>
      <xdr:row>21</xdr:row>
      <xdr:rowOff>100011</xdr:rowOff>
    </xdr:from>
    <xdr:to>
      <xdr:col>12</xdr:col>
      <xdr:colOff>333375</xdr:colOff>
      <xdr:row>34</xdr:row>
      <xdr:rowOff>180975</xdr:rowOff>
    </xdr:to>
    <xdr:graphicFrame macro="">
      <xdr:nvGraphicFramePr>
        <xdr:cNvPr id="4" name="cities sales">
          <a:extLst>
            <a:ext uri="{FF2B5EF4-FFF2-40B4-BE49-F238E27FC236}">
              <a16:creationId xmlns:a16="http://schemas.microsoft.com/office/drawing/2014/main" id="{3597D08A-2DBD-729A-0D7F-8BE892E5F8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266700</xdr:colOff>
      <xdr:row>33</xdr:row>
      <xdr:rowOff>38099</xdr:rowOff>
    </xdr:from>
    <xdr:to>
      <xdr:col>19</xdr:col>
      <xdr:colOff>133350</xdr:colOff>
      <xdr:row>42</xdr:row>
      <xdr:rowOff>180974</xdr:rowOff>
    </xdr:to>
    <xdr:graphicFrame macro="">
      <xdr:nvGraphicFramePr>
        <xdr:cNvPr id="5" name="Chart 4">
          <a:extLst>
            <a:ext uri="{FF2B5EF4-FFF2-40B4-BE49-F238E27FC236}">
              <a16:creationId xmlns:a16="http://schemas.microsoft.com/office/drawing/2014/main" id="{E1C02BC0-1700-87C6-4037-E7DF8BBF7F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381000</xdr:colOff>
      <xdr:row>96</xdr:row>
      <xdr:rowOff>180974</xdr:rowOff>
    </xdr:from>
    <xdr:to>
      <xdr:col>12</xdr:col>
      <xdr:colOff>285750</xdr:colOff>
      <xdr:row>107</xdr:row>
      <xdr:rowOff>119061</xdr:rowOff>
    </xdr:to>
    <xdr:graphicFrame macro="">
      <xdr:nvGraphicFramePr>
        <xdr:cNvPr id="9" name="yearly sales">
          <a:extLst>
            <a:ext uri="{FF2B5EF4-FFF2-40B4-BE49-F238E27FC236}">
              <a16:creationId xmlns:a16="http://schemas.microsoft.com/office/drawing/2014/main" id="{78DECEA8-A0D3-9CBC-1659-2FA414E29A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590550</xdr:colOff>
      <xdr:row>34</xdr:row>
      <xdr:rowOff>14287</xdr:rowOff>
    </xdr:from>
    <xdr:to>
      <xdr:col>6</xdr:col>
      <xdr:colOff>133350</xdr:colOff>
      <xdr:row>48</xdr:row>
      <xdr:rowOff>90487</xdr:rowOff>
    </xdr:to>
    <xdr:graphicFrame macro="">
      <xdr:nvGraphicFramePr>
        <xdr:cNvPr id="10" name="Chart 9">
          <a:extLst>
            <a:ext uri="{FF2B5EF4-FFF2-40B4-BE49-F238E27FC236}">
              <a16:creationId xmlns:a16="http://schemas.microsoft.com/office/drawing/2014/main" id="{BF99CA1B-2594-A35C-A15C-ED3F9A46B5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19</xdr:col>
      <xdr:colOff>809624</xdr:colOff>
      <xdr:row>57</xdr:row>
      <xdr:rowOff>28575</xdr:rowOff>
    </xdr:from>
    <xdr:to>
      <xdr:col>23</xdr:col>
      <xdr:colOff>533399</xdr:colOff>
      <xdr:row>68</xdr:row>
      <xdr:rowOff>128587</xdr:rowOff>
    </xdr:to>
    <xdr:graphicFrame macro="">
      <xdr:nvGraphicFramePr>
        <xdr:cNvPr id="11" name="Chart 10">
          <a:extLst>
            <a:ext uri="{FF2B5EF4-FFF2-40B4-BE49-F238E27FC236}">
              <a16:creationId xmlns:a16="http://schemas.microsoft.com/office/drawing/2014/main" id="{6016859B-8E2C-AB0F-1F6E-37C7F5AA5A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13</xdr:col>
      <xdr:colOff>85725</xdr:colOff>
      <xdr:row>20</xdr:row>
      <xdr:rowOff>9525</xdr:rowOff>
    </xdr:from>
    <xdr:to>
      <xdr:col>15</xdr:col>
      <xdr:colOff>714375</xdr:colOff>
      <xdr:row>33</xdr:row>
      <xdr:rowOff>57150</xdr:rowOff>
    </xdr:to>
    <mc:AlternateContent xmlns:mc="http://schemas.openxmlformats.org/markup-compatibility/2006" xmlns:a14="http://schemas.microsoft.com/office/drawing/2010/main">
      <mc:Choice Requires="a14">
        <xdr:graphicFrame macro="">
          <xdr:nvGraphicFramePr>
            <xdr:cNvPr id="13" name="year">
              <a:extLst>
                <a:ext uri="{FF2B5EF4-FFF2-40B4-BE49-F238E27FC236}">
                  <a16:creationId xmlns:a16="http://schemas.microsoft.com/office/drawing/2014/main" id="{6955D1BE-23BC-D8C1-0C56-74A7711774AC}"/>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0515600" y="38195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219075</xdr:colOff>
      <xdr:row>39</xdr:row>
      <xdr:rowOff>180976</xdr:rowOff>
    </xdr:from>
    <xdr:to>
      <xdr:col>8</xdr:col>
      <xdr:colOff>723900</xdr:colOff>
      <xdr:row>46</xdr:row>
      <xdr:rowOff>66676</xdr:rowOff>
    </xdr:to>
    <mc:AlternateContent xmlns:mc="http://schemas.openxmlformats.org/markup-compatibility/2006" xmlns:a14="http://schemas.microsoft.com/office/drawing/2010/main">
      <mc:Choice Requires="a14">
        <xdr:graphicFrame macro="">
          <xdr:nvGraphicFramePr>
            <xdr:cNvPr id="7" name="Roast type">
              <a:extLst>
                <a:ext uri="{FF2B5EF4-FFF2-40B4-BE49-F238E27FC236}">
                  <a16:creationId xmlns:a16="http://schemas.microsoft.com/office/drawing/2014/main" id="{20978FB1-0F7A-87D6-1DD4-FBB0197A06DE}"/>
                </a:ext>
              </a:extLst>
            </xdr:cNvPr>
            <xdr:cNvGraphicFramePr/>
          </xdr:nvGraphicFramePr>
          <xdr:xfrm>
            <a:off x="0" y="0"/>
            <a:ext cx="0" cy="0"/>
          </xdr:xfrm>
          <a:graphic>
            <a:graphicData uri="http://schemas.microsoft.com/office/drawing/2010/slicer">
              <sle:slicer xmlns:sle="http://schemas.microsoft.com/office/drawing/2010/slicer" name="Roast type"/>
            </a:graphicData>
          </a:graphic>
        </xdr:graphicFrame>
      </mc:Choice>
      <mc:Fallback xmlns="">
        <xdr:sp macro="" textlink="">
          <xdr:nvSpPr>
            <xdr:cNvPr id="0" name=""/>
            <xdr:cNvSpPr>
              <a:spLocks noTextEdit="1"/>
            </xdr:cNvSpPr>
          </xdr:nvSpPr>
          <xdr:spPr>
            <a:xfrm>
              <a:off x="5400675" y="7610476"/>
              <a:ext cx="1038225" cy="1219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381000</xdr:colOff>
      <xdr:row>84</xdr:row>
      <xdr:rowOff>142875</xdr:rowOff>
    </xdr:from>
    <xdr:to>
      <xdr:col>2</xdr:col>
      <xdr:colOff>466725</xdr:colOff>
      <xdr:row>91</xdr:row>
      <xdr:rowOff>76200</xdr:rowOff>
    </xdr:to>
    <mc:AlternateContent xmlns:mc="http://schemas.openxmlformats.org/markup-compatibility/2006" xmlns:a14="http://schemas.microsoft.com/office/drawing/2010/main">
      <mc:Choice Requires="a14">
        <xdr:graphicFrame macro="">
          <xdr:nvGraphicFramePr>
            <xdr:cNvPr id="14" name="Coffee type 1">
              <a:extLst>
                <a:ext uri="{FF2B5EF4-FFF2-40B4-BE49-F238E27FC236}">
                  <a16:creationId xmlns:a16="http://schemas.microsoft.com/office/drawing/2014/main" id="{358A27ED-B731-0D30-C6CE-8ED38DD6161A}"/>
                </a:ext>
              </a:extLst>
            </xdr:cNvPr>
            <xdr:cNvGraphicFramePr/>
          </xdr:nvGraphicFramePr>
          <xdr:xfrm>
            <a:off x="0" y="0"/>
            <a:ext cx="0" cy="0"/>
          </xdr:xfrm>
          <a:graphic>
            <a:graphicData uri="http://schemas.microsoft.com/office/drawing/2010/slicer">
              <sle:slicer xmlns:sle="http://schemas.microsoft.com/office/drawing/2010/slicer" name="Coffee type 1"/>
            </a:graphicData>
          </a:graphic>
        </xdr:graphicFrame>
      </mc:Choice>
      <mc:Fallback xmlns="">
        <xdr:sp macro="" textlink="">
          <xdr:nvSpPr>
            <xdr:cNvPr id="0" name=""/>
            <xdr:cNvSpPr>
              <a:spLocks noTextEdit="1"/>
            </xdr:cNvSpPr>
          </xdr:nvSpPr>
          <xdr:spPr>
            <a:xfrm>
              <a:off x="1257300" y="16144875"/>
              <a:ext cx="895350" cy="12668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447675</xdr:colOff>
      <xdr:row>79</xdr:row>
      <xdr:rowOff>76201</xdr:rowOff>
    </xdr:from>
    <xdr:to>
      <xdr:col>13</xdr:col>
      <xdr:colOff>209550</xdr:colOff>
      <xdr:row>87</xdr:row>
      <xdr:rowOff>95251</xdr:rowOff>
    </xdr:to>
    <mc:AlternateContent xmlns:mc="http://schemas.openxmlformats.org/markup-compatibility/2006" xmlns:a14="http://schemas.microsoft.com/office/drawing/2010/main">
      <mc:Choice Requires="a14">
        <xdr:graphicFrame macro="">
          <xdr:nvGraphicFramePr>
            <xdr:cNvPr id="15" name="year 1">
              <a:extLst>
                <a:ext uri="{FF2B5EF4-FFF2-40B4-BE49-F238E27FC236}">
                  <a16:creationId xmlns:a16="http://schemas.microsoft.com/office/drawing/2014/main" id="{BB724542-EA9A-BB45-788A-0D04BF2AADB0}"/>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7515225" y="15125701"/>
              <a:ext cx="1828800" cy="15430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476250</xdr:colOff>
      <xdr:row>89</xdr:row>
      <xdr:rowOff>180976</xdr:rowOff>
    </xdr:from>
    <xdr:to>
      <xdr:col>15</xdr:col>
      <xdr:colOff>457200</xdr:colOff>
      <xdr:row>96</xdr:row>
      <xdr:rowOff>85726</xdr:rowOff>
    </xdr:to>
    <mc:AlternateContent xmlns:mc="http://schemas.openxmlformats.org/markup-compatibility/2006" xmlns:a14="http://schemas.microsoft.com/office/drawing/2010/main">
      <mc:Choice Requires="a14">
        <xdr:graphicFrame macro="">
          <xdr:nvGraphicFramePr>
            <xdr:cNvPr id="16" name="Roast type 1">
              <a:extLst>
                <a:ext uri="{FF2B5EF4-FFF2-40B4-BE49-F238E27FC236}">
                  <a16:creationId xmlns:a16="http://schemas.microsoft.com/office/drawing/2014/main" id="{0057E94C-B072-9DFC-BE8C-4E7D5DFAC75D}"/>
                </a:ext>
              </a:extLst>
            </xdr:cNvPr>
            <xdr:cNvGraphicFramePr/>
          </xdr:nvGraphicFramePr>
          <xdr:xfrm>
            <a:off x="0" y="0"/>
            <a:ext cx="0" cy="0"/>
          </xdr:xfrm>
          <a:graphic>
            <a:graphicData uri="http://schemas.microsoft.com/office/drawing/2010/slicer">
              <sle:slicer xmlns:sle="http://schemas.microsoft.com/office/drawing/2010/slicer" name="Roast type 1"/>
            </a:graphicData>
          </a:graphic>
        </xdr:graphicFrame>
      </mc:Choice>
      <mc:Fallback xmlns="">
        <xdr:sp macro="" textlink="">
          <xdr:nvSpPr>
            <xdr:cNvPr id="0" name=""/>
            <xdr:cNvSpPr>
              <a:spLocks noTextEdit="1"/>
            </xdr:cNvSpPr>
          </xdr:nvSpPr>
          <xdr:spPr>
            <a:xfrm>
              <a:off x="8963025" y="17135476"/>
              <a:ext cx="1828800" cy="12382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466725</xdr:colOff>
      <xdr:row>64</xdr:row>
      <xdr:rowOff>128587</xdr:rowOff>
    </xdr:from>
    <xdr:to>
      <xdr:col>13</xdr:col>
      <xdr:colOff>419099</xdr:colOff>
      <xdr:row>79</xdr:row>
      <xdr:rowOff>14287</xdr:rowOff>
    </xdr:to>
    <xdr:graphicFrame macro="">
      <xdr:nvGraphicFramePr>
        <xdr:cNvPr id="6" name="Chart 5">
          <a:extLst>
            <a:ext uri="{FF2B5EF4-FFF2-40B4-BE49-F238E27FC236}">
              <a16:creationId xmlns:a16="http://schemas.microsoft.com/office/drawing/2014/main" id="{0E691288-EE98-7102-276B-AF830CEDBF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533400</xdr:colOff>
      <xdr:row>3</xdr:row>
      <xdr:rowOff>152400</xdr:rowOff>
    </xdr:from>
    <xdr:to>
      <xdr:col>7</xdr:col>
      <xdr:colOff>266700</xdr:colOff>
      <xdr:row>5</xdr:row>
      <xdr:rowOff>161925</xdr:rowOff>
    </xdr:to>
    <xdr:sp macro="" textlink="">
      <xdr:nvSpPr>
        <xdr:cNvPr id="22" name="Rectangle: Rounded Corners 21">
          <a:extLst>
            <a:ext uri="{FF2B5EF4-FFF2-40B4-BE49-F238E27FC236}">
              <a16:creationId xmlns:a16="http://schemas.microsoft.com/office/drawing/2014/main" id="{F7B16316-567E-0FAD-3D81-2A55C6FDC1AF}"/>
            </a:ext>
          </a:extLst>
        </xdr:cNvPr>
        <xdr:cNvSpPr/>
      </xdr:nvSpPr>
      <xdr:spPr>
        <a:xfrm>
          <a:off x="3581400" y="723900"/>
          <a:ext cx="952500" cy="39052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0" i="0" u="none" strike="noStrike">
              <a:solidFill>
                <a:schemeClr val="lt1"/>
              </a:solidFill>
              <a:effectLst/>
              <a:latin typeface="+mn-lt"/>
              <a:ea typeface="+mn-ea"/>
              <a:cs typeface="+mn-cs"/>
            </a:rPr>
            <a:t>45134.255</a:t>
          </a:r>
          <a:r>
            <a:rPr lang="en-US"/>
            <a:t> </a:t>
          </a:r>
          <a:endParaRPr lang="en-US" sz="1100"/>
        </a:p>
      </xdr:txBody>
    </xdr:sp>
    <xdr:clientData/>
  </xdr:twoCellAnchor>
  <xdr:twoCellAnchor>
    <xdr:from>
      <xdr:col>2</xdr:col>
      <xdr:colOff>369338</xdr:colOff>
      <xdr:row>0</xdr:row>
      <xdr:rowOff>38879</xdr:rowOff>
    </xdr:from>
    <xdr:to>
      <xdr:col>18</xdr:col>
      <xdr:colOff>330460</xdr:colOff>
      <xdr:row>28</xdr:row>
      <xdr:rowOff>9720</xdr:rowOff>
    </xdr:to>
    <xdr:sp macro="" textlink="">
      <xdr:nvSpPr>
        <xdr:cNvPr id="3" name="Rectangle 2">
          <a:extLst>
            <a:ext uri="{FF2B5EF4-FFF2-40B4-BE49-F238E27FC236}">
              <a16:creationId xmlns:a16="http://schemas.microsoft.com/office/drawing/2014/main" id="{9D79C218-19D4-1399-241D-3F6D99AC3DAD}"/>
            </a:ext>
          </a:extLst>
        </xdr:cNvPr>
        <xdr:cNvSpPr/>
      </xdr:nvSpPr>
      <xdr:spPr>
        <a:xfrm>
          <a:off x="1593981" y="38879"/>
          <a:ext cx="9758265" cy="5413698"/>
        </a:xfrm>
        <a:prstGeom prst="rect">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a:p>
      </xdr:txBody>
    </xdr:sp>
    <xdr:clientData/>
  </xdr:twoCellAnchor>
  <xdr:twoCellAnchor>
    <xdr:from>
      <xdr:col>2</xdr:col>
      <xdr:colOff>388775</xdr:colOff>
      <xdr:row>0</xdr:row>
      <xdr:rowOff>126352</xdr:rowOff>
    </xdr:from>
    <xdr:to>
      <xdr:col>8</xdr:col>
      <xdr:colOff>68036</xdr:colOff>
      <xdr:row>4</xdr:row>
      <xdr:rowOff>87475</xdr:rowOff>
    </xdr:to>
    <xdr:sp macro="" textlink="">
      <xdr:nvSpPr>
        <xdr:cNvPr id="11" name="Rectangle 10">
          <a:extLst>
            <a:ext uri="{FF2B5EF4-FFF2-40B4-BE49-F238E27FC236}">
              <a16:creationId xmlns:a16="http://schemas.microsoft.com/office/drawing/2014/main" id="{CD48D9C1-5CAF-AC73-4717-F0147DB5F54A}"/>
            </a:ext>
          </a:extLst>
        </xdr:cNvPr>
        <xdr:cNvSpPr/>
      </xdr:nvSpPr>
      <xdr:spPr>
        <a:xfrm>
          <a:off x="1613418" y="126352"/>
          <a:ext cx="3353189" cy="738674"/>
        </a:xfrm>
        <a:prstGeom prst="rect">
          <a:avLst/>
        </a:prstGeom>
        <a:solidFill>
          <a:schemeClr val="accent4">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600" b="1" i="0" u="none" strike="noStrike">
              <a:solidFill>
                <a:srgbClr val="000000"/>
              </a:solidFill>
              <a:latin typeface="Arial Black" panose="020B0A04020102020204" pitchFamily="34" charset="0"/>
              <a:ea typeface="+mn-ea"/>
              <a:cs typeface="Times New Roman" panose="02020603050405020304" pitchFamily="18" charset="0"/>
            </a:rPr>
            <a:t>SALES OVERVIEW</a:t>
          </a:r>
        </a:p>
      </xdr:txBody>
    </xdr:sp>
    <xdr:clientData/>
  </xdr:twoCellAnchor>
  <xdr:twoCellAnchor editAs="oneCell">
    <xdr:from>
      <xdr:col>2</xdr:col>
      <xdr:colOff>447091</xdr:colOff>
      <xdr:row>12</xdr:row>
      <xdr:rowOff>9722</xdr:rowOff>
    </xdr:from>
    <xdr:to>
      <xdr:col>5</xdr:col>
      <xdr:colOff>48596</xdr:colOff>
      <xdr:row>19</xdr:row>
      <xdr:rowOff>174950</xdr:rowOff>
    </xdr:to>
    <mc:AlternateContent xmlns:mc="http://schemas.openxmlformats.org/markup-compatibility/2006">
      <mc:Choice xmlns:a14="http://schemas.microsoft.com/office/drawing/2010/main" Requires="a14">
        <xdr:graphicFrame macro="">
          <xdr:nvGraphicFramePr>
            <xdr:cNvPr id="5" name="Coffee type 2">
              <a:extLst>
                <a:ext uri="{FF2B5EF4-FFF2-40B4-BE49-F238E27FC236}">
                  <a16:creationId xmlns:a16="http://schemas.microsoft.com/office/drawing/2014/main" id="{A5433635-F42F-437C-9ADB-751527326E17}"/>
                </a:ext>
              </a:extLst>
            </xdr:cNvPr>
            <xdr:cNvGraphicFramePr/>
          </xdr:nvGraphicFramePr>
          <xdr:xfrm>
            <a:off x="0" y="0"/>
            <a:ext cx="0" cy="0"/>
          </xdr:xfrm>
          <a:graphic>
            <a:graphicData uri="http://schemas.microsoft.com/office/drawing/2010/slicer">
              <sle:slicer xmlns:sle="http://schemas.microsoft.com/office/drawing/2010/slicer" name="Coffee type 2"/>
            </a:graphicData>
          </a:graphic>
        </xdr:graphicFrame>
      </mc:Choice>
      <mc:Fallback>
        <xdr:sp macro="" textlink="">
          <xdr:nvSpPr>
            <xdr:cNvPr id="0" name=""/>
            <xdr:cNvSpPr>
              <a:spLocks noTextEdit="1"/>
            </xdr:cNvSpPr>
          </xdr:nvSpPr>
          <xdr:spPr>
            <a:xfrm>
              <a:off x="1671734" y="2342375"/>
              <a:ext cx="1438469" cy="152594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447092</xdr:colOff>
      <xdr:row>20</xdr:row>
      <xdr:rowOff>19436</xdr:rowOff>
    </xdr:from>
    <xdr:to>
      <xdr:col>5</xdr:col>
      <xdr:colOff>58318</xdr:colOff>
      <xdr:row>27</xdr:row>
      <xdr:rowOff>106914</xdr:rowOff>
    </xdr:to>
    <mc:AlternateContent xmlns:mc="http://schemas.openxmlformats.org/markup-compatibility/2006">
      <mc:Choice xmlns:a14="http://schemas.microsoft.com/office/drawing/2010/main" Requires="a14">
        <xdr:graphicFrame macro="">
          <xdr:nvGraphicFramePr>
            <xdr:cNvPr id="12" name="year 2">
              <a:extLst>
                <a:ext uri="{FF2B5EF4-FFF2-40B4-BE49-F238E27FC236}">
                  <a16:creationId xmlns:a16="http://schemas.microsoft.com/office/drawing/2014/main" id="{F4454470-C9EC-4B52-BFBD-4F7B84D0B91D}"/>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dr:sp macro="" textlink="">
          <xdr:nvSpPr>
            <xdr:cNvPr id="0" name=""/>
            <xdr:cNvSpPr>
              <a:spLocks noTextEdit="1"/>
            </xdr:cNvSpPr>
          </xdr:nvSpPr>
          <xdr:spPr>
            <a:xfrm>
              <a:off x="1671735" y="3907191"/>
              <a:ext cx="1448190" cy="144819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437372</xdr:colOff>
      <xdr:row>4</xdr:row>
      <xdr:rowOff>155510</xdr:rowOff>
    </xdr:from>
    <xdr:to>
      <xdr:col>5</xdr:col>
      <xdr:colOff>48597</xdr:colOff>
      <xdr:row>11</xdr:row>
      <xdr:rowOff>165229</xdr:rowOff>
    </xdr:to>
    <mc:AlternateContent xmlns:mc="http://schemas.openxmlformats.org/markup-compatibility/2006" xmlns:a14="http://schemas.microsoft.com/office/drawing/2010/main">
      <mc:Choice Requires="a14">
        <xdr:graphicFrame macro="">
          <xdr:nvGraphicFramePr>
            <xdr:cNvPr id="15" name="Roast type 2">
              <a:extLst>
                <a:ext uri="{FF2B5EF4-FFF2-40B4-BE49-F238E27FC236}">
                  <a16:creationId xmlns:a16="http://schemas.microsoft.com/office/drawing/2014/main" id="{932E677B-7345-475D-AEB2-C8AB51FBE613}"/>
                </a:ext>
              </a:extLst>
            </xdr:cNvPr>
            <xdr:cNvGraphicFramePr/>
          </xdr:nvGraphicFramePr>
          <xdr:xfrm>
            <a:off x="0" y="0"/>
            <a:ext cx="0" cy="0"/>
          </xdr:xfrm>
          <a:graphic>
            <a:graphicData uri="http://schemas.microsoft.com/office/drawing/2010/slicer">
              <sle:slicer xmlns:sle="http://schemas.microsoft.com/office/drawing/2010/slicer" name="Roast type 2"/>
            </a:graphicData>
          </a:graphic>
        </xdr:graphicFrame>
      </mc:Choice>
      <mc:Fallback xmlns="">
        <xdr:sp macro="" textlink="">
          <xdr:nvSpPr>
            <xdr:cNvPr id="0" name=""/>
            <xdr:cNvSpPr>
              <a:spLocks noTextEdit="1"/>
            </xdr:cNvSpPr>
          </xdr:nvSpPr>
          <xdr:spPr>
            <a:xfrm>
              <a:off x="1662015" y="933061"/>
              <a:ext cx="1448189" cy="137043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145792</xdr:colOff>
      <xdr:row>0</xdr:row>
      <xdr:rowOff>136072</xdr:rowOff>
    </xdr:from>
    <xdr:to>
      <xdr:col>11</xdr:col>
      <xdr:colOff>359617</xdr:colOff>
      <xdr:row>4</xdr:row>
      <xdr:rowOff>87475</xdr:rowOff>
    </xdr:to>
    <xdr:sp macro="" textlink="'pivot table'!$A$116">
      <xdr:nvSpPr>
        <xdr:cNvPr id="2" name="Rectangle: Rounded Corners 1">
          <a:extLst>
            <a:ext uri="{FF2B5EF4-FFF2-40B4-BE49-F238E27FC236}">
              <a16:creationId xmlns:a16="http://schemas.microsoft.com/office/drawing/2014/main" id="{10A60BFB-7502-BD00-00CD-8A6D5B93246C}"/>
            </a:ext>
          </a:extLst>
        </xdr:cNvPr>
        <xdr:cNvSpPr/>
      </xdr:nvSpPr>
      <xdr:spPr>
        <a:xfrm>
          <a:off x="5044363" y="136072"/>
          <a:ext cx="2050790" cy="728954"/>
        </a:xfrm>
        <a:prstGeom prst="roundRect">
          <a:avLst/>
        </a:prstGeom>
        <a:solidFill>
          <a:schemeClr val="accent4">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i="0" u="none" strike="noStrike">
              <a:solidFill>
                <a:srgbClr val="000000"/>
              </a:solidFill>
              <a:latin typeface="Times New Roman" panose="02020603050405020304" pitchFamily="18" charset="0"/>
              <a:cs typeface="Times New Roman" panose="02020603050405020304" pitchFamily="18" charset="0"/>
            </a:rPr>
            <a:t>Total profit</a:t>
          </a:r>
        </a:p>
        <a:p>
          <a:pPr algn="ctr"/>
          <a:fld id="{0F70E36D-510A-4FD5-830E-6773D98EFAF6}" type="TxLink">
            <a:rPr lang="en-US" sz="1600" b="1" i="0" u="none" strike="noStrike">
              <a:solidFill>
                <a:srgbClr val="000000"/>
              </a:solidFill>
              <a:latin typeface="Times New Roman" panose="02020603050405020304" pitchFamily="18" charset="0"/>
              <a:cs typeface="Times New Roman" panose="02020603050405020304" pitchFamily="18" charset="0"/>
            </a:rPr>
            <a:pPr algn="ctr"/>
            <a:t>532.49105</a:t>
          </a:fld>
          <a:endParaRPr lang="en-US" sz="1600" b="1">
            <a:latin typeface="Times New Roman" panose="02020603050405020304" pitchFamily="18" charset="0"/>
            <a:cs typeface="Times New Roman" panose="02020603050405020304" pitchFamily="18" charset="0"/>
          </a:endParaRPr>
        </a:p>
      </xdr:txBody>
    </xdr:sp>
    <xdr:clientData/>
  </xdr:twoCellAnchor>
  <xdr:twoCellAnchor>
    <xdr:from>
      <xdr:col>11</xdr:col>
      <xdr:colOff>466531</xdr:colOff>
      <xdr:row>0</xdr:row>
      <xdr:rowOff>155509</xdr:rowOff>
    </xdr:from>
    <xdr:to>
      <xdr:col>15</xdr:col>
      <xdr:colOff>97194</xdr:colOff>
      <xdr:row>4</xdr:row>
      <xdr:rowOff>58316</xdr:rowOff>
    </xdr:to>
    <xdr:sp macro="" textlink="'pivot table'!$C$106">
      <xdr:nvSpPr>
        <xdr:cNvPr id="7" name="Rectangle: Rounded Corners 6">
          <a:extLst>
            <a:ext uri="{FF2B5EF4-FFF2-40B4-BE49-F238E27FC236}">
              <a16:creationId xmlns:a16="http://schemas.microsoft.com/office/drawing/2014/main" id="{C6AE237F-CA40-416C-7CCB-B53975B60168}"/>
            </a:ext>
          </a:extLst>
        </xdr:cNvPr>
        <xdr:cNvSpPr/>
      </xdr:nvSpPr>
      <xdr:spPr>
        <a:xfrm>
          <a:off x="7202067" y="155509"/>
          <a:ext cx="2079948" cy="680358"/>
        </a:xfrm>
        <a:prstGeom prst="roundRect">
          <a:avLst/>
        </a:prstGeom>
        <a:solidFill>
          <a:schemeClr val="accent4">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600" b="1" i="0" u="none" strike="noStrike">
              <a:solidFill>
                <a:srgbClr val="000000"/>
              </a:solidFill>
              <a:latin typeface="Times New Roman" panose="02020603050405020304" pitchFamily="18" charset="0"/>
              <a:ea typeface="+mn-ea"/>
              <a:cs typeface="Times New Roman" panose="02020603050405020304" pitchFamily="18" charset="0"/>
            </a:rPr>
            <a:t>Total customer</a:t>
          </a:r>
        </a:p>
        <a:p>
          <a:pPr marL="0" indent="0" algn="ctr"/>
          <a:fld id="{779D52A1-84B4-4DCC-BC2E-B23C000A82C9}" type="TxLink">
            <a:rPr lang="en-US" sz="1600" b="1" i="0" u="none" strike="noStrike">
              <a:solidFill>
                <a:srgbClr val="000000"/>
              </a:solidFill>
              <a:latin typeface="Times New Roman" panose="02020603050405020304" pitchFamily="18" charset="0"/>
              <a:ea typeface="+mn-ea"/>
              <a:cs typeface="Times New Roman" panose="02020603050405020304" pitchFamily="18" charset="0"/>
            </a:rPr>
            <a:pPr marL="0" indent="0" algn="ctr"/>
            <a:t>20</a:t>
          </a:fld>
          <a:endParaRPr lang="en-US" sz="1600" b="1" i="0" u="none" strike="noStrike">
            <a:solidFill>
              <a:srgbClr val="000000"/>
            </a:solidFill>
            <a:latin typeface="Times New Roman" panose="02020603050405020304" pitchFamily="18" charset="0"/>
            <a:ea typeface="+mn-ea"/>
            <a:cs typeface="Times New Roman" panose="02020603050405020304" pitchFamily="18" charset="0"/>
          </a:endParaRPr>
        </a:p>
      </xdr:txBody>
    </xdr:sp>
    <xdr:clientData/>
  </xdr:twoCellAnchor>
  <xdr:twoCellAnchor>
    <xdr:from>
      <xdr:col>15</xdr:col>
      <xdr:colOff>242985</xdr:colOff>
      <xdr:row>0</xdr:row>
      <xdr:rowOff>194387</xdr:rowOff>
    </xdr:from>
    <xdr:to>
      <xdr:col>18</xdr:col>
      <xdr:colOff>184668</xdr:colOff>
      <xdr:row>4</xdr:row>
      <xdr:rowOff>77755</xdr:rowOff>
    </xdr:to>
    <xdr:sp macro="" textlink="'pivot table'!$F$122">
      <xdr:nvSpPr>
        <xdr:cNvPr id="9" name="Rectangle: Rounded Corners 8">
          <a:extLst>
            <a:ext uri="{FF2B5EF4-FFF2-40B4-BE49-F238E27FC236}">
              <a16:creationId xmlns:a16="http://schemas.microsoft.com/office/drawing/2014/main" id="{56F793B8-BCC4-9444-1F5B-C4FAD5D1BF8C}"/>
            </a:ext>
          </a:extLst>
        </xdr:cNvPr>
        <xdr:cNvSpPr/>
      </xdr:nvSpPr>
      <xdr:spPr>
        <a:xfrm>
          <a:off x="9427806" y="194387"/>
          <a:ext cx="1778648" cy="660919"/>
        </a:xfrm>
        <a:prstGeom prst="roundRect">
          <a:avLst/>
        </a:prstGeom>
        <a:solidFill>
          <a:schemeClr val="accent4">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200" b="1" i="0" u="none" strike="noStrike">
              <a:solidFill>
                <a:srgbClr val="000000"/>
              </a:solidFill>
              <a:latin typeface="Times New Roman" panose="02020603050405020304" pitchFamily="18" charset="0"/>
              <a:ea typeface="+mn-ea"/>
              <a:cs typeface="Times New Roman" panose="02020603050405020304" pitchFamily="18" charset="0"/>
            </a:rPr>
            <a:t>Total Quantity sold</a:t>
          </a:r>
        </a:p>
        <a:p>
          <a:pPr marL="0" indent="0" algn="ctr"/>
          <a:fld id="{9497F2FF-4CA7-406B-8A71-1BB3045C46CE}" type="TxLink">
            <a:rPr lang="en-US" sz="1200" b="1" i="0" u="none" strike="noStrike">
              <a:solidFill>
                <a:srgbClr val="000000"/>
              </a:solidFill>
              <a:latin typeface="Times New Roman" panose="02020603050405020304" pitchFamily="18" charset="0"/>
              <a:ea typeface="+mn-ea"/>
              <a:cs typeface="Times New Roman" panose="02020603050405020304" pitchFamily="18" charset="0"/>
            </a:rPr>
            <a:pPr marL="0" indent="0" algn="ctr"/>
            <a:t>75</a:t>
          </a:fld>
          <a:endParaRPr lang="en-US" sz="1200" b="1" i="0" u="none" strike="noStrike">
            <a:solidFill>
              <a:srgbClr val="000000"/>
            </a:solidFill>
            <a:latin typeface="Times New Roman" panose="02020603050405020304" pitchFamily="18" charset="0"/>
            <a:ea typeface="+mn-ea"/>
            <a:cs typeface="Times New Roman" panose="02020603050405020304" pitchFamily="18" charset="0"/>
          </a:endParaRPr>
        </a:p>
      </xdr:txBody>
    </xdr:sp>
    <xdr:clientData/>
  </xdr:twoCellAnchor>
  <xdr:twoCellAnchor>
    <xdr:from>
      <xdr:col>5</xdr:col>
      <xdr:colOff>126352</xdr:colOff>
      <xdr:row>4</xdr:row>
      <xdr:rowOff>136070</xdr:rowOff>
    </xdr:from>
    <xdr:to>
      <xdr:col>11</xdr:col>
      <xdr:colOff>544285</xdr:colOff>
      <xdr:row>15</xdr:row>
      <xdr:rowOff>58316</xdr:rowOff>
    </xdr:to>
    <xdr:graphicFrame macro="">
      <xdr:nvGraphicFramePr>
        <xdr:cNvPr id="16" name="Chart 15">
          <a:extLst>
            <a:ext uri="{FF2B5EF4-FFF2-40B4-BE49-F238E27FC236}">
              <a16:creationId xmlns:a16="http://schemas.microsoft.com/office/drawing/2014/main" id="{5C819AF9-8C41-4767-AC3C-4F1EF6772B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116632</xdr:colOff>
      <xdr:row>15</xdr:row>
      <xdr:rowOff>106913</xdr:rowOff>
    </xdr:from>
    <xdr:to>
      <xdr:col>11</xdr:col>
      <xdr:colOff>534565</xdr:colOff>
      <xdr:row>27</xdr:row>
      <xdr:rowOff>155510</xdr:rowOff>
    </xdr:to>
    <xdr:graphicFrame macro="">
      <xdr:nvGraphicFramePr>
        <xdr:cNvPr id="18" name="cities sales">
          <a:extLst>
            <a:ext uri="{FF2B5EF4-FFF2-40B4-BE49-F238E27FC236}">
              <a16:creationId xmlns:a16="http://schemas.microsoft.com/office/drawing/2014/main" id="{8D5AD73C-0768-4A38-A6B2-E709D6090C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583163</xdr:colOff>
      <xdr:row>15</xdr:row>
      <xdr:rowOff>97194</xdr:rowOff>
    </xdr:from>
    <xdr:to>
      <xdr:col>18</xdr:col>
      <xdr:colOff>233265</xdr:colOff>
      <xdr:row>27</xdr:row>
      <xdr:rowOff>145792</xdr:rowOff>
    </xdr:to>
    <xdr:graphicFrame macro="">
      <xdr:nvGraphicFramePr>
        <xdr:cNvPr id="6" name="yearly sales">
          <a:extLst>
            <a:ext uri="{FF2B5EF4-FFF2-40B4-BE49-F238E27FC236}">
              <a16:creationId xmlns:a16="http://schemas.microsoft.com/office/drawing/2014/main" id="{C4A83C14-CA91-4020-A0B7-7EE144ED56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9720</xdr:colOff>
      <xdr:row>4</xdr:row>
      <xdr:rowOff>106914</xdr:rowOff>
    </xdr:from>
    <xdr:to>
      <xdr:col>18</xdr:col>
      <xdr:colOff>233265</xdr:colOff>
      <xdr:row>15</xdr:row>
      <xdr:rowOff>19439</xdr:rowOff>
    </xdr:to>
    <xdr:graphicFrame macro="">
      <xdr:nvGraphicFramePr>
        <xdr:cNvPr id="10" name="Chart 9">
          <a:extLst>
            <a:ext uri="{FF2B5EF4-FFF2-40B4-BE49-F238E27FC236}">
              <a16:creationId xmlns:a16="http://schemas.microsoft.com/office/drawing/2014/main" id="{CDE8850C-2405-4395-AD2C-3ECF0C6DCD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User/Desktop/intern-codeme/coffeeOrdersData%20(Final%20Report).xlsb.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shboard"/>
      <sheetName val="Total Sales"/>
      <sheetName val="Total Sales by Country"/>
      <sheetName val="Top 5 Customers"/>
      <sheetName val="orders"/>
      <sheetName val="customers"/>
      <sheetName val="products"/>
    </sheetNames>
    <sheetDataSet>
      <sheetData sheetId="0" refreshError="1"/>
      <sheetData sheetId="1" refreshError="1"/>
      <sheetData sheetId="2" refreshError="1"/>
      <sheetData sheetId="3" refreshError="1"/>
      <sheetData sheetId="4" refreshError="1">
        <row r="1">
          <cell r="K1" t="str">
            <v>Size</v>
          </cell>
          <cell r="L1" t="str">
            <v>Unit Price</v>
          </cell>
        </row>
        <row r="2">
          <cell r="D2" t="str">
            <v>R-M-1</v>
          </cell>
        </row>
        <row r="3">
          <cell r="D3" t="str">
            <v>E-M-0.5</v>
          </cell>
        </row>
        <row r="4">
          <cell r="D4" t="str">
            <v>A-L-1</v>
          </cell>
        </row>
        <row r="5">
          <cell r="D5" t="str">
            <v>E-M-1</v>
          </cell>
        </row>
        <row r="6">
          <cell r="D6" t="str">
            <v>R-L-2.5</v>
          </cell>
        </row>
        <row r="7">
          <cell r="D7" t="str">
            <v>L-D-1</v>
          </cell>
        </row>
        <row r="8">
          <cell r="D8" t="str">
            <v>E-D-0.5</v>
          </cell>
        </row>
        <row r="9">
          <cell r="D9" t="str">
            <v>L-L-0.2</v>
          </cell>
        </row>
        <row r="10">
          <cell r="D10" t="str">
            <v>R-M-0.5</v>
          </cell>
        </row>
        <row r="11">
          <cell r="D11" t="str">
            <v>R-M-0.5</v>
          </cell>
        </row>
        <row r="12">
          <cell r="D12" t="str">
            <v>A-D-1</v>
          </cell>
        </row>
        <row r="13">
          <cell r="D13" t="str">
            <v>E-L-2.5</v>
          </cell>
        </row>
        <row r="14">
          <cell r="D14" t="str">
            <v>R-M-1</v>
          </cell>
        </row>
        <row r="15">
          <cell r="D15" t="str">
            <v>R-D-2.5</v>
          </cell>
        </row>
        <row r="16">
          <cell r="D16" t="str">
            <v>L-D-0.2</v>
          </cell>
        </row>
        <row r="17">
          <cell r="D17" t="str">
            <v>R-M-2.5</v>
          </cell>
        </row>
        <row r="18">
          <cell r="D18" t="str">
            <v>A-M-0.2</v>
          </cell>
        </row>
        <row r="19">
          <cell r="D19" t="str">
            <v>A-L-1</v>
          </cell>
        </row>
        <row r="20">
          <cell r="D20" t="str">
            <v>R-D-2.5</v>
          </cell>
        </row>
        <row r="21">
          <cell r="D21" t="str">
            <v>A-M-0.2</v>
          </cell>
        </row>
        <row r="22">
          <cell r="D22" t="str">
            <v>E-D-0.2</v>
          </cell>
        </row>
        <row r="23">
          <cell r="D23" t="str">
            <v>A-D-0.2</v>
          </cell>
        </row>
        <row r="24">
          <cell r="D24" t="str">
            <v>R-M-2.5</v>
          </cell>
        </row>
        <row r="25">
          <cell r="D25" t="str">
            <v>A-D-0.2</v>
          </cell>
        </row>
        <row r="26">
          <cell r="D26" t="str">
            <v>A-M-1</v>
          </cell>
        </row>
        <row r="27">
          <cell r="D27" t="str">
            <v>E-M-0.2</v>
          </cell>
        </row>
        <row r="28">
          <cell r="D28" t="str">
            <v>A-M-0.5</v>
          </cell>
        </row>
        <row r="29">
          <cell r="D29" t="str">
            <v>A-M-0.2</v>
          </cell>
        </row>
        <row r="30">
          <cell r="D30" t="str">
            <v>A-D-0.5</v>
          </cell>
        </row>
        <row r="31">
          <cell r="D31" t="str">
            <v>A-D-1</v>
          </cell>
        </row>
        <row r="32">
          <cell r="D32" t="str">
            <v>L-M-0.2</v>
          </cell>
        </row>
        <row r="33">
          <cell r="D33" t="str">
            <v>A-D-0.5</v>
          </cell>
        </row>
        <row r="34">
          <cell r="D34" t="str">
            <v>L-M-0.5</v>
          </cell>
        </row>
        <row r="35">
          <cell r="D35" t="str">
            <v>L-L-0.2</v>
          </cell>
        </row>
        <row r="36">
          <cell r="D36" t="str">
            <v>L-L-0.5</v>
          </cell>
        </row>
        <row r="37">
          <cell r="D37" t="str">
            <v>A-D-0.5</v>
          </cell>
        </row>
        <row r="38">
          <cell r="D38" t="str">
            <v>L-M-0.2</v>
          </cell>
        </row>
        <row r="39">
          <cell r="D39" t="str">
            <v>L-L-0.5</v>
          </cell>
        </row>
        <row r="40">
          <cell r="D40" t="str">
            <v>R-M-2.5</v>
          </cell>
        </row>
        <row r="41">
          <cell r="D41" t="str">
            <v>R-M-1</v>
          </cell>
        </row>
        <row r="42">
          <cell r="D42" t="str">
            <v>L-M-1</v>
          </cell>
        </row>
        <row r="43">
          <cell r="D43" t="str">
            <v>E-D-0.2</v>
          </cell>
        </row>
        <row r="44">
          <cell r="D44" t="str">
            <v>R-D-0.2</v>
          </cell>
        </row>
        <row r="45">
          <cell r="D45" t="str">
            <v>L-L-2.5</v>
          </cell>
        </row>
        <row r="46">
          <cell r="D46" t="str">
            <v>E-M-0.5</v>
          </cell>
        </row>
        <row r="47">
          <cell r="D47" t="str">
            <v>L-D-2.5</v>
          </cell>
        </row>
        <row r="48">
          <cell r="D48" t="str">
            <v>E-M-2.5</v>
          </cell>
        </row>
        <row r="49">
          <cell r="D49" t="str">
            <v>A-L-0.2</v>
          </cell>
        </row>
        <row r="50">
          <cell r="D50" t="str">
            <v>A-D-2.5</v>
          </cell>
        </row>
        <row r="51">
          <cell r="D51" t="str">
            <v>A-L-1</v>
          </cell>
        </row>
        <row r="52">
          <cell r="D52" t="str">
            <v>L-D-0.5</v>
          </cell>
        </row>
        <row r="53">
          <cell r="D53" t="str">
            <v>L-L-2.5</v>
          </cell>
        </row>
        <row r="54">
          <cell r="D54" t="str">
            <v>R-M-0.5</v>
          </cell>
        </row>
        <row r="55">
          <cell r="D55" t="str">
            <v>L-L-2.5</v>
          </cell>
        </row>
        <row r="56">
          <cell r="D56" t="str">
            <v>L-M-1</v>
          </cell>
        </row>
        <row r="57">
          <cell r="D57" t="str">
            <v>L-L-1</v>
          </cell>
        </row>
        <row r="58">
          <cell r="D58" t="str">
            <v>E-D-0.2</v>
          </cell>
        </row>
        <row r="59">
          <cell r="D59" t="str">
            <v>E-L-1</v>
          </cell>
        </row>
        <row r="60">
          <cell r="D60" t="str">
            <v>L-D-2.5</v>
          </cell>
        </row>
        <row r="61">
          <cell r="D61" t="str">
            <v>L-M-0.5</v>
          </cell>
        </row>
        <row r="62">
          <cell r="D62" t="str">
            <v>A-D-2.5</v>
          </cell>
        </row>
        <row r="63">
          <cell r="D63" t="str">
            <v>R-D-0.5</v>
          </cell>
        </row>
        <row r="64">
          <cell r="D64" t="str">
            <v>L-L-0.2</v>
          </cell>
        </row>
        <row r="65">
          <cell r="D65" t="str">
            <v>A-M-0.5</v>
          </cell>
        </row>
        <row r="66">
          <cell r="D66" t="str">
            <v>R-M-0.5</v>
          </cell>
        </row>
        <row r="67">
          <cell r="D67" t="str">
            <v>R-D-2.5</v>
          </cell>
        </row>
        <row r="68">
          <cell r="D68" t="str">
            <v>R-L-0.5</v>
          </cell>
        </row>
        <row r="69">
          <cell r="D69" t="str">
            <v>L-L-0.2</v>
          </cell>
        </row>
        <row r="70">
          <cell r="D70" t="str">
            <v>R-M-0.2</v>
          </cell>
        </row>
        <row r="71">
          <cell r="D71" t="str">
            <v>R-M-1</v>
          </cell>
        </row>
        <row r="72">
          <cell r="D72" t="str">
            <v>E-L-2.5</v>
          </cell>
        </row>
        <row r="73">
          <cell r="D73" t="str">
            <v>L-L-0.2</v>
          </cell>
        </row>
        <row r="74">
          <cell r="D74" t="str">
            <v>A-M-2.5</v>
          </cell>
        </row>
        <row r="75">
          <cell r="D75" t="str">
            <v>L-M-0.2</v>
          </cell>
        </row>
        <row r="76">
          <cell r="D76" t="str">
            <v>E-L-0.5</v>
          </cell>
        </row>
        <row r="77">
          <cell r="D77" t="str">
            <v>R-D-1</v>
          </cell>
        </row>
        <row r="78">
          <cell r="D78" t="str">
            <v>R-L-0.2</v>
          </cell>
        </row>
        <row r="79">
          <cell r="D79" t="str">
            <v>E-D-0.2</v>
          </cell>
        </row>
        <row r="80">
          <cell r="D80" t="str">
            <v>A-M-0.5</v>
          </cell>
        </row>
        <row r="81">
          <cell r="D81" t="str">
            <v>R-L-1</v>
          </cell>
        </row>
        <row r="82">
          <cell r="D82" t="str">
            <v>A-L-0.5</v>
          </cell>
        </row>
        <row r="83">
          <cell r="D83" t="str">
            <v>L-L-2.5</v>
          </cell>
        </row>
        <row r="84">
          <cell r="D84" t="str">
            <v>L-M-2.5</v>
          </cell>
        </row>
        <row r="85">
          <cell r="D85" t="str">
            <v>R-D-2.5</v>
          </cell>
        </row>
        <row r="86">
          <cell r="D86" t="str">
            <v>L-L-0.5</v>
          </cell>
        </row>
        <row r="87">
          <cell r="D87" t="str">
            <v>A-L-2.5</v>
          </cell>
        </row>
        <row r="88">
          <cell r="D88" t="str">
            <v>A-D-0.2</v>
          </cell>
        </row>
        <row r="89">
          <cell r="D89" t="str">
            <v>A-M-1</v>
          </cell>
        </row>
        <row r="90">
          <cell r="D90" t="str">
            <v>R-L-1</v>
          </cell>
        </row>
        <row r="91">
          <cell r="D91" t="str">
            <v>A-L-1</v>
          </cell>
        </row>
        <row r="92">
          <cell r="D92" t="str">
            <v>A-L-1</v>
          </cell>
        </row>
        <row r="93">
          <cell r="D93" t="str">
            <v>A-M-2.5</v>
          </cell>
        </row>
        <row r="94">
          <cell r="D94" t="str">
            <v>E-L-1</v>
          </cell>
        </row>
        <row r="95">
          <cell r="D95" t="str">
            <v>E-L-0.5</v>
          </cell>
        </row>
        <row r="96">
          <cell r="D96" t="str">
            <v>A-D-0.2</v>
          </cell>
        </row>
        <row r="97">
          <cell r="D97" t="str">
            <v>A-M-2.5</v>
          </cell>
        </row>
        <row r="98">
          <cell r="D98" t="str">
            <v>A-D-0.2</v>
          </cell>
        </row>
        <row r="99">
          <cell r="D99" t="str">
            <v>A-M-0.5</v>
          </cell>
        </row>
        <row r="100">
          <cell r="D100" t="str">
            <v>A-D-0.2</v>
          </cell>
        </row>
        <row r="101">
          <cell r="D101" t="str">
            <v>L-M-0.2</v>
          </cell>
        </row>
        <row r="102">
          <cell r="D102" t="str">
            <v>A-L-0.2</v>
          </cell>
        </row>
        <row r="103">
          <cell r="D103" t="str">
            <v>L-D-2.5</v>
          </cell>
        </row>
        <row r="104">
          <cell r="D104" t="str">
            <v>L-D-1</v>
          </cell>
        </row>
        <row r="105">
          <cell r="D105" t="str">
            <v>R-M-0.2</v>
          </cell>
        </row>
        <row r="106">
          <cell r="D106" t="str">
            <v>L-M-1</v>
          </cell>
        </row>
        <row r="107">
          <cell r="D107" t="str">
            <v>A-M-0.5</v>
          </cell>
        </row>
        <row r="108">
          <cell r="D108" t="str">
            <v>E-D-1</v>
          </cell>
        </row>
        <row r="109">
          <cell r="D109" t="str">
            <v>R-M-0.5</v>
          </cell>
        </row>
        <row r="110">
          <cell r="D110" t="str">
            <v>A-M-0.5</v>
          </cell>
        </row>
        <row r="111">
          <cell r="D111" t="str">
            <v>L-D-0.5</v>
          </cell>
        </row>
        <row r="112">
          <cell r="D112" t="str">
            <v>E-L-0.2</v>
          </cell>
        </row>
        <row r="113">
          <cell r="D113" t="str">
            <v>R-D-0.5</v>
          </cell>
        </row>
        <row r="114">
          <cell r="D114" t="str">
            <v>A-M-1</v>
          </cell>
        </row>
        <row r="115">
          <cell r="D115" t="str">
            <v>L-M-1</v>
          </cell>
        </row>
        <row r="116">
          <cell r="D116" t="str">
            <v>R-L-0.2</v>
          </cell>
        </row>
        <row r="117">
          <cell r="D117" t="str">
            <v>L-L-1</v>
          </cell>
        </row>
        <row r="118">
          <cell r="D118" t="str">
            <v>L-L-0.2</v>
          </cell>
        </row>
        <row r="119">
          <cell r="D119" t="str">
            <v>L-L-0.5</v>
          </cell>
        </row>
        <row r="120">
          <cell r="D120" t="str">
            <v>E-D-0.5</v>
          </cell>
        </row>
        <row r="121">
          <cell r="D121" t="str">
            <v>E-M-0.2</v>
          </cell>
        </row>
        <row r="122">
          <cell r="D122" t="str">
            <v>A-L-0.2</v>
          </cell>
        </row>
        <row r="123">
          <cell r="D123" t="str">
            <v>E-M-1</v>
          </cell>
        </row>
        <row r="124">
          <cell r="D124" t="str">
            <v>A-D-0.5</v>
          </cell>
        </row>
        <row r="125">
          <cell r="D125" t="str">
            <v>L-L-2.5</v>
          </cell>
        </row>
        <row r="126">
          <cell r="D126" t="str">
            <v>L-M-0.2</v>
          </cell>
        </row>
        <row r="127">
          <cell r="D127" t="str">
            <v>L-M-0.5</v>
          </cell>
        </row>
        <row r="128">
          <cell r="D128" t="str">
            <v>A-M-1</v>
          </cell>
        </row>
        <row r="129">
          <cell r="D129" t="str">
            <v>L-D-1</v>
          </cell>
        </row>
        <row r="130">
          <cell r="D130" t="str">
            <v>A-M-0.5</v>
          </cell>
        </row>
        <row r="131">
          <cell r="D131" t="str">
            <v>E-D-1</v>
          </cell>
        </row>
        <row r="132">
          <cell r="D132" t="str">
            <v>A-L-2.5</v>
          </cell>
        </row>
        <row r="133">
          <cell r="D133" t="str">
            <v>E-D-0.5</v>
          </cell>
        </row>
        <row r="134">
          <cell r="D134" t="str">
            <v>A-L-2.5</v>
          </cell>
        </row>
        <row r="135">
          <cell r="D135" t="str">
            <v>L-D-1</v>
          </cell>
        </row>
        <row r="136">
          <cell r="D136" t="str">
            <v>E-M-2.5</v>
          </cell>
        </row>
        <row r="137">
          <cell r="D137" t="str">
            <v>A-L-0.5</v>
          </cell>
        </row>
        <row r="138">
          <cell r="D138" t="str">
            <v>A-D-0.2</v>
          </cell>
        </row>
        <row r="139">
          <cell r="D139" t="str">
            <v>E-L-2.5</v>
          </cell>
        </row>
        <row r="140">
          <cell r="D140" t="str">
            <v>E-D-1</v>
          </cell>
        </row>
        <row r="141">
          <cell r="D141" t="str">
            <v>L-D-1</v>
          </cell>
        </row>
        <row r="142">
          <cell r="D142" t="str">
            <v>L-D-2.5</v>
          </cell>
        </row>
        <row r="143">
          <cell r="D143" t="str">
            <v>A-L-0.2</v>
          </cell>
        </row>
        <row r="144">
          <cell r="D144" t="str">
            <v>E-L-2.5</v>
          </cell>
        </row>
        <row r="145">
          <cell r="D145" t="str">
            <v>L-M-0.5</v>
          </cell>
        </row>
        <row r="146">
          <cell r="D146" t="str">
            <v>E-L-2.5</v>
          </cell>
        </row>
        <row r="147">
          <cell r="D147" t="str">
            <v>L-M-0.2</v>
          </cell>
        </row>
        <row r="148">
          <cell r="D148" t="str">
            <v>L-M-1</v>
          </cell>
        </row>
        <row r="149">
          <cell r="D149" t="str">
            <v>E-M-1</v>
          </cell>
        </row>
        <row r="150">
          <cell r="D150" t="str">
            <v>E-D-0.2</v>
          </cell>
        </row>
        <row r="151">
          <cell r="D151" t="str">
            <v>A-M-2.5</v>
          </cell>
        </row>
        <row r="152">
          <cell r="D152" t="str">
            <v>L-D-1</v>
          </cell>
        </row>
        <row r="153">
          <cell r="D153" t="str">
            <v>A-M-1</v>
          </cell>
        </row>
        <row r="154">
          <cell r="D154" t="str">
            <v>R-M-2.5</v>
          </cell>
        </row>
        <row r="155">
          <cell r="D155" t="str">
            <v>R-D-0.2</v>
          </cell>
        </row>
        <row r="156">
          <cell r="D156" t="str">
            <v>A-D-2.5</v>
          </cell>
        </row>
        <row r="157">
          <cell r="D157" t="str">
            <v>A-M-2.5</v>
          </cell>
        </row>
        <row r="158">
          <cell r="D158" t="str">
            <v>A-M-2.5</v>
          </cell>
        </row>
        <row r="159">
          <cell r="D159" t="str">
            <v>R-D-2.5</v>
          </cell>
        </row>
        <row r="160">
          <cell r="D160" t="str">
            <v>R-D-2.5</v>
          </cell>
        </row>
        <row r="161">
          <cell r="D161" t="str">
            <v>L-L-2.5</v>
          </cell>
        </row>
        <row r="162">
          <cell r="D162" t="str">
            <v>E-M-0.5</v>
          </cell>
        </row>
        <row r="163">
          <cell r="D163" t="str">
            <v>A-L-0.5</v>
          </cell>
        </row>
        <row r="164">
          <cell r="D164" t="str">
            <v>E-D-0.5</v>
          </cell>
        </row>
        <row r="165">
          <cell r="D165" t="str">
            <v>R-D-0.2</v>
          </cell>
        </row>
        <row r="166">
          <cell r="D166" t="str">
            <v>E-D-0.5</v>
          </cell>
        </row>
        <row r="167">
          <cell r="D167" t="str">
            <v>R-D-1</v>
          </cell>
        </row>
        <row r="168">
          <cell r="D168" t="str">
            <v>R-D-0.5</v>
          </cell>
        </row>
        <row r="169">
          <cell r="D169" t="str">
            <v>E-M-0.5</v>
          </cell>
        </row>
        <row r="170">
          <cell r="D170" t="str">
            <v>A-M-0.5</v>
          </cell>
        </row>
        <row r="171">
          <cell r="D171" t="str">
            <v>R-D-1</v>
          </cell>
        </row>
        <row r="172">
          <cell r="D172" t="str">
            <v>E-L-2.5</v>
          </cell>
        </row>
        <row r="173">
          <cell r="D173" t="str">
            <v>E-M-2.5</v>
          </cell>
        </row>
        <row r="174">
          <cell r="D174" t="str">
            <v>E-D-0.5</v>
          </cell>
        </row>
        <row r="175">
          <cell r="D175" t="str">
            <v>R-M-2.5</v>
          </cell>
        </row>
        <row r="176">
          <cell r="D176" t="str">
            <v>E-L-2.5</v>
          </cell>
        </row>
        <row r="177">
          <cell r="D177" t="str">
            <v>E-M-2.5</v>
          </cell>
        </row>
        <row r="178">
          <cell r="D178" t="str">
            <v>E-L-2.5</v>
          </cell>
        </row>
        <row r="179">
          <cell r="D179" t="str">
            <v>R-L-2.5</v>
          </cell>
        </row>
        <row r="180">
          <cell r="D180" t="str">
            <v>A-L-1</v>
          </cell>
        </row>
        <row r="181">
          <cell r="D181" t="str">
            <v>A-D-0.2</v>
          </cell>
        </row>
        <row r="182">
          <cell r="D182" t="str">
            <v>E-L-0.2</v>
          </cell>
        </row>
        <row r="183">
          <cell r="D183" t="str">
            <v>A-D-0.5</v>
          </cell>
        </row>
        <row r="184">
          <cell r="D184" t="str">
            <v>R-D-0.5</v>
          </cell>
        </row>
        <row r="185">
          <cell r="D185" t="str">
            <v>E-M-0.2</v>
          </cell>
        </row>
        <row r="186">
          <cell r="D186" t="str">
            <v>A-L-0.5</v>
          </cell>
        </row>
        <row r="187">
          <cell r="D187" t="str">
            <v>E-D-0.5</v>
          </cell>
        </row>
        <row r="188">
          <cell r="D188" t="str">
            <v>R-M-2.5</v>
          </cell>
        </row>
        <row r="189">
          <cell r="D189" t="str">
            <v>L-M-0.5</v>
          </cell>
        </row>
        <row r="190">
          <cell r="D190" t="str">
            <v>E-L-0.2</v>
          </cell>
        </row>
        <row r="191">
          <cell r="D191" t="str">
            <v>L-M-1</v>
          </cell>
        </row>
        <row r="192">
          <cell r="D192" t="str">
            <v>L-M-2.5</v>
          </cell>
        </row>
        <row r="193">
          <cell r="D193" t="str">
            <v>L-D-0.2</v>
          </cell>
        </row>
        <row r="194">
          <cell r="D194" t="str">
            <v>E-D-1</v>
          </cell>
        </row>
        <row r="195">
          <cell r="D195" t="str">
            <v>E-L-1</v>
          </cell>
        </row>
        <row r="196">
          <cell r="D196" t="str">
            <v>E-D-0.5</v>
          </cell>
        </row>
        <row r="197">
          <cell r="D197" t="str">
            <v>A-L-1</v>
          </cell>
        </row>
        <row r="198">
          <cell r="D198" t="str">
            <v>E-L-0.5</v>
          </cell>
        </row>
        <row r="199">
          <cell r="D199" t="str">
            <v>L-D-2.5</v>
          </cell>
        </row>
        <row r="200">
          <cell r="D200" t="str">
            <v>L-D-2.5</v>
          </cell>
        </row>
        <row r="201">
          <cell r="D201" t="str">
            <v>L-L-0.5</v>
          </cell>
        </row>
        <row r="202">
          <cell r="D202" t="str">
            <v>E-M-1</v>
          </cell>
        </row>
        <row r="203">
          <cell r="D203" t="str">
            <v>L-L-0.5</v>
          </cell>
        </row>
        <row r="204">
          <cell r="D204" t="str">
            <v>L-D-2.5</v>
          </cell>
        </row>
        <row r="205">
          <cell r="D205" t="str">
            <v>L-L-0.2</v>
          </cell>
        </row>
        <row r="206">
          <cell r="D206" t="str">
            <v>E-M-1</v>
          </cell>
        </row>
        <row r="207">
          <cell r="D207" t="str">
            <v>R-D-0.2</v>
          </cell>
        </row>
        <row r="208">
          <cell r="D208" t="str">
            <v>A-M-1</v>
          </cell>
        </row>
        <row r="209">
          <cell r="D209" t="str">
            <v>A-M-0.5</v>
          </cell>
        </row>
        <row r="210">
          <cell r="D210" t="str">
            <v>E-D-0.5</v>
          </cell>
        </row>
        <row r="211">
          <cell r="D211" t="str">
            <v>A-M-0.5</v>
          </cell>
        </row>
        <row r="212">
          <cell r="D212" t="str">
            <v>L-D-1</v>
          </cell>
        </row>
        <row r="213">
          <cell r="D213" t="str">
            <v>E-L-0.5</v>
          </cell>
        </row>
        <row r="214">
          <cell r="D214" t="str">
            <v>E-D-0.2</v>
          </cell>
        </row>
        <row r="215">
          <cell r="D215" t="str">
            <v>R-D-2.5</v>
          </cell>
        </row>
        <row r="216">
          <cell r="D216" t="str">
            <v>L-L-1</v>
          </cell>
        </row>
        <row r="217">
          <cell r="D217" t="str">
            <v>L-D-0.2</v>
          </cell>
        </row>
        <row r="218">
          <cell r="D218" t="str">
            <v>L-M-1</v>
          </cell>
        </row>
        <row r="219">
          <cell r="D219" t="str">
            <v>E-L-0.5</v>
          </cell>
        </row>
        <row r="220">
          <cell r="D220" t="str">
            <v>A-M-1</v>
          </cell>
        </row>
        <row r="221">
          <cell r="D221" t="str">
            <v>R-L-0.2</v>
          </cell>
        </row>
        <row r="222">
          <cell r="D222" t="str">
            <v>R-M-0.2</v>
          </cell>
        </row>
        <row r="223">
          <cell r="D223" t="str">
            <v>A-L-1</v>
          </cell>
        </row>
        <row r="224">
          <cell r="D224" t="str">
            <v>L-D-0.5</v>
          </cell>
        </row>
        <row r="225">
          <cell r="D225" t="str">
            <v>E-L-1</v>
          </cell>
        </row>
        <row r="226">
          <cell r="D226" t="str">
            <v>L-D-2.5</v>
          </cell>
        </row>
        <row r="227">
          <cell r="D227" t="str">
            <v>R-L-0.2</v>
          </cell>
        </row>
        <row r="228">
          <cell r="D228" t="str">
            <v>A-M-2.5</v>
          </cell>
        </row>
        <row r="229">
          <cell r="D229" t="str">
            <v>R-D-0.2</v>
          </cell>
        </row>
        <row r="230">
          <cell r="D230" t="str">
            <v>R-L-0.2</v>
          </cell>
        </row>
        <row r="231">
          <cell r="D231" t="str">
            <v>L-M-0.2</v>
          </cell>
        </row>
        <row r="232">
          <cell r="D232" t="str">
            <v>A-M-2.5</v>
          </cell>
        </row>
        <row r="233">
          <cell r="D233" t="str">
            <v>L-M-0.2</v>
          </cell>
        </row>
        <row r="234">
          <cell r="D234" t="str">
            <v>L-L-0.2</v>
          </cell>
        </row>
        <row r="235">
          <cell r="D235" t="str">
            <v>E-M-0.2</v>
          </cell>
        </row>
        <row r="236">
          <cell r="D236" t="str">
            <v>L-L-2.5</v>
          </cell>
        </row>
        <row r="237">
          <cell r="D237" t="str">
            <v>L-L-2.5</v>
          </cell>
        </row>
        <row r="238">
          <cell r="D238" t="str">
            <v>L-D-2.5</v>
          </cell>
        </row>
        <row r="239">
          <cell r="D239" t="str">
            <v>R-L-0.2</v>
          </cell>
        </row>
        <row r="240">
          <cell r="D240" t="str">
            <v>R-M-2.5</v>
          </cell>
        </row>
        <row r="241">
          <cell r="D241" t="str">
            <v>E-L-1</v>
          </cell>
        </row>
        <row r="242">
          <cell r="D242" t="str">
            <v>A-M-2.5</v>
          </cell>
        </row>
        <row r="243">
          <cell r="D243" t="str">
            <v>R-M-2.5</v>
          </cell>
        </row>
        <row r="244">
          <cell r="D244" t="str">
            <v>E-D-1</v>
          </cell>
        </row>
        <row r="245">
          <cell r="D245" t="str">
            <v>E-D-0.5</v>
          </cell>
        </row>
        <row r="246">
          <cell r="D246" t="str">
            <v>L-M-2.5</v>
          </cell>
        </row>
        <row r="247">
          <cell r="D247" t="str">
            <v>L-L-0.2</v>
          </cell>
        </row>
        <row r="248">
          <cell r="D248" t="str">
            <v>L-D-1</v>
          </cell>
        </row>
        <row r="249">
          <cell r="D249" t="str">
            <v>R-L-0.2</v>
          </cell>
        </row>
        <row r="250">
          <cell r="D250" t="str">
            <v>A-D-1</v>
          </cell>
        </row>
        <row r="251">
          <cell r="D251" t="str">
            <v>L-L-1</v>
          </cell>
        </row>
        <row r="252">
          <cell r="D252" t="str">
            <v>R-M-0.2</v>
          </cell>
        </row>
        <row r="253">
          <cell r="D253" t="str">
            <v>E-M-1</v>
          </cell>
        </row>
        <row r="254">
          <cell r="D254" t="str">
            <v>A-D-1</v>
          </cell>
        </row>
        <row r="255">
          <cell r="D255" t="str">
            <v>L-M-1</v>
          </cell>
        </row>
        <row r="256">
          <cell r="D256" t="str">
            <v>R-L-0.5</v>
          </cell>
        </row>
        <row r="257">
          <cell r="D257" t="str">
            <v>R-L-0.5</v>
          </cell>
        </row>
        <row r="258">
          <cell r="D258" t="str">
            <v>L-M-0.5</v>
          </cell>
        </row>
        <row r="259">
          <cell r="D259" t="str">
            <v>E-D-2.5</v>
          </cell>
        </row>
        <row r="260">
          <cell r="D260" t="str">
            <v>E-D-2.5</v>
          </cell>
        </row>
        <row r="261">
          <cell r="D261" t="str">
            <v>R-M-0.2</v>
          </cell>
        </row>
        <row r="262">
          <cell r="D262" t="str">
            <v>R-L-2.5</v>
          </cell>
        </row>
        <row r="263">
          <cell r="D263" t="str">
            <v>R-L-1</v>
          </cell>
        </row>
        <row r="264">
          <cell r="D264" t="str">
            <v>E-M-1</v>
          </cell>
        </row>
        <row r="265">
          <cell r="D265" t="str">
            <v>L-M-2.5</v>
          </cell>
        </row>
        <row r="266">
          <cell r="D266" t="str">
            <v>R-L-1</v>
          </cell>
        </row>
        <row r="267">
          <cell r="D267" t="str">
            <v>A-D-0.5</v>
          </cell>
        </row>
        <row r="268">
          <cell r="D268" t="str">
            <v>E-D-1</v>
          </cell>
        </row>
        <row r="269">
          <cell r="D269" t="str">
            <v>E-D-0.2</v>
          </cell>
        </row>
        <row r="270">
          <cell r="D270" t="str">
            <v>A-D-1</v>
          </cell>
        </row>
        <row r="271">
          <cell r="D271" t="str">
            <v>A-D-0.2</v>
          </cell>
        </row>
        <row r="272">
          <cell r="D272" t="str">
            <v>E-D-0.5</v>
          </cell>
        </row>
        <row r="273">
          <cell r="D273" t="str">
            <v>A-D-0.2</v>
          </cell>
        </row>
        <row r="274">
          <cell r="D274" t="str">
            <v>R-L-1</v>
          </cell>
        </row>
        <row r="275">
          <cell r="D275" t="str">
            <v>A-L-0.2</v>
          </cell>
        </row>
        <row r="276">
          <cell r="D276" t="str">
            <v>A-M-2.5</v>
          </cell>
        </row>
        <row r="277">
          <cell r="D277" t="str">
            <v>E-L-2.5</v>
          </cell>
        </row>
        <row r="278">
          <cell r="D278" t="str">
            <v>R-L-2.5</v>
          </cell>
        </row>
        <row r="279">
          <cell r="D279" t="str">
            <v>E-L-1</v>
          </cell>
        </row>
        <row r="280">
          <cell r="D280" t="str">
            <v>A-L-0.2</v>
          </cell>
        </row>
        <row r="281">
          <cell r="D281" t="str">
            <v>L-M-2.5</v>
          </cell>
        </row>
        <row r="282">
          <cell r="D282" t="str">
            <v>E-M-0.5</v>
          </cell>
        </row>
        <row r="283">
          <cell r="D283" t="str">
            <v>E-L-1</v>
          </cell>
        </row>
        <row r="284">
          <cell r="D284" t="str">
            <v>A-L-0.5</v>
          </cell>
        </row>
        <row r="285">
          <cell r="D285" t="str">
            <v>R-D-0.5</v>
          </cell>
        </row>
        <row r="286">
          <cell r="D286" t="str">
            <v>E-M-2.5</v>
          </cell>
        </row>
        <row r="287">
          <cell r="D287" t="str">
            <v>L-L-2.5</v>
          </cell>
        </row>
        <row r="288">
          <cell r="D288" t="str">
            <v>A-M-0.2</v>
          </cell>
        </row>
        <row r="289">
          <cell r="D289" t="str">
            <v>R-L-0.2</v>
          </cell>
        </row>
        <row r="290">
          <cell r="D290" t="str">
            <v>E-M-0.5</v>
          </cell>
        </row>
        <row r="291">
          <cell r="D291" t="str">
            <v>R-D-0.2</v>
          </cell>
        </row>
        <row r="292">
          <cell r="D292" t="str">
            <v>A-D-1</v>
          </cell>
        </row>
        <row r="293">
          <cell r="D293" t="str">
            <v>E-M-0.5</v>
          </cell>
        </row>
        <row r="294">
          <cell r="D294" t="str">
            <v>A-D-0.5</v>
          </cell>
        </row>
        <row r="295">
          <cell r="D295" t="str">
            <v>A-D-0.5</v>
          </cell>
        </row>
        <row r="296">
          <cell r="D296" t="str">
            <v>E-L-1</v>
          </cell>
        </row>
        <row r="297">
          <cell r="D297" t="str">
            <v>E-M-1</v>
          </cell>
        </row>
        <row r="298">
          <cell r="D298" t="str">
            <v>R-M-0.5</v>
          </cell>
        </row>
        <row r="299">
          <cell r="D299" t="str">
            <v>R-D-0.5</v>
          </cell>
        </row>
        <row r="300">
          <cell r="D300" t="str">
            <v>E-L-0.2</v>
          </cell>
        </row>
        <row r="301">
          <cell r="D301" t="str">
            <v>E-L-2.5</v>
          </cell>
        </row>
        <row r="302">
          <cell r="D302" t="str">
            <v>A-L-1</v>
          </cell>
        </row>
        <row r="303">
          <cell r="D303" t="str">
            <v>L-D-0.2</v>
          </cell>
        </row>
        <row r="304">
          <cell r="D304" t="str">
            <v>A-M-0.5</v>
          </cell>
        </row>
        <row r="305">
          <cell r="D305" t="str">
            <v>E-D-2.5</v>
          </cell>
        </row>
        <row r="306">
          <cell r="D306" t="str">
            <v>A-L-0.2</v>
          </cell>
        </row>
        <row r="307">
          <cell r="D307" t="str">
            <v>L-M-0.2</v>
          </cell>
        </row>
        <row r="308">
          <cell r="D308" t="str">
            <v>R-M-0.2</v>
          </cell>
        </row>
        <row r="309">
          <cell r="D309" t="str">
            <v>A-M-1</v>
          </cell>
        </row>
        <row r="310">
          <cell r="D310" t="str">
            <v>A-M-1</v>
          </cell>
        </row>
        <row r="311">
          <cell r="D311" t="str">
            <v>L-M-0.2</v>
          </cell>
        </row>
        <row r="312">
          <cell r="D312" t="str">
            <v>E-L-1</v>
          </cell>
        </row>
        <row r="313">
          <cell r="D313" t="str">
            <v>E-M-2.5</v>
          </cell>
        </row>
        <row r="314">
          <cell r="D314" t="str">
            <v>R-M-0.5</v>
          </cell>
        </row>
        <row r="315">
          <cell r="D315" t="str">
            <v>R-M-1</v>
          </cell>
        </row>
        <row r="316">
          <cell r="D316" t="str">
            <v>R-D-1</v>
          </cell>
        </row>
        <row r="317">
          <cell r="D317" t="str">
            <v>E-L-2.5</v>
          </cell>
        </row>
        <row r="318">
          <cell r="D318" t="str">
            <v>E-L-2.5</v>
          </cell>
        </row>
        <row r="319">
          <cell r="D319" t="str">
            <v>E-D-0.5</v>
          </cell>
        </row>
        <row r="320">
          <cell r="D320" t="str">
            <v>A-M-2.5</v>
          </cell>
        </row>
        <row r="321">
          <cell r="D321" t="str">
            <v>E-M-0.2</v>
          </cell>
        </row>
        <row r="322">
          <cell r="D322" t="str">
            <v>A-L-0.2</v>
          </cell>
        </row>
        <row r="323">
          <cell r="D323" t="str">
            <v>A-M-0.2</v>
          </cell>
        </row>
        <row r="324">
          <cell r="D324" t="str">
            <v>L-D-0.5</v>
          </cell>
        </row>
        <row r="325">
          <cell r="D325" t="str">
            <v>E-D-0.2</v>
          </cell>
        </row>
        <row r="326">
          <cell r="D326" t="str">
            <v>E-M-1</v>
          </cell>
        </row>
        <row r="327">
          <cell r="D327" t="str">
            <v>A-L-2.5</v>
          </cell>
        </row>
        <row r="328">
          <cell r="D328" t="str">
            <v>R-D-1</v>
          </cell>
        </row>
        <row r="329">
          <cell r="D329" t="str">
            <v>R-D-1</v>
          </cell>
        </row>
        <row r="330">
          <cell r="D330" t="str">
            <v>L-L-0.5</v>
          </cell>
        </row>
        <row r="331">
          <cell r="D331" t="str">
            <v>R-D-0.5</v>
          </cell>
        </row>
        <row r="332">
          <cell r="D332" t="str">
            <v>R-D-0.5</v>
          </cell>
        </row>
        <row r="333">
          <cell r="D333" t="str">
            <v>R-M-2.5</v>
          </cell>
        </row>
        <row r="334">
          <cell r="D334" t="str">
            <v>A-D-0.5</v>
          </cell>
        </row>
        <row r="335">
          <cell r="D335" t="str">
            <v>R-M-0.5</v>
          </cell>
        </row>
        <row r="336">
          <cell r="D336" t="str">
            <v>R-L-1</v>
          </cell>
        </row>
        <row r="337">
          <cell r="D337" t="str">
            <v>L-L-0.2</v>
          </cell>
        </row>
        <row r="338">
          <cell r="D338" t="str">
            <v>A-M-1</v>
          </cell>
        </row>
        <row r="339">
          <cell r="D339" t="str">
            <v>E-D-2.5</v>
          </cell>
        </row>
        <row r="340">
          <cell r="D340" t="str">
            <v>E-L-1</v>
          </cell>
        </row>
        <row r="341">
          <cell r="D341" t="str">
            <v>E-D-0.2</v>
          </cell>
        </row>
        <row r="342">
          <cell r="D342" t="str">
            <v>E-D-0.5</v>
          </cell>
        </row>
        <row r="343">
          <cell r="D343" t="str">
            <v>E-L-0.5</v>
          </cell>
        </row>
        <row r="344">
          <cell r="D344" t="str">
            <v>L-D-0.5</v>
          </cell>
        </row>
        <row r="345">
          <cell r="D345" t="str">
            <v>R-D-0.5</v>
          </cell>
        </row>
        <row r="346">
          <cell r="D346" t="str">
            <v>R-M-1</v>
          </cell>
        </row>
        <row r="347">
          <cell r="D347" t="str">
            <v>R-L-1</v>
          </cell>
        </row>
        <row r="348">
          <cell r="D348" t="str">
            <v>A-L-0.5</v>
          </cell>
        </row>
        <row r="349">
          <cell r="D349" t="str">
            <v>L-M-1</v>
          </cell>
        </row>
        <row r="350">
          <cell r="D350" t="str">
            <v>E-L-2.5</v>
          </cell>
        </row>
        <row r="351">
          <cell r="D351" t="str">
            <v>R-L-0.2</v>
          </cell>
        </row>
        <row r="352">
          <cell r="D352" t="str">
            <v>A-D-0.5</v>
          </cell>
        </row>
        <row r="353">
          <cell r="D353" t="str">
            <v>A-M-1</v>
          </cell>
        </row>
        <row r="354">
          <cell r="D354" t="str">
            <v>E-D-0.5</v>
          </cell>
        </row>
        <row r="355">
          <cell r="D355" t="str">
            <v>A-M-0.5</v>
          </cell>
        </row>
        <row r="356">
          <cell r="D356" t="str">
            <v>A-M-2.5</v>
          </cell>
        </row>
        <row r="357">
          <cell r="D357" t="str">
            <v>A-D-2.5</v>
          </cell>
        </row>
        <row r="358">
          <cell r="D358" t="str">
            <v>L-D-1</v>
          </cell>
        </row>
        <row r="359">
          <cell r="D359" t="str">
            <v>A-M-2.5</v>
          </cell>
        </row>
        <row r="360">
          <cell r="D360" t="str">
            <v>A-L-2.5</v>
          </cell>
        </row>
        <row r="361">
          <cell r="D361" t="str">
            <v>R-L-0.2</v>
          </cell>
        </row>
        <row r="362">
          <cell r="D362" t="str">
            <v>R-D-2.5</v>
          </cell>
        </row>
        <row r="363">
          <cell r="D363" t="str">
            <v>R-M-0.5</v>
          </cell>
        </row>
        <row r="364">
          <cell r="D364" t="str">
            <v>E-L-1</v>
          </cell>
        </row>
        <row r="365">
          <cell r="D365" t="str">
            <v>L-M-1</v>
          </cell>
        </row>
        <row r="366">
          <cell r="D366" t="str">
            <v>E-D-1</v>
          </cell>
        </row>
        <row r="367">
          <cell r="D367" t="str">
            <v>L-D-0.5</v>
          </cell>
        </row>
        <row r="368">
          <cell r="D368" t="str">
            <v>E-D-0.5</v>
          </cell>
        </row>
        <row r="369">
          <cell r="D369" t="str">
            <v>L-M-0.2</v>
          </cell>
        </row>
        <row r="370">
          <cell r="D370" t="str">
            <v>E-M-2.5</v>
          </cell>
        </row>
        <row r="371">
          <cell r="D371" t="str">
            <v>E-L-0.5</v>
          </cell>
        </row>
        <row r="372">
          <cell r="D372" t="str">
            <v>E-D-1</v>
          </cell>
        </row>
        <row r="373">
          <cell r="D373" t="str">
            <v>A-L-0.5</v>
          </cell>
        </row>
        <row r="374">
          <cell r="D374" t="str">
            <v>R-L-0.5</v>
          </cell>
        </row>
        <row r="375">
          <cell r="D375" t="str">
            <v>A-D-0.5</v>
          </cell>
        </row>
        <row r="376">
          <cell r="D376" t="str">
            <v>L-L-0.5</v>
          </cell>
        </row>
        <row r="377">
          <cell r="D377" t="str">
            <v>A-M-0.2</v>
          </cell>
        </row>
        <row r="378">
          <cell r="D378" t="str">
            <v>R-M-0.5</v>
          </cell>
        </row>
        <row r="379">
          <cell r="D379" t="str">
            <v>R-D-0.2</v>
          </cell>
        </row>
        <row r="380">
          <cell r="D380" t="str">
            <v>A-L-0.5</v>
          </cell>
        </row>
        <row r="381">
          <cell r="D381" t="str">
            <v>R-L-0.5</v>
          </cell>
        </row>
        <row r="382">
          <cell r="D382" t="str">
            <v>L-D-0.5</v>
          </cell>
        </row>
        <row r="383">
          <cell r="D383" t="str">
            <v>A-D-0.2</v>
          </cell>
        </row>
        <row r="384">
          <cell r="D384" t="str">
            <v>E-D-0.5</v>
          </cell>
        </row>
        <row r="385">
          <cell r="D385" t="str">
            <v>E-L-0.5</v>
          </cell>
        </row>
        <row r="386">
          <cell r="D386" t="str">
            <v>A-L-2.5</v>
          </cell>
        </row>
        <row r="387">
          <cell r="D387" t="str">
            <v>L-M-0.5</v>
          </cell>
        </row>
        <row r="388">
          <cell r="D388" t="str">
            <v>A-D-0.2</v>
          </cell>
        </row>
        <row r="389">
          <cell r="D389" t="str">
            <v>E-L-1</v>
          </cell>
        </row>
        <row r="390">
          <cell r="D390" t="str">
            <v>L-D-0.2</v>
          </cell>
        </row>
        <row r="391">
          <cell r="D391" t="str">
            <v>L-D-0.5</v>
          </cell>
        </row>
        <row r="392">
          <cell r="D392" t="str">
            <v>E-D-0.5</v>
          </cell>
        </row>
        <row r="393">
          <cell r="D393" t="str">
            <v>A-M-0.5</v>
          </cell>
        </row>
        <row r="394">
          <cell r="D394" t="str">
            <v>E-L-1</v>
          </cell>
        </row>
        <row r="395">
          <cell r="D395" t="str">
            <v>A-L-0.2</v>
          </cell>
        </row>
        <row r="396">
          <cell r="D396" t="str">
            <v>R-L-2.5</v>
          </cell>
        </row>
        <row r="397">
          <cell r="D397" t="str">
            <v>L-D-0.5</v>
          </cell>
        </row>
        <row r="398">
          <cell r="D398" t="str">
            <v>A-L-0.5</v>
          </cell>
        </row>
        <row r="399">
          <cell r="D399" t="str">
            <v>L-D-0.5</v>
          </cell>
        </row>
        <row r="400">
          <cell r="D400" t="str">
            <v>A-D-0.2</v>
          </cell>
        </row>
        <row r="401">
          <cell r="D401" t="str">
            <v>E-D-2.5</v>
          </cell>
        </row>
        <row r="402">
          <cell r="D402" t="str">
            <v>L-L-1</v>
          </cell>
        </row>
        <row r="403">
          <cell r="D403" t="str">
            <v>L-M-0.2</v>
          </cell>
        </row>
        <row r="404">
          <cell r="D404" t="str">
            <v>R-D-1</v>
          </cell>
        </row>
        <row r="405">
          <cell r="D405" t="str">
            <v>L-L-0.2</v>
          </cell>
        </row>
        <row r="406">
          <cell r="D406" t="str">
            <v>A-D-1</v>
          </cell>
        </row>
        <row r="407">
          <cell r="D407" t="str">
            <v>E-M-0.5</v>
          </cell>
        </row>
        <row r="408">
          <cell r="D408" t="str">
            <v>E-M-1</v>
          </cell>
        </row>
        <row r="409">
          <cell r="D409" t="str">
            <v>E-M-0.5</v>
          </cell>
        </row>
        <row r="410">
          <cell r="D410" t="str">
            <v>A-M-2.5</v>
          </cell>
        </row>
        <row r="411">
          <cell r="D411" t="str">
            <v>L-L-1</v>
          </cell>
        </row>
        <row r="412">
          <cell r="D412" t="str">
            <v>A-L-0.2</v>
          </cell>
        </row>
        <row r="413">
          <cell r="D413" t="str">
            <v>L-M-1</v>
          </cell>
        </row>
        <row r="414">
          <cell r="D414" t="str">
            <v>A-M-1</v>
          </cell>
        </row>
        <row r="415">
          <cell r="D415" t="str">
            <v>L-L-2.5</v>
          </cell>
        </row>
        <row r="416">
          <cell r="D416" t="str">
            <v>R-L-0.2</v>
          </cell>
        </row>
        <row r="417">
          <cell r="D417" t="str">
            <v>R-M-0.2</v>
          </cell>
        </row>
        <row r="418">
          <cell r="D418" t="str">
            <v>A-L-0.5</v>
          </cell>
        </row>
        <row r="419">
          <cell r="D419" t="str">
            <v>A-L-2.5</v>
          </cell>
        </row>
        <row r="420">
          <cell r="D420" t="str">
            <v>A-L-2.5</v>
          </cell>
        </row>
        <row r="421">
          <cell r="D421" t="str">
            <v>L-M-0.5</v>
          </cell>
        </row>
        <row r="422">
          <cell r="D422" t="str">
            <v>L-D-0.5</v>
          </cell>
        </row>
        <row r="423">
          <cell r="D423" t="str">
            <v>A-D-2.5</v>
          </cell>
        </row>
        <row r="424">
          <cell r="D424" t="str">
            <v>A-D-0.5</v>
          </cell>
        </row>
        <row r="425">
          <cell r="D425" t="str">
            <v>R-M-0.5</v>
          </cell>
        </row>
        <row r="426">
          <cell r="D426" t="str">
            <v>E-L-0.5</v>
          </cell>
        </row>
        <row r="427">
          <cell r="D427" t="str">
            <v>R-D-1</v>
          </cell>
        </row>
        <row r="428">
          <cell r="D428" t="str">
            <v>R-L-0.2</v>
          </cell>
        </row>
        <row r="429">
          <cell r="D429" t="str">
            <v>A-M-2.5</v>
          </cell>
        </row>
        <row r="430">
          <cell r="D430" t="str">
            <v>R-L-1</v>
          </cell>
        </row>
        <row r="431">
          <cell r="D431" t="str">
            <v>A-L-1</v>
          </cell>
        </row>
        <row r="432">
          <cell r="D432" t="str">
            <v>R-D-0.2</v>
          </cell>
        </row>
        <row r="433">
          <cell r="D433" t="str">
            <v>E-D-2.5</v>
          </cell>
        </row>
        <row r="434">
          <cell r="D434" t="str">
            <v>A-M-1</v>
          </cell>
        </row>
        <row r="435">
          <cell r="D435" t="str">
            <v>L-M-2.5</v>
          </cell>
        </row>
        <row r="436">
          <cell r="D436" t="str">
            <v>A-M-1</v>
          </cell>
        </row>
        <row r="437">
          <cell r="D437" t="str">
            <v>E-M-0.5</v>
          </cell>
        </row>
        <row r="438">
          <cell r="D438" t="str">
            <v>L-L-0.2</v>
          </cell>
        </row>
        <row r="439">
          <cell r="D439" t="str">
            <v>L-D-2.5</v>
          </cell>
        </row>
        <row r="440">
          <cell r="D440" t="str">
            <v>L-D-0.5</v>
          </cell>
        </row>
        <row r="441">
          <cell r="D441" t="str">
            <v>E-L-0.5</v>
          </cell>
        </row>
        <row r="442">
          <cell r="D442" t="str">
            <v>A-M-2.5</v>
          </cell>
        </row>
        <row r="443">
          <cell r="D443" t="str">
            <v>E-D-1</v>
          </cell>
        </row>
        <row r="444">
          <cell r="D444" t="str">
            <v>R-L-0.5</v>
          </cell>
        </row>
        <row r="445">
          <cell r="D445" t="str">
            <v>E-L-0.2</v>
          </cell>
        </row>
        <row r="446">
          <cell r="D446" t="str">
            <v>E-M-0.2</v>
          </cell>
        </row>
        <row r="447">
          <cell r="D447" t="str">
            <v>L-M-2.5</v>
          </cell>
        </row>
        <row r="448">
          <cell r="D448" t="str">
            <v>L-M-0.5</v>
          </cell>
        </row>
        <row r="449">
          <cell r="D449" t="str">
            <v>R-M-0.5</v>
          </cell>
        </row>
        <row r="450">
          <cell r="D450" t="str">
            <v>R-L-0.5</v>
          </cell>
        </row>
        <row r="451">
          <cell r="D451" t="str">
            <v>R-D-0.2</v>
          </cell>
        </row>
        <row r="452">
          <cell r="D452" t="str">
            <v>L-L-0.2</v>
          </cell>
        </row>
        <row r="453">
          <cell r="D453" t="str">
            <v>R-D-2.5</v>
          </cell>
        </row>
        <row r="454">
          <cell r="D454" t="str">
            <v>A-L-0.2</v>
          </cell>
        </row>
        <row r="455">
          <cell r="D455" t="str">
            <v>L-L-0.5</v>
          </cell>
        </row>
        <row r="456">
          <cell r="D456" t="str">
            <v>R-D-2.5</v>
          </cell>
        </row>
        <row r="457">
          <cell r="D457" t="str">
            <v>L-L-0.2</v>
          </cell>
        </row>
        <row r="458">
          <cell r="D458" t="str">
            <v>R-D-2.5</v>
          </cell>
        </row>
        <row r="459">
          <cell r="D459" t="str">
            <v>L-L-0.5</v>
          </cell>
        </row>
        <row r="460">
          <cell r="D460" t="str">
            <v>A-M-1</v>
          </cell>
        </row>
        <row r="461">
          <cell r="D461" t="str">
            <v>L-L-0.2</v>
          </cell>
        </row>
        <row r="462">
          <cell r="D462" t="str">
            <v>R-D-0.5</v>
          </cell>
        </row>
        <row r="463">
          <cell r="D463" t="str">
            <v>R-D-0.2</v>
          </cell>
        </row>
        <row r="464">
          <cell r="D464" t="str">
            <v>A-D-1</v>
          </cell>
        </row>
        <row r="465">
          <cell r="D465" t="str">
            <v>E-M-1</v>
          </cell>
        </row>
        <row r="466">
          <cell r="D466" t="str">
            <v>L-D-2.5</v>
          </cell>
        </row>
        <row r="467">
          <cell r="D467" t="str">
            <v>R-D-2.5</v>
          </cell>
        </row>
        <row r="468">
          <cell r="D468" t="str">
            <v>A-D-0.2</v>
          </cell>
        </row>
        <row r="469">
          <cell r="D469" t="str">
            <v>A-D-0.5</v>
          </cell>
        </row>
        <row r="470">
          <cell r="D470" t="str">
            <v>E-M-1</v>
          </cell>
        </row>
        <row r="471">
          <cell r="D471" t="str">
            <v>E-L-0.2</v>
          </cell>
        </row>
        <row r="472">
          <cell r="D472" t="str">
            <v>A-M-0.5</v>
          </cell>
        </row>
        <row r="473">
          <cell r="D473" t="str">
            <v>L-M-2.5</v>
          </cell>
        </row>
        <row r="474">
          <cell r="D474" t="str">
            <v>A-D-0.2</v>
          </cell>
        </row>
        <row r="475">
          <cell r="D475" t="str">
            <v>A-L-1</v>
          </cell>
        </row>
        <row r="476">
          <cell r="D476" t="str">
            <v>E-M-2.5</v>
          </cell>
        </row>
        <row r="477">
          <cell r="D477" t="str">
            <v>L-M-0.2</v>
          </cell>
        </row>
        <row r="478">
          <cell r="D478" t="str">
            <v>E-L-0.2</v>
          </cell>
        </row>
        <row r="479">
          <cell r="D479" t="str">
            <v>L-M-0.2</v>
          </cell>
        </row>
        <row r="480">
          <cell r="D480" t="str">
            <v>R-D-1</v>
          </cell>
        </row>
        <row r="481">
          <cell r="D481" t="str">
            <v>E-M-2.5</v>
          </cell>
        </row>
        <row r="482">
          <cell r="D482" t="str">
            <v>E-M-0.2</v>
          </cell>
        </row>
        <row r="483">
          <cell r="D483" t="str">
            <v>R-L-1</v>
          </cell>
        </row>
        <row r="484">
          <cell r="D484" t="str">
            <v>E-D-2.5</v>
          </cell>
        </row>
        <row r="485">
          <cell r="D485" t="str">
            <v>L-D-2.5</v>
          </cell>
        </row>
        <row r="486">
          <cell r="D486" t="str">
            <v>L-L-0.5</v>
          </cell>
        </row>
        <row r="487">
          <cell r="D487" t="str">
            <v>R-L-0.2</v>
          </cell>
        </row>
        <row r="488">
          <cell r="D488" t="str">
            <v>L-M-0.5</v>
          </cell>
        </row>
        <row r="489">
          <cell r="D489" t="str">
            <v>E-D-1</v>
          </cell>
        </row>
        <row r="490">
          <cell r="D490" t="str">
            <v>R-M-0.2</v>
          </cell>
        </row>
        <row r="491">
          <cell r="D491" t="str">
            <v>L-L-1</v>
          </cell>
        </row>
        <row r="492">
          <cell r="D492" t="str">
            <v>L-D-0.5</v>
          </cell>
        </row>
        <row r="493">
          <cell r="D493" t="str">
            <v>L-D-0.2</v>
          </cell>
        </row>
        <row r="494">
          <cell r="D494" t="str">
            <v>E-M-0.2</v>
          </cell>
        </row>
        <row r="495">
          <cell r="D495" t="str">
            <v>R-M-0.5</v>
          </cell>
        </row>
        <row r="496">
          <cell r="D496" t="str">
            <v>L-L-1</v>
          </cell>
        </row>
        <row r="497">
          <cell r="D497" t="str">
            <v>L-L-1</v>
          </cell>
        </row>
        <row r="498">
          <cell r="D498" t="str">
            <v>E-D-0.2</v>
          </cell>
        </row>
        <row r="499">
          <cell r="D499" t="str">
            <v>A-D-1</v>
          </cell>
        </row>
        <row r="500">
          <cell r="D500" t="str">
            <v>R-M-1</v>
          </cell>
        </row>
        <row r="501">
          <cell r="D501" t="str">
            <v>R-D-0.2</v>
          </cell>
        </row>
        <row r="502">
          <cell r="D502" t="str">
            <v>R-L-1</v>
          </cell>
        </row>
        <row r="503">
          <cell r="D503" t="str">
            <v>R-M-0.2</v>
          </cell>
        </row>
        <row r="504">
          <cell r="D504" t="str">
            <v>E-M-0.2</v>
          </cell>
        </row>
        <row r="505">
          <cell r="D505" t="str">
            <v>L-D-1</v>
          </cell>
        </row>
        <row r="506">
          <cell r="D506" t="str">
            <v>L-L-0.2</v>
          </cell>
        </row>
        <row r="507">
          <cell r="D507" t="str">
            <v>L-M-0.2</v>
          </cell>
        </row>
        <row r="508">
          <cell r="D508" t="str">
            <v>A-L-1</v>
          </cell>
        </row>
        <row r="509">
          <cell r="D509" t="str">
            <v>A-L-2.5</v>
          </cell>
        </row>
        <row r="510">
          <cell r="D510" t="str">
            <v>L-D-0.5</v>
          </cell>
        </row>
        <row r="511">
          <cell r="D511" t="str">
            <v>A-D-1</v>
          </cell>
        </row>
        <row r="512">
          <cell r="D512" t="str">
            <v>R-L-0.2</v>
          </cell>
        </row>
        <row r="513">
          <cell r="D513" t="str">
            <v>A-M-0.2</v>
          </cell>
        </row>
        <row r="514">
          <cell r="D514" t="str">
            <v>L-L-1</v>
          </cell>
        </row>
        <row r="515">
          <cell r="D515" t="str">
            <v>L-L-1</v>
          </cell>
        </row>
        <row r="516">
          <cell r="D516" t="str">
            <v>L-M-0.2</v>
          </cell>
        </row>
        <row r="517">
          <cell r="D517" t="str">
            <v>R-L-0.5</v>
          </cell>
        </row>
        <row r="518">
          <cell r="D518" t="str">
            <v>R-D-2.5</v>
          </cell>
        </row>
        <row r="519">
          <cell r="D519" t="str">
            <v>L-D-0.2</v>
          </cell>
        </row>
        <row r="520">
          <cell r="D520" t="str">
            <v>E-D-2.5</v>
          </cell>
        </row>
        <row r="521">
          <cell r="D521" t="str">
            <v>A-D-0.5</v>
          </cell>
        </row>
        <row r="522">
          <cell r="D522" t="str">
            <v>L-D-0.2</v>
          </cell>
        </row>
        <row r="523">
          <cell r="D523" t="str">
            <v>R-M-1</v>
          </cell>
        </row>
        <row r="524">
          <cell r="D524" t="str">
            <v>R-M-0.5</v>
          </cell>
        </row>
        <row r="525">
          <cell r="D525" t="str">
            <v>L-D-2.5</v>
          </cell>
        </row>
        <row r="526">
          <cell r="D526" t="str">
            <v>L-L-2.5</v>
          </cell>
        </row>
        <row r="527">
          <cell r="D527" t="str">
            <v>R-D-0.2</v>
          </cell>
        </row>
        <row r="528">
          <cell r="D528" t="str">
            <v>E-M-2.5</v>
          </cell>
        </row>
        <row r="529">
          <cell r="D529" t="str">
            <v>E-M-0.5</v>
          </cell>
        </row>
        <row r="530">
          <cell r="D530" t="str">
            <v>E-L-0.5</v>
          </cell>
        </row>
        <row r="531">
          <cell r="D531" t="str">
            <v>R-M-1</v>
          </cell>
        </row>
        <row r="532">
          <cell r="D532" t="str">
            <v>R-M-1</v>
          </cell>
        </row>
        <row r="533">
          <cell r="D533" t="str">
            <v>R-D-1</v>
          </cell>
        </row>
        <row r="534">
          <cell r="D534" t="str">
            <v>E-M-0.5</v>
          </cell>
        </row>
        <row r="535">
          <cell r="D535" t="str">
            <v>R-D-0.5</v>
          </cell>
        </row>
        <row r="536">
          <cell r="D536" t="str">
            <v>R-M-2.5</v>
          </cell>
        </row>
        <row r="537">
          <cell r="D537" t="str">
            <v>L-L-0.2</v>
          </cell>
        </row>
        <row r="538">
          <cell r="D538" t="str">
            <v>R-D-0.2</v>
          </cell>
        </row>
        <row r="539">
          <cell r="D539" t="str">
            <v>E-D-2.5</v>
          </cell>
        </row>
        <row r="540">
          <cell r="D540" t="str">
            <v>R-D-0.2</v>
          </cell>
        </row>
        <row r="541">
          <cell r="D541" t="str">
            <v>R-D-0.5</v>
          </cell>
        </row>
        <row r="542">
          <cell r="D542" t="str">
            <v>L-L-1</v>
          </cell>
        </row>
        <row r="543">
          <cell r="D543" t="str">
            <v>A-D-2.5</v>
          </cell>
        </row>
        <row r="544">
          <cell r="D544" t="str">
            <v>A-M-2.5</v>
          </cell>
        </row>
        <row r="545">
          <cell r="D545" t="str">
            <v>R-L-2.5</v>
          </cell>
        </row>
        <row r="546">
          <cell r="D546" t="str">
            <v>A-L-0.5</v>
          </cell>
        </row>
        <row r="547">
          <cell r="D547" t="str">
            <v>L-D-0.2</v>
          </cell>
        </row>
        <row r="548">
          <cell r="D548" t="str">
            <v>E-D-2.5</v>
          </cell>
        </row>
        <row r="549">
          <cell r="D549" t="str">
            <v>R-L-0.2</v>
          </cell>
        </row>
        <row r="550">
          <cell r="D550" t="str">
            <v>E-L-0.2</v>
          </cell>
        </row>
        <row r="551">
          <cell r="D551" t="str">
            <v>E-L-0.2</v>
          </cell>
        </row>
        <row r="552">
          <cell r="D552" t="str">
            <v>L-D-0.2</v>
          </cell>
        </row>
        <row r="553">
          <cell r="D553" t="str">
            <v>E-D-0.2</v>
          </cell>
        </row>
        <row r="554">
          <cell r="D554" t="str">
            <v>E-L-0.2</v>
          </cell>
        </row>
        <row r="555">
          <cell r="D555" t="str">
            <v>E-M-1</v>
          </cell>
        </row>
        <row r="556">
          <cell r="D556" t="str">
            <v>R-L-2.5</v>
          </cell>
        </row>
        <row r="557">
          <cell r="D557" t="str">
            <v>E-M-1</v>
          </cell>
        </row>
        <row r="558">
          <cell r="D558" t="str">
            <v>L-M-0.2</v>
          </cell>
        </row>
        <row r="559">
          <cell r="D559" t="str">
            <v>E-L-1</v>
          </cell>
        </row>
        <row r="560">
          <cell r="D560" t="str">
            <v>L-D-0.2</v>
          </cell>
        </row>
        <row r="561">
          <cell r="D561" t="str">
            <v>A-L-1</v>
          </cell>
        </row>
        <row r="562">
          <cell r="D562" t="str">
            <v>E-M-2.5</v>
          </cell>
        </row>
        <row r="563">
          <cell r="D563" t="str">
            <v>A-D-0.2</v>
          </cell>
        </row>
        <row r="564">
          <cell r="D564" t="str">
            <v>L-L-0.2</v>
          </cell>
        </row>
        <row r="565">
          <cell r="D565" t="str">
            <v>E-M-1</v>
          </cell>
        </row>
        <row r="566">
          <cell r="D566" t="str">
            <v>R-L-0.5</v>
          </cell>
        </row>
        <row r="567">
          <cell r="D567" t="str">
            <v>R-D-2.5</v>
          </cell>
        </row>
        <row r="568">
          <cell r="D568" t="str">
            <v>A-M-0.2</v>
          </cell>
        </row>
        <row r="569">
          <cell r="D569" t="str">
            <v>R-L-2.5</v>
          </cell>
        </row>
        <row r="570">
          <cell r="D570" t="str">
            <v>L-L-0.2</v>
          </cell>
        </row>
        <row r="571">
          <cell r="D571" t="str">
            <v>A-D-2.5</v>
          </cell>
        </row>
        <row r="572">
          <cell r="D572" t="str">
            <v>A-M-0.5</v>
          </cell>
        </row>
        <row r="573">
          <cell r="D573" t="str">
            <v>E-L-0.5</v>
          </cell>
        </row>
        <row r="574">
          <cell r="D574" t="str">
            <v>A-D-0.2</v>
          </cell>
        </row>
        <row r="575">
          <cell r="D575" t="str">
            <v>A-M-1</v>
          </cell>
        </row>
        <row r="576">
          <cell r="D576" t="str">
            <v>R-L-0.2</v>
          </cell>
        </row>
        <row r="577">
          <cell r="D577" t="str">
            <v>L-M-2.5</v>
          </cell>
        </row>
        <row r="578">
          <cell r="D578" t="str">
            <v>A-D-0.2</v>
          </cell>
        </row>
        <row r="579">
          <cell r="D579" t="str">
            <v>L-M-1</v>
          </cell>
        </row>
        <row r="580">
          <cell r="D580" t="str">
            <v>E-L-0.2</v>
          </cell>
        </row>
        <row r="581">
          <cell r="D581" t="str">
            <v>A-M-0.5</v>
          </cell>
        </row>
        <row r="582">
          <cell r="D582" t="str">
            <v>E-L-1</v>
          </cell>
        </row>
        <row r="583">
          <cell r="D583" t="str">
            <v>E-L-0.5</v>
          </cell>
        </row>
        <row r="584">
          <cell r="D584" t="str">
            <v>E-D-1</v>
          </cell>
        </row>
        <row r="585">
          <cell r="D585" t="str">
            <v>R-L-0.2</v>
          </cell>
        </row>
        <row r="586">
          <cell r="D586" t="str">
            <v>R-L-0.2</v>
          </cell>
        </row>
        <row r="587">
          <cell r="D587" t="str">
            <v>E-M-0.5</v>
          </cell>
        </row>
        <row r="588">
          <cell r="D588" t="str">
            <v>R-L-2.5</v>
          </cell>
        </row>
        <row r="589">
          <cell r="D589" t="str">
            <v>L-D-0.5</v>
          </cell>
        </row>
        <row r="590">
          <cell r="D590" t="str">
            <v>R-M-0.5</v>
          </cell>
        </row>
        <row r="591">
          <cell r="D591" t="str">
            <v>E-L-2.5</v>
          </cell>
        </row>
        <row r="592">
          <cell r="D592" t="str">
            <v>E-M-2.5</v>
          </cell>
        </row>
        <row r="593">
          <cell r="D593" t="str">
            <v>R-D-0.2</v>
          </cell>
        </row>
        <row r="594">
          <cell r="D594" t="str">
            <v>A-M-2.5</v>
          </cell>
        </row>
        <row r="595">
          <cell r="D595" t="str">
            <v>E-D-2.5</v>
          </cell>
        </row>
        <row r="596">
          <cell r="D596" t="str">
            <v>A-L-2.5</v>
          </cell>
        </row>
        <row r="597">
          <cell r="D597" t="str">
            <v>E-L-1</v>
          </cell>
        </row>
        <row r="598">
          <cell r="D598" t="str">
            <v>A-M-0.5</v>
          </cell>
        </row>
        <row r="599">
          <cell r="D599" t="str">
            <v>L-L-2.5</v>
          </cell>
        </row>
        <row r="600">
          <cell r="D600" t="str">
            <v>R-M-0.2</v>
          </cell>
        </row>
        <row r="601">
          <cell r="D601" t="str">
            <v>A-D-0.2</v>
          </cell>
        </row>
        <row r="602">
          <cell r="D602" t="str">
            <v>L-D-0.5</v>
          </cell>
        </row>
        <row r="603">
          <cell r="D603" t="str">
            <v>R-L-2.5</v>
          </cell>
        </row>
        <row r="604">
          <cell r="D604" t="str">
            <v>E-L-0.2</v>
          </cell>
        </row>
        <row r="605">
          <cell r="D605" t="str">
            <v>R-M-0.2</v>
          </cell>
        </row>
        <row r="606">
          <cell r="D606" t="str">
            <v>L-D-2.5</v>
          </cell>
        </row>
        <row r="607">
          <cell r="D607" t="str">
            <v>A-L-2.5</v>
          </cell>
        </row>
        <row r="608">
          <cell r="D608" t="str">
            <v>L-L-2.5</v>
          </cell>
        </row>
        <row r="609">
          <cell r="D609" t="str">
            <v>E-D-0.2</v>
          </cell>
        </row>
        <row r="610">
          <cell r="D610" t="str">
            <v>E-D-2.5</v>
          </cell>
        </row>
        <row r="611">
          <cell r="D611" t="str">
            <v>L-M-0.2</v>
          </cell>
        </row>
        <row r="612">
          <cell r="D612" t="str">
            <v>R-M-1</v>
          </cell>
        </row>
        <row r="613">
          <cell r="D613" t="str">
            <v>E-L-2.5</v>
          </cell>
        </row>
        <row r="614">
          <cell r="D614" t="str">
            <v>A-M-0.2</v>
          </cell>
        </row>
        <row r="615">
          <cell r="D615" t="str">
            <v>R-M-0.5</v>
          </cell>
        </row>
        <row r="616">
          <cell r="D616" t="str">
            <v>R-M-0.5</v>
          </cell>
        </row>
        <row r="617">
          <cell r="D617" t="str">
            <v>L-L-2.5</v>
          </cell>
        </row>
        <row r="618">
          <cell r="D618" t="str">
            <v>E-M-2.5</v>
          </cell>
        </row>
        <row r="619">
          <cell r="D619" t="str">
            <v>L-M-2.5</v>
          </cell>
        </row>
        <row r="620">
          <cell r="D620" t="str">
            <v>E-D-1</v>
          </cell>
        </row>
        <row r="621">
          <cell r="D621" t="str">
            <v>L-D-0.5</v>
          </cell>
        </row>
        <row r="622">
          <cell r="D622" t="str">
            <v>A-M-0.2</v>
          </cell>
        </row>
        <row r="623">
          <cell r="D623" t="str">
            <v>A-L-1</v>
          </cell>
        </row>
        <row r="624">
          <cell r="D624" t="str">
            <v>L-M-2.5</v>
          </cell>
        </row>
        <row r="625">
          <cell r="D625" t="str">
            <v>E-D-1</v>
          </cell>
        </row>
        <row r="626">
          <cell r="D626" t="str">
            <v>E-M-2.5</v>
          </cell>
        </row>
        <row r="627">
          <cell r="D627" t="str">
            <v>R-L-0.5</v>
          </cell>
        </row>
        <row r="628">
          <cell r="D628" t="str">
            <v>A-M-2.5</v>
          </cell>
        </row>
        <row r="629">
          <cell r="D629" t="str">
            <v>E-M-2.5</v>
          </cell>
        </row>
        <row r="630">
          <cell r="D630" t="str">
            <v>E-L-0.2</v>
          </cell>
        </row>
        <row r="631">
          <cell r="D631" t="str">
            <v>L-D-0.5</v>
          </cell>
        </row>
        <row r="632">
          <cell r="D632" t="str">
            <v>A-D-0.2</v>
          </cell>
        </row>
        <row r="633">
          <cell r="D633" t="str">
            <v>R-D-2.5</v>
          </cell>
        </row>
        <row r="634">
          <cell r="D634" t="str">
            <v>E-L-0.5</v>
          </cell>
        </row>
        <row r="635">
          <cell r="D635" t="str">
            <v>R-L-1</v>
          </cell>
        </row>
        <row r="636">
          <cell r="D636" t="str">
            <v>L-M-1</v>
          </cell>
        </row>
        <row r="637">
          <cell r="D637" t="str">
            <v>E-L-0.5</v>
          </cell>
        </row>
        <row r="638">
          <cell r="D638" t="str">
            <v>L-L-1</v>
          </cell>
        </row>
        <row r="639">
          <cell r="D639" t="str">
            <v>E-M-2.5</v>
          </cell>
        </row>
        <row r="640">
          <cell r="D640" t="str">
            <v>A-M-2.5</v>
          </cell>
        </row>
        <row r="641">
          <cell r="D641" t="str">
            <v>L-D-0.2</v>
          </cell>
        </row>
        <row r="642">
          <cell r="D642" t="str">
            <v>R-L-2.5</v>
          </cell>
        </row>
        <row r="643">
          <cell r="D643" t="str">
            <v>R-L-1</v>
          </cell>
        </row>
        <row r="644">
          <cell r="D644" t="str">
            <v>E-M-0.2</v>
          </cell>
        </row>
        <row r="645">
          <cell r="D645" t="str">
            <v>E-L-2.5</v>
          </cell>
        </row>
        <row r="646">
          <cell r="D646" t="str">
            <v>R-D-2.5</v>
          </cell>
        </row>
        <row r="647">
          <cell r="D647" t="str">
            <v>A-D-2.5</v>
          </cell>
        </row>
        <row r="648">
          <cell r="D648" t="str">
            <v>A-D-1</v>
          </cell>
        </row>
        <row r="649">
          <cell r="D649" t="str">
            <v>L-L-0.5</v>
          </cell>
        </row>
        <row r="650">
          <cell r="D650" t="str">
            <v>R-D-0.2</v>
          </cell>
        </row>
        <row r="651">
          <cell r="D651" t="str">
            <v>L-L-1</v>
          </cell>
        </row>
        <row r="652">
          <cell r="D652" t="str">
            <v>R-D-0.5</v>
          </cell>
        </row>
        <row r="653">
          <cell r="D653" t="str">
            <v>R-L-1</v>
          </cell>
        </row>
        <row r="654">
          <cell r="D654" t="str">
            <v>L-L-1</v>
          </cell>
        </row>
        <row r="655">
          <cell r="D655" t="str">
            <v>A-M-2.5</v>
          </cell>
        </row>
        <row r="656">
          <cell r="D656" t="str">
            <v>A-D-2.5</v>
          </cell>
        </row>
        <row r="657">
          <cell r="D657" t="str">
            <v>R-M-2.5</v>
          </cell>
        </row>
        <row r="658">
          <cell r="D658" t="str">
            <v>L-D-1</v>
          </cell>
        </row>
        <row r="659">
          <cell r="D659" t="str">
            <v>A-M-0.5</v>
          </cell>
        </row>
        <row r="660">
          <cell r="D660" t="str">
            <v>E-M-0.5</v>
          </cell>
        </row>
        <row r="661">
          <cell r="D661" t="str">
            <v>A-D-2.5</v>
          </cell>
        </row>
        <row r="662">
          <cell r="D662" t="str">
            <v>E-L-0.5</v>
          </cell>
        </row>
        <row r="663">
          <cell r="D663" t="str">
            <v>A-M-0.2</v>
          </cell>
        </row>
        <row r="664">
          <cell r="D664" t="str">
            <v>L-D-2.5</v>
          </cell>
        </row>
        <row r="665">
          <cell r="D665" t="str">
            <v>A-M-1</v>
          </cell>
        </row>
        <row r="666">
          <cell r="D666" t="str">
            <v>E-D-1</v>
          </cell>
        </row>
        <row r="667">
          <cell r="D667" t="str">
            <v>L-D-0.2</v>
          </cell>
        </row>
        <row r="668">
          <cell r="D668" t="str">
            <v>A-D-2.5</v>
          </cell>
        </row>
        <row r="669">
          <cell r="D669" t="str">
            <v>A-D-1</v>
          </cell>
        </row>
        <row r="670">
          <cell r="D670" t="str">
            <v>R-L-2.5</v>
          </cell>
        </row>
        <row r="671">
          <cell r="D671" t="str">
            <v>L-M-2.5</v>
          </cell>
        </row>
        <row r="672">
          <cell r="D672" t="str">
            <v>L-M-0.2</v>
          </cell>
        </row>
        <row r="673">
          <cell r="D673" t="str">
            <v>R-L-1</v>
          </cell>
        </row>
        <row r="674">
          <cell r="D674" t="str">
            <v>L-M-0.5</v>
          </cell>
        </row>
        <row r="675">
          <cell r="D675" t="str">
            <v>E-M-1</v>
          </cell>
        </row>
        <row r="676">
          <cell r="D676" t="str">
            <v>A-L-2.5</v>
          </cell>
        </row>
        <row r="677">
          <cell r="D677" t="str">
            <v>L-D-2.5</v>
          </cell>
        </row>
        <row r="678">
          <cell r="D678" t="str">
            <v>L-L-0.5</v>
          </cell>
        </row>
        <row r="679">
          <cell r="D679" t="str">
            <v>L-M-0.5</v>
          </cell>
        </row>
        <row r="680">
          <cell r="D680" t="str">
            <v>A-L-2.5</v>
          </cell>
        </row>
        <row r="681">
          <cell r="D681" t="str">
            <v>R-L-2.5</v>
          </cell>
        </row>
        <row r="682">
          <cell r="D682" t="str">
            <v>A-M-1</v>
          </cell>
        </row>
        <row r="683">
          <cell r="D683" t="str">
            <v>L-L-0.2</v>
          </cell>
        </row>
        <row r="684">
          <cell r="D684" t="str">
            <v>E-M-0.2</v>
          </cell>
        </row>
        <row r="685">
          <cell r="D685" t="str">
            <v>L-D-0.5</v>
          </cell>
        </row>
        <row r="686">
          <cell r="D686" t="str">
            <v>R-L-1</v>
          </cell>
        </row>
        <row r="687">
          <cell r="D687" t="str">
            <v>L-L-2.5</v>
          </cell>
        </row>
        <row r="688">
          <cell r="D688" t="str">
            <v>R-D-0.2</v>
          </cell>
        </row>
        <row r="689">
          <cell r="D689" t="str">
            <v>E-M-0.5</v>
          </cell>
        </row>
        <row r="690">
          <cell r="D690" t="str">
            <v>A-L-1</v>
          </cell>
        </row>
        <row r="691">
          <cell r="D691" t="str">
            <v>A-M-0.5</v>
          </cell>
        </row>
        <row r="692">
          <cell r="D692" t="str">
            <v>L-D-2.5</v>
          </cell>
        </row>
        <row r="693">
          <cell r="D693" t="str">
            <v>A-M-1</v>
          </cell>
        </row>
        <row r="694">
          <cell r="D694" t="str">
            <v>L-D-1</v>
          </cell>
        </row>
        <row r="695">
          <cell r="D695" t="str">
            <v>A-M-2.5</v>
          </cell>
        </row>
        <row r="696">
          <cell r="D696" t="str">
            <v>E-D-0.5</v>
          </cell>
        </row>
        <row r="697">
          <cell r="D697" t="str">
            <v>L-L-2.5</v>
          </cell>
        </row>
        <row r="698">
          <cell r="D698" t="str">
            <v>L-D-0.5</v>
          </cell>
        </row>
        <row r="699">
          <cell r="D699" t="str">
            <v>A-M-0.5</v>
          </cell>
        </row>
        <row r="700">
          <cell r="D700" t="str">
            <v>L-D-1</v>
          </cell>
        </row>
        <row r="701">
          <cell r="D701" t="str">
            <v>A-D-0.5</v>
          </cell>
        </row>
        <row r="702">
          <cell r="D702" t="str">
            <v>L-L-0.5</v>
          </cell>
        </row>
        <row r="703">
          <cell r="D703" t="str">
            <v>A-D-0.5</v>
          </cell>
        </row>
        <row r="704">
          <cell r="D704" t="str">
            <v>A-L-0.5</v>
          </cell>
        </row>
        <row r="705">
          <cell r="D705" t="str">
            <v>L-D-2.5</v>
          </cell>
        </row>
        <row r="706">
          <cell r="D706" t="str">
            <v>E-D-0.2</v>
          </cell>
        </row>
        <row r="707">
          <cell r="D707" t="str">
            <v>E-L-0.5</v>
          </cell>
        </row>
        <row r="708">
          <cell r="D708" t="str">
            <v>E-M-0.2</v>
          </cell>
        </row>
        <row r="709">
          <cell r="D709" t="str">
            <v>L-D-1</v>
          </cell>
        </row>
        <row r="710">
          <cell r="D710" t="str">
            <v>A-M-0.5</v>
          </cell>
        </row>
        <row r="711">
          <cell r="D711" t="str">
            <v>E-L-0.5</v>
          </cell>
        </row>
        <row r="712">
          <cell r="D712" t="str">
            <v>E-M-0.5</v>
          </cell>
        </row>
        <row r="713">
          <cell r="D713" t="str">
            <v>R-M-0.2</v>
          </cell>
        </row>
        <row r="714">
          <cell r="D714" t="str">
            <v>E-M-0.5</v>
          </cell>
        </row>
        <row r="715">
          <cell r="D715" t="str">
            <v>R-M-0.2</v>
          </cell>
        </row>
        <row r="716">
          <cell r="D716" t="str">
            <v>E-D-0.2</v>
          </cell>
        </row>
        <row r="717">
          <cell r="D717" t="str">
            <v>E-L-1</v>
          </cell>
        </row>
        <row r="718">
          <cell r="D718" t="str">
            <v>R-L-1</v>
          </cell>
        </row>
        <row r="719">
          <cell r="D719" t="str">
            <v>A-D-2.5</v>
          </cell>
        </row>
        <row r="720">
          <cell r="D720" t="str">
            <v>L-D-1</v>
          </cell>
        </row>
        <row r="721">
          <cell r="D721" t="str">
            <v>L-L-1</v>
          </cell>
        </row>
        <row r="722">
          <cell r="D722" t="str">
            <v>E-D-0.5</v>
          </cell>
        </row>
        <row r="723">
          <cell r="D723" t="str">
            <v>R-M-0.2</v>
          </cell>
        </row>
        <row r="724">
          <cell r="D724" t="str">
            <v>E-D-1</v>
          </cell>
        </row>
        <row r="725">
          <cell r="D725" t="str">
            <v>E-M-2.5</v>
          </cell>
        </row>
        <row r="726">
          <cell r="D726" t="str">
            <v>A-M-0.2</v>
          </cell>
        </row>
        <row r="727">
          <cell r="D727" t="str">
            <v>A-L-0.2</v>
          </cell>
        </row>
        <row r="728">
          <cell r="D728" t="str">
            <v>L-L-2.5</v>
          </cell>
        </row>
        <row r="729">
          <cell r="D729" t="str">
            <v>R-M-0.5</v>
          </cell>
        </row>
        <row r="730">
          <cell r="D730" t="str">
            <v>E-D-0.5</v>
          </cell>
        </row>
        <row r="731">
          <cell r="D731" t="str">
            <v>L-M-0.2</v>
          </cell>
        </row>
        <row r="732">
          <cell r="D732" t="str">
            <v>L-L-2.5</v>
          </cell>
        </row>
        <row r="733">
          <cell r="D733" t="str">
            <v>L-D-0.2</v>
          </cell>
        </row>
        <row r="734">
          <cell r="D734" t="str">
            <v>E-L-0.2</v>
          </cell>
        </row>
        <row r="735">
          <cell r="D735" t="str">
            <v>L-M-2.5</v>
          </cell>
        </row>
        <row r="736">
          <cell r="D736" t="str">
            <v>R-D-0.2</v>
          </cell>
        </row>
        <row r="737">
          <cell r="D737" t="str">
            <v>E-D-0.2</v>
          </cell>
        </row>
        <row r="738">
          <cell r="D738" t="str">
            <v>L-D-1</v>
          </cell>
        </row>
        <row r="739">
          <cell r="D739" t="str">
            <v>A-M-1</v>
          </cell>
        </row>
        <row r="740">
          <cell r="D740" t="str">
            <v>R-L-0.2</v>
          </cell>
        </row>
        <row r="741">
          <cell r="D741" t="str">
            <v>E-D-0.2</v>
          </cell>
        </row>
        <row r="742">
          <cell r="D742" t="str">
            <v>R-L-0.5</v>
          </cell>
        </row>
        <row r="743">
          <cell r="D743" t="str">
            <v>L-M-0.2</v>
          </cell>
        </row>
        <row r="744">
          <cell r="D744" t="str">
            <v>L-M-1</v>
          </cell>
        </row>
        <row r="745">
          <cell r="D745" t="str">
            <v>A-D-0.5</v>
          </cell>
        </row>
        <row r="746">
          <cell r="D746" t="str">
            <v>R-M-0.2</v>
          </cell>
        </row>
        <row r="747">
          <cell r="D747" t="str">
            <v>E-D-0.5</v>
          </cell>
        </row>
        <row r="748">
          <cell r="D748" t="str">
            <v>A-M-1</v>
          </cell>
        </row>
        <row r="749">
          <cell r="D749" t="str">
            <v>L-M-0.5</v>
          </cell>
        </row>
        <row r="750">
          <cell r="D750" t="str">
            <v>E-D-0.5</v>
          </cell>
        </row>
        <row r="751">
          <cell r="D751" t="str">
            <v>R-D-0.2</v>
          </cell>
        </row>
        <row r="752">
          <cell r="D752" t="str">
            <v>R-M-0.5</v>
          </cell>
        </row>
        <row r="753">
          <cell r="D753" t="str">
            <v>L-L-0.5</v>
          </cell>
        </row>
        <row r="754">
          <cell r="D754" t="str">
            <v>E-M-1</v>
          </cell>
        </row>
        <row r="755">
          <cell r="D755" t="str">
            <v>A-D-0.5</v>
          </cell>
        </row>
        <row r="756">
          <cell r="D756" t="str">
            <v>A-D-0.2</v>
          </cell>
        </row>
        <row r="757">
          <cell r="D757" t="str">
            <v>L-L-0.2</v>
          </cell>
        </row>
        <row r="758">
          <cell r="D758" t="str">
            <v>R-D-1</v>
          </cell>
        </row>
        <row r="759">
          <cell r="D759" t="str">
            <v>A-D-0.5</v>
          </cell>
        </row>
        <row r="760">
          <cell r="D760" t="str">
            <v>R-D-1</v>
          </cell>
        </row>
        <row r="761">
          <cell r="D761" t="str">
            <v>L-D-2.5</v>
          </cell>
        </row>
        <row r="762">
          <cell r="D762" t="str">
            <v>E-L-0.5</v>
          </cell>
        </row>
        <row r="763">
          <cell r="D763" t="str">
            <v>E-L-1</v>
          </cell>
        </row>
        <row r="764">
          <cell r="D764" t="str">
            <v>L-M-0.5</v>
          </cell>
        </row>
        <row r="765">
          <cell r="D765" t="str">
            <v>A-L-0.5</v>
          </cell>
        </row>
        <row r="766">
          <cell r="D766" t="str">
            <v>A-L-2.5</v>
          </cell>
        </row>
        <row r="767">
          <cell r="D767" t="str">
            <v>R-M-1</v>
          </cell>
        </row>
        <row r="768">
          <cell r="D768" t="str">
            <v>A-L-0.5</v>
          </cell>
        </row>
        <row r="769">
          <cell r="D769" t="str">
            <v>A-L-2.5</v>
          </cell>
        </row>
        <row r="770">
          <cell r="D770" t="str">
            <v>R-L-1</v>
          </cell>
        </row>
        <row r="771">
          <cell r="D771" t="str">
            <v>R-M-2.5</v>
          </cell>
        </row>
        <row r="772">
          <cell r="D772" t="str">
            <v>A-D-1</v>
          </cell>
        </row>
        <row r="773">
          <cell r="D773" t="str">
            <v>R-L-0.5</v>
          </cell>
        </row>
        <row r="774">
          <cell r="D774" t="str">
            <v>E-M-1</v>
          </cell>
        </row>
        <row r="775">
          <cell r="D775" t="str">
            <v>L-M-0.2</v>
          </cell>
        </row>
        <row r="776">
          <cell r="D776" t="str">
            <v>R-M-1</v>
          </cell>
        </row>
        <row r="777">
          <cell r="D777" t="str">
            <v>E-L-0.5</v>
          </cell>
        </row>
        <row r="778">
          <cell r="D778" t="str">
            <v>A-M-0.5</v>
          </cell>
        </row>
        <row r="779">
          <cell r="D779" t="str">
            <v>A-L-2.5</v>
          </cell>
        </row>
        <row r="780">
          <cell r="D780" t="str">
            <v>L-L-0.5</v>
          </cell>
        </row>
        <row r="781">
          <cell r="D781" t="str">
            <v>L-D-1</v>
          </cell>
        </row>
        <row r="782">
          <cell r="D782" t="str">
            <v>E-M-1</v>
          </cell>
        </row>
        <row r="783">
          <cell r="D783" t="str">
            <v>L-L-2.5</v>
          </cell>
        </row>
        <row r="784">
          <cell r="D784" t="str">
            <v>E-L-0.2</v>
          </cell>
        </row>
        <row r="785">
          <cell r="D785" t="str">
            <v>L-M-0.5</v>
          </cell>
        </row>
        <row r="786">
          <cell r="D786" t="str">
            <v>L-L-1</v>
          </cell>
        </row>
        <row r="787">
          <cell r="D787" t="str">
            <v>A-D-2.5</v>
          </cell>
        </row>
        <row r="788">
          <cell r="D788" t="str">
            <v>E-D-2.5</v>
          </cell>
        </row>
        <row r="789">
          <cell r="D789" t="str">
            <v>E-M-1</v>
          </cell>
        </row>
        <row r="790">
          <cell r="D790" t="str">
            <v>R-M-2.5</v>
          </cell>
        </row>
        <row r="791">
          <cell r="D791" t="str">
            <v>A-L-1</v>
          </cell>
        </row>
        <row r="792">
          <cell r="D792" t="str">
            <v>A-L-0.5</v>
          </cell>
        </row>
        <row r="793">
          <cell r="D793" t="str">
            <v>L-L-0.2</v>
          </cell>
        </row>
        <row r="794">
          <cell r="D794" t="str">
            <v>L-M-0.5</v>
          </cell>
        </row>
        <row r="795">
          <cell r="D795" t="str">
            <v>R-L-0.2</v>
          </cell>
        </row>
        <row r="796">
          <cell r="D796" t="str">
            <v>A-L-2.5</v>
          </cell>
        </row>
        <row r="797">
          <cell r="D797" t="str">
            <v>R-L-0.5</v>
          </cell>
        </row>
        <row r="798">
          <cell r="D798" t="str">
            <v>L-L-0.5</v>
          </cell>
        </row>
        <row r="799">
          <cell r="D799" t="str">
            <v>A-L-0.5</v>
          </cell>
        </row>
        <row r="800">
          <cell r="D800" t="str">
            <v>R-D-0.2</v>
          </cell>
        </row>
        <row r="801">
          <cell r="D801" t="str">
            <v>E-D-1</v>
          </cell>
        </row>
        <row r="802">
          <cell r="D802" t="str">
            <v>R-D-0.2</v>
          </cell>
        </row>
        <row r="803">
          <cell r="D803" t="str">
            <v>R-D-2.5</v>
          </cell>
        </row>
        <row r="804">
          <cell r="D804" t="str">
            <v>R-D-0.2</v>
          </cell>
        </row>
        <row r="805">
          <cell r="D805" t="str">
            <v>E-M-2.5</v>
          </cell>
        </row>
        <row r="806">
          <cell r="D806" t="str">
            <v>R-L-1</v>
          </cell>
        </row>
        <row r="807">
          <cell r="D807" t="str">
            <v>R-M-0.5</v>
          </cell>
        </row>
        <row r="808">
          <cell r="D808" t="str">
            <v>L-D-0.2</v>
          </cell>
        </row>
        <row r="809">
          <cell r="D809" t="str">
            <v>L-D-0.5</v>
          </cell>
        </row>
        <row r="810">
          <cell r="D810" t="str">
            <v>R-L-2.5</v>
          </cell>
        </row>
        <row r="811">
          <cell r="D811" t="str">
            <v>R-D-0.2</v>
          </cell>
        </row>
        <row r="812">
          <cell r="D812" t="str">
            <v>L-L-0.5</v>
          </cell>
        </row>
        <row r="813">
          <cell r="D813" t="str">
            <v>A-M-1</v>
          </cell>
        </row>
        <row r="814">
          <cell r="D814" t="str">
            <v>L-D-2.5</v>
          </cell>
        </row>
        <row r="815">
          <cell r="D815" t="str">
            <v>E-M-2.5</v>
          </cell>
        </row>
        <row r="816">
          <cell r="D816" t="str">
            <v>E-L-0.2</v>
          </cell>
        </row>
        <row r="817">
          <cell r="D817" t="str">
            <v>R-M-0.5</v>
          </cell>
        </row>
        <row r="818">
          <cell r="D818" t="str">
            <v>L-L-0.5</v>
          </cell>
        </row>
        <row r="819">
          <cell r="D819" t="str">
            <v>L-D-0.5</v>
          </cell>
        </row>
        <row r="820">
          <cell r="D820" t="str">
            <v>L-L-1</v>
          </cell>
        </row>
        <row r="821">
          <cell r="D821" t="str">
            <v>L-L-0.2</v>
          </cell>
        </row>
        <row r="822">
          <cell r="D822" t="str">
            <v>E-M-1</v>
          </cell>
        </row>
        <row r="823">
          <cell r="D823" t="str">
            <v>R-D-0.5</v>
          </cell>
        </row>
        <row r="824">
          <cell r="D824" t="str">
            <v>E-L-2.5</v>
          </cell>
        </row>
        <row r="825">
          <cell r="D825" t="str">
            <v>L-L-1</v>
          </cell>
        </row>
        <row r="826">
          <cell r="D826" t="str">
            <v>A-M-0.2</v>
          </cell>
        </row>
        <row r="827">
          <cell r="D827" t="str">
            <v>A-D-1</v>
          </cell>
        </row>
        <row r="828">
          <cell r="D828" t="str">
            <v>E-M-0.5</v>
          </cell>
        </row>
        <row r="829">
          <cell r="D829" t="str">
            <v>E-M-0.2</v>
          </cell>
        </row>
        <row r="830">
          <cell r="D830" t="str">
            <v>A-D-2.5</v>
          </cell>
        </row>
        <row r="831">
          <cell r="D831" t="str">
            <v>A-D-0.2</v>
          </cell>
        </row>
        <row r="832">
          <cell r="D832" t="str">
            <v>E-M-1</v>
          </cell>
        </row>
        <row r="833">
          <cell r="D833" t="str">
            <v>A-D-0.2</v>
          </cell>
        </row>
        <row r="834">
          <cell r="D834" t="str">
            <v>R-M-1</v>
          </cell>
        </row>
        <row r="835">
          <cell r="D835" t="str">
            <v>R-D-2.5</v>
          </cell>
        </row>
        <row r="836">
          <cell r="D836" t="str">
            <v>A-D-2.5</v>
          </cell>
        </row>
        <row r="837">
          <cell r="D837" t="str">
            <v>E-L-0.5</v>
          </cell>
        </row>
        <row r="838">
          <cell r="D838" t="str">
            <v>A-D-0.2</v>
          </cell>
        </row>
        <row r="839">
          <cell r="D839" t="str">
            <v>L-M-2.5</v>
          </cell>
        </row>
        <row r="840">
          <cell r="D840" t="str">
            <v>A-D-2.5</v>
          </cell>
        </row>
        <row r="841">
          <cell r="D841" t="str">
            <v>E-M-0.5</v>
          </cell>
        </row>
        <row r="842">
          <cell r="D842" t="str">
            <v>R-L-0.5</v>
          </cell>
        </row>
        <row r="843">
          <cell r="D843" t="str">
            <v>L-M-0.2</v>
          </cell>
        </row>
        <row r="844">
          <cell r="D844" t="str">
            <v>E-M-0.2</v>
          </cell>
        </row>
        <row r="845">
          <cell r="D845" t="str">
            <v>E-M-0.2</v>
          </cell>
        </row>
        <row r="846">
          <cell r="D846" t="str">
            <v>A-D-0.5</v>
          </cell>
        </row>
        <row r="847">
          <cell r="D847" t="str">
            <v>E-D-2.5</v>
          </cell>
        </row>
        <row r="848">
          <cell r="D848" t="str">
            <v>A-M-2.5</v>
          </cell>
        </row>
        <row r="849">
          <cell r="D849" t="str">
            <v>A-D-0.2</v>
          </cell>
        </row>
        <row r="850">
          <cell r="D850" t="str">
            <v>E-L-0.5</v>
          </cell>
        </row>
        <row r="851">
          <cell r="D851" t="str">
            <v>A-L-0.2</v>
          </cell>
        </row>
        <row r="852">
          <cell r="D852" t="str">
            <v>A-M-0.2</v>
          </cell>
        </row>
        <row r="853">
          <cell r="D853" t="str">
            <v>L-D-0.5</v>
          </cell>
        </row>
        <row r="854">
          <cell r="D854" t="str">
            <v>L-D-2.5</v>
          </cell>
        </row>
        <row r="855">
          <cell r="D855" t="str">
            <v>A-D-1</v>
          </cell>
        </row>
        <row r="856">
          <cell r="D856" t="str">
            <v>R-L-0.5</v>
          </cell>
        </row>
        <row r="857">
          <cell r="D857" t="str">
            <v>L-D-2.5</v>
          </cell>
        </row>
        <row r="858">
          <cell r="D858" t="str">
            <v>L-M-0.2</v>
          </cell>
        </row>
        <row r="859">
          <cell r="D859" t="str">
            <v>R-L-2.5</v>
          </cell>
        </row>
        <row r="860">
          <cell r="D860" t="str">
            <v>L-M-0.5</v>
          </cell>
        </row>
        <row r="861">
          <cell r="D861" t="str">
            <v>A-L-2.5</v>
          </cell>
        </row>
        <row r="862">
          <cell r="D862" t="str">
            <v>A-M-2.5</v>
          </cell>
        </row>
        <row r="863">
          <cell r="D863" t="str">
            <v>L-D-1</v>
          </cell>
        </row>
        <row r="864">
          <cell r="D864" t="str">
            <v>R-M-1</v>
          </cell>
        </row>
        <row r="865">
          <cell r="D865" t="str">
            <v>L-M-1</v>
          </cell>
        </row>
        <row r="866">
          <cell r="D866" t="str">
            <v>R-L-0.2</v>
          </cell>
        </row>
        <row r="867">
          <cell r="D867" t="str">
            <v>A-M-0.5</v>
          </cell>
        </row>
        <row r="868">
          <cell r="D868" t="str">
            <v>A-D-0.5</v>
          </cell>
        </row>
        <row r="869">
          <cell r="D869" t="str">
            <v>A-L-2.5</v>
          </cell>
        </row>
        <row r="870">
          <cell r="D870" t="str">
            <v>E-M-0.5</v>
          </cell>
        </row>
        <row r="871">
          <cell r="D871" t="str">
            <v>R-M-0.5</v>
          </cell>
        </row>
        <row r="872">
          <cell r="D872" t="str">
            <v>E-D-0.5</v>
          </cell>
        </row>
        <row r="873">
          <cell r="D873" t="str">
            <v>E-L-1</v>
          </cell>
        </row>
        <row r="874">
          <cell r="D874" t="str">
            <v>A-M-1</v>
          </cell>
        </row>
        <row r="875">
          <cell r="D875" t="str">
            <v>R-M-0.2</v>
          </cell>
        </row>
        <row r="876">
          <cell r="D876" t="str">
            <v>A-L-1</v>
          </cell>
        </row>
        <row r="877">
          <cell r="D877" t="str">
            <v>L-M-0.5</v>
          </cell>
        </row>
        <row r="878">
          <cell r="D878" t="str">
            <v>A-L-0.5</v>
          </cell>
        </row>
        <row r="879">
          <cell r="D879" t="str">
            <v>L-L-0.5</v>
          </cell>
        </row>
        <row r="880">
          <cell r="D880" t="str">
            <v>R-L-2.5</v>
          </cell>
        </row>
        <row r="881">
          <cell r="D881" t="str">
            <v>E-D-0.2</v>
          </cell>
        </row>
        <row r="882">
          <cell r="D882" t="str">
            <v>R-L-0.2</v>
          </cell>
        </row>
        <row r="883">
          <cell r="D883" t="str">
            <v>A-L-0.2</v>
          </cell>
        </row>
        <row r="884">
          <cell r="D884" t="str">
            <v>A-D-2.5</v>
          </cell>
        </row>
        <row r="885">
          <cell r="D885" t="str">
            <v>A-M-2.5</v>
          </cell>
        </row>
        <row r="886">
          <cell r="D886" t="str">
            <v>R-D-0.5</v>
          </cell>
        </row>
        <row r="887">
          <cell r="D887" t="str">
            <v>R-D-2.5</v>
          </cell>
        </row>
        <row r="888">
          <cell r="D888" t="str">
            <v>L-M-0.5</v>
          </cell>
        </row>
        <row r="889">
          <cell r="D889" t="str">
            <v>E-L-0.2</v>
          </cell>
        </row>
        <row r="890">
          <cell r="D890" t="str">
            <v>A-L-0.2</v>
          </cell>
        </row>
        <row r="891">
          <cell r="D891" t="str">
            <v>R-D-0.2</v>
          </cell>
        </row>
        <row r="892">
          <cell r="D892" t="str">
            <v>R-D-2.5</v>
          </cell>
        </row>
        <row r="893">
          <cell r="D893" t="str">
            <v>A-D-2.5</v>
          </cell>
        </row>
        <row r="894">
          <cell r="D894" t="str">
            <v>E-M-0.2</v>
          </cell>
        </row>
        <row r="895">
          <cell r="D895" t="str">
            <v>L-L-0.5</v>
          </cell>
        </row>
        <row r="896">
          <cell r="D896" t="str">
            <v>R-D-2.5</v>
          </cell>
        </row>
        <row r="897">
          <cell r="D897" t="str">
            <v>E-M-2.5</v>
          </cell>
        </row>
        <row r="898">
          <cell r="D898" t="str">
            <v>R-D-0.5</v>
          </cell>
        </row>
        <row r="899">
          <cell r="D899" t="str">
            <v>E-D-1</v>
          </cell>
        </row>
        <row r="900">
          <cell r="D900" t="str">
            <v>R-L-0.5</v>
          </cell>
        </row>
        <row r="901">
          <cell r="D901" t="str">
            <v>L-M-1</v>
          </cell>
        </row>
        <row r="902">
          <cell r="D902" t="str">
            <v>L-L-1</v>
          </cell>
        </row>
        <row r="903">
          <cell r="D903" t="str">
            <v>R-L-0.2</v>
          </cell>
        </row>
        <row r="904">
          <cell r="D904" t="str">
            <v>E-M-2.5</v>
          </cell>
        </row>
        <row r="905">
          <cell r="D905" t="str">
            <v>L-M-0.5</v>
          </cell>
        </row>
        <row r="906">
          <cell r="D906" t="str">
            <v>A-L-2.5</v>
          </cell>
        </row>
        <row r="907">
          <cell r="D907" t="str">
            <v>A-M-0.5</v>
          </cell>
        </row>
        <row r="908">
          <cell r="D908" t="str">
            <v>A-M-0.5</v>
          </cell>
        </row>
        <row r="909">
          <cell r="D909" t="str">
            <v>L-D-1</v>
          </cell>
        </row>
        <row r="910">
          <cell r="D910" t="str">
            <v>R-L-1</v>
          </cell>
        </row>
        <row r="911">
          <cell r="D911" t="str">
            <v>R-L-0.2</v>
          </cell>
        </row>
        <row r="912">
          <cell r="D912" t="str">
            <v>A-D-2.5</v>
          </cell>
        </row>
        <row r="913">
          <cell r="D913" t="str">
            <v>A-M-1</v>
          </cell>
        </row>
        <row r="914">
          <cell r="D914" t="str">
            <v>R-M-2.5</v>
          </cell>
        </row>
        <row r="915">
          <cell r="D915" t="str">
            <v>A-M-0.5</v>
          </cell>
        </row>
        <row r="916">
          <cell r="D916" t="str">
            <v>A-M-1</v>
          </cell>
        </row>
        <row r="917">
          <cell r="D917" t="str">
            <v>E-D-2.5</v>
          </cell>
        </row>
        <row r="918">
          <cell r="D918" t="str">
            <v>E-D-0.2</v>
          </cell>
        </row>
        <row r="919">
          <cell r="D919" t="str">
            <v>A-M-0.5</v>
          </cell>
        </row>
        <row r="920">
          <cell r="D920" t="str">
            <v>E-D-0.5</v>
          </cell>
        </row>
        <row r="921">
          <cell r="D921" t="str">
            <v>R-D-0.2</v>
          </cell>
        </row>
        <row r="922">
          <cell r="D922" t="str">
            <v>R-D-2.5</v>
          </cell>
        </row>
        <row r="923">
          <cell r="D923" t="str">
            <v>L-D-0.2</v>
          </cell>
        </row>
        <row r="924">
          <cell r="D924" t="str">
            <v>A-M-1</v>
          </cell>
        </row>
        <row r="925">
          <cell r="D925" t="str">
            <v>E-D-2.5</v>
          </cell>
        </row>
        <row r="926">
          <cell r="D926" t="str">
            <v>A-L-2.5</v>
          </cell>
        </row>
        <row r="927">
          <cell r="D927" t="str">
            <v>A-M-0.5</v>
          </cell>
        </row>
        <row r="928">
          <cell r="D928" t="str">
            <v>A-M-0.5</v>
          </cell>
        </row>
        <row r="929">
          <cell r="D929" t="str">
            <v>E-D-2.5</v>
          </cell>
        </row>
        <row r="930">
          <cell r="D930" t="str">
            <v>E-M-2.5</v>
          </cell>
        </row>
        <row r="931">
          <cell r="D931" t="str">
            <v>E-L-0.2</v>
          </cell>
        </row>
        <row r="932">
          <cell r="D932" t="str">
            <v>E-D-1</v>
          </cell>
        </row>
        <row r="933">
          <cell r="D933" t="str">
            <v>A-D-0.5</v>
          </cell>
        </row>
        <row r="934">
          <cell r="D934" t="str">
            <v>E-M-1</v>
          </cell>
        </row>
        <row r="935">
          <cell r="D935" t="str">
            <v>R-D-1</v>
          </cell>
        </row>
        <row r="936">
          <cell r="D936" t="str">
            <v>R-M-2.5</v>
          </cell>
        </row>
        <row r="937">
          <cell r="D937" t="str">
            <v>A-M-2.5</v>
          </cell>
        </row>
        <row r="938">
          <cell r="D938" t="str">
            <v>L-D-0.5</v>
          </cell>
        </row>
        <row r="939">
          <cell r="D939" t="str">
            <v>R-M-2.5</v>
          </cell>
        </row>
        <row r="940">
          <cell r="D940" t="str">
            <v>E-L-1</v>
          </cell>
        </row>
        <row r="941">
          <cell r="D941" t="str">
            <v>L-L-0.2</v>
          </cell>
        </row>
        <row r="942">
          <cell r="D942" t="str">
            <v>R-L-0.5</v>
          </cell>
        </row>
        <row r="943">
          <cell r="D943" t="str">
            <v>A-L-0.5</v>
          </cell>
        </row>
        <row r="944">
          <cell r="D944" t="str">
            <v>R-L-1</v>
          </cell>
        </row>
        <row r="945">
          <cell r="D945" t="str">
            <v>A-L-0.5</v>
          </cell>
        </row>
        <row r="946">
          <cell r="D946" t="str">
            <v>R-L-0.5</v>
          </cell>
        </row>
        <row r="947">
          <cell r="D947" t="str">
            <v>L-D-2.5</v>
          </cell>
        </row>
        <row r="948">
          <cell r="D948" t="str">
            <v>L-D-0.5</v>
          </cell>
        </row>
        <row r="949">
          <cell r="D949" t="str">
            <v>A-M-1</v>
          </cell>
        </row>
        <row r="950">
          <cell r="D950" t="str">
            <v>E-D-2.5</v>
          </cell>
        </row>
        <row r="951">
          <cell r="D951" t="str">
            <v>R-L-2.5</v>
          </cell>
        </row>
        <row r="952">
          <cell r="D952" t="str">
            <v>R-L-0.2</v>
          </cell>
        </row>
        <row r="953">
          <cell r="D953" t="str">
            <v>R-L-0.2</v>
          </cell>
        </row>
        <row r="954">
          <cell r="D954" t="str">
            <v>A-M-1</v>
          </cell>
        </row>
        <row r="955">
          <cell r="D955" t="str">
            <v>A-L-0.2</v>
          </cell>
        </row>
        <row r="956">
          <cell r="D956" t="str">
            <v>E-D-2.5</v>
          </cell>
        </row>
        <row r="957">
          <cell r="D957" t="str">
            <v>E-L-2.5</v>
          </cell>
        </row>
        <row r="958">
          <cell r="D958" t="str">
            <v>R-L-2.5</v>
          </cell>
        </row>
        <row r="959">
          <cell r="D959" t="str">
            <v>E-L-1</v>
          </cell>
        </row>
        <row r="960">
          <cell r="D960" t="str">
            <v>A-L-0.2</v>
          </cell>
        </row>
        <row r="961">
          <cell r="D961" t="str">
            <v>L-L-0.2</v>
          </cell>
        </row>
        <row r="962">
          <cell r="D962" t="str">
            <v>L-L-1</v>
          </cell>
        </row>
        <row r="963">
          <cell r="D963" t="str">
            <v>A-D-2.5</v>
          </cell>
        </row>
        <row r="964">
          <cell r="D964" t="str">
            <v>R-D-1</v>
          </cell>
        </row>
        <row r="965">
          <cell r="D965" t="str">
            <v>R-M-0.5</v>
          </cell>
        </row>
        <row r="966">
          <cell r="D966" t="str">
            <v>E-L-0.2</v>
          </cell>
        </row>
        <row r="967">
          <cell r="D967" t="str">
            <v>R-M-1</v>
          </cell>
        </row>
        <row r="968">
          <cell r="D968" t="str">
            <v>E-L-0.5</v>
          </cell>
        </row>
        <row r="969">
          <cell r="D969" t="str">
            <v>R-D-0.2</v>
          </cell>
        </row>
        <row r="970">
          <cell r="D970" t="str">
            <v>R-M-0.2</v>
          </cell>
        </row>
        <row r="971">
          <cell r="D971" t="str">
            <v>L-D-1</v>
          </cell>
        </row>
        <row r="972">
          <cell r="D972" t="str">
            <v>E-M-0.5</v>
          </cell>
        </row>
        <row r="973">
          <cell r="D973" t="str">
            <v>A-L-2.5</v>
          </cell>
        </row>
        <row r="974">
          <cell r="D974" t="str">
            <v>A-L-2.5</v>
          </cell>
        </row>
        <row r="975">
          <cell r="D975" t="str">
            <v>L-M-1</v>
          </cell>
        </row>
        <row r="976">
          <cell r="D976" t="str">
            <v>R-D-0.5</v>
          </cell>
        </row>
        <row r="977">
          <cell r="D977" t="str">
            <v>A-D-0.2</v>
          </cell>
        </row>
        <row r="978">
          <cell r="D978" t="str">
            <v>R-L-2.5</v>
          </cell>
        </row>
        <row r="979">
          <cell r="D979" t="str">
            <v>R-L-1</v>
          </cell>
        </row>
        <row r="980">
          <cell r="D980" t="str">
            <v>A-L-0.5</v>
          </cell>
        </row>
        <row r="981">
          <cell r="D981" t="str">
            <v>R-D-0.5</v>
          </cell>
        </row>
        <row r="982">
          <cell r="D982" t="str">
            <v>E-D-2.5</v>
          </cell>
        </row>
        <row r="983">
          <cell r="D983" t="str">
            <v>E-D-0.2</v>
          </cell>
        </row>
        <row r="984">
          <cell r="D984" t="str">
            <v>R-L-1</v>
          </cell>
        </row>
        <row r="985">
          <cell r="D985" t="str">
            <v>A-M-0.2</v>
          </cell>
        </row>
        <row r="986">
          <cell r="D986" t="str">
            <v>E-M-2.5</v>
          </cell>
        </row>
        <row r="987">
          <cell r="D987" t="str">
            <v>R-L-1</v>
          </cell>
        </row>
        <row r="988">
          <cell r="D988" t="str">
            <v>L-M-2.5</v>
          </cell>
        </row>
        <row r="989">
          <cell r="D989" t="str">
            <v>A-D-0.5</v>
          </cell>
        </row>
        <row r="990">
          <cell r="D990" t="str">
            <v>R-M-1</v>
          </cell>
        </row>
        <row r="991">
          <cell r="D991" t="str">
            <v>A-M-2.5</v>
          </cell>
        </row>
        <row r="992">
          <cell r="D992" t="str">
            <v>E-D-0.2</v>
          </cell>
        </row>
        <row r="993">
          <cell r="D993" t="str">
            <v>L-D-0.5</v>
          </cell>
        </row>
        <row r="994">
          <cell r="D994" t="str">
            <v>L-L-2.5</v>
          </cell>
        </row>
        <row r="995">
          <cell r="D995" t="str">
            <v>A-L-1</v>
          </cell>
        </row>
        <row r="996">
          <cell r="D996" t="str">
            <v>A-D-0.2</v>
          </cell>
        </row>
        <row r="997">
          <cell r="D997" t="str">
            <v>R-L-2.5</v>
          </cell>
        </row>
        <row r="998">
          <cell r="D998" t="str">
            <v>R-M-0.5</v>
          </cell>
        </row>
        <row r="999">
          <cell r="D999" t="str">
            <v>A-M-0.5</v>
          </cell>
        </row>
        <row r="1000">
          <cell r="D1000" t="str">
            <v>A-D-1</v>
          </cell>
        </row>
        <row r="1001">
          <cell r="D1001" t="str">
            <v>E-M-0.2</v>
          </cell>
        </row>
      </sheetData>
      <sheetData sheetId="5" refreshError="1"/>
      <sheetData sheetId="6" refreshError="1">
        <row r="1">
          <cell r="A1" t="str">
            <v>Product ID</v>
          </cell>
          <cell r="B1" t="str">
            <v>Coffee Type</v>
          </cell>
          <cell r="C1" t="str">
            <v>Roast Type</v>
          </cell>
          <cell r="D1" t="str">
            <v>Size</v>
          </cell>
          <cell r="E1" t="str">
            <v>Unit Price</v>
          </cell>
          <cell r="F1" t="str">
            <v>Price per 100g</v>
          </cell>
          <cell r="G1" t="str">
            <v>Profit</v>
          </cell>
        </row>
        <row r="2">
          <cell r="A2" t="str">
            <v>A-L-0.2</v>
          </cell>
          <cell r="B2" t="str">
            <v>Ara</v>
          </cell>
          <cell r="C2" t="str">
            <v>L</v>
          </cell>
          <cell r="D2">
            <v>0.2</v>
          </cell>
          <cell r="E2">
            <v>3.8849999999999998</v>
          </cell>
          <cell r="F2">
            <v>1.9424999999999999</v>
          </cell>
          <cell r="G2">
            <v>0.34964999999999996</v>
          </cell>
        </row>
        <row r="3">
          <cell r="A3" t="str">
            <v>A-L-0.5</v>
          </cell>
          <cell r="B3" t="str">
            <v>Ara</v>
          </cell>
          <cell r="C3" t="str">
            <v>L</v>
          </cell>
          <cell r="D3">
            <v>0.5</v>
          </cell>
          <cell r="E3">
            <v>7.77</v>
          </cell>
          <cell r="F3">
            <v>1.5539999999999998</v>
          </cell>
          <cell r="G3">
            <v>0.69929999999999992</v>
          </cell>
        </row>
        <row r="4">
          <cell r="A4" t="str">
            <v>A-L-1</v>
          </cell>
          <cell r="B4" t="str">
            <v>Ara</v>
          </cell>
          <cell r="C4" t="str">
            <v>L</v>
          </cell>
          <cell r="D4">
            <v>1</v>
          </cell>
          <cell r="E4">
            <v>12.95</v>
          </cell>
          <cell r="F4">
            <v>1.2949999999999999</v>
          </cell>
          <cell r="G4">
            <v>1.1655</v>
          </cell>
        </row>
        <row r="5">
          <cell r="A5" t="str">
            <v>A-L-2.5</v>
          </cell>
          <cell r="B5" t="str">
            <v>Ara</v>
          </cell>
          <cell r="C5" t="str">
            <v>L</v>
          </cell>
          <cell r="D5">
            <v>2.5</v>
          </cell>
          <cell r="E5">
            <v>29.784999999999997</v>
          </cell>
          <cell r="F5">
            <v>1.1913999999999998</v>
          </cell>
          <cell r="G5">
            <v>2.6806499999999995</v>
          </cell>
        </row>
        <row r="6">
          <cell r="A6" t="str">
            <v>A-M-0.2</v>
          </cell>
          <cell r="B6" t="str">
            <v>Ara</v>
          </cell>
          <cell r="C6" t="str">
            <v>M</v>
          </cell>
          <cell r="D6">
            <v>0.2</v>
          </cell>
          <cell r="E6">
            <v>3.375</v>
          </cell>
          <cell r="F6">
            <v>1.6875</v>
          </cell>
          <cell r="G6">
            <v>0.30374999999999996</v>
          </cell>
        </row>
        <row r="7">
          <cell r="A7" t="str">
            <v>A-M-0.5</v>
          </cell>
          <cell r="B7" t="str">
            <v>Ara</v>
          </cell>
          <cell r="C7" t="str">
            <v>M</v>
          </cell>
          <cell r="D7">
            <v>0.5</v>
          </cell>
          <cell r="E7">
            <v>6.75</v>
          </cell>
          <cell r="F7">
            <v>1.35</v>
          </cell>
          <cell r="G7">
            <v>0.60749999999999993</v>
          </cell>
        </row>
        <row r="8">
          <cell r="A8" t="str">
            <v>A-M-1</v>
          </cell>
          <cell r="B8" t="str">
            <v>Ara</v>
          </cell>
          <cell r="C8" t="str">
            <v>M</v>
          </cell>
          <cell r="D8">
            <v>1</v>
          </cell>
          <cell r="E8">
            <v>11.25</v>
          </cell>
          <cell r="F8">
            <v>1.125</v>
          </cell>
          <cell r="G8">
            <v>1.0125</v>
          </cell>
        </row>
        <row r="9">
          <cell r="A9" t="str">
            <v>A-M-2.5</v>
          </cell>
          <cell r="B9" t="str">
            <v>Ara</v>
          </cell>
          <cell r="C9" t="str">
            <v>M</v>
          </cell>
          <cell r="D9">
            <v>2.5</v>
          </cell>
          <cell r="E9">
            <v>25.874999999999996</v>
          </cell>
          <cell r="F9">
            <v>1.0349999999999999</v>
          </cell>
          <cell r="G9">
            <v>2.3287499999999994</v>
          </cell>
        </row>
        <row r="10">
          <cell r="A10" t="str">
            <v>A-D-0.2</v>
          </cell>
          <cell r="B10" t="str">
            <v>Ara</v>
          </cell>
          <cell r="C10" t="str">
            <v>D</v>
          </cell>
          <cell r="D10">
            <v>0.2</v>
          </cell>
          <cell r="E10">
            <v>2.9849999999999999</v>
          </cell>
          <cell r="F10">
            <v>1.4924999999999999</v>
          </cell>
          <cell r="G10">
            <v>0.26865</v>
          </cell>
        </row>
        <row r="11">
          <cell r="A11" t="str">
            <v>A-D-0.5</v>
          </cell>
          <cell r="B11" t="str">
            <v>Ara</v>
          </cell>
          <cell r="C11" t="str">
            <v>D</v>
          </cell>
          <cell r="D11">
            <v>0.5</v>
          </cell>
          <cell r="E11">
            <v>5.97</v>
          </cell>
          <cell r="F11">
            <v>1.194</v>
          </cell>
          <cell r="G11">
            <v>0.5373</v>
          </cell>
        </row>
        <row r="12">
          <cell r="A12" t="str">
            <v>A-D-1</v>
          </cell>
          <cell r="B12" t="str">
            <v>Ara</v>
          </cell>
          <cell r="C12" t="str">
            <v>D</v>
          </cell>
          <cell r="D12">
            <v>1</v>
          </cell>
          <cell r="E12">
            <v>9.9499999999999993</v>
          </cell>
          <cell r="F12">
            <v>0.99499999999999988</v>
          </cell>
          <cell r="G12">
            <v>0.89549999999999985</v>
          </cell>
        </row>
        <row r="13">
          <cell r="A13" t="str">
            <v>A-D-2.5</v>
          </cell>
          <cell r="B13" t="str">
            <v>Ara</v>
          </cell>
          <cell r="C13" t="str">
            <v>D</v>
          </cell>
          <cell r="D13">
            <v>2.5</v>
          </cell>
          <cell r="E13">
            <v>22.884999999999998</v>
          </cell>
          <cell r="F13">
            <v>0.91539999999999988</v>
          </cell>
          <cell r="G13">
            <v>2.0596499999999995</v>
          </cell>
        </row>
        <row r="14">
          <cell r="A14" t="str">
            <v>R-L-0.2</v>
          </cell>
          <cell r="B14" t="str">
            <v>Rob</v>
          </cell>
          <cell r="C14" t="str">
            <v>L</v>
          </cell>
          <cell r="D14">
            <v>0.2</v>
          </cell>
          <cell r="E14">
            <v>3.5849999999999995</v>
          </cell>
          <cell r="F14">
            <v>1.7924999999999998</v>
          </cell>
          <cell r="G14">
            <v>0.21509999999999996</v>
          </cell>
        </row>
        <row r="15">
          <cell r="A15" t="str">
            <v>R-L-0.5</v>
          </cell>
          <cell r="B15" t="str">
            <v>Rob</v>
          </cell>
          <cell r="C15" t="str">
            <v>L</v>
          </cell>
          <cell r="D15">
            <v>0.5</v>
          </cell>
          <cell r="E15">
            <v>7.169999999999999</v>
          </cell>
          <cell r="F15">
            <v>1.4339999999999997</v>
          </cell>
          <cell r="G15">
            <v>0.43019999999999992</v>
          </cell>
        </row>
        <row r="16">
          <cell r="A16" t="str">
            <v>R-L-1</v>
          </cell>
          <cell r="B16" t="str">
            <v>Rob</v>
          </cell>
          <cell r="C16" t="str">
            <v>L</v>
          </cell>
          <cell r="D16">
            <v>1</v>
          </cell>
          <cell r="E16">
            <v>11.95</v>
          </cell>
          <cell r="F16">
            <v>1.1949999999999998</v>
          </cell>
          <cell r="G16">
            <v>0.71699999999999997</v>
          </cell>
        </row>
        <row r="17">
          <cell r="A17" t="str">
            <v>R-L-2.5</v>
          </cell>
          <cell r="B17" t="str">
            <v>Rob</v>
          </cell>
          <cell r="C17" t="str">
            <v>L</v>
          </cell>
          <cell r="D17">
            <v>2.5</v>
          </cell>
          <cell r="E17">
            <v>27.484999999999996</v>
          </cell>
          <cell r="F17">
            <v>1.0993999999999999</v>
          </cell>
          <cell r="G17">
            <v>1.6490999999999998</v>
          </cell>
        </row>
        <row r="18">
          <cell r="A18" t="str">
            <v>R-M-0.2</v>
          </cell>
          <cell r="B18" t="str">
            <v>Rob</v>
          </cell>
          <cell r="C18" t="str">
            <v>M</v>
          </cell>
          <cell r="D18">
            <v>0.2</v>
          </cell>
          <cell r="E18">
            <v>2.9849999999999999</v>
          </cell>
          <cell r="F18">
            <v>1.4924999999999999</v>
          </cell>
          <cell r="G18">
            <v>0.17909999999999998</v>
          </cell>
        </row>
        <row r="19">
          <cell r="A19" t="str">
            <v>R-M-0.5</v>
          </cell>
          <cell r="B19" t="str">
            <v>Rob</v>
          </cell>
          <cell r="C19" t="str">
            <v>M</v>
          </cell>
          <cell r="D19">
            <v>0.5</v>
          </cell>
          <cell r="E19">
            <v>5.97</v>
          </cell>
          <cell r="F19">
            <v>1.194</v>
          </cell>
          <cell r="G19">
            <v>0.35819999999999996</v>
          </cell>
        </row>
        <row r="20">
          <cell r="A20" t="str">
            <v>R-M-1</v>
          </cell>
          <cell r="B20" t="str">
            <v>Rob</v>
          </cell>
          <cell r="C20" t="str">
            <v>M</v>
          </cell>
          <cell r="D20">
            <v>1</v>
          </cell>
          <cell r="E20">
            <v>9.9499999999999993</v>
          </cell>
          <cell r="F20">
            <v>0.99499999999999988</v>
          </cell>
          <cell r="G20">
            <v>0.59699999999999998</v>
          </cell>
        </row>
        <row r="21">
          <cell r="A21" t="str">
            <v>R-M-2.5</v>
          </cell>
          <cell r="B21" t="str">
            <v>Rob</v>
          </cell>
          <cell r="C21" t="str">
            <v>M</v>
          </cell>
          <cell r="D21">
            <v>2.5</v>
          </cell>
          <cell r="E21">
            <v>22.884999999999998</v>
          </cell>
          <cell r="F21">
            <v>0.91539999999999988</v>
          </cell>
          <cell r="G21">
            <v>1.3730999999999998</v>
          </cell>
        </row>
        <row r="22">
          <cell r="A22" t="str">
            <v>R-D-0.2</v>
          </cell>
          <cell r="B22" t="str">
            <v>Rob</v>
          </cell>
          <cell r="C22" t="str">
            <v>D</v>
          </cell>
          <cell r="D22">
            <v>0.2</v>
          </cell>
          <cell r="E22">
            <v>2.6849999999999996</v>
          </cell>
          <cell r="F22">
            <v>1.3424999999999998</v>
          </cell>
          <cell r="G22">
            <v>0.16109999999999997</v>
          </cell>
        </row>
        <row r="23">
          <cell r="A23" t="str">
            <v>R-D-0.5</v>
          </cell>
          <cell r="B23" t="str">
            <v>Rob</v>
          </cell>
          <cell r="C23" t="str">
            <v>D</v>
          </cell>
          <cell r="D23">
            <v>0.5</v>
          </cell>
          <cell r="E23">
            <v>5.3699999999999992</v>
          </cell>
          <cell r="F23">
            <v>1.0739999999999998</v>
          </cell>
          <cell r="G23">
            <v>0.32219999999999993</v>
          </cell>
        </row>
        <row r="24">
          <cell r="A24" t="str">
            <v>R-D-1</v>
          </cell>
          <cell r="B24" t="str">
            <v>Rob</v>
          </cell>
          <cell r="C24" t="str">
            <v>D</v>
          </cell>
          <cell r="D24">
            <v>1</v>
          </cell>
          <cell r="E24">
            <v>8.9499999999999993</v>
          </cell>
          <cell r="F24">
            <v>0.89499999999999991</v>
          </cell>
          <cell r="G24">
            <v>0.53699999999999992</v>
          </cell>
        </row>
        <row r="25">
          <cell r="A25" t="str">
            <v>R-D-2.5</v>
          </cell>
          <cell r="B25" t="str">
            <v>Rob</v>
          </cell>
          <cell r="C25" t="str">
            <v>D</v>
          </cell>
          <cell r="D25">
            <v>2.5</v>
          </cell>
          <cell r="E25">
            <v>20.584999999999997</v>
          </cell>
          <cell r="F25">
            <v>0.82339999999999991</v>
          </cell>
          <cell r="G25">
            <v>1.2350999999999999</v>
          </cell>
        </row>
        <row r="26">
          <cell r="A26" t="str">
            <v>L-L-0.2</v>
          </cell>
          <cell r="B26" t="str">
            <v>Lib</v>
          </cell>
          <cell r="C26" t="str">
            <v>L</v>
          </cell>
          <cell r="D26">
            <v>0.2</v>
          </cell>
          <cell r="E26">
            <v>4.7549999999999999</v>
          </cell>
          <cell r="F26">
            <v>2.3774999999999999</v>
          </cell>
          <cell r="G26">
            <v>0.61814999999999998</v>
          </cell>
        </row>
        <row r="27">
          <cell r="A27" t="str">
            <v>L-L-0.5</v>
          </cell>
          <cell r="B27" t="str">
            <v>Lib</v>
          </cell>
          <cell r="C27" t="str">
            <v>L</v>
          </cell>
          <cell r="D27">
            <v>0.5</v>
          </cell>
          <cell r="E27">
            <v>9.51</v>
          </cell>
          <cell r="F27">
            <v>1.9019999999999999</v>
          </cell>
          <cell r="G27">
            <v>1.2363</v>
          </cell>
        </row>
        <row r="28">
          <cell r="A28" t="str">
            <v>L-L-1</v>
          </cell>
          <cell r="B28" t="str">
            <v>Lib</v>
          </cell>
          <cell r="C28" t="str">
            <v>L</v>
          </cell>
          <cell r="D28">
            <v>1</v>
          </cell>
          <cell r="E28">
            <v>15.85</v>
          </cell>
          <cell r="F28">
            <v>1.585</v>
          </cell>
          <cell r="G28">
            <v>2.0605000000000002</v>
          </cell>
        </row>
        <row r="29">
          <cell r="A29" t="str">
            <v>L-L-2.5</v>
          </cell>
          <cell r="B29" t="str">
            <v>Lib</v>
          </cell>
          <cell r="C29" t="str">
            <v>L</v>
          </cell>
          <cell r="D29">
            <v>2.5</v>
          </cell>
          <cell r="E29">
            <v>36.454999999999998</v>
          </cell>
          <cell r="F29">
            <v>1.4581999999999999</v>
          </cell>
          <cell r="G29">
            <v>4.7391499999999995</v>
          </cell>
        </row>
        <row r="30">
          <cell r="A30" t="str">
            <v>L-M-0.2</v>
          </cell>
          <cell r="B30" t="str">
            <v>Lib</v>
          </cell>
          <cell r="C30" t="str">
            <v>M</v>
          </cell>
          <cell r="D30">
            <v>0.2</v>
          </cell>
          <cell r="E30">
            <v>4.3650000000000002</v>
          </cell>
          <cell r="F30">
            <v>2.1825000000000001</v>
          </cell>
          <cell r="G30">
            <v>0.56745000000000001</v>
          </cell>
        </row>
        <row r="31">
          <cell r="A31" t="str">
            <v>L-M-0.5</v>
          </cell>
          <cell r="B31" t="str">
            <v>Lib</v>
          </cell>
          <cell r="C31" t="str">
            <v>M</v>
          </cell>
          <cell r="D31">
            <v>0.5</v>
          </cell>
          <cell r="E31">
            <v>8.73</v>
          </cell>
          <cell r="F31">
            <v>1.746</v>
          </cell>
          <cell r="G31">
            <v>1.1349</v>
          </cell>
        </row>
        <row r="32">
          <cell r="A32" t="str">
            <v>L-M-1</v>
          </cell>
          <cell r="B32" t="str">
            <v>Lib</v>
          </cell>
          <cell r="C32" t="str">
            <v>M</v>
          </cell>
          <cell r="D32">
            <v>1</v>
          </cell>
          <cell r="E32">
            <v>14.55</v>
          </cell>
          <cell r="F32">
            <v>1.4550000000000001</v>
          </cell>
          <cell r="G32">
            <v>1.8915000000000002</v>
          </cell>
        </row>
        <row r="33">
          <cell r="A33" t="str">
            <v>L-M-2.5</v>
          </cell>
          <cell r="B33" t="str">
            <v>Lib</v>
          </cell>
          <cell r="C33" t="str">
            <v>M</v>
          </cell>
          <cell r="D33">
            <v>2.5</v>
          </cell>
          <cell r="E33">
            <v>33.464999999999996</v>
          </cell>
          <cell r="F33">
            <v>1.3385999999999998</v>
          </cell>
          <cell r="G33">
            <v>4.3504499999999995</v>
          </cell>
        </row>
        <row r="34">
          <cell r="A34" t="str">
            <v>L-D-0.2</v>
          </cell>
          <cell r="B34" t="str">
            <v>Lib</v>
          </cell>
          <cell r="C34" t="str">
            <v>D</v>
          </cell>
          <cell r="D34">
            <v>0.2</v>
          </cell>
          <cell r="E34">
            <v>3.8849999999999998</v>
          </cell>
          <cell r="F34">
            <v>1.9424999999999999</v>
          </cell>
          <cell r="G34">
            <v>0.50505</v>
          </cell>
        </row>
        <row r="35">
          <cell r="A35" t="str">
            <v>L-D-0.5</v>
          </cell>
          <cell r="B35" t="str">
            <v>Lib</v>
          </cell>
          <cell r="C35" t="str">
            <v>D</v>
          </cell>
          <cell r="D35">
            <v>0.5</v>
          </cell>
          <cell r="E35">
            <v>7.77</v>
          </cell>
          <cell r="F35">
            <v>1.5539999999999998</v>
          </cell>
          <cell r="G35">
            <v>1.0101</v>
          </cell>
        </row>
        <row r="36">
          <cell r="A36" t="str">
            <v>L-D-1</v>
          </cell>
          <cell r="B36" t="str">
            <v>Lib</v>
          </cell>
          <cell r="C36" t="str">
            <v>D</v>
          </cell>
          <cell r="D36">
            <v>1</v>
          </cell>
          <cell r="E36">
            <v>12.95</v>
          </cell>
          <cell r="F36">
            <v>1.2949999999999999</v>
          </cell>
          <cell r="G36">
            <v>1.6835</v>
          </cell>
        </row>
        <row r="37">
          <cell r="A37" t="str">
            <v>L-D-2.5</v>
          </cell>
          <cell r="B37" t="str">
            <v>Lib</v>
          </cell>
          <cell r="C37" t="str">
            <v>D</v>
          </cell>
          <cell r="D37">
            <v>2.5</v>
          </cell>
          <cell r="E37">
            <v>29.784999999999997</v>
          </cell>
          <cell r="F37">
            <v>1.1913999999999998</v>
          </cell>
          <cell r="G37">
            <v>3.8720499999999998</v>
          </cell>
        </row>
        <row r="38">
          <cell r="A38" t="str">
            <v>E-L-0.2</v>
          </cell>
          <cell r="B38" t="str">
            <v>Exc</v>
          </cell>
          <cell r="C38" t="str">
            <v>L</v>
          </cell>
          <cell r="D38">
            <v>0.2</v>
          </cell>
          <cell r="E38">
            <v>4.4550000000000001</v>
          </cell>
          <cell r="F38">
            <v>2.2275</v>
          </cell>
          <cell r="G38">
            <v>0.49004999999999999</v>
          </cell>
        </row>
        <row r="39">
          <cell r="A39" t="str">
            <v>E-L-0.5</v>
          </cell>
          <cell r="B39" t="str">
            <v>Exc</v>
          </cell>
          <cell r="C39" t="str">
            <v>L</v>
          </cell>
          <cell r="D39">
            <v>0.5</v>
          </cell>
          <cell r="E39">
            <v>8.91</v>
          </cell>
          <cell r="F39">
            <v>1.782</v>
          </cell>
          <cell r="G39">
            <v>0.98009999999999997</v>
          </cell>
        </row>
        <row r="40">
          <cell r="A40" t="str">
            <v>E-L-1</v>
          </cell>
          <cell r="B40" t="str">
            <v>Exc</v>
          </cell>
          <cell r="C40" t="str">
            <v>L</v>
          </cell>
          <cell r="D40">
            <v>1</v>
          </cell>
          <cell r="E40">
            <v>14.85</v>
          </cell>
          <cell r="F40">
            <v>1.4849999999999999</v>
          </cell>
          <cell r="G40">
            <v>1.6335</v>
          </cell>
        </row>
        <row r="41">
          <cell r="A41" t="str">
            <v>E-L-2.5</v>
          </cell>
          <cell r="B41" t="str">
            <v>Exc</v>
          </cell>
          <cell r="C41" t="str">
            <v>L</v>
          </cell>
          <cell r="D41">
            <v>2.5</v>
          </cell>
          <cell r="E41">
            <v>34.154999999999994</v>
          </cell>
          <cell r="F41">
            <v>1.3661999999999999</v>
          </cell>
          <cell r="G41">
            <v>3.7570499999999996</v>
          </cell>
        </row>
        <row r="42">
          <cell r="A42" t="str">
            <v>E-M-0.2</v>
          </cell>
          <cell r="B42" t="str">
            <v>Exc</v>
          </cell>
          <cell r="C42" t="str">
            <v>M</v>
          </cell>
          <cell r="D42">
            <v>0.2</v>
          </cell>
          <cell r="E42">
            <v>4.125</v>
          </cell>
          <cell r="F42">
            <v>2.0625</v>
          </cell>
          <cell r="G42">
            <v>0.45374999999999999</v>
          </cell>
        </row>
        <row r="43">
          <cell r="A43" t="str">
            <v>E-M-0.5</v>
          </cell>
          <cell r="B43" t="str">
            <v>Exc</v>
          </cell>
          <cell r="C43" t="str">
            <v>M</v>
          </cell>
          <cell r="D43">
            <v>0.5</v>
          </cell>
          <cell r="E43">
            <v>8.25</v>
          </cell>
          <cell r="F43">
            <v>1.65</v>
          </cell>
          <cell r="G43">
            <v>0.90749999999999997</v>
          </cell>
        </row>
        <row r="44">
          <cell r="A44" t="str">
            <v>E-M-1</v>
          </cell>
          <cell r="B44" t="str">
            <v>Exc</v>
          </cell>
          <cell r="C44" t="str">
            <v>M</v>
          </cell>
          <cell r="D44">
            <v>1</v>
          </cell>
          <cell r="E44">
            <v>13.75</v>
          </cell>
          <cell r="F44">
            <v>1.375</v>
          </cell>
          <cell r="G44">
            <v>1.5125</v>
          </cell>
        </row>
        <row r="45">
          <cell r="A45" t="str">
            <v>E-M-2.5</v>
          </cell>
          <cell r="B45" t="str">
            <v>Exc</v>
          </cell>
          <cell r="C45" t="str">
            <v>M</v>
          </cell>
          <cell r="D45">
            <v>2.5</v>
          </cell>
          <cell r="E45">
            <v>31.624999999999996</v>
          </cell>
          <cell r="F45">
            <v>1.2649999999999999</v>
          </cell>
          <cell r="G45">
            <v>3.4787499999999998</v>
          </cell>
        </row>
        <row r="46">
          <cell r="A46" t="str">
            <v>E-D-0.2</v>
          </cell>
          <cell r="B46" t="str">
            <v>Exc</v>
          </cell>
          <cell r="C46" t="str">
            <v>D</v>
          </cell>
          <cell r="D46">
            <v>0.2</v>
          </cell>
          <cell r="E46">
            <v>3.645</v>
          </cell>
          <cell r="F46">
            <v>1.8225</v>
          </cell>
          <cell r="G46">
            <v>0.40095000000000003</v>
          </cell>
        </row>
        <row r="47">
          <cell r="A47" t="str">
            <v>E-D-0.5</v>
          </cell>
          <cell r="B47" t="str">
            <v>Exc</v>
          </cell>
          <cell r="C47" t="str">
            <v>D</v>
          </cell>
          <cell r="D47">
            <v>0.5</v>
          </cell>
          <cell r="E47">
            <v>7.29</v>
          </cell>
          <cell r="F47">
            <v>1.458</v>
          </cell>
          <cell r="G47">
            <v>0.80190000000000006</v>
          </cell>
        </row>
        <row r="48">
          <cell r="A48" t="str">
            <v>E-D-1</v>
          </cell>
          <cell r="B48" t="str">
            <v>Exc</v>
          </cell>
          <cell r="C48" t="str">
            <v>D</v>
          </cell>
          <cell r="D48">
            <v>1</v>
          </cell>
          <cell r="E48">
            <v>12.15</v>
          </cell>
          <cell r="F48">
            <v>1.2150000000000001</v>
          </cell>
          <cell r="G48">
            <v>1.3365</v>
          </cell>
        </row>
        <row r="49">
          <cell r="A49" t="str">
            <v>E-D-2.5</v>
          </cell>
          <cell r="B49" t="str">
            <v>Exc</v>
          </cell>
          <cell r="C49" t="str">
            <v>D</v>
          </cell>
          <cell r="D49">
            <v>2.5</v>
          </cell>
          <cell r="E49">
            <v>27.945</v>
          </cell>
          <cell r="F49">
            <v>1.1177999999999999</v>
          </cell>
          <cell r="G49">
            <v>3.07395</v>
          </cell>
        </row>
      </sheetData>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BEAT" refreshedDate="45841.558783449073" createdVersion="8" refreshedVersion="8" minRefreshableVersion="3" recordCount="1001">
  <cacheSource type="worksheet">
    <worksheetSource ref="A1:V1048576" sheet="worksheet1"/>
  </cacheSource>
  <cacheFields count="22">
    <cacheField name="Order ID" numFmtId="0">
      <sharedItems containsBlank="1"/>
    </cacheField>
    <cacheField name="Order Date" numFmtId="0">
      <sharedItems containsNonDate="0" containsDate="1" containsString="0" containsBlank="1" minDate="2019-01-02T00:00:00" maxDate="2022-08-20T00:00:00"/>
    </cacheField>
    <cacheField name="DATE" numFmtId="0">
      <sharedItems containsBlank="1"/>
    </cacheField>
    <cacheField name="month" numFmtId="0">
      <sharedItems containsBlank="1" count="13">
        <s v="September"/>
        <s v="June"/>
        <s v="July"/>
        <s v="August"/>
        <s v="January"/>
        <s v="May"/>
        <s v="March"/>
        <s v="October"/>
        <s v="April"/>
        <s v="December"/>
        <s v="February"/>
        <s v="November"/>
        <m/>
      </sharedItems>
    </cacheField>
    <cacheField name="year" numFmtId="0">
      <sharedItems containsBlank="1" count="5">
        <s v="2019"/>
        <s v="2021"/>
        <s v="2022"/>
        <s v="2020"/>
        <m/>
      </sharedItems>
    </cacheField>
    <cacheField name="Customer ID" numFmtId="0">
      <sharedItems containsBlank="1" count="914">
        <s v="17670-51384-MA"/>
        <s v="21125-22134-PX"/>
        <s v="23806-46781-OU"/>
        <s v="86561-91660-RB"/>
        <s v="65223-29612-CB"/>
        <s v="21134-81676-FR"/>
        <s v="03396-68805-ZC"/>
        <s v="61021-27840-ZN"/>
        <s v="76239-90137-UQ"/>
        <s v="49315-21985-BB"/>
        <s v="34136-36674-OM"/>
        <s v="39396-12890-PE"/>
        <s v="95875-73336-RG"/>
        <s v="25473-43727-BY"/>
        <s v="99643-51048-IQ"/>
        <s v="62173-15287-CU"/>
        <s v="57611-05522-ST"/>
        <s v="76664-37050-DT"/>
        <s v="03090-88267-BQ"/>
        <s v="37651-47492-NC"/>
        <s v="95399-57205-HI"/>
        <s v="24010-66714-HW"/>
        <s v="07591-92789-UA"/>
        <s v="49231-44455-IC"/>
        <s v="50124-88608-EO"/>
        <s v="00888-74814-UZ"/>
        <s v="14158-30713-OB"/>
        <s v="51427-89175-QJ"/>
        <s v="39123-12846-YJ"/>
        <s v="44981-99666-XB"/>
        <s v="24825-51803-CQ"/>
        <s v="77634-13918-GJ"/>
        <s v="13694-25001-LX"/>
        <s v="08523-01791-TI"/>
        <s v="49860-68865-AB"/>
        <s v="21240-83132-SP"/>
        <s v="08350-81623-TF"/>
        <s v="73284-01385-SJ"/>
        <s v="04152-34436-IE"/>
        <s v="06631-86965-XP"/>
        <s v="54619-08558-ZU"/>
        <s v="85589-17020-CX"/>
        <s v="36078-91009-WU"/>
        <s v="15770-27099-GX"/>
        <s v="91460-04823-BX"/>
        <s v="45089-52817-WN"/>
        <s v="76447-50326-IC"/>
        <s v="26333-67911-OL"/>
        <s v="22107-86640-SB"/>
        <s v="09960-34242-LZ"/>
        <s v="04671-85591-RT"/>
        <s v="25729-68859-UA"/>
        <s v="05501-86351-NX"/>
        <s v="04521-04300-OK"/>
        <s v="58689-55264-VK"/>
        <s v="79436-73011-MM"/>
        <s v="65552-60476-KY"/>
        <s v="69904-02729-YS"/>
        <s v="01433-04270-AX"/>
        <s v="14204-14186-LA"/>
        <s v="32948-34398-HC"/>
        <s v="77343-52608-FF"/>
        <s v="42770-36274-QA"/>
        <s v="14103-58987-ZU"/>
        <s v="69958-32065-SW"/>
        <s v="69533-84907-FA"/>
        <s v="76005-95461-CI"/>
        <s v="15395-90855-VB"/>
        <s v="80640-45811-LB"/>
        <s v="28476-04082-GR"/>
        <s v="12018-75670-EU"/>
        <s v="86437-17399-FK"/>
        <s v="62979-53167-ML"/>
        <s v="54810-81899-HL"/>
        <s v="26103-41504-IB"/>
        <s v="76534-45229-SG"/>
        <s v="81744-27332-RR"/>
        <s v="91513-75657-PH"/>
        <s v="30373-66619-CB"/>
        <s v="31582-23562-FM"/>
        <s v="81431-12577-VD"/>
        <s v="68894-91205-MP"/>
        <s v="87602-55754-VN"/>
        <s v="39181-35745-WH"/>
        <s v="30381-64762-NG"/>
        <s v="17503-27693-ZH"/>
        <s v="89442-35633-HJ"/>
        <s v="13654-85265-IL"/>
        <s v="40946-22090-FP"/>
        <s v="29050-93691-TS"/>
        <s v="64395-74865-WF"/>
        <s v="81861-66046-SU"/>
        <s v="13366-78506-KP"/>
        <s v="08847-29858-HN"/>
        <s v="00539-42510-RY"/>
        <s v="45190-08727-NV"/>
        <s v="87049-37901-FU"/>
        <s v="34015-31593-JC"/>
        <s v="90305-50099-SV"/>
        <s v="55871-61935-MF"/>
        <s v="15405-60469-TM"/>
        <s v="06953-94794-FB"/>
        <s v="22305-40299-CY"/>
        <s v="09020-56774-GU"/>
        <s v="92926-08470-YS"/>
        <s v="07250-63194-JO"/>
        <s v="63787-96257-TQ"/>
        <s v="49530-25460-RW"/>
        <s v="66508-21373-OQ"/>
        <s v="20203-03950-FY"/>
        <s v="83895-90735-XH"/>
        <s v="61954-61462-RJ"/>
        <s v="47939-53158-LS"/>
        <s v="61513-27752-FA"/>
        <s v="89714-19856-WX"/>
        <s v="87979-56781-YV"/>
        <s v="74126-88836-KA"/>
        <s v="37397-05992-VO"/>
        <s v="54904-18397-UD"/>
        <s v="19017-95853-EK"/>
        <s v="88593-59934-VU"/>
        <s v="47493-68564-YM"/>
        <s v="82246-82543-DW"/>
        <s v="03384-62101-IY"/>
        <s v="86881-41559-OR"/>
        <s v="02536-18494-AQ"/>
        <s v="58638-01029-CB"/>
        <s v="90312-11148-LA"/>
        <s v="68239-74809-TF"/>
        <s v="91074-60023-IP"/>
        <s v="07972-83748-JI"/>
        <s v="08694-57330-XR"/>
        <s v="68412-11126-YJ"/>
        <s v="69037-66822-DW"/>
        <s v="01297-94364-XH"/>
        <s v="39919-06540-ZI"/>
        <s v="60512-78550-WS"/>
        <s v="40172-12000-AU"/>
        <s v="39019-13649-CL"/>
        <s v="12715-05198-QU"/>
        <s v="04513-76520-QO"/>
        <s v="88446-59251-SQ"/>
        <s v="23779-10274-KN"/>
        <s v="57235-92842-DK"/>
        <s v="75977-30364-AY"/>
        <s v="12299-30914-NG"/>
        <s v="59971-35626-YJ"/>
        <s v="15380-76513-PS"/>
        <s v="73564-98204-EY"/>
        <s v="72282-40594-RX"/>
        <s v="17514-94165-RJ"/>
        <s v="56248-75861-JX"/>
        <s v="97855-54761-IS"/>
        <s v="96544-91644-IT"/>
        <s v="51971-70393-QM"/>
        <s v="06812-11924-IK"/>
        <s v="59741-90220-OW"/>
        <s v="62682-27930-PD"/>
        <s v="00256-19905-YG"/>
        <s v="38890-22576-UI"/>
        <s v="94573-61802-PH"/>
        <s v="86447-02699-UT"/>
        <s v="51432-27169-KN"/>
        <s v="43074-00987-PB"/>
        <s v="04739-85772-QT"/>
        <s v="28279-78469-YW"/>
        <s v="91829-99544-DS"/>
        <s v="38978-59582-JP"/>
        <s v="86504-96610-BH"/>
        <s v="75986-98864-EZ"/>
        <s v="66776-88682-RG"/>
        <s v="85851-78384-DM"/>
        <s v="55232-81621-BX"/>
        <s v="80310-92912-JA"/>
        <s v="19821-05175-WZ"/>
        <s v="01338-83217-GV"/>
        <s v="66044-25298-TA"/>
        <s v="28728-47861-TZ"/>
        <s v="32638-38620-AX"/>
        <s v="83163-65741-IH"/>
        <s v="89422-58281-FD"/>
        <s v="76293-30918-DQ"/>
        <s v="86779-84838-EJ"/>
        <s v="66806-41795-MX"/>
        <s v="64875-71224-UI"/>
        <s v="16982-35708-BZ"/>
        <s v="66708-26678-QK"/>
        <s v="08743-09057-OO"/>
        <s v="37490-01572-JW"/>
        <s v="01811-60350-CU"/>
        <s v="24766-58139-GT"/>
        <s v="90123-70970-NY"/>
        <s v="93809-05424-MG"/>
        <s v="85425-33494-HQ"/>
        <s v="54387-64897-XC"/>
        <s v="01035-70465-UO"/>
        <s v="84260-39432-ML"/>
        <s v="69779-40609-RS"/>
        <s v="80247-70000-HT"/>
        <s v="35058-04550-VC"/>
        <s v="27226-53717-SY"/>
        <s v="02002-98725-CH"/>
        <s v="38487-01549-MV"/>
        <s v="98573-41811-EQ"/>
        <s v="72463-75685-MV"/>
        <s v="10225-91535-AI"/>
        <s v="48090-06534-HI"/>
        <s v="80444-58185-FX"/>
        <s v="13561-92774-WP"/>
        <s v="11550-78378-GE"/>
        <s v="90961-35603-RP"/>
        <s v="57145-03803-ZL"/>
        <s v="89115-11966-VF"/>
        <s v="05754-41702-FG"/>
        <s v="84269-49816-ML"/>
        <s v="23600-98432-ME"/>
        <s v="79058-02767-CP"/>
        <s v="89208-74646-UK"/>
        <s v="11408-81032-UR"/>
        <s v="32070-55528-UG"/>
        <s v="48873-84433-PN"/>
        <s v="32928-18158-OW"/>
        <s v="89711-56688-GG"/>
        <s v="48389-71976-JB"/>
        <s v="84033-80762-EQ"/>
        <s v="12743-00952-KO"/>
        <s v="41505-42181-EF"/>
        <s v="14307-87663-KB"/>
        <s v="08360-19442-GB"/>
        <s v="93405-51204-UW"/>
        <s v="97152-03355-IW"/>
        <s v="79216-73157-TE"/>
        <s v="20259-47723-AC"/>
        <s v="04666-71569-RI"/>
        <s v="08909-77713-CG"/>
        <s v="84340-73931-VV"/>
        <s v="04609-95151-XH"/>
        <s v="99562-88650-YF"/>
        <s v="46560-73885-PJ"/>
        <s v="80179-44620-WN"/>
        <s v="59081-87231-VP"/>
        <s v="07878-45872-CC"/>
        <s v="12444-05174-OO"/>
        <s v="34665-62561-AU"/>
        <s v="77877-11993-QH"/>
        <s v="32291-18308-YZ"/>
        <s v="25754-33191-ZI"/>
        <s v="53120-45532-KL"/>
        <s v="36605-83052-WB"/>
        <s v="53683-35977-KI"/>
        <s v="07972-83134-NM"/>
        <s v="25514-23938-IQ"/>
        <s v="49084-44492-OJ"/>
        <s v="76624-72205-CK"/>
        <s v="12729-50170-JE"/>
        <s v="43974-44760-QI"/>
        <s v="30585-48726-BK"/>
        <s v="16123-07017-TY"/>
        <s v="27723-45097-MH"/>
        <s v="37078-56703-AF"/>
        <s v="79420-11075-MY"/>
        <s v="57504-13456-UO"/>
        <s v="53751-57560-CN"/>
        <s v="96112-42558-EA"/>
        <s v="03157-23165-UB"/>
        <s v="51466-52850-AG"/>
        <s v="57145-31023-FK"/>
        <s v="66408-53777-VE"/>
        <s v="53035-99701-WG"/>
        <s v="45899-92796-EI"/>
        <s v="17649-28133-PY"/>
        <s v="49612-33852-CN"/>
        <s v="66976-43829-YG"/>
        <s v="64852-04619-XZ"/>
        <s v="58690-31815-VY"/>
        <s v="62863-81239-DT"/>
        <s v="21177-40725-CF"/>
        <s v="99421-80253-UI"/>
        <s v="45315-50206-DK"/>
        <s v="09595-95726-OV"/>
        <s v="60221-67036-TD"/>
        <s v="62923-29397-KX"/>
        <s v="33011-52383-BA"/>
        <s v="86768-91598-FA"/>
        <s v="37191-12203-MX"/>
        <s v="16545-76328-JY"/>
        <s v="74330-29286-RO"/>
        <s v="22349-47389-GY"/>
        <s v="70290-38099-GB"/>
        <s v="18741-72071-PP"/>
        <s v="62588-82624-II"/>
        <s v="37430-29579-HD"/>
        <s v="84132-22322-QT"/>
        <s v="37445-17791-NQ"/>
        <s v="58511-10548-ZU"/>
        <s v="47725-34771-FJ"/>
        <s v="53086-67334-KT"/>
        <s v="83308-82257-UN"/>
        <s v="37274-08534-FM"/>
        <s v="54004-04664-AA"/>
        <s v="26822-19510-SD"/>
        <s v="06432-73165-ML"/>
        <s v="96503-31833-CW"/>
        <s v="63985-64148-MG"/>
        <s v="19597-91185-CM"/>
        <s v="79814-23626-JR"/>
        <s v="43439-94003-DW"/>
        <s v="97655-45555-LI"/>
        <s v="64418-01720-VW"/>
        <s v="96836-09258-RI"/>
        <s v="69529-07533-CV"/>
        <s v="94840-49457-UD"/>
        <s v="81414-81273-DK"/>
        <s v="76930-61689-CH"/>
        <s v="12839-56537-TQ"/>
        <s v="62741-01322-HU"/>
        <s v="44932-34838-RM"/>
        <s v="91181-19412-RQ"/>
        <s v="37182-54930-XC"/>
        <s v="08613-17327-XT"/>
        <s v="70451-38048-AH"/>
        <s v="35442-75769-PL"/>
        <s v="83737-56117-JE"/>
        <s v="07095-81281-NJ"/>
        <s v="77043-48851-HG"/>
        <s v="78224-60622-KH"/>
        <s v="83105-86631-IU"/>
        <s v="99358-65399-TC"/>
        <s v="94525-76037-JP"/>
        <s v="82718-93677-XO"/>
        <s v="44708-78241-DF"/>
        <s v="23039-93032-FN"/>
        <s v="35256-12529-FT"/>
        <s v="86100-33488-WP"/>
        <s v="64435-53100-WM"/>
        <s v="44699-43836-UH"/>
        <s v="29588-35679-RG"/>
        <s v="64815-54078-HH"/>
        <s v="59572-41990-XY"/>
        <s v="32481-61533-ZJ"/>
        <s v="31587-92570-HL"/>
        <s v="93832-04799-ID"/>
        <s v="59367-30821-ZQ"/>
        <s v="83947-45528-ET"/>
        <s v="60799-92593-CX"/>
        <s v="61600-55136-UM"/>
        <s v="59771-90302-OF"/>
        <s v="16880-78077-FB"/>
        <s v="74415-50873-FC"/>
        <s v="31798-95707-NR"/>
        <s v="59122-08794-WT"/>
        <s v="37238-52421-JJ"/>
        <s v="48854-01899-FN"/>
        <s v="80896-38819-DW"/>
        <s v="29814-01459-RC"/>
        <s v="48497-29281-FE"/>
        <s v="43605-12616-YH"/>
        <s v="21907-75962-VB"/>
        <s v="69503-12127-YD"/>
        <s v="68810-07329-EU"/>
        <s v="08478-75251-OG"/>
        <s v="17005-82030-EA"/>
        <s v="42179-95059-DO"/>
        <s v="55989-39849-WO"/>
        <s v="28932-49296-TM"/>
        <s v="86144-10144-CB"/>
        <s v="60973-72562-DQ"/>
        <s v="11263-86515-VU"/>
        <s v="60004-62976-NI"/>
        <s v="77876-28498-HI"/>
        <s v="61302-06948-EH"/>
        <s v="06757-96251-UH"/>
        <s v="44530-75983-OD"/>
        <s v="44865-58249-RY"/>
        <s v="36021-61205-DF"/>
        <s v="75716-12782-SS"/>
        <s v="11812-00461-KH"/>
        <s v="46681-78850-ZW"/>
        <s v="01932-87052-KO"/>
        <s v="16046-34805-ZF"/>
        <s v="34546-70516-LR"/>
        <s v="73699-93557-FZ"/>
        <s v="86686-37462-CK"/>
        <s v="14298-02150-KH"/>
        <s v="48675-07824-HJ"/>
        <s v="18551-80943-YQ"/>
        <s v="19196-09748-DB"/>
        <s v="72233-08665-IP"/>
        <s v="53817-13148-RK"/>
        <s v="92227-49331-QR"/>
        <s v="12997-41076-FQ"/>
        <s v="44220-00348-MB"/>
        <s v="93047-98331-DD"/>
        <s v="67285-75317-XI"/>
        <s v="88167-57964-PH"/>
        <s v="16106-36039-QS"/>
        <s v="98921-82417-GN"/>
        <s v="55265-75151-AK"/>
        <s v="47386-50743-FG"/>
        <s v="32622-54551-UC"/>
        <s v="48419-02347-XP"/>
        <s v="14121-20527-OJ"/>
        <s v="53486-73919-BQ"/>
        <s v="21889-94615-WT"/>
        <s v="87726-16941-QW"/>
        <s v="03677-09134-BC"/>
        <s v="93224-71517-WV"/>
        <s v="76263-95145-GJ"/>
        <s v="68555-89840-GZ"/>
        <s v="70624-19112-AO"/>
        <s v="58916-61837-QH"/>
        <s v="89292-52335-YZ"/>
        <s v="77284-34297-YY"/>
        <s v="50449-80974-BZ"/>
        <s v="08120-16183-AW"/>
        <s v="68044-89277-ML"/>
        <s v="71364-35210-HS"/>
        <s v="37177-68797-ON"/>
        <s v="60308-06944-GS"/>
        <s v="49888-39458-PF"/>
        <s v="60748-46813-DZ"/>
        <s v="16385-11286-NX"/>
        <s v="72164-90254-EJ"/>
        <s v="67010-92988-CT"/>
        <s v="15776-91507-GT"/>
        <s v="23473-41001-CD"/>
        <s v="23446-47798-ID"/>
        <s v="28327-84469-ND"/>
        <s v="42466-87067-DT"/>
        <s v="62246-99443-HF"/>
        <s v="99869-55718-UU"/>
        <s v="77421-46059-RY"/>
        <s v="49894-06550-OQ"/>
        <s v="72028-63343-SU"/>
        <s v="10074-20104-NN"/>
        <s v="71769-10219-IM"/>
        <s v="22221-71106-JD"/>
        <s v="99735-44927-OL"/>
        <s v="27132-68907-RC"/>
        <s v="90440-62727-HI"/>
        <s v="36769-16558-SX"/>
        <s v="10138-31681-SD"/>
        <s v="24669-76297-SF"/>
        <s v="78050-20355-DI"/>
        <s v="79825-17822-UH"/>
        <s v="03990-21586-MQ"/>
        <s v="27493-46921-TZ"/>
        <s v="58816-74064-TF"/>
        <s v="09818-59895-EH"/>
        <s v="06488-46303-IZ"/>
        <s v="93046-67561-AY"/>
        <s v="68946-40750-LK"/>
        <s v="38387-64959-WW"/>
        <s v="48418-60841-CC"/>
        <s v="13736-92418-JS"/>
        <s v="33000-22405-LO"/>
        <s v="46959-60474-LT"/>
        <s v="73431-39823-UP"/>
        <s v="90993-98984-JK"/>
        <s v="06552-04430-AG"/>
        <s v="54597-57004-QM"/>
        <s v="50238-24377-ZS"/>
        <s v="60370-41934-IF"/>
        <s v="06899-54551-EH"/>
        <s v="66458-91190-YC"/>
        <s v="80463-43913-WZ"/>
        <s v="67204-04870-LG"/>
        <s v="22721-63196-UJ"/>
        <s v="55515-37571-RS"/>
        <s v="25598-77476-CB"/>
        <s v="14888-85625-TM"/>
        <s v="92793-68332-NR"/>
        <s v="64439-27325-LG"/>
        <s v="78570-76770-LB"/>
        <s v="98661-69719-VI"/>
        <s v="82990-92703-IX"/>
        <s v="49412-86877-VY"/>
        <s v="70879-00984-FJ"/>
        <s v="53414-73391-CR"/>
        <s v="43606-83072-OA"/>
        <s v="84466-22864-CE"/>
        <s v="76499-89100-JQ"/>
        <s v="39582-35773-ZJ"/>
        <s v="66240-46962-IO"/>
        <s v="10637-45522-ID"/>
        <s v="92599-58687-CS"/>
        <s v="06058-48844-PI"/>
        <s v="53631-24432-SY"/>
        <s v="18275-73980-KL"/>
        <s v="23187-65750-HZ"/>
        <s v="22725-79522-GP"/>
        <s v="06279-72603-JE"/>
        <s v="83543-79246-ON"/>
        <s v="66794-66795-VW"/>
        <s v="95424-67020-AP"/>
        <s v="73017-69644-MS"/>
        <s v="67423-10113-LM"/>
        <s v="48582-05061-RY"/>
        <s v="32031-49093-KE"/>
        <s v="31715-98714-OO"/>
        <s v="73759-17258-KA"/>
        <s v="64897-79178-MH"/>
        <s v="73346-85564-JB"/>
        <s v="07476-13102-NJ"/>
        <s v="87223-37422-SK"/>
        <s v="57837-15577-YK"/>
        <s v="10142-55267-YO"/>
        <s v="73647-66148-VM"/>
        <s v="92976-19453-DT"/>
        <s v="89757-51438-HX"/>
        <s v="76192-13390-HZ"/>
        <s v="02009-87294-SY"/>
        <s v="82872-34456-LJ"/>
        <s v="13181-04387-LI"/>
        <s v="24845-36117-TI"/>
        <s v="86646-65810-TD"/>
        <s v="59480-02795-IU"/>
        <s v="61809-87758-LJ"/>
        <s v="77408-43873-RS"/>
        <s v="18366-65239-WF"/>
        <s v="19485-98072-PS"/>
        <s v="72072-33025-SD"/>
        <s v="58118-22461-GC"/>
        <s v="90940-63327-DJ"/>
        <s v="64481-42546-II"/>
        <s v="27536-28463-NJ"/>
        <s v="70140-82812-KD"/>
        <s v="91895-55605-LS"/>
        <s v="43155-71724-XP"/>
        <s v="32038-81174-JF"/>
        <s v="59205-20324-NB"/>
        <s v="99899-54612-NX"/>
        <s v="26248-84194-FI"/>
        <s v="84493-71314-WX"/>
        <s v="39789-43945-IV"/>
        <s v="38972-89678-ZM"/>
        <s v="91465-84526-IJ"/>
        <s v="22832-98538-RB"/>
        <s v="30844-91890-ZA"/>
        <s v="05325-97750-WP"/>
        <s v="88992-49081-AT"/>
        <s v="10204-31464-SA"/>
        <s v="75156-80911-YT"/>
        <s v="53971-49906-PZ"/>
        <s v="10728-17633-ST"/>
        <s v="13549-65017-VE"/>
        <s v="87688-42420-TO"/>
        <s v="51901-35210-UI"/>
        <s v="62483-50867-OM"/>
        <s v="92753-50029-SD"/>
        <s v="53809-98498-SN"/>
        <s v="66308-13503-KD"/>
        <s v="82458-87830-JE"/>
        <s v="41611-34336-WT"/>
        <s v="70089-27418-UJ"/>
        <s v="99978-56910-BN"/>
        <s v="09668-23340-IC"/>
        <s v="39457-62611-YK"/>
        <s v="90985-89807-RW"/>
        <s v="17816-67941-ZS"/>
        <s v="90816-65619-LM"/>
        <s v="69761-61146-KD"/>
        <s v="24040-20817-QB"/>
        <s v="19524-21432-XP"/>
        <s v="14398-43114-RV"/>
        <s v="41486-52502-QQ"/>
        <s v="20236-64364-QL"/>
        <s v="29102-40100-TZ"/>
        <s v="09171-42203-EB"/>
        <s v="29060-75856-UI"/>
        <s v="17088-16989-PL"/>
        <s v="14756-18321-CL"/>
        <s v="13324-78688-MI"/>
        <s v="73799-04749-BM"/>
        <s v="01927-46702-YT"/>
        <s v="80467-17137-TO"/>
        <s v="14640-87215-BK"/>
        <s v="94447-35885-HK"/>
        <s v="71034-49694-CS"/>
        <s v="00445-42781-KX"/>
        <s v="96116-24737-LV"/>
        <s v="18684-73088-YL"/>
        <s v="74671-55639-TU"/>
        <s v="17488-65879-XL"/>
        <s v="46431-09298-OU"/>
        <s v="60378-26473-FE"/>
        <s v="34927-68586-ZV"/>
        <s v="29051-27555-GD"/>
        <s v="52143-35672-JF"/>
        <s v="64918-67725-MN"/>
        <s v="85634-61759-ND"/>
        <s v="40180-22940-QB"/>
        <s v="34666-76738-SQ"/>
        <s v="98536-88616-FF"/>
        <s v="55621-06130-SA"/>
        <s v="45666-86771-EH"/>
        <s v="24689-69376-XX"/>
        <s v="71891-51101-VQ"/>
        <s v="71749-05400-CN"/>
        <s v="64845-00270-NO"/>
        <s v="29851-36402-UX"/>
        <s v="12190-25421-WM"/>
        <s v="52316-30571-GD"/>
        <s v="23243-92649-RY"/>
        <s v="39528-19971-OR"/>
        <s v="32743-78448-KT"/>
        <s v="93417-12322-YB"/>
        <s v="56891-86662-UY"/>
        <s v="40414-26467-VE"/>
        <s v="87858-83734-RK"/>
        <s v="46818-20198-GB"/>
        <s v="29808-89098-XD"/>
        <s v="78786-77449-RQ"/>
        <s v="27878-42224-QF"/>
        <s v="25331-13794-SB"/>
        <s v="55864-37682-GQ"/>
        <s v="97005-25609-CQ"/>
        <s v="94058-95794-IJ"/>
        <s v="40214-03678-GU"/>
        <s v="04921-85445-SL"/>
        <s v="53386-94266-LJ"/>
        <s v="49480-85909-DG"/>
        <s v="18293-78136-MN"/>
        <s v="84641-67384-TD"/>
        <s v="72320-29738-EB"/>
        <s v="47355-97488-XS"/>
        <s v="63499-24884-PP"/>
        <s v="39193-51770-FM"/>
        <s v="61323-91967-GG"/>
        <s v="90123-01967-KS"/>
        <s v="15958-25089-OS"/>
        <s v="98430-37820-UV"/>
        <s v="21798-04171-XC"/>
        <s v="52798-46508-HP"/>
        <s v="46478-42970-EM"/>
        <s v="00246-15080-LE"/>
        <s v="94091-86957-HX"/>
        <s v="26295-44907-DK"/>
        <s v="95351-96177-QV"/>
        <s v="92204-96636-BS"/>
        <s v="03010-30348-UA"/>
        <s v="13441-34686-SW"/>
        <s v="96612-41722-VJ"/>
        <s v="25504-41681-WA"/>
        <s v="75443-07820-DZ"/>
        <s v="39276-95489-XV"/>
        <s v="61437-83623-PZ"/>
        <s v="34317-87258-HQ"/>
        <s v="18570-80998-ZS"/>
        <s v="66580-33745-OQ"/>
        <s v="19820-29285-FD"/>
        <s v="11349-55147-SN"/>
        <s v="21141-12455-VB"/>
        <s v="71003-85639-HB"/>
        <s v="58443-95866-YO"/>
        <s v="89646-21249-OH"/>
        <s v="64988-20636-XQ"/>
        <s v="34704-83143-KS"/>
        <s v="67388-17544-XX"/>
        <s v="69411-48470-ID"/>
        <s v="97741-98924-KT"/>
        <s v="79857-78167-KO"/>
        <s v="46963-10322-ZA"/>
        <s v="93812-74772-MV"/>
        <s v="48203-23480-UB"/>
        <s v="60357-65386-RD"/>
        <s v="35099-13971-JI"/>
        <s v="01304-59807-OB"/>
        <s v="50705-17295-NK"/>
        <s v="77657-61366-FY"/>
        <s v="57192-13428-PL"/>
        <s v="24891-77957-LU"/>
        <s v="64896-18468-BT"/>
        <s v="84761-40784-SV"/>
        <s v="20236-42322-CM"/>
        <s v="49671-11547-WG"/>
        <s v="57976-33535-WK"/>
        <s v="55915-19477-MK"/>
        <s v="28121-11641-UA"/>
        <s v="09540-70637-EV"/>
        <s v="17775-77072-PP"/>
        <s v="90392-73338-BC"/>
        <s v="10725-45724-CO"/>
        <s v="87242-18006-IR"/>
        <s v="36572-91896-PP"/>
        <s v="25181-97933-UX"/>
        <s v="55374-03175-IA"/>
        <s v="76948-43532-JS"/>
        <s v="24344-88599-PP"/>
        <s v="54462-58311-YF"/>
        <s v="90767-92589-LV"/>
        <s v="27517-43747-YD"/>
        <s v="77828-66867-KH"/>
        <s v="41054-59693-XE"/>
        <s v="26314-66792-VP"/>
        <s v="69410-04668-MA"/>
        <s v="24972-55878-KX"/>
        <s v="46296-42617-OQ"/>
        <s v="44494-89923-UW"/>
        <s v="11621-09964-ID"/>
        <s v="76319-80715-II"/>
        <s v="91654-79216-IC"/>
        <s v="56450-21890-HK"/>
        <s v="40600-58915-WZ"/>
        <s v="66527-94478-PB"/>
        <s v="77154-45038-IH"/>
        <s v="08439-55669-AI"/>
        <s v="91509-62250-GN"/>
        <s v="83833-46106-ZC"/>
        <s v="19383-33606-PW"/>
        <s v="67052-76184-CB"/>
        <s v="43452-18035-DH"/>
        <s v="88060-50676-MV"/>
        <s v="89574-96203-EP"/>
        <s v="12607-75113-UV"/>
        <s v="56991-05510-PR"/>
        <s v="01841-48191-NL"/>
        <s v="33269-10023-CO"/>
        <s v="31245-81098-PJ"/>
        <s v="08946-56610-IH"/>
        <s v="20260-32948-EB"/>
        <s v="31613-41626-KX"/>
        <s v="75961-20170-RD"/>
        <s v="72524-06410-KD"/>
        <s v="98918-34330-GY"/>
        <s v="51497-50894-WU"/>
        <s v="98636-90072-YE"/>
        <s v="47011-57815-HJ"/>
        <s v="61253-98356-VD"/>
        <s v="96762-10814-DA"/>
        <s v="63112-10870-LC"/>
        <s v="21403-49423-PD"/>
        <s v="29581-13303-VB"/>
        <s v="86110-83695-YS"/>
        <s v="80454-42225-FT"/>
        <s v="29129-60664-KO"/>
        <s v="63025-62939-AN"/>
        <s v="49012-12987-QT"/>
        <s v="50924-94200-SQ"/>
        <s v="15673-18812-IU"/>
        <s v="52151-75971-YY"/>
        <s v="19413-02045-CG"/>
        <s v="98185-92775-KT"/>
        <s v="86991-53901-AT"/>
        <s v="78226-97287-JI"/>
        <s v="27930-59250-JT"/>
        <s v="40560-18556-YE"/>
        <s v="40780-22081-LX"/>
        <s v="01603-43789-TN"/>
        <s v="75419-92838-TI"/>
        <s v="96516-97464-MF"/>
        <s v="90285-56295-PO"/>
        <s v="08100-71102-HQ"/>
        <s v="84074-28110-OV"/>
        <s v="12747-63766-EU"/>
        <s v="83490-88357-LJ"/>
        <s v="53729-30320-XZ"/>
        <s v="50384-52703-LA"/>
        <s v="53864-36201-FG"/>
        <s v="70631-33225-MZ"/>
        <s v="54798-14109-HC"/>
        <s v="08023-52962-ET"/>
        <s v="41899-00283-VK"/>
        <s v="39011-18412-GR"/>
        <s v="60255-12579-PZ"/>
        <s v="80541-38332-BP"/>
        <s v="72778-50968-UQ"/>
        <s v="23941-30203-MO"/>
        <s v="96434-50068-DZ"/>
        <s v="11729-74102-XB"/>
        <s v="88116-12604-TE"/>
        <s v="13082-41034-PD"/>
        <s v="18082-74419-QH"/>
        <s v="49401-45041-ZU"/>
        <s v="41252-45992-VS"/>
        <s v="00852-54571-WP"/>
        <s v="13321-57602-GK"/>
        <s v="75006-89922-VW"/>
        <s v="52098-80103-FD"/>
        <s v="60121-12432-VU"/>
        <s v="68346-14810-UA"/>
        <s v="48464-99723-HK"/>
        <s v="88420-46464-XE"/>
        <s v="37762-09530-MP"/>
        <s v="47268-50127-XY"/>
        <s v="25544-84179-QC"/>
        <s v="32058-76765-ZL"/>
        <s v="69171-65646-UC"/>
        <s v="22503-52799-MI"/>
        <s v="08934-65581-ZI"/>
        <s v="15764-22559-ZT"/>
        <s v="87519-68847-ZG"/>
        <s v="78012-56878-UB"/>
        <s v="77192-72145-RG"/>
        <s v="86071-79238-CX"/>
        <s v="16809-16936-WF"/>
        <s v="11212-69985-ZJ"/>
        <s v="53893-01719-CL"/>
        <s v="66028-99867-WJ"/>
        <s v="62839-56723-CH"/>
        <s v="96849-52854-CR"/>
        <s v="19755-55847-VW"/>
        <s v="32900-82606-BO"/>
        <s v="20118-28138-QD"/>
        <s v="84057-45461-AH"/>
        <s v="90882-88130-KQ"/>
        <s v="21617-79890-DD"/>
        <s v="20256-54689-LO"/>
        <s v="17572-27091-AA"/>
        <s v="82300-88786-UE"/>
        <s v="65732-22589-OW"/>
        <s v="77175-09826-SF"/>
        <s v="07237-32539-NB"/>
        <s v="54722-76431-EX"/>
        <s v="67847-82662-TE"/>
        <s v="51114-51191-EW"/>
        <s v="91809-58808-TV"/>
        <s v="84996-26826-DK"/>
        <s v="93676-95250-XJ"/>
        <s v="28300-14355-GF"/>
        <s v="91190-84826-IQ"/>
        <s v="34570-99384-AF"/>
        <s v="57808-90533-UE"/>
        <s v="76060-30540-LB"/>
        <s v="76730-63769-ND"/>
        <s v="96042-27290-EQ"/>
        <s v="51940-02669-OR"/>
        <s v="99144-98314-GN"/>
        <s v="16358-63919-CE"/>
        <s v="67743-54817-UT"/>
        <s v="44601-51441-BH"/>
        <s v="97201-58870-WB"/>
        <s v="19849-12926-QF"/>
        <s v="40535-56770-UM"/>
        <s v="74940-09646-MU"/>
        <s v="06623-54610-HC"/>
        <s v="89490-75361-AF"/>
        <s v="94526-79230-GZ"/>
        <s v="58559-08254-UY"/>
        <s v="88574-37083-WX"/>
        <s v="67953-79896-AC"/>
        <s v="69207-93422-CQ"/>
        <s v="56060-17602-RG"/>
        <s v="46859-14212-FI"/>
        <s v="33555-01585-RP"/>
        <s v="11932-85629-CU"/>
        <s v="36192-07175-XC"/>
        <s v="46242-54946-ZW"/>
        <s v="95152-82155-VQ"/>
        <s v="13404-39127-WQ"/>
        <s v="40226-52317-IO"/>
        <s v="34419-18068-AG"/>
        <s v="51738-61457-RS"/>
        <s v="86757-52367-ON"/>
        <s v="28158-93383-CK"/>
        <s v="44799-09711-XW"/>
        <s v="53667-91553-LT"/>
        <s v="86579-92122-OC"/>
        <s v="01474-63436-TP"/>
        <s v="90533-82440-EE"/>
        <s v="48553-69225-VX"/>
        <s v="52374-27313-IV"/>
        <s v="14264-41252-SL"/>
        <s v="35367-50483-AR"/>
        <s v="69443-77665-QW"/>
        <s v="63411-51758-QC"/>
        <s v="68605-21835-UF"/>
        <s v="34786-30419-XY"/>
        <s v="15456-29250-RU"/>
        <s v="00886-35803-FG"/>
        <s v="31599-82152-AD"/>
        <s v="76209-39601-ZR"/>
        <s v="15064-65241-HB"/>
        <s v="69215-90789-DL"/>
        <s v="04317-46176-TB"/>
        <s v="04713-57765-KR"/>
        <s v="40959-32642-DN"/>
        <s v="77746-08153-PM"/>
        <s v="49667-96708-JL"/>
        <s v="24155-79322-EQ"/>
        <s v="95342-88311-SF"/>
        <s v="69374-08133-RI"/>
        <s v="83844-95908-RX"/>
        <s v="09667-09231-YM"/>
        <s v="55427-08059-DF"/>
        <s v="06624-54037-BQ"/>
        <s v="48544-90737-AZ"/>
        <s v="79463-01597-FQ"/>
        <s v="27702-50024-XC"/>
        <s v="57360-46846-NS"/>
        <s v="84045-66771-SL"/>
        <s v="46885-00260-TL"/>
        <s v="96446-62142-EN"/>
        <s v="07756-71018-GU"/>
        <s v="92048-47813-QB"/>
        <s v="28699-16256-XV"/>
        <s v="98476-63654-CG"/>
        <s v="55409-07759-YG"/>
        <s v="06136-65250-PG"/>
        <s v="08405-33165-BS"/>
        <s v="66070-30559-WI"/>
        <s v="01282-28364-RZ"/>
        <s v="51277-93873-RP"/>
        <s v="84405-83364-DG"/>
        <s v="83731-53280-YC"/>
        <s v="03917-13632-KC"/>
        <s v="62494-09113-RP"/>
        <s v="70567-65133-CN"/>
        <s v="77869-81373-AY"/>
        <s v="38536-98293-JZ"/>
        <s v="43014-53743-XK"/>
        <s v="64965-78386-MY"/>
        <s v="77131-58092-GE"/>
        <m/>
      </sharedItems>
    </cacheField>
    <cacheField name="Customer Name" numFmtId="0">
      <sharedItems containsBlank="1" count="914">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m/>
      </sharedItems>
    </cacheField>
    <cacheField name="Email" numFmtId="0">
      <sharedItems containsBlank="1" containsMixedTypes="1" containsNumber="1" containsInteger="1" minValue="0" maxValue="0"/>
    </cacheField>
    <cacheField name="phone no." numFmtId="0">
      <sharedItems containsBlank="1" containsMixedTypes="1" containsNumber="1" containsInteger="1" minValue="0" maxValue="0"/>
    </cacheField>
    <cacheField name="City" numFmtId="0">
      <sharedItems containsBlank="1" count="376">
        <s v="Paterson"/>
        <s v="San Antonio"/>
        <s v="Cill Airne"/>
        <s v="Scranton"/>
        <s v="Dayton"/>
        <s v="Kill"/>
        <s v="Los Angeles"/>
        <s v="San Jose"/>
        <s v="Richmond"/>
        <s v="Migrate"/>
        <s v="Saint Louis"/>
        <s v="Philadelphia"/>
        <s v="Portland"/>
        <s v="Houston"/>
        <s v="Caherconlish"/>
        <s v="New York City"/>
        <s v="Grand Rapids"/>
        <s v="Punta Gorda"/>
        <s v="Vancouver"/>
        <s v="Englewood"/>
        <s v="Petaluma"/>
        <s v="Tralee"/>
        <s v="Clonskeagh"/>
        <s v="Rathwire"/>
        <s v="Aurora"/>
        <s v="Grand Forks"/>
        <s v="Upton"/>
        <s v="Charleston"/>
        <s v="Little Rock"/>
        <s v="Denver"/>
        <s v="Minneapolis"/>
        <s v="Tucson"/>
        <s v="New Orleans"/>
        <s v="Hartford"/>
        <s v="Ogden"/>
        <s v="Boston"/>
        <s v="Rochester"/>
        <s v="Bronx"/>
        <s v="Birmingham"/>
        <s v="San Bernardino"/>
        <s v="Norfolk"/>
        <s v="Washington"/>
        <s v="Fort Lauderdale"/>
        <s v="Crumlin"/>
        <s v="Kinloch"/>
        <s v="Toledo"/>
        <s v="Trenton"/>
        <s v="Tampa"/>
        <s v="Pensacola"/>
        <s v="Zephyrhills"/>
        <s v="Saint Paul"/>
        <s v="Fort Wayne"/>
        <s v="Wootton"/>
        <s v="Naples"/>
        <s v="Chicago"/>
        <s v="Newark"/>
        <s v="Vienna"/>
        <s v="Fort Worth"/>
        <s v="Burbank"/>
        <s v="Kingsport"/>
        <s v="Liverpool"/>
        <s v="Columbus"/>
        <s v="Newmarket on Fergus"/>
        <s v="Charlotte"/>
        <s v="Springfield"/>
        <s v="Listowel"/>
        <s v="Moycullen"/>
        <s v="Midland"/>
        <s v="Dallas"/>
        <s v="Dulles"/>
        <s v="Oakland"/>
        <s v="Colorado Springs"/>
        <s v="Adare"/>
        <s v="Buffalo"/>
        <s v="Fresno"/>
        <s v="Beaumont"/>
        <s v="Reno"/>
        <s v="Kansas City"/>
        <s v="Corona"/>
        <s v="Austin"/>
        <s v="Normanton"/>
        <s v="Charlesland"/>
        <s v="Confey"/>
        <s v="Stockton"/>
        <s v="Edgeworthstown"/>
        <s v="Leixlip"/>
        <s v="Tuscaloosa"/>
        <s v="El Paso"/>
        <s v="Port Washington"/>
        <s v="Cherryville"/>
        <s v="Huntington"/>
        <s v="Killorglin"/>
        <s v="Anchorage"/>
        <s v="Nashville"/>
        <s v="Stamford"/>
        <s v="Newport News"/>
        <s v="Drumcondra"/>
        <s v="Fargo"/>
        <s v="Evansville"/>
        <s v="Huntsville"/>
        <s v="Santa Ana"/>
        <s v="Oklahoma City"/>
        <s v="Bailieborough"/>
        <s v="Honolulu"/>
        <s v="Ballivor"/>
        <s v="Portumna"/>
        <s v="Orange"/>
        <s v="Carson City"/>
        <s v="Provo"/>
        <s v="Boca Raton"/>
        <s v="Roanoke"/>
        <s v="Des Moines"/>
        <s v="Norwalk"/>
        <s v="Arlington"/>
        <s v="Ashford"/>
        <s v="Chattanooga"/>
        <s v="Greensboro"/>
        <s v="Alexandria"/>
        <s v="Castlebridge"/>
        <s v="Racine"/>
        <s v="Clearwater"/>
        <s v="Castlebellingham"/>
        <s v="Craigavon"/>
        <s v="Eadestown"/>
        <s v="Montgomery"/>
        <s v="Sparks"/>
        <s v="Macon"/>
        <s v="Whittier"/>
        <s v="Johnson City"/>
        <s v="Portarlington"/>
        <s v="Brooklyn"/>
        <s v="Charlottesville"/>
        <s v="Garland"/>
        <s v="Lansing"/>
        <s v="Tulsa"/>
        <s v="Detroit"/>
        <s v="Nenagh"/>
        <s v="Mesa"/>
        <s v="Warren"/>
        <s v="Memphis"/>
        <s v="Albany"/>
        <s v="Spartanburg"/>
        <s v="Staten Island"/>
        <s v="Lubbock"/>
        <s v="Fermoy"/>
        <s v="Whitwell"/>
        <s v="Balally"/>
        <s v="Salt Lake City"/>
        <s v="Pasadena"/>
        <s v="Kinsale"/>
        <s v="Lees Summit"/>
        <s v="Irvine"/>
        <s v="Hicksville"/>
        <s v="Shawnee Mission"/>
        <s v="Edinburgh"/>
        <s v="Sacramento"/>
        <s v="Wilkes Barre"/>
        <s v="Ballinroad"/>
        <s v="D煤n Laoghaire"/>
        <s v="Cincinnati"/>
        <s v="Cheyenne"/>
        <s v="Atlanta"/>
        <s v="Duluth"/>
        <s v="Baton Rouge"/>
        <s v="Newbiggin"/>
        <s v="Kilkenny"/>
        <s v="Milwaukee"/>
        <s v="Phoenix"/>
        <s v="Jamaica"/>
        <s v="Champaign"/>
        <s v="Swindon"/>
        <s v="Pompano Beach"/>
        <s v="Sheffield"/>
        <s v="Erie"/>
        <s v="Tacoma"/>
        <s v="Kinsealy-Drinan"/>
        <s v="Newton"/>
        <s v="Denton"/>
        <s v="Tullamore"/>
        <s v="Raleigh"/>
        <s v="Shankill"/>
        <s v="Castleblayney"/>
        <s v="Columbia"/>
        <s v="Boulder"/>
        <s v="Norton"/>
        <s v="Louisville"/>
        <s v="Canton"/>
        <s v="Kinlough"/>
        <s v="Lynchburg"/>
        <s v="Danbury"/>
        <s v="Miami Beach"/>
        <s v="Corpus Christi"/>
        <s v="Baltimore"/>
        <s v="Lexington"/>
        <s v="Eaton"/>
        <s v="Lincoln"/>
        <s v="West Hartford"/>
        <s v="Belfast"/>
        <s v="Las Vegas"/>
        <s v="Akron"/>
        <s v="West Palm Beach"/>
        <s v="Sandyford"/>
        <s v="Dublin"/>
        <s v="Knoxville"/>
        <s v="San Francisco"/>
        <s v="Boynton Beach"/>
        <s v="Church End"/>
        <s v="Indianapolis"/>
        <s v="Seattle"/>
        <s v="Dunmanway"/>
        <s v="Topeka"/>
        <s v="Tyler"/>
        <s v="Shreveport"/>
        <s v="Boise"/>
        <s v="Fort Pierce"/>
        <s v="Round Rock"/>
        <s v="Reston"/>
        <s v="Charlton"/>
        <s v="Miami"/>
        <s v="Anaheim"/>
        <s v="Odessa"/>
        <s v="Castleknock"/>
        <s v="Irving"/>
        <s v="Tullyallen"/>
        <s v="Sutton"/>
        <s v="Harrisburg"/>
        <s v="New Haven"/>
        <s v="Lawrenceville"/>
        <s v="Asheville"/>
        <s v="Preston"/>
        <s v="Whitegate"/>
        <s v="Chico"/>
        <s v="Balrothery"/>
        <s v="New Brunswick"/>
        <s v="Valleymount"/>
        <s v="Lafayette"/>
        <s v="San Diego"/>
        <s v="Alhambra"/>
        <s v="Madison"/>
        <s v="Longwood"/>
        <s v="Jackson"/>
        <s v="Kildare"/>
        <s v="Bethlehem"/>
        <s v="Watergrasshill"/>
        <s v="Monasterevin"/>
        <s v="Longford"/>
        <s v="Ballylinan"/>
        <s v="Ballyboden"/>
        <s v="Bagenalstown"/>
        <s v="Ashbourne"/>
        <s v="Bristol"/>
        <s v="Farranacoush"/>
        <s v="East End"/>
        <s v="Saginaw"/>
        <s v="Saint Augustine"/>
        <s v="San Rafael"/>
        <s v="Flushing"/>
        <s v="Kissimmee"/>
        <s v="Seaton"/>
        <s v="Tr谩 Mh贸r"/>
        <s v="Coolock"/>
        <s v="Kinnegad"/>
        <s v="Milltown"/>
        <s v="Virginia"/>
        <s v="High Point"/>
        <s v="Cleveland"/>
        <s v="Ballymahon"/>
        <s v="Saint Cloud"/>
        <s v="Schenectady"/>
        <s v="Lakeland"/>
        <s v="Melbourne"/>
        <s v="Lucan"/>
        <s v="Camden"/>
        <s v="Waco"/>
        <s v="Winter Haven"/>
        <s v="Naperville"/>
        <s v="Boyle"/>
        <s v="Manorhamilton"/>
        <s v="Bantry"/>
        <s v="Amarillo"/>
        <s v="Daingean"/>
        <s v="Halton"/>
        <s v="London"/>
        <s v="Hyattsville"/>
        <s v="Ashley"/>
        <s v="Durham"/>
        <s v="Loughrea"/>
        <s v="Sterling"/>
        <s v="Decatur"/>
        <s v="Huntington Beach"/>
        <s v="Manchester"/>
        <s v="Pittsburgh"/>
        <s v="Middleton"/>
        <s v="Seminole"/>
        <s v="Merton"/>
        <s v="Ballybofey"/>
        <s v="Castlerea"/>
        <s v="Ballisodare"/>
        <s v="Ford"/>
        <s v="San Angelo"/>
        <s v="Thorpe"/>
        <s v="Carlton"/>
        <s v="Ballinteer"/>
        <s v="Cedar Rapids"/>
        <s v="Sunnyvale"/>
        <s v="Cluain Meala"/>
        <s v="Murfreesboro"/>
        <s v="Gorey"/>
        <s v="Florence"/>
        <s v="Syracuse"/>
        <s v="Bradenton"/>
        <s v="Allentown"/>
        <s v="Hampton"/>
        <s v="Wichita"/>
        <s v="Jacksonville"/>
        <s v="Tallaght"/>
        <s v="Yonkers"/>
        <s v="Bayside"/>
        <s v="Bakersfield"/>
        <s v="Dungarvan"/>
        <s v="Young America"/>
        <s v="Fort Smith"/>
        <s v="Navan"/>
        <s v="Long Beach"/>
        <s v="Lusk"/>
        <s v="Wilmington"/>
        <s v="Garden Grove"/>
        <s v="Orlando"/>
        <s v="Clones"/>
        <s v="Stradbally"/>
        <s v="Ballina"/>
        <s v="Glasnevin"/>
        <s v="Billings"/>
        <s v="Independence"/>
        <s v="Monroe"/>
        <s v="Littleton"/>
        <s v="Joliet"/>
        <s v="Malahide"/>
        <s v="Arklow"/>
        <s v="Olympia"/>
        <s v="Twyford"/>
        <s v="New Hyde Park"/>
        <s v="Mesquite"/>
        <s v="Monticello"/>
        <s v="Largo"/>
        <s v="Foxrock"/>
        <s v="Savannah"/>
        <s v="Albuquerque"/>
        <s v="Port Saint Lucie"/>
        <s v="Omaha"/>
        <s v="Salinas"/>
        <s v="Mobile"/>
        <s v="Hollywood"/>
        <s v="Greystones"/>
        <s v="Monaghan"/>
        <s v="Kirkton"/>
        <s v="Rockford"/>
        <s v="Mullagh"/>
        <s v="Cavan"/>
        <s v="Battle Creek"/>
        <s v="Ballymun"/>
        <s v="Fairbanks"/>
        <s v="Muskegon"/>
        <s v="Sallins"/>
        <s v="Castlemartyr"/>
        <s v="Hagerstown"/>
        <s v="Crossmolina"/>
        <s v="Booterstown"/>
        <s v="Gainesville"/>
        <s v="Rathnew"/>
        <s v="Silver Spring"/>
        <s v="Conroe"/>
        <s v="Bundoran"/>
        <s v="Daytona Beach"/>
        <s v="Wirral"/>
        <m/>
      </sharedItems>
    </cacheField>
    <cacheField name="Country" numFmtId="0">
      <sharedItems containsBlank="1" count="4">
        <s v="United States"/>
        <s v="Ireland"/>
        <s v="United Kingdom"/>
        <m/>
      </sharedItems>
    </cacheField>
    <cacheField name="Loyalty Card" numFmtId="0">
      <sharedItems containsBlank="1"/>
    </cacheField>
    <cacheField name="Coffee type" numFmtId="0">
      <sharedItems containsBlank="1" count="5">
        <s v="Robusta"/>
        <s v="Excelsa"/>
        <s v="Arabica"/>
        <s v="Liberica"/>
        <m/>
      </sharedItems>
    </cacheField>
    <cacheField name="Product ID" numFmtId="0">
      <sharedItems containsBlank="1"/>
    </cacheField>
    <cacheField name="Roast type" numFmtId="0">
      <sharedItems containsBlank="1" count="4">
        <s v="Medium"/>
        <s v="Light"/>
        <s v="Dark"/>
        <m/>
      </sharedItems>
    </cacheField>
    <cacheField name="Profit" numFmtId="0">
      <sharedItems containsString="0" containsBlank="1" containsNumber="1" minValue="0.16109999999999997" maxValue="4.7391499999999995"/>
    </cacheField>
    <cacheField name="Quantity" numFmtId="0">
      <sharedItems containsString="0" containsBlank="1" containsNumber="1" containsInteger="1" minValue="1" maxValue="6"/>
    </cacheField>
    <cacheField name="Size" numFmtId="0">
      <sharedItems containsString="0" containsBlank="1" containsNumber="1" minValue="0.2" maxValue="2.5"/>
    </cacheField>
    <cacheField name="Unit Price" numFmtId="0">
      <sharedItems containsString="0" containsBlank="1" containsNumber="1" minValue="2.6849999999999996" maxValue="36.454999999999998"/>
    </cacheField>
    <cacheField name="Sales" numFmtId="0">
      <sharedItems containsString="0" containsBlank="1" containsNumber="1" minValue="2.6849999999999996" maxValue="218.73" count="198">
        <n v="19.899999999999999"/>
        <n v="41.25"/>
        <n v="12.95"/>
        <n v="27.5"/>
        <n v="54.969999999999992"/>
        <n v="38.849999999999994"/>
        <n v="21.87"/>
        <n v="4.7549999999999999"/>
        <n v="17.91"/>
        <n v="5.97"/>
        <n v="39.799999999999997"/>
        <n v="170.77499999999998"/>
        <n v="49.75"/>
        <n v="41.169999999999995"/>
        <n v="11.654999999999999"/>
        <n v="114.42499999999998"/>
        <n v="20.25"/>
        <n v="77.699999999999989"/>
        <n v="82.339999999999989"/>
        <n v="16.875"/>
        <n v="14.58"/>
        <n v="91.539999999999992"/>
        <n v="11.94"/>
        <n v="11.25"/>
        <n v="12.375"/>
        <n v="27"/>
        <n v="21.825000000000003"/>
        <n v="35.82"/>
        <n v="52.38"/>
        <n v="23.774999999999999"/>
        <n v="57.06"/>
        <n v="8.73"/>
        <n v="28.53"/>
        <n v="59.699999999999996"/>
        <n v="43.650000000000006"/>
        <n v="7.29"/>
        <n v="8.0549999999999997"/>
        <n v="72.91"/>
        <n v="16.5"/>
        <n v="178.70999999999998"/>
        <n v="63.249999999999993"/>
        <n v="7.77"/>
        <n v="15.54"/>
        <n v="145.82"/>
        <n v="29.849999999999998"/>
        <n v="72.75"/>
        <n v="47.55"/>
        <n v="10.935"/>
        <n v="59.4"/>
        <n v="89.35499999999999"/>
        <n v="26.19"/>
        <n v="26.849999999999994"/>
        <n v="6.75"/>
        <n v="7.169999999999999"/>
        <n v="9.51"/>
        <n v="2.9849999999999999"/>
        <n v="136.61999999999998"/>
        <n v="77.624999999999986"/>
        <n v="17.82"/>
        <n v="53.699999999999996"/>
        <n v="3.5849999999999995"/>
        <n v="40.5"/>
        <n v="47.8"/>
        <n v="109.36499999999999"/>
        <n v="100.39499999999998"/>
        <n v="33.75"/>
        <n v="35.849999999999994"/>
        <n v="51.8"/>
        <n v="103.49999999999999"/>
        <n v="44.55"/>
        <n v="35.64"/>
        <n v="155.24999999999997"/>
        <n v="13.5"/>
        <n v="13.095000000000001"/>
        <n v="148.92499999999998"/>
        <n v="87.300000000000011"/>
        <n v="24.3"/>
        <n v="13.365"/>
        <n v="14.55"/>
        <n v="14.339999999999998"/>
        <n v="15.85"/>
        <n v="19.02"/>
        <n v="38.04"/>
        <n v="4.125"/>
        <n v="3.8849999999999998"/>
        <n v="68.75"/>
        <n v="23.88"/>
        <n v="12.15"/>
        <n v="94.874999999999986"/>
        <n v="102.46499999999997"/>
        <n v="48.6"/>
        <n v="29.784999999999997"/>
        <n v="17.46"/>
        <n v="68.309999999999988"/>
        <n v="18.225000000000001"/>
        <n v="51.749999999999993"/>
        <n v="68.655000000000001"/>
        <n v="2.6849999999999996"/>
        <n v="61.754999999999995"/>
        <n v="123.50999999999999"/>
        <n v="218.73"/>
        <n v="33"/>
        <n v="23.31"/>
        <n v="16.11"/>
        <n v="29.16"/>
        <n v="17.899999999999999"/>
        <n v="204.92999999999995"/>
        <n v="34.154999999999994"/>
        <n v="109.93999999999998"/>
        <n v="25.9"/>
        <n v="22.274999999999999"/>
        <n v="32.22"/>
        <n v="8.25"/>
        <n v="31.08"/>
        <n v="36.450000000000003"/>
        <n v="4.4550000000000001"/>
        <n v="33.464999999999996"/>
        <n v="19.424999999999997"/>
        <n v="72.900000000000006"/>
        <n v="53.46"/>
        <n v="59.569999999999993"/>
        <n v="82.5"/>
        <n v="22.5"/>
        <n v="20.584999999999997"/>
        <n v="31.7"/>
        <n v="58.2"/>
        <n v="56.25"/>
        <n v="10.754999999999999"/>
        <n v="14.924999999999999"/>
        <n v="119.13999999999999"/>
        <n v="129.37499999999997"/>
        <n v="17.924999999999997"/>
        <n v="20.625"/>
        <n v="36.454999999999998"/>
        <n v="182.27499999999998"/>
        <n v="45.769999999999996"/>
        <n v="133.85999999999999"/>
        <n v="21.509999999999998"/>
        <n v="9.9499999999999993"/>
        <n v="28.679999999999996"/>
        <n v="27.945"/>
        <n v="139.72499999999999"/>
        <n v="27.484999999999996"/>
        <n v="59.75"/>
        <n v="71.699999999999989"/>
        <n v="25.874999999999996"/>
        <n v="89.1"/>
        <n v="5.3699999999999992"/>
        <n v="13.424999999999997"/>
        <n v="26.73"/>
        <n v="111.78"/>
        <n v="14.85"/>
        <n v="189.74999999999997"/>
        <n v="44.75"/>
        <n v="13.75"/>
        <n v="21.479999999999997"/>
        <n v="22.884999999999998"/>
        <n v="45"/>
        <n v="55.89"/>
        <n v="74.25"/>
        <n v="43.74"/>
        <n v="8.91"/>
        <n v="46.62"/>
        <n v="43.019999999999996"/>
        <n v="167.67000000000002"/>
        <n v="63.4"/>
        <n v="26.849999999999998"/>
        <n v="24.75"/>
        <n v="49.5"/>
        <n v="8.9550000000000001"/>
        <n v="137.31"/>
        <n v="83.835000000000008"/>
        <n v="200.78999999999996"/>
        <n v="67.5"/>
        <n v="66.929999999999993"/>
        <n v="10.739999999999998"/>
        <n v="31.624999999999996"/>
        <n v="126.49999999999999"/>
        <n v="23.9"/>
        <n v="95.1"/>
        <n v="79.25"/>
        <n v="14.265000000000001"/>
        <n v="102.92499999999998"/>
        <n v="164.90999999999997"/>
        <n v="60.75"/>
        <n v="82.454999999999984"/>
        <n v="3.645"/>
        <n v="137.42499999999998"/>
        <n v="64.75"/>
        <n v="4.3650000000000002"/>
        <n v="34.92"/>
        <n v="35.799999999999997"/>
        <n v="8.9499999999999993"/>
        <n v="55"/>
        <n v="29.1"/>
        <n v="29.7"/>
        <n v="158.12499999999997"/>
        <m/>
      </sharedItems>
    </cacheField>
    <cacheField name="Total profit" numFmtId="0">
      <sharedItems containsString="0" containsBlank="1" containsNumber="1" minValue="0.16109999999999997" maxValue="28.434899999999999"/>
    </cacheField>
    <cacheField name="Profit margin" numFmtId="0">
      <sharedItems containsString="0" containsBlank="1" containsNumber="1" minValue="5.9999999999999982" maxValue="13.000000000000004"/>
    </cacheField>
  </cacheFields>
  <extLst>
    <ext xmlns:x14="http://schemas.microsoft.com/office/spreadsheetml/2009/9/main" uri="{725AE2AE-9491-48be-B2B4-4EB974FC3084}">
      <x14:pivotCacheDefinition pivotCacheId="58667057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1">
  <r>
    <s v="QEV-37451-860"/>
    <d v="2019-09-05T00:00:00"/>
    <s v="05"/>
    <x v="0"/>
    <x v="0"/>
    <x v="0"/>
    <x v="0"/>
    <s v="aallner0@lulu.com"/>
    <s v="+1 (862) 817-0124"/>
    <x v="0"/>
    <x v="0"/>
    <s v="Yes"/>
    <x v="0"/>
    <s v="R-M-1"/>
    <x v="0"/>
    <n v="0.59699999999999998"/>
    <n v="2"/>
    <n v="1"/>
    <n v="9.9499999999999993"/>
    <x v="0"/>
    <n v="1.194"/>
    <n v="6.0000000000000009"/>
  </r>
  <r>
    <s v="QEV-37451-860"/>
    <d v="2019-09-05T00:00:00"/>
    <s v="05"/>
    <x v="0"/>
    <x v="0"/>
    <x v="0"/>
    <x v="0"/>
    <s v="aallner0@lulu.com"/>
    <s v="+1 (862) 817-0124"/>
    <x v="0"/>
    <x v="0"/>
    <s v="Yes"/>
    <x v="1"/>
    <s v="E-M-0.5"/>
    <x v="0"/>
    <n v="0.90749999999999997"/>
    <n v="5"/>
    <n v="0.5"/>
    <n v="8.25"/>
    <x v="1"/>
    <n v="4.5374999999999996"/>
    <n v="10.999999999999998"/>
  </r>
  <r>
    <s v="FAA-43335-268"/>
    <d v="2021-06-17T00:00:00"/>
    <s v="17"/>
    <x v="1"/>
    <x v="1"/>
    <x v="1"/>
    <x v="1"/>
    <s v="jredholes2@tmall.com"/>
    <s v="+1 (210) 986-6806"/>
    <x v="1"/>
    <x v="0"/>
    <s v="Yes"/>
    <x v="2"/>
    <s v="A-L-1"/>
    <x v="1"/>
    <n v="1.1655"/>
    <n v="1"/>
    <n v="1"/>
    <n v="12.95"/>
    <x v="2"/>
    <n v="1.1655"/>
    <n v="9"/>
  </r>
  <r>
    <s v="KAC-83089-793"/>
    <d v="2021-07-15T00:00:00"/>
    <s v="15"/>
    <x v="2"/>
    <x v="1"/>
    <x v="2"/>
    <x v="2"/>
    <n v="0"/>
    <s v="+353 (698) 362-9201"/>
    <x v="2"/>
    <x v="1"/>
    <s v="No"/>
    <x v="1"/>
    <s v="E-M-1"/>
    <x v="0"/>
    <n v="1.5125"/>
    <n v="2"/>
    <n v="1"/>
    <n v="13.75"/>
    <x v="3"/>
    <n v="3.0249999999999999"/>
    <n v="11"/>
  </r>
  <r>
    <s v="KAC-83089-793"/>
    <d v="2021-07-15T00:00:00"/>
    <s v="15"/>
    <x v="2"/>
    <x v="1"/>
    <x v="2"/>
    <x v="2"/>
    <n v="0"/>
    <s v="+353 (698) 362-9201"/>
    <x v="2"/>
    <x v="1"/>
    <s v="No"/>
    <x v="0"/>
    <s v="R-L-2.5"/>
    <x v="1"/>
    <n v="1.6490999999999998"/>
    <n v="2"/>
    <n v="2.5"/>
    <n v="27.484999999999996"/>
    <x v="4"/>
    <n v="3.2981999999999996"/>
    <n v="6.0000000000000009"/>
  </r>
  <r>
    <s v="CVP-18956-553"/>
    <d v="2021-08-04T00:00:00"/>
    <s v="04"/>
    <x v="3"/>
    <x v="1"/>
    <x v="3"/>
    <x v="3"/>
    <n v="0"/>
    <s v="+1 (570) 289-7473"/>
    <x v="3"/>
    <x v="0"/>
    <s v="No"/>
    <x v="3"/>
    <s v="L-D-1"/>
    <x v="2"/>
    <n v="1.6835"/>
    <n v="3"/>
    <n v="1"/>
    <n v="12.95"/>
    <x v="5"/>
    <n v="5.0504999999999995"/>
    <n v="13"/>
  </r>
  <r>
    <s v="IPP-31994-879"/>
    <d v="2022-01-21T00:00:00"/>
    <s v="21"/>
    <x v="4"/>
    <x v="2"/>
    <x v="4"/>
    <x v="4"/>
    <s v="slobe6@nifty.com"/>
    <s v="+1 (937) 954-4541"/>
    <x v="4"/>
    <x v="0"/>
    <s v="Yes"/>
    <x v="1"/>
    <s v="E-D-0.5"/>
    <x v="2"/>
    <n v="0.80190000000000006"/>
    <n v="3"/>
    <n v="0.5"/>
    <n v="7.29"/>
    <x v="6"/>
    <n v="2.4057000000000004"/>
    <n v="11.000000000000002"/>
  </r>
  <r>
    <s v="SNZ-65340-705"/>
    <d v="2022-05-20T00:00:00"/>
    <s v="20"/>
    <x v="5"/>
    <x v="2"/>
    <x v="5"/>
    <x v="5"/>
    <n v="0"/>
    <s v="+353 (507) 574-3034"/>
    <x v="5"/>
    <x v="1"/>
    <s v="Yes"/>
    <x v="3"/>
    <s v="L-L-0.2"/>
    <x v="1"/>
    <n v="0.61814999999999998"/>
    <n v="1"/>
    <n v="0.2"/>
    <n v="4.7549999999999999"/>
    <x v="7"/>
    <n v="0.61814999999999998"/>
    <n v="13"/>
  </r>
  <r>
    <s v="EZT-46571-659"/>
    <d v="2019-01-02T00:00:00"/>
    <s v="02"/>
    <x v="4"/>
    <x v="0"/>
    <x v="6"/>
    <x v="6"/>
    <s v="gpetracci8@livejournal.com"/>
    <s v="+1 (310) 868-1842"/>
    <x v="6"/>
    <x v="0"/>
    <s v="No"/>
    <x v="0"/>
    <s v="R-M-0.5"/>
    <x v="0"/>
    <n v="0.35819999999999996"/>
    <n v="3"/>
    <n v="0.5"/>
    <n v="5.97"/>
    <x v="8"/>
    <n v="1.0745999999999998"/>
    <n v="5.9999999999999982"/>
  </r>
  <r>
    <s v="NWQ-70061-912"/>
    <d v="2019-09-05T00:00:00"/>
    <s v="05"/>
    <x v="0"/>
    <x v="0"/>
    <x v="7"/>
    <x v="7"/>
    <s v="rraven9@ed.gov"/>
    <s v="+1 (213) 263-0288"/>
    <x v="6"/>
    <x v="0"/>
    <s v="No"/>
    <x v="0"/>
    <s v="R-M-0.5"/>
    <x v="0"/>
    <n v="0.35819999999999996"/>
    <n v="1"/>
    <n v="0.5"/>
    <n v="5.97"/>
    <x v="9"/>
    <n v="0.35819999999999996"/>
    <n v="6"/>
  </r>
  <r>
    <s v="BKK-47233-845"/>
    <d v="2021-03-08T00:00:00"/>
    <s v="08"/>
    <x v="6"/>
    <x v="1"/>
    <x v="8"/>
    <x v="8"/>
    <s v="fferbera@businesswire.com"/>
    <s v="+1 (408) 383-5302"/>
    <x v="7"/>
    <x v="0"/>
    <s v="No"/>
    <x v="2"/>
    <s v="A-D-1"/>
    <x v="2"/>
    <n v="0.89549999999999985"/>
    <n v="4"/>
    <n v="1"/>
    <n v="9.9499999999999993"/>
    <x v="10"/>
    <n v="3.5819999999999994"/>
    <n v="9"/>
  </r>
  <r>
    <s v="VQR-01002-970"/>
    <d v="2020-10-28T00:00:00"/>
    <s v="28"/>
    <x v="7"/>
    <x v="3"/>
    <x v="9"/>
    <x v="9"/>
    <s v="dphizackerlyb@utexas.edu"/>
    <s v="+1 (408) 533-6012"/>
    <x v="7"/>
    <x v="0"/>
    <s v="Yes"/>
    <x v="1"/>
    <s v="E-L-2.5"/>
    <x v="1"/>
    <n v="3.7570499999999996"/>
    <n v="5"/>
    <n v="2.5"/>
    <n v="34.154999999999994"/>
    <x v="11"/>
    <n v="18.785249999999998"/>
    <n v="11"/>
  </r>
  <r>
    <s v="SZW-48378-399"/>
    <d v="2022-07-02T00:00:00"/>
    <s v="02"/>
    <x v="2"/>
    <x v="2"/>
    <x v="10"/>
    <x v="10"/>
    <s v="rscholarc@nyu.edu"/>
    <s v="+1 (804) 420-0420"/>
    <x v="8"/>
    <x v="0"/>
    <s v="No"/>
    <x v="0"/>
    <s v="R-M-1"/>
    <x v="0"/>
    <n v="0.59699999999999998"/>
    <n v="5"/>
    <n v="1"/>
    <n v="9.9499999999999993"/>
    <x v="12"/>
    <n v="2.9849999999999999"/>
    <n v="6"/>
  </r>
  <r>
    <s v="ITA-87418-783"/>
    <d v="2020-05-22T00:00:00"/>
    <s v="22"/>
    <x v="5"/>
    <x v="3"/>
    <x v="11"/>
    <x v="11"/>
    <s v="tvanyutind@wix.com"/>
    <n v="0"/>
    <x v="9"/>
    <x v="0"/>
    <s v="No"/>
    <x v="0"/>
    <s v="R-D-2.5"/>
    <x v="2"/>
    <n v="1.2350999999999999"/>
    <n v="2"/>
    <n v="2.5"/>
    <n v="20.584999999999997"/>
    <x v="13"/>
    <n v="2.4701999999999997"/>
    <n v="6.0000000000000009"/>
  </r>
  <r>
    <s v="GNZ-46006-527"/>
    <d v="2022-04-05T00:00:00"/>
    <s v="05"/>
    <x v="8"/>
    <x v="2"/>
    <x v="12"/>
    <x v="12"/>
    <s v="ptrobee@wunderground.com"/>
    <s v="+1 (314) 240-7896"/>
    <x v="10"/>
    <x v="0"/>
    <s v="Yes"/>
    <x v="3"/>
    <s v="L-D-0.2"/>
    <x v="2"/>
    <n v="0.50505"/>
    <n v="3"/>
    <n v="0.2"/>
    <n v="3.8849999999999998"/>
    <x v="14"/>
    <n v="1.51515"/>
    <n v="13"/>
  </r>
  <r>
    <s v="FYQ-78248-319"/>
    <d v="2022-06-07T00:00:00"/>
    <s v="07"/>
    <x v="1"/>
    <x v="2"/>
    <x v="13"/>
    <x v="13"/>
    <s v="loscroftf@ebay.co.uk"/>
    <n v="0"/>
    <x v="11"/>
    <x v="0"/>
    <s v="No"/>
    <x v="0"/>
    <s v="R-M-2.5"/>
    <x v="0"/>
    <n v="1.3730999999999998"/>
    <n v="5"/>
    <n v="2.5"/>
    <n v="22.884999999999998"/>
    <x v="15"/>
    <n v="6.865499999999999"/>
    <n v="6"/>
  </r>
  <r>
    <s v="VAU-44387-624"/>
    <d v="2019-03-20T00:00:00"/>
    <s v="20"/>
    <x v="6"/>
    <x v="0"/>
    <x v="14"/>
    <x v="14"/>
    <s v="malabasterg@hexun.com"/>
    <s v="+1 (971) 483-6255"/>
    <x v="12"/>
    <x v="0"/>
    <s v="No"/>
    <x v="2"/>
    <s v="A-M-0.2"/>
    <x v="0"/>
    <n v="0.30374999999999996"/>
    <n v="6"/>
    <n v="0.2"/>
    <n v="3.375"/>
    <x v="16"/>
    <n v="1.8224999999999998"/>
    <n v="8.9999999999999982"/>
  </r>
  <r>
    <s v="RDW-33155-159"/>
    <d v="2019-10-19T00:00:00"/>
    <s v="19"/>
    <x v="7"/>
    <x v="0"/>
    <x v="15"/>
    <x v="15"/>
    <s v="rbroxuph@jimdo.com"/>
    <s v="+1 (713) 663-1338"/>
    <x v="13"/>
    <x v="0"/>
    <s v="No"/>
    <x v="2"/>
    <s v="A-L-1"/>
    <x v="1"/>
    <n v="1.1655"/>
    <n v="6"/>
    <n v="1"/>
    <n v="12.95"/>
    <x v="17"/>
    <n v="6.9930000000000003"/>
    <n v="9.0000000000000018"/>
  </r>
  <r>
    <s v="TDZ-59011-211"/>
    <d v="2019-06-13T00:00:00"/>
    <s v="13"/>
    <x v="1"/>
    <x v="0"/>
    <x v="16"/>
    <x v="16"/>
    <s v="predfordi@ow.ly"/>
    <n v="0"/>
    <x v="14"/>
    <x v="1"/>
    <s v="Yes"/>
    <x v="0"/>
    <s v="R-D-2.5"/>
    <x v="2"/>
    <n v="1.2350999999999999"/>
    <n v="4"/>
    <n v="2.5"/>
    <n v="20.584999999999997"/>
    <x v="18"/>
    <n v="4.9403999999999995"/>
    <n v="6.0000000000000009"/>
  </r>
  <r>
    <s v="IDU-25793-399"/>
    <d v="2020-12-04T00:00:00"/>
    <s v="04"/>
    <x v="9"/>
    <x v="3"/>
    <x v="17"/>
    <x v="17"/>
    <s v="acorradinoj@harvard.edu"/>
    <s v="+1 (646) 202-5965"/>
    <x v="15"/>
    <x v="0"/>
    <s v="Yes"/>
    <x v="2"/>
    <s v="A-M-0.2"/>
    <x v="0"/>
    <n v="0.30374999999999996"/>
    <n v="5"/>
    <n v="0.2"/>
    <n v="3.375"/>
    <x v="19"/>
    <n v="1.5187499999999998"/>
    <n v="8.9999999999999982"/>
  </r>
  <r>
    <s v="IDU-25793-399"/>
    <d v="2020-12-04T00:00:00"/>
    <s v="04"/>
    <x v="9"/>
    <x v="3"/>
    <x v="17"/>
    <x v="17"/>
    <s v="acorradinoj@harvard.edu"/>
    <s v="+1 (646) 202-5965"/>
    <x v="15"/>
    <x v="0"/>
    <s v="Yes"/>
    <x v="1"/>
    <s v="E-D-0.2"/>
    <x v="2"/>
    <n v="0.40095000000000003"/>
    <n v="4"/>
    <n v="0.2"/>
    <n v="3.645"/>
    <x v="20"/>
    <n v="1.6038000000000001"/>
    <n v="11"/>
  </r>
  <r>
    <s v="NUO-20013-488"/>
    <d v="2020-12-04T00:00:00"/>
    <s v="04"/>
    <x v="9"/>
    <x v="3"/>
    <x v="18"/>
    <x v="18"/>
    <s v="adavidowskyl@netvibes.com"/>
    <s v="+1 (616) 481-9962"/>
    <x v="16"/>
    <x v="0"/>
    <s v="No"/>
    <x v="2"/>
    <s v="A-D-0.2"/>
    <x v="2"/>
    <n v="0.26865"/>
    <n v="6"/>
    <n v="0.2"/>
    <n v="2.9849999999999999"/>
    <x v="8"/>
    <n v="1.6118999999999999"/>
    <n v="9"/>
  </r>
  <r>
    <s v="UQU-65630-479"/>
    <d v="2021-01-22T00:00:00"/>
    <s v="22"/>
    <x v="4"/>
    <x v="1"/>
    <x v="19"/>
    <x v="19"/>
    <s v="aantukm@kickstarter.com"/>
    <s v="+1 (941) 740-6268"/>
    <x v="17"/>
    <x v="0"/>
    <s v="Yes"/>
    <x v="0"/>
    <s v="R-M-2.5"/>
    <x v="0"/>
    <n v="1.3730999999999998"/>
    <n v="4"/>
    <n v="2.5"/>
    <n v="22.884999999999998"/>
    <x v="21"/>
    <n v="5.4923999999999991"/>
    <n v="6"/>
  </r>
  <r>
    <s v="FEO-11834-332"/>
    <d v="2022-02-11T00:00:00"/>
    <s v="11"/>
    <x v="10"/>
    <x v="2"/>
    <x v="20"/>
    <x v="20"/>
    <s v="ikleinertn@timesonline.co.uk"/>
    <s v="+1 (360) 352-6598"/>
    <x v="18"/>
    <x v="0"/>
    <s v="Yes"/>
    <x v="2"/>
    <s v="A-D-0.2"/>
    <x v="2"/>
    <n v="0.26865"/>
    <n v="4"/>
    <n v="0.2"/>
    <n v="2.9849999999999999"/>
    <x v="22"/>
    <n v="1.0746"/>
    <n v="9.0000000000000018"/>
  </r>
  <r>
    <s v="TKY-71558-096"/>
    <d v="2021-09-15T00:00:00"/>
    <s v="15"/>
    <x v="0"/>
    <x v="1"/>
    <x v="21"/>
    <x v="21"/>
    <s v="cblofeldo@amazon.co.uk"/>
    <s v="+1 (303) 936-3357"/>
    <x v="19"/>
    <x v="0"/>
    <s v="No"/>
    <x v="2"/>
    <s v="A-M-1"/>
    <x v="0"/>
    <n v="1.0125"/>
    <n v="1"/>
    <n v="1"/>
    <n v="11.25"/>
    <x v="23"/>
    <n v="1.0125"/>
    <n v="9"/>
  </r>
  <r>
    <s v="OXY-65322-253"/>
    <d v="2020-10-24T00:00:00"/>
    <s v="24"/>
    <x v="7"/>
    <x v="3"/>
    <x v="22"/>
    <x v="22"/>
    <n v="0"/>
    <s v="+1 (941) 267-4822"/>
    <x v="17"/>
    <x v="0"/>
    <s v="Yes"/>
    <x v="1"/>
    <s v="E-M-0.2"/>
    <x v="0"/>
    <n v="0.45374999999999999"/>
    <n v="3"/>
    <n v="0.2"/>
    <n v="4.125"/>
    <x v="24"/>
    <n v="1.3612500000000001"/>
    <n v="11"/>
  </r>
  <r>
    <s v="EVP-43500-491"/>
    <d v="2019-02-20T00:00:00"/>
    <s v="20"/>
    <x v="10"/>
    <x v="0"/>
    <x v="23"/>
    <x v="23"/>
    <s v="sshalesq@umich.edu"/>
    <s v="+1 (707) 881-5004"/>
    <x v="20"/>
    <x v="0"/>
    <s v="Yes"/>
    <x v="2"/>
    <s v="A-M-0.5"/>
    <x v="0"/>
    <n v="0.60749999999999993"/>
    <n v="4"/>
    <n v="0.5"/>
    <n v="6.75"/>
    <x v="25"/>
    <n v="2.4299999999999997"/>
    <n v="8.9999999999999982"/>
  </r>
  <r>
    <s v="WAG-26945-689"/>
    <d v="2019-10-08T00:00:00"/>
    <s v="08"/>
    <x v="7"/>
    <x v="0"/>
    <x v="24"/>
    <x v="24"/>
    <s v="vdanneilr@mtv.com"/>
    <s v="+353 (751) 346-0399"/>
    <x v="21"/>
    <x v="1"/>
    <s v="No"/>
    <x v="2"/>
    <s v="A-M-0.2"/>
    <x v="0"/>
    <n v="0.30374999999999996"/>
    <n v="5"/>
    <n v="0.2"/>
    <n v="3.375"/>
    <x v="19"/>
    <n v="1.5187499999999998"/>
    <n v="8.9999999999999982"/>
  </r>
  <r>
    <s v="CHE-78995-767"/>
    <d v="2022-08-02T00:00:00"/>
    <s v="02"/>
    <x v="3"/>
    <x v="2"/>
    <x v="25"/>
    <x v="25"/>
    <s v="tnewburys@usda.gov"/>
    <s v="+353 (803) 587-0026"/>
    <x v="22"/>
    <x v="1"/>
    <s v="No"/>
    <x v="2"/>
    <s v="A-D-0.5"/>
    <x v="2"/>
    <n v="0.5373"/>
    <n v="3"/>
    <n v="0.5"/>
    <n v="5.97"/>
    <x v="8"/>
    <n v="1.6118999999999999"/>
    <n v="9"/>
  </r>
  <r>
    <s v="RYZ-14633-602"/>
    <d v="2019-02-20T00:00:00"/>
    <s v="20"/>
    <x v="10"/>
    <x v="0"/>
    <x v="26"/>
    <x v="26"/>
    <s v="mcalcuttt@baidu.com"/>
    <s v="+353 (928) 869-1762"/>
    <x v="23"/>
    <x v="1"/>
    <s v="Yes"/>
    <x v="2"/>
    <s v="A-D-1"/>
    <x v="2"/>
    <n v="0.89549999999999985"/>
    <n v="4"/>
    <n v="1"/>
    <n v="9.9499999999999993"/>
    <x v="10"/>
    <n v="3.5819999999999994"/>
    <n v="9"/>
  </r>
  <r>
    <s v="WOQ-36015-429"/>
    <d v="2021-09-25T00:00:00"/>
    <s v="25"/>
    <x v="0"/>
    <x v="1"/>
    <x v="27"/>
    <x v="27"/>
    <n v="0"/>
    <s v="+1 (303) 486-9517"/>
    <x v="24"/>
    <x v="0"/>
    <s v="No"/>
    <x v="3"/>
    <s v="L-M-0.2"/>
    <x v="0"/>
    <n v="0.56745000000000001"/>
    <n v="5"/>
    <n v="0.2"/>
    <n v="4.3650000000000002"/>
    <x v="26"/>
    <n v="2.83725"/>
    <n v="12.999999999999998"/>
  </r>
  <r>
    <s v="WOQ-36015-429"/>
    <d v="2021-09-25T00:00:00"/>
    <s v="25"/>
    <x v="0"/>
    <x v="1"/>
    <x v="27"/>
    <x v="27"/>
    <n v="0"/>
    <s v="+1 (303) 486-9517"/>
    <x v="24"/>
    <x v="0"/>
    <s v="No"/>
    <x v="2"/>
    <s v="A-D-0.5"/>
    <x v="2"/>
    <n v="0.5373"/>
    <n v="6"/>
    <n v="0.5"/>
    <n v="5.97"/>
    <x v="27"/>
    <n v="3.2237999999999998"/>
    <n v="9"/>
  </r>
  <r>
    <s v="WOQ-36015-429"/>
    <d v="2021-09-25T00:00:00"/>
    <s v="25"/>
    <x v="0"/>
    <x v="1"/>
    <x v="27"/>
    <x v="27"/>
    <n v="0"/>
    <s v="+1 (303) 486-9517"/>
    <x v="24"/>
    <x v="0"/>
    <s v="No"/>
    <x v="3"/>
    <s v="L-M-0.5"/>
    <x v="0"/>
    <n v="1.1349"/>
    <n v="6"/>
    <n v="0.5"/>
    <n v="8.73"/>
    <x v="28"/>
    <n v="6.8094000000000001"/>
    <n v="13"/>
  </r>
  <r>
    <s v="SCT-60553-454"/>
    <d v="2021-07-17T00:00:00"/>
    <s v="17"/>
    <x v="2"/>
    <x v="1"/>
    <x v="28"/>
    <x v="28"/>
    <s v="ggatheralx@123-reg.co.uk"/>
    <n v="0"/>
    <x v="25"/>
    <x v="0"/>
    <s v="No"/>
    <x v="3"/>
    <s v="L-L-0.2"/>
    <x v="1"/>
    <n v="0.61814999999999998"/>
    <n v="5"/>
    <n v="0.2"/>
    <n v="4.7549999999999999"/>
    <x v="29"/>
    <n v="3.0907499999999999"/>
    <n v="13"/>
  </r>
  <r>
    <s v="GFK-52063-244"/>
    <d v="2020-06-29T00:00:00"/>
    <s v="29"/>
    <x v="1"/>
    <x v="3"/>
    <x v="29"/>
    <x v="29"/>
    <s v="uwelberryy@ebay.co.uk"/>
    <s v="+44 (392) 503-8132"/>
    <x v="26"/>
    <x v="2"/>
    <s v="Yes"/>
    <x v="3"/>
    <s v="L-L-0.5"/>
    <x v="1"/>
    <n v="1.2363"/>
    <n v="6"/>
    <n v="0.5"/>
    <n v="9.51"/>
    <x v="30"/>
    <n v="7.4177999999999997"/>
    <n v="12.999999999999998"/>
  </r>
  <r>
    <s v="AMM-79521-378"/>
    <d v="2021-06-01T00:00:00"/>
    <s v="01"/>
    <x v="1"/>
    <x v="1"/>
    <x v="30"/>
    <x v="30"/>
    <s v="feilhartz@who.int"/>
    <s v="+1 (304) 510-6095"/>
    <x v="27"/>
    <x v="0"/>
    <s v="No"/>
    <x v="2"/>
    <s v="A-D-0.5"/>
    <x v="2"/>
    <n v="0.5373"/>
    <n v="6"/>
    <n v="0.5"/>
    <n v="5.97"/>
    <x v="27"/>
    <n v="3.2237999999999998"/>
    <n v="9"/>
  </r>
  <r>
    <s v="QUQ-90580-772"/>
    <d v="2021-02-06T00:00:00"/>
    <s v="06"/>
    <x v="10"/>
    <x v="1"/>
    <x v="31"/>
    <x v="31"/>
    <s v="zponting10@altervista.org"/>
    <s v="+1 (501) 172-1476"/>
    <x v="28"/>
    <x v="0"/>
    <s v="No"/>
    <x v="3"/>
    <s v="L-M-0.2"/>
    <x v="0"/>
    <n v="0.56745000000000001"/>
    <n v="2"/>
    <n v="0.2"/>
    <n v="4.3650000000000002"/>
    <x v="31"/>
    <n v="1.1349"/>
    <n v="13"/>
  </r>
  <r>
    <s v="LGD-24408-274"/>
    <d v="2019-04-25T00:00:00"/>
    <s v="25"/>
    <x v="8"/>
    <x v="0"/>
    <x v="32"/>
    <x v="32"/>
    <s v="sstrase11@booking.com"/>
    <s v="+1 (303) 579-8015"/>
    <x v="29"/>
    <x v="0"/>
    <s v="No"/>
    <x v="3"/>
    <s v="L-L-0.5"/>
    <x v="1"/>
    <n v="1.2363"/>
    <n v="3"/>
    <n v="0.5"/>
    <n v="9.51"/>
    <x v="32"/>
    <n v="3.7088999999999999"/>
    <n v="12.999999999999998"/>
  </r>
  <r>
    <s v="HCT-95608-959"/>
    <d v="2020-04-25T00:00:00"/>
    <s v="25"/>
    <x v="8"/>
    <x v="3"/>
    <x v="33"/>
    <x v="33"/>
    <s v="dde12@unesco.org"/>
    <s v="+1 (612) 492-5160"/>
    <x v="30"/>
    <x v="0"/>
    <s v="No"/>
    <x v="0"/>
    <s v="R-M-2.5"/>
    <x v="0"/>
    <n v="1.3730999999999998"/>
    <n v="5"/>
    <n v="2.5"/>
    <n v="22.884999999999998"/>
    <x v="15"/>
    <n v="6.865499999999999"/>
    <n v="6"/>
  </r>
  <r>
    <s v="OFX-99147-470"/>
    <d v="2021-11-24T00:00:00"/>
    <s v="24"/>
    <x v="11"/>
    <x v="1"/>
    <x v="34"/>
    <x v="34"/>
    <n v="0"/>
    <n v="0"/>
    <x v="31"/>
    <x v="0"/>
    <s v="Yes"/>
    <x v="0"/>
    <s v="R-M-1"/>
    <x v="0"/>
    <n v="0.59699999999999998"/>
    <n v="6"/>
    <n v="1"/>
    <n v="9.9499999999999993"/>
    <x v="33"/>
    <n v="3.5819999999999999"/>
    <n v="6.0000000000000009"/>
  </r>
  <r>
    <s v="LUO-37559-016"/>
    <d v="2021-04-19T00:00:00"/>
    <s v="19"/>
    <x v="8"/>
    <x v="1"/>
    <x v="35"/>
    <x v="35"/>
    <n v="0"/>
    <s v="+1 (504) 545-1478"/>
    <x v="32"/>
    <x v="0"/>
    <s v="No"/>
    <x v="3"/>
    <s v="L-M-1"/>
    <x v="0"/>
    <n v="1.8915000000000002"/>
    <n v="3"/>
    <n v="1"/>
    <n v="14.55"/>
    <x v="34"/>
    <n v="5.6745000000000001"/>
    <n v="12.999999999999998"/>
  </r>
  <r>
    <s v="XWC-20610-167"/>
    <d v="2022-07-07T00:00:00"/>
    <s v="07"/>
    <x v="2"/>
    <x v="2"/>
    <x v="36"/>
    <x v="36"/>
    <s v="lyeoland15@pbs.org"/>
    <s v="+1 (860) 576-2887"/>
    <x v="33"/>
    <x v="0"/>
    <s v="Yes"/>
    <x v="1"/>
    <s v="E-D-0.2"/>
    <x v="2"/>
    <n v="0.40095000000000003"/>
    <n v="2"/>
    <n v="0.2"/>
    <n v="3.645"/>
    <x v="35"/>
    <n v="0.80190000000000006"/>
    <n v="11"/>
  </r>
  <r>
    <s v="GPU-79113-136"/>
    <d v="2019-05-22T00:00:00"/>
    <s v="22"/>
    <x v="5"/>
    <x v="0"/>
    <x v="37"/>
    <x v="37"/>
    <s v="atolworthy16@toplist.cz"/>
    <s v="+1 (801) 722-4425"/>
    <x v="34"/>
    <x v="0"/>
    <s v="Yes"/>
    <x v="0"/>
    <s v="R-D-0.2"/>
    <x v="2"/>
    <n v="0.16109999999999997"/>
    <n v="3"/>
    <n v="0.2"/>
    <n v="2.6849999999999996"/>
    <x v="36"/>
    <n v="0.4832999999999999"/>
    <n v="5.9999999999999991"/>
  </r>
  <r>
    <s v="ULR-52653-960"/>
    <d v="2021-10-04T00:00:00"/>
    <s v="04"/>
    <x v="7"/>
    <x v="1"/>
    <x v="38"/>
    <x v="38"/>
    <n v="0"/>
    <s v="+1 (617) 493-7594"/>
    <x v="35"/>
    <x v="0"/>
    <s v="No"/>
    <x v="3"/>
    <s v="L-L-2.5"/>
    <x v="1"/>
    <n v="4.7391499999999995"/>
    <n v="2"/>
    <n v="2.5"/>
    <n v="36.454999999999998"/>
    <x v="37"/>
    <n v="9.4782999999999991"/>
    <n v="13"/>
  </r>
  <r>
    <s v="HPI-42308-142"/>
    <d v="2020-04-11T00:00:00"/>
    <s v="11"/>
    <x v="8"/>
    <x v="3"/>
    <x v="39"/>
    <x v="39"/>
    <s v="obaudassi18@seesaa.net"/>
    <s v="+1 (585) 356-6251"/>
    <x v="36"/>
    <x v="0"/>
    <s v="Yes"/>
    <x v="1"/>
    <s v="E-M-0.5"/>
    <x v="0"/>
    <n v="0.90749999999999997"/>
    <n v="2"/>
    <n v="0.5"/>
    <n v="8.25"/>
    <x v="38"/>
    <n v="1.8149999999999999"/>
    <n v="11"/>
  </r>
  <r>
    <s v="XHI-30227-581"/>
    <d v="2022-01-31T00:00:00"/>
    <s v="31"/>
    <x v="4"/>
    <x v="2"/>
    <x v="40"/>
    <x v="40"/>
    <s v="pkingsbury19@comcast.net"/>
    <s v="+1 (917) 705-8224"/>
    <x v="37"/>
    <x v="0"/>
    <s v="No"/>
    <x v="3"/>
    <s v="L-D-2.5"/>
    <x v="2"/>
    <n v="3.8720499999999998"/>
    <n v="6"/>
    <n v="2.5"/>
    <n v="29.784999999999997"/>
    <x v="39"/>
    <n v="23.232299999999999"/>
    <n v="13"/>
  </r>
  <r>
    <s v="DJH-05202-380"/>
    <d v="2019-11-07T00:00:00"/>
    <s v="07"/>
    <x v="11"/>
    <x v="0"/>
    <x v="41"/>
    <x v="41"/>
    <n v="0"/>
    <s v="+1 (205) 923-1460"/>
    <x v="38"/>
    <x v="0"/>
    <s v="Yes"/>
    <x v="1"/>
    <s v="E-M-2.5"/>
    <x v="0"/>
    <n v="3.4787499999999998"/>
    <n v="2"/>
    <n v="2.5"/>
    <n v="31.624999999999996"/>
    <x v="40"/>
    <n v="6.9574999999999996"/>
    <n v="11"/>
  </r>
  <r>
    <s v="VMW-26889-781"/>
    <d v="2019-06-28T00:00:00"/>
    <s v="28"/>
    <x v="1"/>
    <x v="0"/>
    <x v="42"/>
    <x v="42"/>
    <s v="acurley1b@hao123.com"/>
    <s v="+1 (760) 840-3808"/>
    <x v="39"/>
    <x v="0"/>
    <s v="Yes"/>
    <x v="2"/>
    <s v="A-L-0.2"/>
    <x v="1"/>
    <n v="0.34964999999999996"/>
    <n v="2"/>
    <n v="0.2"/>
    <n v="3.8849999999999998"/>
    <x v="41"/>
    <n v="0.69929999999999992"/>
    <n v="9"/>
  </r>
  <r>
    <s v="DBU-81099-586"/>
    <d v="2020-09-11T00:00:00"/>
    <s v="11"/>
    <x v="0"/>
    <x v="3"/>
    <x v="43"/>
    <x v="43"/>
    <s v="rmcgilvary1c@tamu.edu"/>
    <n v="0"/>
    <x v="40"/>
    <x v="0"/>
    <s v="No"/>
    <x v="2"/>
    <s v="A-D-2.5"/>
    <x v="2"/>
    <n v="2.0596499999999995"/>
    <n v="4"/>
    <n v="2.5"/>
    <n v="22.884999999999998"/>
    <x v="21"/>
    <n v="8.2385999999999981"/>
    <n v="8.9999999999999982"/>
  </r>
  <r>
    <s v="PQA-54820-810"/>
    <d v="2022-08-17T00:00:00"/>
    <s v="17"/>
    <x v="3"/>
    <x v="2"/>
    <x v="44"/>
    <x v="44"/>
    <s v="ipikett1d@xinhuanet.com"/>
    <s v="+1 (202) 871-9039"/>
    <x v="41"/>
    <x v="0"/>
    <s v="No"/>
    <x v="2"/>
    <s v="A-L-1"/>
    <x v="1"/>
    <n v="1.1655"/>
    <n v="3"/>
    <n v="1"/>
    <n v="12.95"/>
    <x v="5"/>
    <n v="3.4965000000000002"/>
    <n v="9.0000000000000018"/>
  </r>
  <r>
    <s v="XKB-41924-202"/>
    <d v="2022-08-19T00:00:00"/>
    <s v="19"/>
    <x v="3"/>
    <x v="2"/>
    <x v="45"/>
    <x v="45"/>
    <s v="ibouldon1e@gizmodo.com"/>
    <s v="+1 (754) 391-4736"/>
    <x v="42"/>
    <x v="0"/>
    <s v="No"/>
    <x v="3"/>
    <s v="L-D-0.5"/>
    <x v="2"/>
    <n v="1.0101"/>
    <n v="2"/>
    <n v="0.5"/>
    <n v="7.77"/>
    <x v="42"/>
    <n v="2.0202"/>
    <n v="13"/>
  </r>
  <r>
    <s v="DWZ-69106-473"/>
    <d v="2019-05-15T00:00:00"/>
    <s v="15"/>
    <x v="5"/>
    <x v="0"/>
    <x v="46"/>
    <x v="46"/>
    <s v="kflanders1f@over-blog.com"/>
    <s v="+353 (467) 720-7274"/>
    <x v="43"/>
    <x v="1"/>
    <s v="Yes"/>
    <x v="3"/>
    <s v="L-L-2.5"/>
    <x v="1"/>
    <n v="4.7391499999999995"/>
    <n v="4"/>
    <n v="2.5"/>
    <n v="36.454999999999998"/>
    <x v="43"/>
    <n v="18.956599999999998"/>
    <n v="13"/>
  </r>
  <r>
    <s v="YHV-68700-050"/>
    <d v="2019-09-11T00:00:00"/>
    <s v="11"/>
    <x v="0"/>
    <x v="0"/>
    <x v="47"/>
    <x v="47"/>
    <s v="hmattioli1g@webmd.com"/>
    <n v="0"/>
    <x v="44"/>
    <x v="2"/>
    <s v="No"/>
    <x v="0"/>
    <s v="R-M-0.5"/>
    <x v="0"/>
    <n v="0.35819999999999996"/>
    <n v="5"/>
    <n v="0.5"/>
    <n v="5.97"/>
    <x v="44"/>
    <n v="1.7909999999999999"/>
    <n v="6.0000000000000009"/>
  </r>
  <r>
    <s v="YHV-68700-050"/>
    <d v="2019-09-11T00:00:00"/>
    <s v="11"/>
    <x v="0"/>
    <x v="0"/>
    <x v="47"/>
    <x v="47"/>
    <s v="hmattioli1g@webmd.com"/>
    <n v="0"/>
    <x v="44"/>
    <x v="2"/>
    <s v="No"/>
    <x v="3"/>
    <s v="L-L-2.5"/>
    <x v="1"/>
    <n v="4.7391499999999995"/>
    <n v="2"/>
    <n v="2.5"/>
    <n v="36.454999999999998"/>
    <x v="37"/>
    <n v="9.4782999999999991"/>
    <n v="13"/>
  </r>
  <r>
    <s v="KRB-88066-642"/>
    <d v="2021-03-16T00:00:00"/>
    <s v="16"/>
    <x v="6"/>
    <x v="1"/>
    <x v="48"/>
    <x v="48"/>
    <s v="agillard1i@issuu.com"/>
    <s v="+1 (419) 663-2236"/>
    <x v="45"/>
    <x v="0"/>
    <s v="No"/>
    <x v="3"/>
    <s v="L-M-1"/>
    <x v="0"/>
    <n v="1.8915000000000002"/>
    <n v="5"/>
    <n v="1"/>
    <n v="14.55"/>
    <x v="45"/>
    <n v="9.4575000000000014"/>
    <n v="13.000000000000004"/>
  </r>
  <r>
    <s v="LQU-08404-173"/>
    <d v="2020-12-03T00:00:00"/>
    <s v="03"/>
    <x v="9"/>
    <x v="3"/>
    <x v="49"/>
    <x v="49"/>
    <n v="0"/>
    <s v="+1 (609) 409-7044"/>
    <x v="46"/>
    <x v="0"/>
    <s v="No"/>
    <x v="3"/>
    <s v="L-L-1"/>
    <x v="1"/>
    <n v="2.0605000000000002"/>
    <n v="3"/>
    <n v="1"/>
    <n v="15.85"/>
    <x v="46"/>
    <n v="6.1815000000000007"/>
    <n v="13.000000000000004"/>
  </r>
  <r>
    <s v="CWK-60159-881"/>
    <d v="2020-01-27T00:00:00"/>
    <s v="27"/>
    <x v="4"/>
    <x v="3"/>
    <x v="50"/>
    <x v="50"/>
    <s v="tgrizard1k@odnoklassniki.ru"/>
    <s v="+1 (813) 243-2150"/>
    <x v="47"/>
    <x v="0"/>
    <s v="Yes"/>
    <x v="1"/>
    <s v="E-D-0.2"/>
    <x v="2"/>
    <n v="0.40095000000000003"/>
    <n v="3"/>
    <n v="0.2"/>
    <n v="3.645"/>
    <x v="47"/>
    <n v="1.2028500000000002"/>
    <n v="11.000000000000002"/>
  </r>
  <r>
    <s v="EEG-74197-843"/>
    <d v="2022-07-17T00:00:00"/>
    <s v="17"/>
    <x v="2"/>
    <x v="2"/>
    <x v="51"/>
    <x v="51"/>
    <s v="rrelton1l@stanford.edu"/>
    <s v="+1 (850) 626-1181"/>
    <x v="48"/>
    <x v="0"/>
    <s v="No"/>
    <x v="1"/>
    <s v="E-L-1"/>
    <x v="1"/>
    <n v="1.6335"/>
    <n v="4"/>
    <n v="1"/>
    <n v="14.85"/>
    <x v="48"/>
    <n v="6.5339999999999998"/>
    <n v="11"/>
  </r>
  <r>
    <s v="UCZ-59708-525"/>
    <d v="2022-03-04T00:00:00"/>
    <s v="04"/>
    <x v="6"/>
    <x v="2"/>
    <x v="52"/>
    <x v="52"/>
    <n v="0"/>
    <s v="+1 (813) 759-3534"/>
    <x v="49"/>
    <x v="0"/>
    <s v="Yes"/>
    <x v="3"/>
    <s v="L-D-2.5"/>
    <x v="2"/>
    <n v="3.8720499999999998"/>
    <n v="3"/>
    <n v="2.5"/>
    <n v="29.784999999999997"/>
    <x v="49"/>
    <n v="11.616149999999999"/>
    <n v="13"/>
  </r>
  <r>
    <s v="HUB-47311-849"/>
    <d v="2021-12-07T00:00:00"/>
    <s v="07"/>
    <x v="9"/>
    <x v="1"/>
    <x v="53"/>
    <x v="53"/>
    <s v="sgilroy1n@eepurl.com"/>
    <n v="0"/>
    <x v="50"/>
    <x v="0"/>
    <s v="Yes"/>
    <x v="3"/>
    <s v="L-M-0.5"/>
    <x v="0"/>
    <n v="1.1349"/>
    <n v="3"/>
    <n v="0.5"/>
    <n v="8.73"/>
    <x v="50"/>
    <n v="3.4047000000000001"/>
    <n v="13"/>
  </r>
  <r>
    <s v="WYM-17686-694"/>
    <d v="2021-02-25T00:00:00"/>
    <s v="25"/>
    <x v="10"/>
    <x v="1"/>
    <x v="54"/>
    <x v="54"/>
    <s v="ccottingham1o@wikipedia.org"/>
    <s v="+1 (260) 764-1820"/>
    <x v="51"/>
    <x v="0"/>
    <s v="No"/>
    <x v="2"/>
    <s v="A-D-2.5"/>
    <x v="2"/>
    <n v="2.0596499999999995"/>
    <n v="5"/>
    <n v="2.5"/>
    <n v="22.884999999999998"/>
    <x v="15"/>
    <n v="10.298249999999998"/>
    <n v="9"/>
  </r>
  <r>
    <s v="ZYQ-15797-695"/>
    <d v="2019-02-25T00:00:00"/>
    <s v="25"/>
    <x v="10"/>
    <x v="0"/>
    <x v="55"/>
    <x v="55"/>
    <n v="0"/>
    <s v="+44 (177) 260-5076"/>
    <x v="52"/>
    <x v="2"/>
    <s v="Yes"/>
    <x v="0"/>
    <s v="R-D-0.5"/>
    <x v="2"/>
    <n v="0.32219999999999993"/>
    <n v="5"/>
    <n v="0.5"/>
    <n v="5.3699999999999992"/>
    <x v="51"/>
    <n v="1.6109999999999998"/>
    <n v="6.0000000000000009"/>
  </r>
  <r>
    <s v="EEJ-16185-108"/>
    <d v="2019-02-09T00:00:00"/>
    <s v="09"/>
    <x v="10"/>
    <x v="0"/>
    <x v="56"/>
    <x v="56"/>
    <n v="0"/>
    <s v="+1 (239) 347-9766"/>
    <x v="53"/>
    <x v="0"/>
    <s v="Yes"/>
    <x v="3"/>
    <s v="L-L-0.2"/>
    <x v="1"/>
    <n v="0.61814999999999998"/>
    <n v="5"/>
    <n v="0.2"/>
    <n v="4.7549999999999999"/>
    <x v="29"/>
    <n v="3.0907499999999999"/>
    <n v="13"/>
  </r>
  <r>
    <s v="RWR-77888-800"/>
    <d v="2020-02-07T00:00:00"/>
    <s v="07"/>
    <x v="10"/>
    <x v="3"/>
    <x v="57"/>
    <x v="57"/>
    <s v="adykes1r@eventbrite.com"/>
    <s v="+1 (312) 111-6203"/>
    <x v="54"/>
    <x v="0"/>
    <s v="No"/>
    <x v="2"/>
    <s v="A-M-0.5"/>
    <x v="0"/>
    <n v="0.60749999999999993"/>
    <n v="1"/>
    <n v="0.5"/>
    <n v="6.75"/>
    <x v="52"/>
    <n v="0.60749999999999993"/>
    <n v="8.9999999999999982"/>
  </r>
  <r>
    <s v="LHN-75209-742"/>
    <d v="2020-03-23T00:00:00"/>
    <s v="23"/>
    <x v="6"/>
    <x v="3"/>
    <x v="58"/>
    <x v="58"/>
    <n v="0"/>
    <s v="+1 (973) 434-8662"/>
    <x v="55"/>
    <x v="0"/>
    <s v="Yes"/>
    <x v="0"/>
    <s v="R-M-0.5"/>
    <x v="0"/>
    <n v="0.35819999999999996"/>
    <n v="6"/>
    <n v="0.5"/>
    <n v="5.97"/>
    <x v="27"/>
    <n v="2.1491999999999996"/>
    <n v="5.9999999999999982"/>
  </r>
  <r>
    <s v="TIR-71396-998"/>
    <d v="2022-03-06T00:00:00"/>
    <s v="06"/>
    <x v="6"/>
    <x v="2"/>
    <x v="59"/>
    <x v="59"/>
    <s v="acockrem1t@engadget.com"/>
    <s v="+1 (571) 316-8217"/>
    <x v="56"/>
    <x v="0"/>
    <s v="Yes"/>
    <x v="0"/>
    <s v="R-D-2.5"/>
    <x v="2"/>
    <n v="1.2350999999999999"/>
    <n v="4"/>
    <n v="2.5"/>
    <n v="20.584999999999997"/>
    <x v="18"/>
    <n v="4.9403999999999995"/>
    <n v="6.0000000000000009"/>
  </r>
  <r>
    <s v="RXF-37618-213"/>
    <d v="2022-04-15T00:00:00"/>
    <s v="15"/>
    <x v="8"/>
    <x v="2"/>
    <x v="60"/>
    <x v="60"/>
    <s v="bumpleby1u@soundcloud.com"/>
    <s v="+1 (682) 627-0888"/>
    <x v="57"/>
    <x v="0"/>
    <s v="Yes"/>
    <x v="0"/>
    <s v="R-L-0.5"/>
    <x v="1"/>
    <n v="0.43019999999999992"/>
    <n v="1"/>
    <n v="0.5"/>
    <n v="7.169999999999999"/>
    <x v="53"/>
    <n v="0.43019999999999992"/>
    <n v="6"/>
  </r>
  <r>
    <s v="ANM-16388-634"/>
    <d v="2021-11-19T00:00:00"/>
    <s v="19"/>
    <x v="11"/>
    <x v="1"/>
    <x v="61"/>
    <x v="61"/>
    <s v="nsaleway1v@dedecms.com"/>
    <s v="+1 (323) 473-0294"/>
    <x v="58"/>
    <x v="0"/>
    <s v="No"/>
    <x v="3"/>
    <s v="L-L-0.2"/>
    <x v="1"/>
    <n v="0.61814999999999998"/>
    <n v="2"/>
    <n v="0.2"/>
    <n v="4.7549999999999999"/>
    <x v="54"/>
    <n v="1.2363"/>
    <n v="13"/>
  </r>
  <r>
    <s v="WYL-29300-070"/>
    <d v="2019-10-16T00:00:00"/>
    <s v="16"/>
    <x v="7"/>
    <x v="0"/>
    <x v="62"/>
    <x v="62"/>
    <s v="hgoulter1w@abc.net.au"/>
    <s v="+1 (423) 764-7751"/>
    <x v="59"/>
    <x v="0"/>
    <s v="No"/>
    <x v="0"/>
    <s v="R-M-0.2"/>
    <x v="0"/>
    <n v="0.17909999999999998"/>
    <n v="1"/>
    <n v="0.2"/>
    <n v="2.9849999999999999"/>
    <x v="55"/>
    <n v="0.17909999999999998"/>
    <n v="6"/>
  </r>
  <r>
    <s v="JHW-74554-805"/>
    <d v="2019-11-26T00:00:00"/>
    <s v="26"/>
    <x v="11"/>
    <x v="0"/>
    <x v="63"/>
    <x v="63"/>
    <s v="grizzello1x@symantec.com"/>
    <s v="+44 (247) 225-8003"/>
    <x v="60"/>
    <x v="2"/>
    <s v="Yes"/>
    <x v="0"/>
    <s v="R-M-1"/>
    <x v="0"/>
    <n v="0.59699999999999998"/>
    <n v="6"/>
    <n v="1"/>
    <n v="9.9499999999999993"/>
    <x v="33"/>
    <n v="3.5819999999999999"/>
    <n v="6.0000000000000009"/>
  </r>
  <r>
    <s v="KYS-27063-603"/>
    <d v="2019-06-30T00:00:00"/>
    <s v="30"/>
    <x v="1"/>
    <x v="0"/>
    <x v="64"/>
    <x v="64"/>
    <s v="slist1y@mapquest.com"/>
    <s v="+1 (614) 279-9816"/>
    <x v="61"/>
    <x v="0"/>
    <s v="No"/>
    <x v="1"/>
    <s v="E-L-2.5"/>
    <x v="1"/>
    <n v="3.7570499999999996"/>
    <n v="4"/>
    <n v="2.5"/>
    <n v="34.154999999999994"/>
    <x v="56"/>
    <n v="15.028199999999998"/>
    <n v="11"/>
  </r>
  <r>
    <s v="GAZ-58626-277"/>
    <d v="2021-01-04T00:00:00"/>
    <s v="04"/>
    <x v="4"/>
    <x v="1"/>
    <x v="65"/>
    <x v="65"/>
    <s v="sedmondson1z@theguardian.com"/>
    <s v="+353 (248) 428-7978"/>
    <x v="62"/>
    <x v="1"/>
    <s v="No"/>
    <x v="3"/>
    <s v="L-L-0.2"/>
    <x v="1"/>
    <n v="0.61814999999999998"/>
    <n v="2"/>
    <n v="0.2"/>
    <n v="4.7549999999999999"/>
    <x v="54"/>
    <n v="1.2363"/>
    <n v="13"/>
  </r>
  <r>
    <s v="RPJ-37787-335"/>
    <d v="2020-10-27T00:00:00"/>
    <s v="27"/>
    <x v="7"/>
    <x v="3"/>
    <x v="66"/>
    <x v="66"/>
    <n v="0"/>
    <s v="+1 (504) 209-2724"/>
    <x v="32"/>
    <x v="0"/>
    <s v="No"/>
    <x v="2"/>
    <s v="A-M-2.5"/>
    <x v="0"/>
    <n v="2.3287499999999994"/>
    <n v="3"/>
    <n v="2.5"/>
    <n v="25.874999999999996"/>
    <x v="57"/>
    <n v="6.9862499999999983"/>
    <n v="9"/>
  </r>
  <r>
    <s v="LEF-83057-763"/>
    <d v="2021-06-15T00:00:00"/>
    <s v="15"/>
    <x v="1"/>
    <x v="1"/>
    <x v="67"/>
    <x v="67"/>
    <n v="0"/>
    <s v="+1 (704) 799-5219"/>
    <x v="63"/>
    <x v="0"/>
    <s v="Yes"/>
    <x v="3"/>
    <s v="L-M-0.2"/>
    <x v="0"/>
    <n v="0.56745000000000001"/>
    <n v="5"/>
    <n v="0.2"/>
    <n v="4.3650000000000002"/>
    <x v="26"/>
    <n v="2.83725"/>
    <n v="12.999999999999998"/>
  </r>
  <r>
    <s v="RPW-36123-215"/>
    <d v="2021-07-19T00:00:00"/>
    <s v="19"/>
    <x v="2"/>
    <x v="1"/>
    <x v="68"/>
    <x v="68"/>
    <s v="jrangall22@newsvine.com"/>
    <s v="+1 (781) 512-6637"/>
    <x v="64"/>
    <x v="0"/>
    <s v="Yes"/>
    <x v="1"/>
    <s v="E-L-0.5"/>
    <x v="1"/>
    <n v="0.98009999999999997"/>
    <n v="2"/>
    <n v="0.5"/>
    <n v="8.91"/>
    <x v="58"/>
    <n v="1.9601999999999999"/>
    <n v="11"/>
  </r>
  <r>
    <s v="WLL-59044-117"/>
    <d v="2021-07-23T00:00:00"/>
    <s v="23"/>
    <x v="2"/>
    <x v="1"/>
    <x v="69"/>
    <x v="69"/>
    <s v="kboorn23@ezinearticles.com"/>
    <s v="+353 (359) 134-1550"/>
    <x v="65"/>
    <x v="1"/>
    <s v="Yes"/>
    <x v="0"/>
    <s v="R-D-1"/>
    <x v="2"/>
    <n v="0.53699999999999992"/>
    <n v="6"/>
    <n v="1"/>
    <n v="8.9499999999999993"/>
    <x v="59"/>
    <n v="3.2219999999999995"/>
    <n v="6"/>
  </r>
  <r>
    <s v="AWT-22827-563"/>
    <d v="2020-01-25T00:00:00"/>
    <s v="25"/>
    <x v="4"/>
    <x v="3"/>
    <x v="70"/>
    <x v="70"/>
    <n v="0"/>
    <s v="+353 (569) 458-9673"/>
    <x v="66"/>
    <x v="1"/>
    <s v="Yes"/>
    <x v="0"/>
    <s v="R-L-0.2"/>
    <x v="1"/>
    <n v="0.21509999999999996"/>
    <n v="1"/>
    <n v="0.2"/>
    <n v="3.5849999999999995"/>
    <x v="60"/>
    <n v="0.21509999999999996"/>
    <n v="6"/>
  </r>
  <r>
    <s v="QLM-07145-668"/>
    <d v="2019-05-09T00:00:00"/>
    <s v="09"/>
    <x v="5"/>
    <x v="0"/>
    <x v="71"/>
    <x v="71"/>
    <s v="celgey25@webs.com"/>
    <s v="+1 (432) 261-0702"/>
    <x v="67"/>
    <x v="0"/>
    <s v="No"/>
    <x v="1"/>
    <s v="E-D-0.2"/>
    <x v="2"/>
    <n v="0.40095000000000003"/>
    <n v="2"/>
    <n v="0.2"/>
    <n v="3.645"/>
    <x v="35"/>
    <n v="0.80190000000000006"/>
    <n v="11"/>
  </r>
  <r>
    <s v="HVQ-64398-930"/>
    <d v="2020-03-30T00:00:00"/>
    <s v="30"/>
    <x v="6"/>
    <x v="3"/>
    <x v="72"/>
    <x v="72"/>
    <s v="lmizzi26@rakuten.co.jp"/>
    <s v="+1 (214) 719-8530"/>
    <x v="68"/>
    <x v="0"/>
    <s v="Yes"/>
    <x v="2"/>
    <s v="A-M-0.5"/>
    <x v="0"/>
    <n v="0.60749999999999993"/>
    <n v="6"/>
    <n v="0.5"/>
    <n v="6.75"/>
    <x v="61"/>
    <n v="3.6449999999999996"/>
    <n v="8.9999999999999982"/>
  </r>
  <r>
    <s v="WRT-40778-247"/>
    <d v="2022-03-13T00:00:00"/>
    <s v="13"/>
    <x v="6"/>
    <x v="2"/>
    <x v="73"/>
    <x v="73"/>
    <s v="cgiacomazzo27@jigsy.com"/>
    <s v="+1 (571) 703-2064"/>
    <x v="69"/>
    <x v="0"/>
    <s v="No"/>
    <x v="0"/>
    <s v="R-L-1"/>
    <x v="1"/>
    <n v="0.71699999999999997"/>
    <n v="4"/>
    <n v="1"/>
    <n v="11.95"/>
    <x v="62"/>
    <n v="2.8679999999999999"/>
    <n v="6"/>
  </r>
  <r>
    <s v="SUB-13006-125"/>
    <d v="2019-04-17T00:00:00"/>
    <s v="17"/>
    <x v="8"/>
    <x v="0"/>
    <x v="74"/>
    <x v="74"/>
    <s v="aarnow28@arizona.edu"/>
    <s v="+1 (650) 238-1964"/>
    <x v="70"/>
    <x v="0"/>
    <s v="Yes"/>
    <x v="2"/>
    <s v="A-L-0.5"/>
    <x v="1"/>
    <n v="0.69929999999999992"/>
    <n v="5"/>
    <n v="0.5"/>
    <n v="7.77"/>
    <x v="5"/>
    <n v="3.4964999999999997"/>
    <n v="9.0000000000000018"/>
  </r>
  <r>
    <s v="CQM-49696-263"/>
    <d v="2019-10-25T00:00:00"/>
    <s v="25"/>
    <x v="7"/>
    <x v="0"/>
    <x v="75"/>
    <x v="75"/>
    <s v="syann29@senate.gov"/>
    <s v="+1 (719) 803-5276"/>
    <x v="71"/>
    <x v="0"/>
    <s v="Yes"/>
    <x v="3"/>
    <s v="L-L-2.5"/>
    <x v="1"/>
    <n v="4.7391499999999995"/>
    <n v="3"/>
    <n v="2.5"/>
    <n v="36.454999999999998"/>
    <x v="63"/>
    <n v="14.217449999999999"/>
    <n v="13"/>
  </r>
  <r>
    <s v="KXN-85094-246"/>
    <d v="2019-09-13T00:00:00"/>
    <s v="13"/>
    <x v="0"/>
    <x v="0"/>
    <x v="76"/>
    <x v="76"/>
    <s v="bnaulls2a@tiny.cc"/>
    <s v="+353 (809) 128-0755"/>
    <x v="72"/>
    <x v="1"/>
    <s v="Yes"/>
    <x v="3"/>
    <s v="L-M-2.5"/>
    <x v="0"/>
    <n v="4.3504499999999995"/>
    <n v="3"/>
    <n v="2.5"/>
    <n v="33.464999999999996"/>
    <x v="64"/>
    <n v="13.051349999999999"/>
    <n v="13"/>
  </r>
  <r>
    <s v="XOQ-12405-419"/>
    <d v="2020-04-12T00:00:00"/>
    <s v="12"/>
    <x v="8"/>
    <x v="3"/>
    <x v="77"/>
    <x v="77"/>
    <n v="0"/>
    <s v="+1 (716) 869-3749"/>
    <x v="73"/>
    <x v="0"/>
    <s v="Yes"/>
    <x v="0"/>
    <s v="R-D-2.5"/>
    <x v="2"/>
    <n v="1.2350999999999999"/>
    <n v="4"/>
    <n v="2.5"/>
    <n v="20.584999999999997"/>
    <x v="18"/>
    <n v="4.9403999999999995"/>
    <n v="6.0000000000000009"/>
  </r>
  <r>
    <s v="HYF-10254-369"/>
    <d v="2019-11-14T00:00:00"/>
    <s v="14"/>
    <x v="11"/>
    <x v="0"/>
    <x v="78"/>
    <x v="78"/>
    <s v="zsherewood2c@apache.org"/>
    <s v="+1 (209) 433-7924"/>
    <x v="74"/>
    <x v="0"/>
    <s v="No"/>
    <x v="3"/>
    <s v="L-L-0.5"/>
    <x v="1"/>
    <n v="1.2363"/>
    <n v="1"/>
    <n v="0.5"/>
    <n v="9.51"/>
    <x v="54"/>
    <n v="1.2363"/>
    <n v="13"/>
  </r>
  <r>
    <s v="XXJ-47000-307"/>
    <d v="2019-07-18T00:00:00"/>
    <s v="18"/>
    <x v="2"/>
    <x v="0"/>
    <x v="79"/>
    <x v="79"/>
    <s v="jdufaire2d@fc2.com"/>
    <n v="0"/>
    <x v="57"/>
    <x v="0"/>
    <s v="No"/>
    <x v="2"/>
    <s v="A-L-2.5"/>
    <x v="1"/>
    <n v="2.6806499999999995"/>
    <n v="3"/>
    <n v="2.5"/>
    <n v="29.784999999999997"/>
    <x v="49"/>
    <n v="8.0419499999999982"/>
    <n v="8.9999999999999982"/>
  </r>
  <r>
    <s v="XXJ-47000-307"/>
    <d v="2019-07-18T00:00:00"/>
    <s v="18"/>
    <x v="2"/>
    <x v="0"/>
    <x v="79"/>
    <x v="79"/>
    <s v="jdufaire2d@fc2.com"/>
    <n v="0"/>
    <x v="57"/>
    <x v="0"/>
    <s v="No"/>
    <x v="2"/>
    <s v="A-D-0.2"/>
    <x v="2"/>
    <n v="0.26865"/>
    <n v="4"/>
    <n v="0.2"/>
    <n v="2.9849999999999999"/>
    <x v="22"/>
    <n v="1.0746"/>
    <n v="9.0000000000000018"/>
  </r>
  <r>
    <s v="ZDK-82166-357"/>
    <d v="2021-04-03T00:00:00"/>
    <s v="03"/>
    <x v="8"/>
    <x v="1"/>
    <x v="80"/>
    <x v="80"/>
    <s v="bkeaveney2f@netlog.com"/>
    <n v="0"/>
    <x v="75"/>
    <x v="0"/>
    <s v="No"/>
    <x v="2"/>
    <s v="A-M-1"/>
    <x v="0"/>
    <n v="1.0125"/>
    <n v="3"/>
    <n v="1"/>
    <n v="11.25"/>
    <x v="65"/>
    <n v="3.0374999999999996"/>
    <n v="8.9999999999999982"/>
  </r>
  <r>
    <s v="IHN-19982-362"/>
    <d v="2021-03-29T00:00:00"/>
    <s v="29"/>
    <x v="6"/>
    <x v="1"/>
    <x v="81"/>
    <x v="81"/>
    <s v="egrise2g@cargocollective.com"/>
    <n v="0"/>
    <x v="76"/>
    <x v="0"/>
    <s v="No"/>
    <x v="0"/>
    <s v="R-L-1"/>
    <x v="1"/>
    <n v="0.71699999999999997"/>
    <n v="3"/>
    <n v="1"/>
    <n v="11.95"/>
    <x v="66"/>
    <n v="2.1509999999999998"/>
    <n v="6.0000000000000009"/>
  </r>
  <r>
    <s v="VMT-10030-889"/>
    <d v="2021-12-15T00:00:00"/>
    <s v="15"/>
    <x v="9"/>
    <x v="1"/>
    <x v="82"/>
    <x v="82"/>
    <s v="tgottelier2h@vistaprint.com"/>
    <s v="+1 (816) 743-8492"/>
    <x v="77"/>
    <x v="0"/>
    <s v="No"/>
    <x v="2"/>
    <s v="A-L-1"/>
    <x v="1"/>
    <n v="1.1655"/>
    <n v="6"/>
    <n v="1"/>
    <n v="12.95"/>
    <x v="17"/>
    <n v="6.9930000000000003"/>
    <n v="9.0000000000000018"/>
  </r>
  <r>
    <s v="NHL-11063-100"/>
    <d v="2020-05-20T00:00:00"/>
    <s v="20"/>
    <x v="5"/>
    <x v="3"/>
    <x v="83"/>
    <x v="83"/>
    <n v="0"/>
    <s v="+353 (576) 222-5069"/>
    <x v="43"/>
    <x v="1"/>
    <s v="Yes"/>
    <x v="2"/>
    <s v="A-L-1"/>
    <x v="1"/>
    <n v="1.1655"/>
    <n v="4"/>
    <n v="1"/>
    <n v="12.95"/>
    <x v="67"/>
    <n v="4.6619999999999999"/>
    <n v="9"/>
  </r>
  <r>
    <s v="ROV-87448-086"/>
    <d v="2020-11-02T00:00:00"/>
    <s v="02"/>
    <x v="11"/>
    <x v="3"/>
    <x v="84"/>
    <x v="84"/>
    <s v="agreenhead2j@dailymail.co.uk"/>
    <s v="+1 (951) 797-0738"/>
    <x v="78"/>
    <x v="0"/>
    <s v="No"/>
    <x v="2"/>
    <s v="A-M-2.5"/>
    <x v="0"/>
    <n v="2.3287499999999994"/>
    <n v="4"/>
    <n v="2.5"/>
    <n v="25.874999999999996"/>
    <x v="68"/>
    <n v="9.3149999999999977"/>
    <n v="9"/>
  </r>
  <r>
    <s v="DGY-35773-612"/>
    <d v="2020-07-25T00:00:00"/>
    <s v="25"/>
    <x v="2"/>
    <x v="3"/>
    <x v="85"/>
    <x v="85"/>
    <n v="0"/>
    <s v="+1 (512) 430-4374"/>
    <x v="79"/>
    <x v="0"/>
    <s v="Yes"/>
    <x v="1"/>
    <s v="E-L-1"/>
    <x v="1"/>
    <n v="1.6335"/>
    <n v="3"/>
    <n v="1"/>
    <n v="14.85"/>
    <x v="69"/>
    <n v="4.9005000000000001"/>
    <n v="11.000000000000002"/>
  </r>
  <r>
    <s v="YWH-50638-556"/>
    <d v="2019-03-14T00:00:00"/>
    <s v="14"/>
    <x v="6"/>
    <x v="0"/>
    <x v="86"/>
    <x v="86"/>
    <s v="elangcaster2l@spotify.com"/>
    <s v="+44 (547) 590-3103"/>
    <x v="80"/>
    <x v="2"/>
    <s v="Yes"/>
    <x v="1"/>
    <s v="E-L-0.5"/>
    <x v="1"/>
    <n v="0.98009999999999997"/>
    <n v="4"/>
    <n v="0.5"/>
    <n v="8.91"/>
    <x v="70"/>
    <n v="3.9203999999999999"/>
    <n v="11"/>
  </r>
  <r>
    <s v="ISL-11200-600"/>
    <d v="2020-07-02T00:00:00"/>
    <s v="02"/>
    <x v="2"/>
    <x v="3"/>
    <x v="87"/>
    <x v="87"/>
    <n v="0"/>
    <n v="0"/>
    <x v="81"/>
    <x v="1"/>
    <s v="Yes"/>
    <x v="2"/>
    <s v="A-D-0.2"/>
    <x v="2"/>
    <n v="0.26865"/>
    <n v="6"/>
    <n v="0.2"/>
    <n v="2.9849999999999999"/>
    <x v="8"/>
    <n v="1.6118999999999999"/>
    <n v="9"/>
  </r>
  <r>
    <s v="LBZ-75997-047"/>
    <d v="2019-12-17T00:00:00"/>
    <s v="17"/>
    <x v="9"/>
    <x v="0"/>
    <x v="88"/>
    <x v="88"/>
    <s v="nmagauran2n@51.la"/>
    <n v="0"/>
    <x v="74"/>
    <x v="0"/>
    <s v="No"/>
    <x v="2"/>
    <s v="A-M-2.5"/>
    <x v="0"/>
    <n v="2.3287499999999994"/>
    <n v="6"/>
    <n v="2.5"/>
    <n v="25.874999999999996"/>
    <x v="71"/>
    <n v="13.972499999999997"/>
    <n v="9"/>
  </r>
  <r>
    <s v="EUH-08089-954"/>
    <d v="2020-12-06T00:00:00"/>
    <s v="06"/>
    <x v="9"/>
    <x v="3"/>
    <x v="89"/>
    <x v="89"/>
    <s v="vkirdsch2o@google.fr"/>
    <n v="0"/>
    <x v="10"/>
    <x v="0"/>
    <s v="No"/>
    <x v="2"/>
    <s v="A-D-0.2"/>
    <x v="2"/>
    <n v="0.26865"/>
    <n v="2"/>
    <n v="0.2"/>
    <n v="2.9849999999999999"/>
    <x v="9"/>
    <n v="0.5373"/>
    <n v="9.0000000000000018"/>
  </r>
  <r>
    <s v="BLD-12227-251"/>
    <d v="2021-03-04T00:00:00"/>
    <s v="04"/>
    <x v="6"/>
    <x v="1"/>
    <x v="90"/>
    <x v="90"/>
    <s v="iwhapple2p@com.com"/>
    <s v="+1 (559) 522-1152"/>
    <x v="74"/>
    <x v="0"/>
    <s v="No"/>
    <x v="2"/>
    <s v="A-M-0.5"/>
    <x v="0"/>
    <n v="0.60749999999999993"/>
    <n v="2"/>
    <n v="0.5"/>
    <n v="6.75"/>
    <x v="72"/>
    <n v="1.2149999999999999"/>
    <n v="8.9999999999999982"/>
  </r>
  <r>
    <s v="OPY-30711-853"/>
    <d v="2021-07-17T00:00:00"/>
    <s v="17"/>
    <x v="2"/>
    <x v="1"/>
    <x v="91"/>
    <x v="91"/>
    <n v="0"/>
    <s v="+353 (338) 743-8327"/>
    <x v="82"/>
    <x v="1"/>
    <s v="No"/>
    <x v="2"/>
    <s v="A-D-0.2"/>
    <x v="2"/>
    <n v="0.26865"/>
    <n v="1"/>
    <n v="0.2"/>
    <n v="2.9849999999999999"/>
    <x v="55"/>
    <n v="0.26865"/>
    <n v="9.0000000000000018"/>
  </r>
  <r>
    <s v="DBC-44122-300"/>
    <d v="2020-11-04T00:00:00"/>
    <s v="04"/>
    <x v="11"/>
    <x v="3"/>
    <x v="92"/>
    <x v="92"/>
    <n v="0"/>
    <s v="+1 (614) 370-6392"/>
    <x v="61"/>
    <x v="0"/>
    <s v="Yes"/>
    <x v="3"/>
    <s v="L-M-0.2"/>
    <x v="0"/>
    <n v="0.56745000000000001"/>
    <n v="3"/>
    <n v="0.2"/>
    <n v="4.3650000000000002"/>
    <x v="73"/>
    <n v="1.70235"/>
    <n v="13"/>
  </r>
  <r>
    <s v="FJQ-60035-234"/>
    <d v="2021-04-05T00:00:00"/>
    <s v="05"/>
    <x v="8"/>
    <x v="1"/>
    <x v="93"/>
    <x v="93"/>
    <n v="0"/>
    <s v="+1 (209) 148-6668"/>
    <x v="83"/>
    <x v="0"/>
    <s v="Yes"/>
    <x v="2"/>
    <s v="A-L-0.2"/>
    <x v="1"/>
    <n v="0.34964999999999996"/>
    <n v="2"/>
    <n v="0.2"/>
    <n v="3.8849999999999998"/>
    <x v="41"/>
    <n v="0.69929999999999992"/>
    <n v="9"/>
  </r>
  <r>
    <s v="HSF-66926-425"/>
    <d v="2020-03-01T00:00:00"/>
    <s v="01"/>
    <x v="6"/>
    <x v="3"/>
    <x v="94"/>
    <x v="94"/>
    <s v="nyoules2t@reference.com"/>
    <s v="+353 (641) 846-7654"/>
    <x v="84"/>
    <x v="1"/>
    <s v="Yes"/>
    <x v="3"/>
    <s v="L-D-2.5"/>
    <x v="2"/>
    <n v="3.8720499999999998"/>
    <n v="5"/>
    <n v="2.5"/>
    <n v="29.784999999999997"/>
    <x v="74"/>
    <n v="19.360250000000001"/>
    <n v="13.000000000000004"/>
  </r>
  <r>
    <s v="LQG-41416-375"/>
    <d v="2021-10-19T00:00:00"/>
    <s v="19"/>
    <x v="7"/>
    <x v="1"/>
    <x v="95"/>
    <x v="95"/>
    <s v="daizikovitz2u@answers.com"/>
    <s v="+353 (766) 141-6317"/>
    <x v="85"/>
    <x v="1"/>
    <s v="Yes"/>
    <x v="3"/>
    <s v="L-D-1"/>
    <x v="2"/>
    <n v="1.6835"/>
    <n v="3"/>
    <n v="1"/>
    <n v="12.95"/>
    <x v="5"/>
    <n v="5.0504999999999995"/>
    <n v="13"/>
  </r>
  <r>
    <s v="VZO-97265-841"/>
    <d v="2022-07-08T00:00:00"/>
    <s v="08"/>
    <x v="2"/>
    <x v="2"/>
    <x v="96"/>
    <x v="96"/>
    <s v="brevel2v@fastcompany.com"/>
    <s v="+1 (585) 775-6952"/>
    <x v="36"/>
    <x v="0"/>
    <s v="No"/>
    <x v="0"/>
    <s v="R-M-0.2"/>
    <x v="0"/>
    <n v="0.17909999999999998"/>
    <n v="4"/>
    <n v="0.2"/>
    <n v="2.9849999999999999"/>
    <x v="22"/>
    <n v="0.71639999999999993"/>
    <n v="6"/>
  </r>
  <r>
    <s v="MOR-12987-399"/>
    <d v="2019-08-17T00:00:00"/>
    <s v="17"/>
    <x v="3"/>
    <x v="0"/>
    <x v="97"/>
    <x v="97"/>
    <s v="epriddis2w@nationalgeographic.com"/>
    <s v="+1 (205) 133-0205"/>
    <x v="86"/>
    <x v="0"/>
    <s v="No"/>
    <x v="3"/>
    <s v="L-M-1"/>
    <x v="0"/>
    <n v="1.8915000000000002"/>
    <n v="6"/>
    <n v="1"/>
    <n v="14.55"/>
    <x v="75"/>
    <n v="11.349"/>
    <n v="12.999999999999998"/>
  </r>
  <r>
    <s v="UOA-23786-489"/>
    <d v="2020-05-31T00:00:00"/>
    <s v="31"/>
    <x v="5"/>
    <x v="3"/>
    <x v="98"/>
    <x v="98"/>
    <s v="qveel2x@jugem.jp"/>
    <s v="+1 (713) 750-9202"/>
    <x v="13"/>
    <x v="0"/>
    <s v="Yes"/>
    <x v="2"/>
    <s v="A-M-0.5"/>
    <x v="0"/>
    <n v="0.60749999999999993"/>
    <n v="6"/>
    <n v="0.5"/>
    <n v="6.75"/>
    <x v="61"/>
    <n v="3.6449999999999996"/>
    <n v="8.9999999999999982"/>
  </r>
  <r>
    <s v="AJL-52941-018"/>
    <d v="2020-05-05T00:00:00"/>
    <s v="05"/>
    <x v="5"/>
    <x v="3"/>
    <x v="99"/>
    <x v="99"/>
    <s v="lconyers2y@twitter.com"/>
    <s v="+1 (915) 476-5712"/>
    <x v="87"/>
    <x v="0"/>
    <s v="No"/>
    <x v="1"/>
    <s v="E-D-1"/>
    <x v="2"/>
    <n v="1.3365"/>
    <n v="2"/>
    <n v="1"/>
    <n v="12.15"/>
    <x v="76"/>
    <n v="2.673"/>
    <n v="11"/>
  </r>
  <r>
    <s v="XSZ-84273-421"/>
    <d v="2019-04-14T00:00:00"/>
    <s v="14"/>
    <x v="8"/>
    <x v="0"/>
    <x v="100"/>
    <x v="100"/>
    <s v="pwye2z@dagondesign.com"/>
    <s v="+1 (719) 620-1128"/>
    <x v="71"/>
    <x v="0"/>
    <s v="Yes"/>
    <x v="0"/>
    <s v="R-M-0.5"/>
    <x v="0"/>
    <n v="0.35819999999999996"/>
    <n v="3"/>
    <n v="0.5"/>
    <n v="5.97"/>
    <x v="8"/>
    <n v="1.0745999999999998"/>
    <n v="5.9999999999999982"/>
  </r>
  <r>
    <s v="NUN-48214-216"/>
    <d v="2020-07-29T00:00:00"/>
    <s v="29"/>
    <x v="2"/>
    <x v="3"/>
    <x v="101"/>
    <x v="101"/>
    <n v="0"/>
    <s v="+1 (260) 613-2279"/>
    <x v="51"/>
    <x v="0"/>
    <s v="No"/>
    <x v="2"/>
    <s v="A-M-0.5"/>
    <x v="0"/>
    <n v="0.60749999999999993"/>
    <n v="4"/>
    <n v="0.5"/>
    <n v="6.75"/>
    <x v="25"/>
    <n v="2.4299999999999997"/>
    <n v="8.9999999999999982"/>
  </r>
  <r>
    <s v="AKV-93064-769"/>
    <d v="2019-12-12T00:00:00"/>
    <s v="12"/>
    <x v="9"/>
    <x v="0"/>
    <x v="102"/>
    <x v="102"/>
    <s v="tsheryn31@mtv.com"/>
    <s v="+1 (516) 826-3780"/>
    <x v="88"/>
    <x v="0"/>
    <s v="Yes"/>
    <x v="3"/>
    <s v="L-D-0.5"/>
    <x v="2"/>
    <n v="1.0101"/>
    <n v="1"/>
    <n v="0.5"/>
    <n v="7.77"/>
    <x v="41"/>
    <n v="1.0101"/>
    <n v="13"/>
  </r>
  <r>
    <s v="BRB-40903-533"/>
    <d v="2022-06-15T00:00:00"/>
    <s v="15"/>
    <x v="1"/>
    <x v="2"/>
    <x v="103"/>
    <x v="103"/>
    <s v="mredgrave32@cargocollective.com"/>
    <s v="+1 (413) 691-2892"/>
    <x v="64"/>
    <x v="0"/>
    <s v="Yes"/>
    <x v="1"/>
    <s v="E-L-0.2"/>
    <x v="1"/>
    <n v="0.49004999999999999"/>
    <n v="3"/>
    <n v="0.2"/>
    <n v="4.4550000000000001"/>
    <x v="77"/>
    <n v="1.4701499999999998"/>
    <n v="10.999999999999998"/>
  </r>
  <r>
    <s v="GPR-19973-483"/>
    <d v="2019-06-26T00:00:00"/>
    <s v="26"/>
    <x v="1"/>
    <x v="0"/>
    <x v="104"/>
    <x v="104"/>
    <s v="bfominov33@yale.edu"/>
    <n v="0"/>
    <x v="48"/>
    <x v="0"/>
    <s v="No"/>
    <x v="0"/>
    <s v="R-D-0.5"/>
    <x v="2"/>
    <n v="0.32219999999999993"/>
    <n v="5"/>
    <n v="0.5"/>
    <n v="5.3699999999999992"/>
    <x v="51"/>
    <n v="1.6109999999999998"/>
    <n v="6.0000000000000009"/>
  </r>
  <r>
    <s v="XIY-43041-882"/>
    <d v="2021-10-12T00:00:00"/>
    <s v="12"/>
    <x v="7"/>
    <x v="1"/>
    <x v="105"/>
    <x v="105"/>
    <s v="scritchlow34@un.org"/>
    <s v="+1 (804) 428-7292"/>
    <x v="8"/>
    <x v="0"/>
    <s v="No"/>
    <x v="2"/>
    <s v="A-M-1"/>
    <x v="0"/>
    <n v="1.0125"/>
    <n v="1"/>
    <n v="1"/>
    <n v="11.25"/>
    <x v="23"/>
    <n v="1.0125"/>
    <n v="9"/>
  </r>
  <r>
    <s v="YGY-98425-969"/>
    <d v="2019-04-01T00:00:00"/>
    <s v="01"/>
    <x v="8"/>
    <x v="0"/>
    <x v="106"/>
    <x v="106"/>
    <s v="msteptow35@earthlink.net"/>
    <s v="+353 (266) 235-5189"/>
    <x v="89"/>
    <x v="1"/>
    <s v="No"/>
    <x v="3"/>
    <s v="L-M-1"/>
    <x v="0"/>
    <n v="1.8915000000000002"/>
    <n v="1"/>
    <n v="1"/>
    <n v="14.55"/>
    <x v="78"/>
    <n v="1.8915000000000002"/>
    <n v="13"/>
  </r>
  <r>
    <s v="MSB-08397-648"/>
    <d v="2021-03-10T00:00:00"/>
    <s v="10"/>
    <x v="6"/>
    <x v="1"/>
    <x v="107"/>
    <x v="107"/>
    <n v="0"/>
    <s v="+1 (304) 532-7229"/>
    <x v="90"/>
    <x v="0"/>
    <s v="No"/>
    <x v="0"/>
    <s v="R-L-0.2"/>
    <x v="1"/>
    <n v="0.21509999999999996"/>
    <n v="4"/>
    <n v="0.2"/>
    <n v="3.5849999999999995"/>
    <x v="79"/>
    <n v="0.86039999999999983"/>
    <n v="6"/>
  </r>
  <r>
    <s v="WDR-06028-345"/>
    <d v="2019-08-16T00:00:00"/>
    <s v="16"/>
    <x v="3"/>
    <x v="0"/>
    <x v="108"/>
    <x v="108"/>
    <s v="imulliner37@pinterest.com"/>
    <s v="+44 (331) 777-9556"/>
    <x v="38"/>
    <x v="2"/>
    <s v="No"/>
    <x v="3"/>
    <s v="L-L-1"/>
    <x v="1"/>
    <n v="2.0605000000000002"/>
    <n v="1"/>
    <n v="1"/>
    <n v="15.85"/>
    <x v="80"/>
    <n v="2.0605000000000002"/>
    <n v="13"/>
  </r>
  <r>
    <s v="MXM-42948-061"/>
    <d v="2020-08-11T00:00:00"/>
    <s v="11"/>
    <x v="3"/>
    <x v="3"/>
    <x v="109"/>
    <x v="109"/>
    <s v="gstandley38@dion.ne.jp"/>
    <s v="+353 (521) 138-4331"/>
    <x v="91"/>
    <x v="1"/>
    <s v="Yes"/>
    <x v="3"/>
    <s v="L-L-0.2"/>
    <x v="1"/>
    <n v="0.61814999999999998"/>
    <n v="4"/>
    <n v="0.2"/>
    <n v="4.7549999999999999"/>
    <x v="81"/>
    <n v="2.4725999999999999"/>
    <n v="13"/>
  </r>
  <r>
    <s v="MGQ-98961-173"/>
    <d v="2022-04-05T00:00:00"/>
    <s v="05"/>
    <x v="8"/>
    <x v="2"/>
    <x v="110"/>
    <x v="110"/>
    <s v="bdrage39@youku.com"/>
    <s v="+1 (937) 566-3449"/>
    <x v="4"/>
    <x v="0"/>
    <s v="No"/>
    <x v="3"/>
    <s v="L-L-0.5"/>
    <x v="1"/>
    <n v="1.2363"/>
    <n v="4"/>
    <n v="0.5"/>
    <n v="9.51"/>
    <x v="82"/>
    <n v="4.9451999999999998"/>
    <n v="13"/>
  </r>
  <r>
    <s v="RFH-64349-897"/>
    <d v="2019-10-22T00:00:00"/>
    <s v="22"/>
    <x v="7"/>
    <x v="0"/>
    <x v="111"/>
    <x v="111"/>
    <s v="myallop3a@fema.gov"/>
    <s v="+1 (907) 267-1236"/>
    <x v="92"/>
    <x v="0"/>
    <s v="Yes"/>
    <x v="1"/>
    <s v="E-D-0.5"/>
    <x v="2"/>
    <n v="0.80190000000000006"/>
    <n v="3"/>
    <n v="0.5"/>
    <n v="7.29"/>
    <x v="6"/>
    <n v="2.4057000000000004"/>
    <n v="11.000000000000002"/>
  </r>
  <r>
    <s v="TKL-20738-660"/>
    <d v="2021-10-02T00:00:00"/>
    <s v="02"/>
    <x v="7"/>
    <x v="1"/>
    <x v="112"/>
    <x v="112"/>
    <s v="cswitsur3b@chronoengine.com"/>
    <s v="+1 (615) 791-3142"/>
    <x v="93"/>
    <x v="0"/>
    <s v="No"/>
    <x v="1"/>
    <s v="E-M-0.2"/>
    <x v="0"/>
    <n v="0.45374999999999999"/>
    <n v="1"/>
    <n v="0.2"/>
    <n v="4.125"/>
    <x v="83"/>
    <n v="0.45374999999999999"/>
    <n v="11"/>
  </r>
  <r>
    <s v="TKL-20738-660"/>
    <d v="2021-10-02T00:00:00"/>
    <s v="02"/>
    <x v="7"/>
    <x v="1"/>
    <x v="112"/>
    <x v="112"/>
    <s v="cswitsur3b@chronoengine.com"/>
    <s v="+1 (615) 791-3142"/>
    <x v="93"/>
    <x v="0"/>
    <s v="No"/>
    <x v="2"/>
    <s v="A-L-0.2"/>
    <x v="1"/>
    <n v="0.34964999999999996"/>
    <n v="1"/>
    <n v="0.2"/>
    <n v="3.8849999999999998"/>
    <x v="84"/>
    <n v="0.34964999999999996"/>
    <n v="9"/>
  </r>
  <r>
    <s v="TKL-20738-660"/>
    <d v="2021-10-02T00:00:00"/>
    <s v="02"/>
    <x v="7"/>
    <x v="1"/>
    <x v="112"/>
    <x v="112"/>
    <s v="cswitsur3b@chronoengine.com"/>
    <s v="+1 (615) 791-3142"/>
    <x v="93"/>
    <x v="0"/>
    <s v="No"/>
    <x v="1"/>
    <s v="E-M-1"/>
    <x v="0"/>
    <n v="1.5125"/>
    <n v="5"/>
    <n v="1"/>
    <n v="13.75"/>
    <x v="85"/>
    <n v="7.5625"/>
    <n v="11"/>
  </r>
  <r>
    <s v="GOW-03198-575"/>
    <d v="2021-03-13T00:00:00"/>
    <s v="13"/>
    <x v="6"/>
    <x v="1"/>
    <x v="113"/>
    <x v="113"/>
    <s v="mludwell3e@blogger.com"/>
    <s v="+1 (303) 242-3542"/>
    <x v="29"/>
    <x v="0"/>
    <s v="Yes"/>
    <x v="2"/>
    <s v="A-D-0.5"/>
    <x v="2"/>
    <n v="0.5373"/>
    <n v="4"/>
    <n v="0.5"/>
    <n v="5.97"/>
    <x v="86"/>
    <n v="2.1492"/>
    <n v="9.0000000000000018"/>
  </r>
  <r>
    <s v="QJB-90477-635"/>
    <d v="2022-06-12T00:00:00"/>
    <s v="12"/>
    <x v="1"/>
    <x v="2"/>
    <x v="114"/>
    <x v="114"/>
    <s v="dbeauchamp3f@usda.gov"/>
    <s v="+1 (203) 189-4256"/>
    <x v="94"/>
    <x v="0"/>
    <s v="No"/>
    <x v="3"/>
    <s v="L-L-2.5"/>
    <x v="1"/>
    <n v="4.7391499999999995"/>
    <n v="4"/>
    <n v="2.5"/>
    <n v="36.454999999999998"/>
    <x v="43"/>
    <n v="18.956599999999998"/>
    <n v="13"/>
  </r>
  <r>
    <s v="MWP-46239-785"/>
    <d v="2019-04-27T00:00:00"/>
    <s v="27"/>
    <x v="8"/>
    <x v="0"/>
    <x v="115"/>
    <x v="115"/>
    <s v="srodliff3g@ted.com"/>
    <s v="+1 (757) 537-3012"/>
    <x v="95"/>
    <x v="0"/>
    <s v="Yes"/>
    <x v="3"/>
    <s v="L-M-0.2"/>
    <x v="0"/>
    <n v="0.56745000000000001"/>
    <n v="5"/>
    <n v="0.2"/>
    <n v="4.3650000000000002"/>
    <x v="26"/>
    <n v="2.83725"/>
    <n v="12.999999999999998"/>
  </r>
  <r>
    <s v="QDV-03406-248"/>
    <d v="2019-05-23T00:00:00"/>
    <s v="23"/>
    <x v="5"/>
    <x v="0"/>
    <x v="116"/>
    <x v="116"/>
    <s v="swoodham3h@businesswire.com"/>
    <s v="+353 (190) 188-4918"/>
    <x v="96"/>
    <x v="1"/>
    <s v="Yes"/>
    <x v="3"/>
    <s v="L-M-0.5"/>
    <x v="0"/>
    <n v="1.1349"/>
    <n v="3"/>
    <n v="0.5"/>
    <n v="8.73"/>
    <x v="50"/>
    <n v="3.4047000000000001"/>
    <n v="13"/>
  </r>
  <r>
    <s v="GPH-40635-105"/>
    <d v="2020-07-14T00:00:00"/>
    <s v="14"/>
    <x v="2"/>
    <x v="3"/>
    <x v="117"/>
    <x v="117"/>
    <s v="hsynnot3i@about.com"/>
    <s v="+1 (907) 245-0601"/>
    <x v="92"/>
    <x v="0"/>
    <s v="No"/>
    <x v="2"/>
    <s v="A-M-1"/>
    <x v="0"/>
    <n v="1.0125"/>
    <n v="1"/>
    <n v="1"/>
    <n v="11.25"/>
    <x v="23"/>
    <n v="1.0125"/>
    <n v="9"/>
  </r>
  <r>
    <s v="JOM-80930-071"/>
    <d v="2021-11-10T00:00:00"/>
    <s v="10"/>
    <x v="11"/>
    <x v="1"/>
    <x v="118"/>
    <x v="118"/>
    <s v="rlepere3j@shop-pro.jp"/>
    <s v="+353 (792) 857-4513"/>
    <x v="75"/>
    <x v="1"/>
    <s v="No"/>
    <x v="3"/>
    <s v="L-D-1"/>
    <x v="2"/>
    <n v="1.6835"/>
    <n v="6"/>
    <n v="1"/>
    <n v="12.95"/>
    <x v="17"/>
    <n v="10.100999999999999"/>
    <n v="13"/>
  </r>
  <r>
    <s v="OIL-26493-755"/>
    <d v="2021-08-31T00:00:00"/>
    <s v="31"/>
    <x v="3"/>
    <x v="1"/>
    <x v="119"/>
    <x v="119"/>
    <s v="twoofinden3k@businesswire.com"/>
    <s v="+1 (701) 503-1067"/>
    <x v="97"/>
    <x v="0"/>
    <s v="No"/>
    <x v="2"/>
    <s v="A-M-0.5"/>
    <x v="0"/>
    <n v="0.60749999999999993"/>
    <n v="1"/>
    <n v="0.5"/>
    <n v="6.75"/>
    <x v="52"/>
    <n v="0.60749999999999993"/>
    <n v="8.9999999999999982"/>
  </r>
  <r>
    <s v="CYV-13426-645"/>
    <d v="2019-07-06T00:00:00"/>
    <s v="06"/>
    <x v="2"/>
    <x v="0"/>
    <x v="120"/>
    <x v="120"/>
    <s v="edacca3l@google.pl"/>
    <s v="+1 (812) 921-5458"/>
    <x v="98"/>
    <x v="0"/>
    <s v="Yes"/>
    <x v="1"/>
    <s v="E-D-1"/>
    <x v="2"/>
    <n v="1.3365"/>
    <n v="1"/>
    <n v="1"/>
    <n v="12.15"/>
    <x v="87"/>
    <n v="1.3365"/>
    <n v="11"/>
  </r>
  <r>
    <s v="WRP-39846-614"/>
    <d v="2022-03-04T00:00:00"/>
    <s v="04"/>
    <x v="6"/>
    <x v="2"/>
    <x v="121"/>
    <x v="121"/>
    <n v="0"/>
    <s v="+353 (900) 633-2359"/>
    <x v="89"/>
    <x v="1"/>
    <s v="Yes"/>
    <x v="2"/>
    <s v="A-L-2.5"/>
    <x v="1"/>
    <n v="2.6806499999999995"/>
    <n v="5"/>
    <n v="2.5"/>
    <n v="29.784999999999997"/>
    <x v="74"/>
    <n v="13.403249999999998"/>
    <n v="9"/>
  </r>
  <r>
    <s v="VDZ-76673-968"/>
    <d v="2020-12-31T00:00:00"/>
    <s v="31"/>
    <x v="9"/>
    <x v="3"/>
    <x v="122"/>
    <x v="122"/>
    <s v="bhindsberg3n@blogs.com"/>
    <s v="+1 (704) 888-5303"/>
    <x v="63"/>
    <x v="0"/>
    <s v="Yes"/>
    <x v="1"/>
    <s v="E-D-0.5"/>
    <x v="2"/>
    <n v="0.80190000000000006"/>
    <n v="2"/>
    <n v="0.5"/>
    <n v="7.29"/>
    <x v="20"/>
    <n v="1.6038000000000001"/>
    <n v="11"/>
  </r>
  <r>
    <s v="VTV-03546-175"/>
    <d v="2020-07-31T00:00:00"/>
    <s v="31"/>
    <x v="2"/>
    <x v="3"/>
    <x v="123"/>
    <x v="123"/>
    <s v="orobins3o@salon.com"/>
    <s v="+1 (256) 196-8054"/>
    <x v="99"/>
    <x v="0"/>
    <s v="Yes"/>
    <x v="2"/>
    <s v="A-L-2.5"/>
    <x v="1"/>
    <n v="2.6806499999999995"/>
    <n v="5"/>
    <n v="2.5"/>
    <n v="29.784999999999997"/>
    <x v="74"/>
    <n v="13.403249999999998"/>
    <n v="9"/>
  </r>
  <r>
    <s v="GHR-72274-715"/>
    <d v="2021-05-24T00:00:00"/>
    <s v="24"/>
    <x v="5"/>
    <x v="1"/>
    <x v="124"/>
    <x v="124"/>
    <s v="osyseland3p@independent.co.uk"/>
    <s v="+1 (714) 895-0210"/>
    <x v="100"/>
    <x v="0"/>
    <s v="No"/>
    <x v="3"/>
    <s v="L-D-1"/>
    <x v="2"/>
    <n v="1.6835"/>
    <n v="1"/>
    <n v="1"/>
    <n v="12.95"/>
    <x v="2"/>
    <n v="1.6835"/>
    <n v="13"/>
  </r>
  <r>
    <s v="ZGK-97262-313"/>
    <d v="2022-07-16T00:00:00"/>
    <s v="16"/>
    <x v="2"/>
    <x v="2"/>
    <x v="125"/>
    <x v="125"/>
    <n v="0"/>
    <n v="0"/>
    <x v="41"/>
    <x v="0"/>
    <s v="Yes"/>
    <x v="1"/>
    <s v="E-M-2.5"/>
    <x v="0"/>
    <n v="3.4787499999999998"/>
    <n v="3"/>
    <n v="2.5"/>
    <n v="31.624999999999996"/>
    <x v="88"/>
    <n v="10.436249999999999"/>
    <n v="11.000000000000002"/>
  </r>
  <r>
    <s v="ZFS-30776-804"/>
    <d v="2021-02-05T00:00:00"/>
    <s v="05"/>
    <x v="10"/>
    <x v="1"/>
    <x v="126"/>
    <x v="126"/>
    <s v="bmcamish2e@tripadvisor.com"/>
    <n v="0"/>
    <x v="101"/>
    <x v="0"/>
    <s v="Yes"/>
    <x v="2"/>
    <s v="A-L-0.5"/>
    <x v="1"/>
    <n v="0.69929999999999992"/>
    <n v="5"/>
    <n v="0.5"/>
    <n v="7.77"/>
    <x v="5"/>
    <n v="3.4964999999999997"/>
    <n v="9.0000000000000018"/>
  </r>
  <r>
    <s v="QUU-91729-492"/>
    <d v="2021-07-29T00:00:00"/>
    <s v="29"/>
    <x v="2"/>
    <x v="1"/>
    <x v="127"/>
    <x v="127"/>
    <s v="lkeenleyside3s@topsy.com"/>
    <s v="+1 (636) 713-5124"/>
    <x v="10"/>
    <x v="0"/>
    <s v="No"/>
    <x v="2"/>
    <s v="A-D-0.2"/>
    <x v="2"/>
    <n v="0.26865"/>
    <n v="4"/>
    <n v="0.2"/>
    <n v="2.9849999999999999"/>
    <x v="22"/>
    <n v="1.0746"/>
    <n v="9.0000000000000018"/>
  </r>
  <r>
    <s v="PVI-72795-960"/>
    <d v="2022-03-17T00:00:00"/>
    <s v="17"/>
    <x v="6"/>
    <x v="2"/>
    <x v="128"/>
    <x v="128"/>
    <n v="0"/>
    <s v="+353 (994) 611-5746"/>
    <x v="102"/>
    <x v="1"/>
    <s v="No"/>
    <x v="1"/>
    <s v="E-L-2.5"/>
    <x v="1"/>
    <n v="3.7570499999999996"/>
    <n v="3"/>
    <n v="2.5"/>
    <n v="34.154999999999994"/>
    <x v="89"/>
    <n v="11.271149999999999"/>
    <n v="11.000000000000002"/>
  </r>
  <r>
    <s v="PPP-78935-365"/>
    <d v="2021-02-11T00:00:00"/>
    <s v="11"/>
    <x v="10"/>
    <x v="1"/>
    <x v="129"/>
    <x v="129"/>
    <n v="0"/>
    <s v="+1 (808) 815-5051"/>
    <x v="103"/>
    <x v="0"/>
    <s v="No"/>
    <x v="1"/>
    <s v="E-D-1"/>
    <x v="2"/>
    <n v="1.3365"/>
    <n v="4"/>
    <n v="1"/>
    <n v="12.15"/>
    <x v="90"/>
    <n v="5.3460000000000001"/>
    <n v="11"/>
  </r>
  <r>
    <s v="JUO-34131-517"/>
    <d v="2019-02-13T00:00:00"/>
    <s v="13"/>
    <x v="10"/>
    <x v="0"/>
    <x v="130"/>
    <x v="130"/>
    <n v="0"/>
    <s v="+1 (951) 638-0879"/>
    <x v="78"/>
    <x v="0"/>
    <s v="Yes"/>
    <x v="3"/>
    <s v="L-D-1"/>
    <x v="2"/>
    <n v="1.6835"/>
    <n v="6"/>
    <n v="1"/>
    <n v="12.95"/>
    <x v="17"/>
    <n v="10.100999999999999"/>
    <n v="13"/>
  </r>
  <r>
    <s v="ZJE-89333-489"/>
    <d v="2022-05-13T00:00:00"/>
    <s v="13"/>
    <x v="5"/>
    <x v="2"/>
    <x v="131"/>
    <x v="131"/>
    <s v="vkundt3w@bigcartel.com"/>
    <s v="+353 (472) 791-2507"/>
    <x v="104"/>
    <x v="1"/>
    <s v="Yes"/>
    <x v="3"/>
    <s v="L-D-2.5"/>
    <x v="2"/>
    <n v="3.8720499999999998"/>
    <n v="1"/>
    <n v="2.5"/>
    <n v="29.784999999999997"/>
    <x v="91"/>
    <n v="3.8720499999999998"/>
    <n v="13"/>
  </r>
  <r>
    <s v="LOO-35324-159"/>
    <d v="2020-05-19T00:00:00"/>
    <s v="19"/>
    <x v="5"/>
    <x v="3"/>
    <x v="132"/>
    <x v="132"/>
    <s v="bbett3x@google.de"/>
    <s v="+1 (202) 632-9905"/>
    <x v="41"/>
    <x v="0"/>
    <s v="Yes"/>
    <x v="2"/>
    <s v="A-L-0.2"/>
    <x v="1"/>
    <n v="0.34964999999999996"/>
    <n v="4"/>
    <n v="0.2"/>
    <n v="3.8849999999999998"/>
    <x v="42"/>
    <n v="1.3985999999999998"/>
    <n v="9"/>
  </r>
  <r>
    <s v="JBQ-93412-846"/>
    <d v="2022-04-27T00:00:00"/>
    <s v="27"/>
    <x v="8"/>
    <x v="2"/>
    <x v="133"/>
    <x v="133"/>
    <n v="0"/>
    <n v="0"/>
    <x v="105"/>
    <x v="1"/>
    <s v="Yes"/>
    <x v="1"/>
    <s v="E-L-2.5"/>
    <x v="1"/>
    <n v="3.7570499999999996"/>
    <n v="4"/>
    <n v="2.5"/>
    <n v="34.154999999999994"/>
    <x v="56"/>
    <n v="15.028199999999998"/>
    <n v="11"/>
  </r>
  <r>
    <s v="EHX-66333-637"/>
    <d v="2020-09-09T00:00:00"/>
    <s v="09"/>
    <x v="0"/>
    <x v="3"/>
    <x v="134"/>
    <x v="134"/>
    <s v="dstaite3z@scientificamerican.com"/>
    <s v="+1 (713) 478-3937"/>
    <x v="13"/>
    <x v="0"/>
    <s v="No"/>
    <x v="3"/>
    <s v="L-M-0.5"/>
    <x v="0"/>
    <n v="1.1349"/>
    <n v="2"/>
    <n v="0.5"/>
    <n v="8.73"/>
    <x v="92"/>
    <n v="2.2698"/>
    <n v="13"/>
  </r>
  <r>
    <s v="WXG-25759-236"/>
    <d v="2021-03-10T00:00:00"/>
    <s v="10"/>
    <x v="6"/>
    <x v="1"/>
    <x v="135"/>
    <x v="135"/>
    <s v="wkeyse40@apple.com"/>
    <s v="+1 (650) 947-8867"/>
    <x v="106"/>
    <x v="0"/>
    <s v="Yes"/>
    <x v="1"/>
    <s v="E-L-2.5"/>
    <x v="1"/>
    <n v="3.7570499999999996"/>
    <n v="2"/>
    <n v="2.5"/>
    <n v="34.154999999999994"/>
    <x v="93"/>
    <n v="7.5140999999999991"/>
    <n v="11"/>
  </r>
  <r>
    <s v="QNA-31113-984"/>
    <d v="2019-04-07T00:00:00"/>
    <s v="07"/>
    <x v="8"/>
    <x v="0"/>
    <x v="136"/>
    <x v="136"/>
    <s v="oclausenthue41@marriott.com"/>
    <s v="+1 (915) 558-6109"/>
    <x v="87"/>
    <x v="0"/>
    <s v="No"/>
    <x v="3"/>
    <s v="L-M-0.2"/>
    <x v="0"/>
    <n v="0.56745000000000001"/>
    <n v="4"/>
    <n v="0.2"/>
    <n v="4.3650000000000002"/>
    <x v="92"/>
    <n v="2.2698"/>
    <n v="13"/>
  </r>
  <r>
    <s v="ZWI-52029-159"/>
    <d v="2020-07-12T00:00:00"/>
    <s v="12"/>
    <x v="2"/>
    <x v="3"/>
    <x v="137"/>
    <x v="137"/>
    <s v="lfrancisco42@fema.gov"/>
    <s v="+1 (775) 346-9758"/>
    <x v="107"/>
    <x v="0"/>
    <s v="No"/>
    <x v="3"/>
    <s v="L-M-1"/>
    <x v="0"/>
    <n v="1.8915000000000002"/>
    <n v="3"/>
    <n v="1"/>
    <n v="14.55"/>
    <x v="34"/>
    <n v="5.6745000000000001"/>
    <n v="12.999999999999998"/>
  </r>
  <r>
    <s v="ZWI-52029-159"/>
    <d v="2020-07-12T00:00:00"/>
    <s v="12"/>
    <x v="2"/>
    <x v="3"/>
    <x v="137"/>
    <x v="137"/>
    <s v="lfrancisco42@fema.gov"/>
    <s v="+1 (775) 346-9758"/>
    <x v="107"/>
    <x v="0"/>
    <s v="No"/>
    <x v="1"/>
    <s v="E-M-1"/>
    <x v="0"/>
    <n v="1.5125"/>
    <n v="2"/>
    <n v="1"/>
    <n v="13.75"/>
    <x v="3"/>
    <n v="3.0249999999999999"/>
    <n v="11"/>
  </r>
  <r>
    <s v="DFS-49954-707"/>
    <d v="2021-12-21T00:00:00"/>
    <s v="21"/>
    <x v="9"/>
    <x v="1"/>
    <x v="138"/>
    <x v="138"/>
    <s v="gskingle44@clickbank.net"/>
    <s v="+1 (801) 886-5886"/>
    <x v="108"/>
    <x v="0"/>
    <s v="Yes"/>
    <x v="1"/>
    <s v="E-D-0.2"/>
    <x v="2"/>
    <n v="0.40095000000000003"/>
    <n v="5"/>
    <n v="0.2"/>
    <n v="3.645"/>
    <x v="94"/>
    <n v="2.00475"/>
    <n v="10.999999999999998"/>
  </r>
  <r>
    <s v="VYP-89830-878"/>
    <d v="2020-10-04T00:00:00"/>
    <s v="04"/>
    <x v="7"/>
    <x v="3"/>
    <x v="139"/>
    <x v="139"/>
    <n v="0"/>
    <s v="+1 (305) 345-2788"/>
    <x v="109"/>
    <x v="0"/>
    <s v="Yes"/>
    <x v="2"/>
    <s v="A-M-2.5"/>
    <x v="0"/>
    <n v="2.3287499999999994"/>
    <n v="2"/>
    <n v="2.5"/>
    <n v="25.874999999999996"/>
    <x v="95"/>
    <n v="4.6574999999999989"/>
    <n v="9"/>
  </r>
  <r>
    <s v="AMT-40418-362"/>
    <d v="2020-08-08T00:00:00"/>
    <s v="08"/>
    <x v="3"/>
    <x v="3"/>
    <x v="140"/>
    <x v="140"/>
    <s v="jbalsillie46@princeton.edu"/>
    <s v="+1 (540) 905-2213"/>
    <x v="110"/>
    <x v="0"/>
    <s v="Yes"/>
    <x v="3"/>
    <s v="L-D-1"/>
    <x v="2"/>
    <n v="1.6835"/>
    <n v="1"/>
    <n v="1"/>
    <n v="12.95"/>
    <x v="2"/>
    <n v="1.6835"/>
    <n v="13"/>
  </r>
  <r>
    <s v="NFQ-23241-793"/>
    <d v="2020-10-11T00:00:00"/>
    <s v="11"/>
    <x v="7"/>
    <x v="3"/>
    <x v="141"/>
    <x v="141"/>
    <n v="0"/>
    <s v="+1 (515) 508-1573"/>
    <x v="111"/>
    <x v="0"/>
    <s v="Yes"/>
    <x v="2"/>
    <s v="A-M-1"/>
    <x v="0"/>
    <n v="1.0125"/>
    <n v="3"/>
    <n v="1"/>
    <n v="11.25"/>
    <x v="65"/>
    <n v="3.0374999999999996"/>
    <n v="8.9999999999999982"/>
  </r>
  <r>
    <s v="JQK-64922-985"/>
    <d v="2021-11-10T00:00:00"/>
    <s v="10"/>
    <x v="11"/>
    <x v="1"/>
    <x v="142"/>
    <x v="142"/>
    <s v="bleffek48@ning.com"/>
    <s v="+1 (808) 815-3474"/>
    <x v="103"/>
    <x v="0"/>
    <s v="Yes"/>
    <x v="0"/>
    <s v="R-M-2.5"/>
    <x v="0"/>
    <n v="1.3730999999999998"/>
    <n v="3"/>
    <n v="2.5"/>
    <n v="22.884999999999998"/>
    <x v="96"/>
    <n v="4.1192999999999991"/>
    <n v="5.9999999999999982"/>
  </r>
  <r>
    <s v="YET-17732-678"/>
    <d v="2021-06-20T00:00:00"/>
    <s v="20"/>
    <x v="1"/>
    <x v="1"/>
    <x v="143"/>
    <x v="143"/>
    <n v="0"/>
    <s v="+1 (754) 664-6126"/>
    <x v="42"/>
    <x v="0"/>
    <s v="No"/>
    <x v="0"/>
    <s v="R-D-0.2"/>
    <x v="2"/>
    <n v="0.16109999999999997"/>
    <n v="1"/>
    <n v="0.2"/>
    <n v="2.6849999999999996"/>
    <x v="97"/>
    <n v="0.16109999999999997"/>
    <n v="6"/>
  </r>
  <r>
    <s v="NKW-24945-846"/>
    <d v="2021-10-04T00:00:00"/>
    <s v="04"/>
    <x v="7"/>
    <x v="1"/>
    <x v="144"/>
    <x v="144"/>
    <s v="jpray4a@youtube.com"/>
    <s v="+1 (215) 771-6504"/>
    <x v="11"/>
    <x v="0"/>
    <s v="No"/>
    <x v="2"/>
    <s v="A-D-2.5"/>
    <x v="2"/>
    <n v="2.0596499999999995"/>
    <n v="5"/>
    <n v="2.5"/>
    <n v="22.884999999999998"/>
    <x v="15"/>
    <n v="10.298249999999998"/>
    <n v="9"/>
  </r>
  <r>
    <s v="VKA-82720-513"/>
    <d v="2019-06-24T00:00:00"/>
    <s v="24"/>
    <x v="1"/>
    <x v="0"/>
    <x v="145"/>
    <x v="145"/>
    <s v="gholborn4b@ow.ly"/>
    <s v="+1 (203) 577-5788"/>
    <x v="112"/>
    <x v="0"/>
    <s v="Yes"/>
    <x v="2"/>
    <s v="A-M-2.5"/>
    <x v="0"/>
    <n v="2.3287499999999994"/>
    <n v="6"/>
    <n v="2.5"/>
    <n v="25.874999999999996"/>
    <x v="71"/>
    <n v="13.972499999999997"/>
    <n v="9"/>
  </r>
  <r>
    <s v="THA-60599-417"/>
    <d v="2019-10-26T00:00:00"/>
    <s v="26"/>
    <x v="7"/>
    <x v="0"/>
    <x v="146"/>
    <x v="146"/>
    <s v="fkeinrat4c@dailymail.co.uk"/>
    <s v="+1 (817) 785-7050"/>
    <x v="113"/>
    <x v="0"/>
    <s v="Yes"/>
    <x v="2"/>
    <s v="A-M-2.5"/>
    <x v="0"/>
    <n v="2.3287499999999994"/>
    <n v="3"/>
    <n v="2.5"/>
    <n v="25.874999999999996"/>
    <x v="57"/>
    <n v="6.9862499999999983"/>
    <n v="9"/>
  </r>
  <r>
    <s v="MEK-39769-035"/>
    <d v="2021-06-27T00:00:00"/>
    <s v="27"/>
    <x v="1"/>
    <x v="1"/>
    <x v="147"/>
    <x v="147"/>
    <s v="pyea4d@aol.com"/>
    <s v="+353 (885) 555-9183"/>
    <x v="114"/>
    <x v="1"/>
    <s v="No"/>
    <x v="0"/>
    <s v="R-D-2.5"/>
    <x v="2"/>
    <n v="1.2350999999999999"/>
    <n v="3"/>
    <n v="2.5"/>
    <n v="20.584999999999997"/>
    <x v="98"/>
    <n v="3.7052999999999994"/>
    <n v="5.9999999999999991"/>
  </r>
  <r>
    <s v="JAF-18294-750"/>
    <d v="2019-09-06T00:00:00"/>
    <s v="06"/>
    <x v="0"/>
    <x v="0"/>
    <x v="148"/>
    <x v="148"/>
    <n v="0"/>
    <s v="+1 (423) 485-6650"/>
    <x v="115"/>
    <x v="0"/>
    <s v="Yes"/>
    <x v="0"/>
    <s v="R-D-2.5"/>
    <x v="2"/>
    <n v="1.2350999999999999"/>
    <n v="6"/>
    <n v="2.5"/>
    <n v="20.584999999999997"/>
    <x v="99"/>
    <n v="7.4105999999999987"/>
    <n v="5.9999999999999991"/>
  </r>
  <r>
    <s v="TME-59627-221"/>
    <d v="2021-04-30T00:00:00"/>
    <s v="30"/>
    <x v="8"/>
    <x v="1"/>
    <x v="149"/>
    <x v="149"/>
    <n v="0"/>
    <s v="+1 (503) 774-7836"/>
    <x v="12"/>
    <x v="0"/>
    <s v="No"/>
    <x v="3"/>
    <s v="L-L-2.5"/>
    <x v="1"/>
    <n v="4.7391499999999995"/>
    <n v="6"/>
    <n v="2.5"/>
    <n v="36.454999999999998"/>
    <x v="100"/>
    <n v="28.434899999999999"/>
    <n v="13"/>
  </r>
  <r>
    <s v="UDG-65353-824"/>
    <d v="2020-01-07T00:00:00"/>
    <s v="07"/>
    <x v="4"/>
    <x v="3"/>
    <x v="150"/>
    <x v="150"/>
    <s v="kswede4g@addthis.com"/>
    <s v="+1 (405) 535-0273"/>
    <x v="101"/>
    <x v="0"/>
    <s v="No"/>
    <x v="1"/>
    <s v="E-M-0.5"/>
    <x v="0"/>
    <n v="0.90749999999999997"/>
    <n v="4"/>
    <n v="0.5"/>
    <n v="8.25"/>
    <x v="101"/>
    <n v="3.63"/>
    <n v="11"/>
  </r>
  <r>
    <s v="ENQ-42923-176"/>
    <d v="2021-01-11T00:00:00"/>
    <s v="11"/>
    <x v="4"/>
    <x v="1"/>
    <x v="151"/>
    <x v="151"/>
    <s v="lrubrow4h@microsoft.com"/>
    <s v="+1 (202) 503-9022"/>
    <x v="41"/>
    <x v="0"/>
    <s v="No"/>
    <x v="2"/>
    <s v="A-L-0.5"/>
    <x v="1"/>
    <n v="0.69929999999999992"/>
    <n v="3"/>
    <n v="0.5"/>
    <n v="7.77"/>
    <x v="102"/>
    <n v="2.0978999999999997"/>
    <n v="9"/>
  </r>
  <r>
    <s v="CBT-55781-720"/>
    <d v="2021-11-15T00:00:00"/>
    <s v="15"/>
    <x v="11"/>
    <x v="1"/>
    <x v="152"/>
    <x v="152"/>
    <s v="dtift4i@netvibes.com"/>
    <s v="+1 (336) 766-8518"/>
    <x v="116"/>
    <x v="0"/>
    <s v="Yes"/>
    <x v="1"/>
    <s v="E-D-0.5"/>
    <x v="2"/>
    <n v="0.80190000000000006"/>
    <n v="3"/>
    <n v="0.5"/>
    <n v="7.29"/>
    <x v="6"/>
    <n v="2.4057000000000004"/>
    <n v="11.000000000000002"/>
  </r>
  <r>
    <s v="NEU-86533-016"/>
    <d v="2019-06-03T00:00:00"/>
    <s v="03"/>
    <x v="1"/>
    <x v="0"/>
    <x v="153"/>
    <x v="153"/>
    <s v="gschonfeld4j@oracle.com"/>
    <s v="+1 (571) 238-0580"/>
    <x v="117"/>
    <x v="0"/>
    <s v="No"/>
    <x v="0"/>
    <s v="R-D-0.2"/>
    <x v="2"/>
    <n v="0.16109999999999997"/>
    <n v="6"/>
    <n v="0.2"/>
    <n v="2.6849999999999996"/>
    <x v="103"/>
    <n v="0.96659999999999979"/>
    <n v="5.9999999999999991"/>
  </r>
  <r>
    <s v="BYU-58154-603"/>
    <d v="2020-12-17T00:00:00"/>
    <s v="17"/>
    <x v="9"/>
    <x v="3"/>
    <x v="154"/>
    <x v="154"/>
    <s v="cfeye4k@google.co.jp"/>
    <s v="+353 (471) 184-7815"/>
    <x v="118"/>
    <x v="1"/>
    <s v="No"/>
    <x v="1"/>
    <s v="E-D-0.5"/>
    <x v="2"/>
    <n v="0.80190000000000006"/>
    <n v="4"/>
    <n v="0.5"/>
    <n v="7.29"/>
    <x v="104"/>
    <n v="3.2076000000000002"/>
    <n v="11"/>
  </r>
  <r>
    <s v="EHJ-05910-257"/>
    <d v="2021-02-07T00:00:00"/>
    <s v="07"/>
    <x v="10"/>
    <x v="1"/>
    <x v="155"/>
    <x v="155"/>
    <n v="0"/>
    <s v="+1 (262) 320-1474"/>
    <x v="119"/>
    <x v="0"/>
    <s v="Yes"/>
    <x v="0"/>
    <s v="R-D-1"/>
    <x v="2"/>
    <n v="0.53699999999999992"/>
    <n v="6"/>
    <n v="1"/>
    <n v="8.9499999999999993"/>
    <x v="59"/>
    <n v="3.2219999999999995"/>
    <n v="6"/>
  </r>
  <r>
    <s v="EIL-44855-309"/>
    <d v="2021-03-15T00:00:00"/>
    <s v="15"/>
    <x v="6"/>
    <x v="1"/>
    <x v="156"/>
    <x v="156"/>
    <n v="0"/>
    <s v="+1 (305) 419-8626"/>
    <x v="120"/>
    <x v="0"/>
    <s v="Yes"/>
    <x v="0"/>
    <s v="R-D-0.5"/>
    <x v="2"/>
    <n v="0.32219999999999993"/>
    <n v="5"/>
    <n v="0.5"/>
    <n v="5.3699999999999992"/>
    <x v="51"/>
    <n v="1.6109999999999998"/>
    <n v="6.0000000000000009"/>
  </r>
  <r>
    <s v="HCA-87224-420"/>
    <d v="2022-08-04T00:00:00"/>
    <s v="04"/>
    <x v="3"/>
    <x v="2"/>
    <x v="157"/>
    <x v="157"/>
    <s v="tfero4n@comsenz.com"/>
    <s v="+1 (262) 954-6859"/>
    <x v="119"/>
    <x v="0"/>
    <s v="Yes"/>
    <x v="1"/>
    <s v="E-M-0.5"/>
    <x v="0"/>
    <n v="0.90749999999999997"/>
    <n v="5"/>
    <n v="0.5"/>
    <n v="8.25"/>
    <x v="1"/>
    <n v="4.5374999999999996"/>
    <n v="10.999999999999998"/>
  </r>
  <r>
    <s v="ABO-29054-365"/>
    <d v="2019-01-19T00:00:00"/>
    <s v="19"/>
    <x v="4"/>
    <x v="0"/>
    <x v="158"/>
    <x v="158"/>
    <n v="0"/>
    <s v="+353 (479) 865-9222"/>
    <x v="118"/>
    <x v="1"/>
    <s v="No"/>
    <x v="2"/>
    <s v="A-M-0.5"/>
    <x v="0"/>
    <n v="0.60749999999999993"/>
    <n v="6"/>
    <n v="0.5"/>
    <n v="6.75"/>
    <x v="61"/>
    <n v="3.6449999999999996"/>
    <n v="8.9999999999999982"/>
  </r>
  <r>
    <s v="TKN-58485-031"/>
    <d v="2022-03-23T00:00:00"/>
    <s v="23"/>
    <x v="6"/>
    <x v="2"/>
    <x v="159"/>
    <x v="159"/>
    <s v="fdauney4p@sphinn.com"/>
    <s v="+353 (669) 355-6726"/>
    <x v="121"/>
    <x v="1"/>
    <s v="No"/>
    <x v="0"/>
    <s v="R-D-1"/>
    <x v="2"/>
    <n v="0.53699999999999992"/>
    <n v="2"/>
    <n v="1"/>
    <n v="8.9499999999999993"/>
    <x v="105"/>
    <n v="1.0739999999999998"/>
    <n v="6"/>
  </r>
  <r>
    <s v="RCK-04069-371"/>
    <d v="2021-10-07T00:00:00"/>
    <s v="07"/>
    <x v="7"/>
    <x v="1"/>
    <x v="160"/>
    <x v="160"/>
    <s v="searley4q@youku.com"/>
    <n v="0"/>
    <x v="122"/>
    <x v="2"/>
    <s v="No"/>
    <x v="1"/>
    <s v="E-L-2.5"/>
    <x v="1"/>
    <n v="3.7570499999999996"/>
    <n v="2"/>
    <n v="2.5"/>
    <n v="34.154999999999994"/>
    <x v="93"/>
    <n v="7.5140999999999991"/>
    <n v="11"/>
  </r>
  <r>
    <s v="IRJ-67095-738"/>
    <d v="2019-03-20T00:00:00"/>
    <s v="20"/>
    <x v="6"/>
    <x v="0"/>
    <x v="161"/>
    <x v="161"/>
    <s v="mchamberlayne4r@bigcartel.com"/>
    <s v="+1 (813) 801-0026"/>
    <x v="47"/>
    <x v="0"/>
    <s v="Yes"/>
    <x v="1"/>
    <s v="E-M-2.5"/>
    <x v="0"/>
    <n v="3.4787499999999998"/>
    <n v="2"/>
    <n v="2.5"/>
    <n v="31.624999999999996"/>
    <x v="40"/>
    <n v="6.9574999999999996"/>
    <n v="11"/>
  </r>
  <r>
    <s v="VEA-31961-977"/>
    <d v="2021-12-15T00:00:00"/>
    <s v="15"/>
    <x v="9"/>
    <x v="1"/>
    <x v="162"/>
    <x v="162"/>
    <s v="bflaherty4s@moonfruit.com"/>
    <n v="0"/>
    <x v="123"/>
    <x v="1"/>
    <s v="No"/>
    <x v="1"/>
    <s v="E-D-0.5"/>
    <x v="2"/>
    <n v="0.80190000000000006"/>
    <n v="3"/>
    <n v="0.5"/>
    <n v="7.29"/>
    <x v="6"/>
    <n v="2.4057000000000004"/>
    <n v="11.000000000000002"/>
  </r>
  <r>
    <s v="BAF-42286-205"/>
    <d v="2022-06-08T00:00:00"/>
    <s v="08"/>
    <x v="1"/>
    <x v="2"/>
    <x v="163"/>
    <x v="163"/>
    <s v="ocolbeck4t@sina.com.cn"/>
    <s v="+1 (334) 441-4420"/>
    <x v="124"/>
    <x v="0"/>
    <s v="No"/>
    <x v="0"/>
    <s v="R-M-2.5"/>
    <x v="0"/>
    <n v="1.3730999999999998"/>
    <n v="4"/>
    <n v="2.5"/>
    <n v="22.884999999999998"/>
    <x v="21"/>
    <n v="5.4923999999999991"/>
    <n v="6"/>
  </r>
  <r>
    <s v="WOR-52762-511"/>
    <d v="2019-12-14T00:00:00"/>
    <s v="14"/>
    <x v="9"/>
    <x v="0"/>
    <x v="164"/>
    <x v="164"/>
    <n v="0"/>
    <s v="+1 (775) 947-1470"/>
    <x v="125"/>
    <x v="0"/>
    <s v="Yes"/>
    <x v="1"/>
    <s v="E-L-2.5"/>
    <x v="1"/>
    <n v="3.7570499999999996"/>
    <n v="6"/>
    <n v="2.5"/>
    <n v="34.154999999999994"/>
    <x v="106"/>
    <n v="22.542299999999997"/>
    <n v="11.000000000000002"/>
  </r>
  <r>
    <s v="ZWK-03995-815"/>
    <d v="2021-04-10T00:00:00"/>
    <s v="10"/>
    <x v="8"/>
    <x v="1"/>
    <x v="165"/>
    <x v="165"/>
    <s v="ehobbing4v@nsw.gov.au"/>
    <s v="+1 (478) 206-7670"/>
    <x v="126"/>
    <x v="0"/>
    <s v="Yes"/>
    <x v="1"/>
    <s v="E-M-2.5"/>
    <x v="0"/>
    <n v="3.4787499999999998"/>
    <n v="2"/>
    <n v="2.5"/>
    <n v="31.624999999999996"/>
    <x v="40"/>
    <n v="6.9574999999999996"/>
    <n v="11"/>
  </r>
  <r>
    <s v="CKF-43291-846"/>
    <d v="2020-03-10T00:00:00"/>
    <s v="10"/>
    <x v="6"/>
    <x v="3"/>
    <x v="166"/>
    <x v="166"/>
    <s v="othynne4w@auda.org.au"/>
    <s v="+1 (562) 132-7323"/>
    <x v="127"/>
    <x v="0"/>
    <s v="Yes"/>
    <x v="1"/>
    <s v="E-L-2.5"/>
    <x v="1"/>
    <n v="3.7570499999999996"/>
    <n v="1"/>
    <n v="2.5"/>
    <n v="34.154999999999994"/>
    <x v="107"/>
    <n v="3.7570499999999996"/>
    <n v="11"/>
  </r>
  <r>
    <s v="RMW-74160-339"/>
    <d v="2020-10-16T00:00:00"/>
    <s v="16"/>
    <x v="7"/>
    <x v="3"/>
    <x v="167"/>
    <x v="167"/>
    <s v="eheining4x@flickr.com"/>
    <n v="0"/>
    <x v="128"/>
    <x v="0"/>
    <s v="Yes"/>
    <x v="0"/>
    <s v="R-L-2.5"/>
    <x v="1"/>
    <n v="1.6490999999999998"/>
    <n v="4"/>
    <n v="2.5"/>
    <n v="27.484999999999996"/>
    <x v="108"/>
    <n v="6.5963999999999992"/>
    <n v="6.0000000000000009"/>
  </r>
  <r>
    <s v="FMT-94584-786"/>
    <d v="2019-10-08T00:00:00"/>
    <s v="08"/>
    <x v="7"/>
    <x v="0"/>
    <x v="168"/>
    <x v="168"/>
    <s v="kmelloi4y@imdb.com"/>
    <s v="+1 (315) 525-0805"/>
    <x v="36"/>
    <x v="0"/>
    <s v="No"/>
    <x v="2"/>
    <s v="A-L-1"/>
    <x v="1"/>
    <n v="1.1655"/>
    <n v="2"/>
    <n v="1"/>
    <n v="12.95"/>
    <x v="109"/>
    <n v="2.331"/>
    <n v="9"/>
  </r>
  <r>
    <s v="NWT-78222-575"/>
    <d v="2019-12-31T00:00:00"/>
    <s v="31"/>
    <x v="9"/>
    <x v="0"/>
    <x v="169"/>
    <x v="169"/>
    <n v="0"/>
    <s v="+353 (232) 652-5145"/>
    <x v="129"/>
    <x v="1"/>
    <s v="No"/>
    <x v="2"/>
    <s v="A-D-0.2"/>
    <x v="2"/>
    <n v="0.26865"/>
    <n v="1"/>
    <n v="0.2"/>
    <n v="2.9849999999999999"/>
    <x v="55"/>
    <n v="0.26865"/>
    <n v="9.0000000000000018"/>
  </r>
  <r>
    <s v="EOI-02511-919"/>
    <d v="2020-03-20T00:00:00"/>
    <s v="20"/>
    <x v="6"/>
    <x v="3"/>
    <x v="170"/>
    <x v="170"/>
    <s v="amussen50@51.la"/>
    <s v="+1 (212) 630-8669"/>
    <x v="130"/>
    <x v="0"/>
    <s v="No"/>
    <x v="1"/>
    <s v="E-L-0.2"/>
    <x v="1"/>
    <n v="0.49004999999999999"/>
    <n v="5"/>
    <n v="0.2"/>
    <n v="4.4550000000000001"/>
    <x v="110"/>
    <n v="2.45025"/>
    <n v="11.000000000000002"/>
  </r>
  <r>
    <s v="EOI-02511-919"/>
    <d v="2020-03-20T00:00:00"/>
    <s v="20"/>
    <x v="6"/>
    <x v="3"/>
    <x v="170"/>
    <x v="170"/>
    <s v="amussen50@51.la"/>
    <s v="+1 (212) 630-8669"/>
    <x v="130"/>
    <x v="0"/>
    <s v="No"/>
    <x v="2"/>
    <s v="A-D-0.5"/>
    <x v="2"/>
    <n v="0.5373"/>
    <n v="5"/>
    <n v="0.5"/>
    <n v="5.97"/>
    <x v="44"/>
    <n v="2.6865000000000001"/>
    <n v="9.0000000000000018"/>
  </r>
  <r>
    <s v="UCT-03935-589"/>
    <d v="2021-03-29T00:00:00"/>
    <s v="29"/>
    <x v="6"/>
    <x v="1"/>
    <x v="171"/>
    <x v="171"/>
    <s v="amundford52@nbcnews.com"/>
    <s v="+1 (434) 738-7279"/>
    <x v="131"/>
    <x v="0"/>
    <s v="No"/>
    <x v="0"/>
    <s v="R-D-0.5"/>
    <x v="2"/>
    <n v="0.32219999999999993"/>
    <n v="6"/>
    <n v="0.5"/>
    <n v="5.3699999999999992"/>
    <x v="111"/>
    <n v="1.9331999999999996"/>
    <n v="5.9999999999999991"/>
  </r>
  <r>
    <s v="SBI-60013-494"/>
    <d v="2021-11-12T00:00:00"/>
    <s v="12"/>
    <x v="11"/>
    <x v="1"/>
    <x v="172"/>
    <x v="172"/>
    <s v="twalas53@google.ca"/>
    <s v="+1 (214) 205-7809"/>
    <x v="132"/>
    <x v="0"/>
    <s v="No"/>
    <x v="1"/>
    <s v="E-M-0.2"/>
    <x v="0"/>
    <n v="0.45374999999999999"/>
    <n v="2"/>
    <n v="0.2"/>
    <n v="4.125"/>
    <x v="112"/>
    <n v="0.90749999999999997"/>
    <n v="11"/>
  </r>
  <r>
    <s v="QRA-73277-814"/>
    <d v="2021-07-20T00:00:00"/>
    <s v="20"/>
    <x v="2"/>
    <x v="1"/>
    <x v="173"/>
    <x v="173"/>
    <s v="iblazewicz54@thetimes.co.uk"/>
    <s v="+1 (612) 683-3450"/>
    <x v="30"/>
    <x v="0"/>
    <s v="No"/>
    <x v="2"/>
    <s v="A-L-0.5"/>
    <x v="1"/>
    <n v="0.69929999999999992"/>
    <n v="4"/>
    <n v="0.5"/>
    <n v="7.77"/>
    <x v="113"/>
    <n v="2.7971999999999997"/>
    <n v="9"/>
  </r>
  <r>
    <s v="EQE-31648-909"/>
    <d v="2019-01-18T00:00:00"/>
    <s v="18"/>
    <x v="4"/>
    <x v="0"/>
    <x v="174"/>
    <x v="174"/>
    <s v="arizzetti55@naver.com"/>
    <s v="+1 (517) 237-7606"/>
    <x v="133"/>
    <x v="0"/>
    <s v="Yes"/>
    <x v="1"/>
    <s v="E-D-0.5"/>
    <x v="2"/>
    <n v="0.80190000000000006"/>
    <n v="5"/>
    <n v="0.5"/>
    <n v="7.29"/>
    <x v="114"/>
    <n v="4.0095000000000001"/>
    <n v="10.999999999999998"/>
  </r>
  <r>
    <s v="QOO-24615-950"/>
    <d v="2019-08-07T00:00:00"/>
    <s v="07"/>
    <x v="3"/>
    <x v="0"/>
    <x v="175"/>
    <x v="175"/>
    <s v="mmeriet56@noaa.gov"/>
    <s v="+1 (701) 560-2604"/>
    <x v="25"/>
    <x v="0"/>
    <s v="No"/>
    <x v="0"/>
    <s v="R-M-2.5"/>
    <x v="0"/>
    <n v="1.3730999999999998"/>
    <n v="3"/>
    <n v="2.5"/>
    <n v="22.884999999999998"/>
    <x v="96"/>
    <n v="4.1192999999999991"/>
    <n v="5.9999999999999982"/>
  </r>
  <r>
    <s v="WDV-73864-037"/>
    <d v="2022-03-13T00:00:00"/>
    <s v="13"/>
    <x v="6"/>
    <x v="2"/>
    <x v="176"/>
    <x v="176"/>
    <s v="lpratt57@netvibes.com"/>
    <n v="0"/>
    <x v="92"/>
    <x v="0"/>
    <s v="Yes"/>
    <x v="3"/>
    <s v="L-M-0.5"/>
    <x v="0"/>
    <n v="1.1349"/>
    <n v="5"/>
    <n v="0.5"/>
    <n v="8.73"/>
    <x v="34"/>
    <n v="5.6745000000000001"/>
    <n v="12.999999999999998"/>
  </r>
  <r>
    <s v="PKR-88575-066"/>
    <d v="2022-05-17T00:00:00"/>
    <s v="17"/>
    <x v="5"/>
    <x v="2"/>
    <x v="177"/>
    <x v="177"/>
    <s v="akitchingham58@com.com"/>
    <s v="+1 (405) 645-2204"/>
    <x v="101"/>
    <x v="0"/>
    <s v="Yes"/>
    <x v="1"/>
    <s v="E-L-0.2"/>
    <x v="1"/>
    <n v="0.49004999999999999"/>
    <n v="1"/>
    <n v="0.2"/>
    <n v="4.4550000000000001"/>
    <x v="115"/>
    <n v="0.49004999999999999"/>
    <n v="11"/>
  </r>
  <r>
    <s v="BWR-85735-955"/>
    <d v="2019-12-14T00:00:00"/>
    <s v="14"/>
    <x v="9"/>
    <x v="0"/>
    <x v="178"/>
    <x v="178"/>
    <s v="bbartholin59@xinhuanet.com"/>
    <s v="+1 (918) 720-2715"/>
    <x v="134"/>
    <x v="0"/>
    <s v="Yes"/>
    <x v="3"/>
    <s v="L-M-1"/>
    <x v="0"/>
    <n v="1.8915000000000002"/>
    <n v="3"/>
    <n v="1"/>
    <n v="14.55"/>
    <x v="34"/>
    <n v="5.6745000000000001"/>
    <n v="12.999999999999998"/>
  </r>
  <r>
    <s v="YFX-64795-136"/>
    <d v="2020-01-15T00:00:00"/>
    <s v="15"/>
    <x v="4"/>
    <x v="3"/>
    <x v="179"/>
    <x v="179"/>
    <s v="mprinn5a@usa.gov"/>
    <s v="+1 (734) 909-6836"/>
    <x v="135"/>
    <x v="0"/>
    <s v="Yes"/>
    <x v="3"/>
    <s v="L-M-2.5"/>
    <x v="0"/>
    <n v="4.3504499999999995"/>
    <n v="1"/>
    <n v="2.5"/>
    <n v="33.464999999999996"/>
    <x v="116"/>
    <n v="4.3504499999999995"/>
    <n v="13"/>
  </r>
  <r>
    <s v="DDO-71442-967"/>
    <d v="2019-04-12T00:00:00"/>
    <s v="12"/>
    <x v="8"/>
    <x v="0"/>
    <x v="180"/>
    <x v="180"/>
    <s v="abaudino5b@netvibes.com"/>
    <s v="+1 (202) 328-7869"/>
    <x v="41"/>
    <x v="0"/>
    <s v="Yes"/>
    <x v="3"/>
    <s v="L-D-0.2"/>
    <x v="2"/>
    <n v="0.50505"/>
    <n v="5"/>
    <n v="0.2"/>
    <n v="3.8849999999999998"/>
    <x v="117"/>
    <n v="2.5252499999999998"/>
    <n v="13"/>
  </r>
  <r>
    <s v="ILQ-11027-588"/>
    <d v="2020-03-29T00:00:00"/>
    <s v="29"/>
    <x v="6"/>
    <x v="3"/>
    <x v="181"/>
    <x v="181"/>
    <s v="ppetrushanko5c@blinklist.com"/>
    <s v="+353 (540) 480-2145"/>
    <x v="136"/>
    <x v="1"/>
    <s v="Yes"/>
    <x v="1"/>
    <s v="E-D-1"/>
    <x v="2"/>
    <n v="1.3365"/>
    <n v="6"/>
    <n v="1"/>
    <n v="12.15"/>
    <x v="118"/>
    <n v="8.0190000000000001"/>
    <n v="10.999999999999998"/>
  </r>
  <r>
    <s v="KRZ-13868-122"/>
    <d v="2022-03-24T00:00:00"/>
    <s v="24"/>
    <x v="6"/>
    <x v="2"/>
    <x v="182"/>
    <x v="182"/>
    <n v="0"/>
    <s v="+1 (602) 411-5038"/>
    <x v="137"/>
    <x v="0"/>
    <s v="No"/>
    <x v="1"/>
    <s v="E-L-1"/>
    <x v="1"/>
    <n v="1.6335"/>
    <n v="3"/>
    <n v="1"/>
    <n v="14.85"/>
    <x v="69"/>
    <n v="4.9005000000000001"/>
    <n v="11.000000000000002"/>
  </r>
  <r>
    <s v="VRM-93594-914"/>
    <d v="2021-07-21T00:00:00"/>
    <s v="21"/>
    <x v="2"/>
    <x v="1"/>
    <x v="183"/>
    <x v="183"/>
    <s v="elaird5e@bing.com"/>
    <s v="+1 (330) 112-0053"/>
    <x v="138"/>
    <x v="0"/>
    <s v="No"/>
    <x v="1"/>
    <s v="E-D-0.5"/>
    <x v="2"/>
    <n v="0.80190000000000006"/>
    <n v="5"/>
    <n v="0.5"/>
    <n v="7.29"/>
    <x v="114"/>
    <n v="4.0095000000000001"/>
    <n v="10.999999999999998"/>
  </r>
  <r>
    <s v="HXL-22497-359"/>
    <d v="2019-08-06T00:00:00"/>
    <s v="06"/>
    <x v="3"/>
    <x v="0"/>
    <x v="184"/>
    <x v="184"/>
    <s v="mhowsden5f@infoseek.co.jp"/>
    <s v="+1 (901) 806-9640"/>
    <x v="139"/>
    <x v="0"/>
    <s v="No"/>
    <x v="2"/>
    <s v="A-L-1"/>
    <x v="1"/>
    <n v="1.1655"/>
    <n v="3"/>
    <n v="1"/>
    <n v="12.95"/>
    <x v="5"/>
    <n v="3.4965000000000002"/>
    <n v="9.0000000000000018"/>
  </r>
  <r>
    <s v="NOP-21394-646"/>
    <d v="2021-05-23T00:00:00"/>
    <s v="23"/>
    <x v="5"/>
    <x v="1"/>
    <x v="185"/>
    <x v="185"/>
    <s v="ncuttler5g@parallels.com"/>
    <n v="0"/>
    <x v="41"/>
    <x v="0"/>
    <s v="No"/>
    <x v="1"/>
    <s v="E-L-0.5"/>
    <x v="1"/>
    <n v="0.98009999999999997"/>
    <n v="6"/>
    <n v="0.5"/>
    <n v="8.91"/>
    <x v="119"/>
    <n v="5.8805999999999994"/>
    <n v="10.999999999999998"/>
  </r>
  <r>
    <s v="NOP-21394-646"/>
    <d v="2021-05-23T00:00:00"/>
    <s v="23"/>
    <x v="5"/>
    <x v="1"/>
    <x v="185"/>
    <x v="185"/>
    <s v="ncuttler5g@parallels.com"/>
    <n v="0"/>
    <x v="41"/>
    <x v="0"/>
    <s v="No"/>
    <x v="3"/>
    <s v="L-D-2.5"/>
    <x v="2"/>
    <n v="3.8720499999999998"/>
    <n v="2"/>
    <n v="2.5"/>
    <n v="29.784999999999997"/>
    <x v="120"/>
    <n v="7.7440999999999995"/>
    <n v="13"/>
  </r>
  <r>
    <s v="NOP-21394-646"/>
    <d v="2021-05-23T00:00:00"/>
    <s v="23"/>
    <x v="5"/>
    <x v="1"/>
    <x v="185"/>
    <x v="185"/>
    <s v="ncuttler5g@parallels.com"/>
    <n v="0"/>
    <x v="41"/>
    <x v="0"/>
    <s v="No"/>
    <x v="3"/>
    <s v="L-D-2.5"/>
    <x v="2"/>
    <n v="3.8720499999999998"/>
    <n v="3"/>
    <n v="2.5"/>
    <n v="29.784999999999997"/>
    <x v="49"/>
    <n v="11.616149999999999"/>
    <n v="13"/>
  </r>
  <r>
    <s v="NOP-21394-646"/>
    <d v="2021-05-23T00:00:00"/>
    <s v="23"/>
    <x v="5"/>
    <x v="1"/>
    <x v="185"/>
    <x v="185"/>
    <s v="ncuttler5g@parallels.com"/>
    <n v="0"/>
    <x v="41"/>
    <x v="0"/>
    <s v="No"/>
    <x v="3"/>
    <s v="L-L-0.5"/>
    <x v="1"/>
    <n v="1.2363"/>
    <n v="4"/>
    <n v="0.5"/>
    <n v="9.51"/>
    <x v="82"/>
    <n v="4.9451999999999998"/>
    <n v="13"/>
  </r>
  <r>
    <s v="NOP-21394-646"/>
    <d v="2021-05-23T00:00:00"/>
    <s v="23"/>
    <x v="5"/>
    <x v="1"/>
    <x v="185"/>
    <x v="185"/>
    <s v="ncuttler5g@parallels.com"/>
    <n v="0"/>
    <x v="41"/>
    <x v="0"/>
    <s v="No"/>
    <x v="1"/>
    <s v="E-M-1"/>
    <x v="0"/>
    <n v="1.5125"/>
    <n v="3"/>
    <n v="1"/>
    <n v="13.75"/>
    <x v="1"/>
    <n v="4.5374999999999996"/>
    <n v="10.999999999999998"/>
  </r>
  <r>
    <s v="FTV-77095-168"/>
    <d v="2021-04-08T00:00:00"/>
    <s v="08"/>
    <x v="8"/>
    <x v="1"/>
    <x v="186"/>
    <x v="186"/>
    <n v="0"/>
    <s v="+1 (801) 581-0444"/>
    <x v="34"/>
    <x v="0"/>
    <s v="No"/>
    <x v="3"/>
    <s v="L-L-0.5"/>
    <x v="1"/>
    <n v="1.2363"/>
    <n v="6"/>
    <n v="0.5"/>
    <n v="9.51"/>
    <x v="30"/>
    <n v="7.4177999999999997"/>
    <n v="12.999999999999998"/>
  </r>
  <r>
    <s v="BOR-02906-411"/>
    <d v="2021-10-17T00:00:00"/>
    <s v="17"/>
    <x v="7"/>
    <x v="1"/>
    <x v="187"/>
    <x v="187"/>
    <s v="tfelip5m@typepad.com"/>
    <s v="+1 (518) 651-0940"/>
    <x v="140"/>
    <x v="0"/>
    <s v="Yes"/>
    <x v="3"/>
    <s v="L-D-2.5"/>
    <x v="2"/>
    <n v="3.8720499999999998"/>
    <n v="6"/>
    <n v="2.5"/>
    <n v="29.784999999999997"/>
    <x v="39"/>
    <n v="23.232299999999999"/>
    <n v="13"/>
  </r>
  <r>
    <s v="WMP-68847-770"/>
    <d v="2022-02-16T00:00:00"/>
    <s v="16"/>
    <x v="10"/>
    <x v="2"/>
    <x v="188"/>
    <x v="188"/>
    <s v="vle5n@disqus.com"/>
    <s v="+1 (864) 694-6658"/>
    <x v="141"/>
    <x v="0"/>
    <s v="No"/>
    <x v="3"/>
    <s v="L-L-0.2"/>
    <x v="1"/>
    <n v="0.61814999999999998"/>
    <n v="1"/>
    <n v="0.2"/>
    <n v="4.7549999999999999"/>
    <x v="7"/>
    <n v="0.61814999999999998"/>
    <n v="13"/>
  </r>
  <r>
    <s v="TMO-22785-872"/>
    <d v="2020-07-15T00:00:00"/>
    <s v="15"/>
    <x v="2"/>
    <x v="3"/>
    <x v="189"/>
    <x v="189"/>
    <n v="0"/>
    <s v="+1 (914) 915-4328"/>
    <x v="142"/>
    <x v="0"/>
    <s v="No"/>
    <x v="1"/>
    <s v="E-M-1"/>
    <x v="0"/>
    <n v="1.5125"/>
    <n v="6"/>
    <n v="1"/>
    <n v="13.75"/>
    <x v="121"/>
    <n v="9.0749999999999993"/>
    <n v="10.999999999999998"/>
  </r>
  <r>
    <s v="TJG-73587-353"/>
    <d v="2020-02-22T00:00:00"/>
    <s v="22"/>
    <x v="10"/>
    <x v="3"/>
    <x v="190"/>
    <x v="190"/>
    <n v="0"/>
    <s v="+1 (202) 137-6867"/>
    <x v="41"/>
    <x v="0"/>
    <s v="Yes"/>
    <x v="0"/>
    <s v="R-D-0.2"/>
    <x v="2"/>
    <n v="0.16109999999999997"/>
    <n v="3"/>
    <n v="0.2"/>
    <n v="2.6849999999999996"/>
    <x v="36"/>
    <n v="0.4832999999999999"/>
    <n v="5.9999999999999991"/>
  </r>
  <r>
    <s v="OOU-61343-455"/>
    <d v="2021-01-15T00:00:00"/>
    <s v="15"/>
    <x v="4"/>
    <x v="1"/>
    <x v="191"/>
    <x v="191"/>
    <s v="npoolman5q@howstuffworks.com"/>
    <n v="0"/>
    <x v="63"/>
    <x v="0"/>
    <s v="No"/>
    <x v="2"/>
    <s v="A-M-1"/>
    <x v="0"/>
    <n v="1.0125"/>
    <n v="2"/>
    <n v="1"/>
    <n v="11.25"/>
    <x v="122"/>
    <n v="2.0249999999999999"/>
    <n v="9"/>
  </r>
  <r>
    <s v="RMA-08327-369"/>
    <d v="2021-01-11T00:00:00"/>
    <s v="11"/>
    <x v="4"/>
    <x v="1"/>
    <x v="192"/>
    <x v="192"/>
    <s v="oduny5r@constantcontact.com"/>
    <s v="+1 (806) 181-9003"/>
    <x v="143"/>
    <x v="0"/>
    <s v="Yes"/>
    <x v="2"/>
    <s v="A-M-0.5"/>
    <x v="0"/>
    <n v="0.60749999999999993"/>
    <n v="6"/>
    <n v="0.5"/>
    <n v="6.75"/>
    <x v="61"/>
    <n v="3.6449999999999996"/>
    <n v="8.9999999999999982"/>
  </r>
  <r>
    <s v="SFB-97929-779"/>
    <d v="2022-04-08T00:00:00"/>
    <s v="08"/>
    <x v="8"/>
    <x v="2"/>
    <x v="193"/>
    <x v="193"/>
    <s v="chalfhide5s@google.ru"/>
    <s v="+353 (885) 827-8865"/>
    <x v="144"/>
    <x v="1"/>
    <s v="Yes"/>
    <x v="1"/>
    <s v="E-D-0.5"/>
    <x v="2"/>
    <n v="0.80190000000000006"/>
    <n v="4"/>
    <n v="0.5"/>
    <n v="7.29"/>
    <x v="104"/>
    <n v="3.2076000000000002"/>
    <n v="11"/>
  </r>
  <r>
    <s v="AUP-10128-606"/>
    <d v="2020-10-01T00:00:00"/>
    <s v="01"/>
    <x v="7"/>
    <x v="3"/>
    <x v="194"/>
    <x v="194"/>
    <s v="fmalecky5t@list-manage.com"/>
    <s v="+44 (738) 660-4264"/>
    <x v="145"/>
    <x v="2"/>
    <s v="No"/>
    <x v="2"/>
    <s v="A-M-0.5"/>
    <x v="0"/>
    <n v="0.60749999999999993"/>
    <n v="1"/>
    <n v="0.5"/>
    <n v="6.75"/>
    <x v="52"/>
    <n v="0.60749999999999993"/>
    <n v="8.9999999999999982"/>
  </r>
  <r>
    <s v="YTW-40242-005"/>
    <d v="2019-10-28T00:00:00"/>
    <s v="28"/>
    <x v="7"/>
    <x v="0"/>
    <x v="195"/>
    <x v="195"/>
    <s v="aattwater5u@wikia.com"/>
    <s v="+1 (434) 821-8618"/>
    <x v="131"/>
    <x v="0"/>
    <s v="Yes"/>
    <x v="3"/>
    <s v="L-D-1"/>
    <x v="2"/>
    <n v="1.6835"/>
    <n v="4"/>
    <n v="1"/>
    <n v="12.95"/>
    <x v="67"/>
    <n v="6.734"/>
    <n v="13"/>
  </r>
  <r>
    <s v="PRP-53390-819"/>
    <d v="2021-03-28T00:00:00"/>
    <s v="28"/>
    <x v="6"/>
    <x v="1"/>
    <x v="196"/>
    <x v="196"/>
    <s v="mwhellans5v@mapquest.com"/>
    <n v="0"/>
    <x v="15"/>
    <x v="0"/>
    <s v="No"/>
    <x v="1"/>
    <s v="E-L-0.5"/>
    <x v="1"/>
    <n v="0.98009999999999997"/>
    <n v="6"/>
    <n v="0.5"/>
    <n v="8.91"/>
    <x v="119"/>
    <n v="5.8805999999999994"/>
    <n v="10.999999999999998"/>
  </r>
  <r>
    <s v="GSJ-01065-125"/>
    <d v="2020-03-31T00:00:00"/>
    <s v="31"/>
    <x v="6"/>
    <x v="3"/>
    <x v="197"/>
    <x v="197"/>
    <s v="dcamilletti5w@businesswire.com"/>
    <s v="+1 (540) 722-6065"/>
    <x v="110"/>
    <x v="0"/>
    <s v="Yes"/>
    <x v="1"/>
    <s v="E-D-0.2"/>
    <x v="2"/>
    <n v="0.40095000000000003"/>
    <n v="4"/>
    <n v="0.2"/>
    <n v="3.645"/>
    <x v="20"/>
    <n v="1.6038000000000001"/>
    <n v="11"/>
  </r>
  <r>
    <s v="YQU-65147-580"/>
    <d v="2022-03-26T00:00:00"/>
    <s v="26"/>
    <x v="6"/>
    <x v="2"/>
    <x v="198"/>
    <x v="198"/>
    <s v="egalgey5x@wufoo.com"/>
    <s v="+1 (718) 311-6732"/>
    <x v="15"/>
    <x v="0"/>
    <s v="No"/>
    <x v="0"/>
    <s v="R-D-2.5"/>
    <x v="2"/>
    <n v="1.2350999999999999"/>
    <n v="1"/>
    <n v="2.5"/>
    <n v="20.584999999999997"/>
    <x v="123"/>
    <n v="1.2350999999999999"/>
    <n v="6.0000000000000009"/>
  </r>
  <r>
    <s v="QPM-95832-683"/>
    <d v="2019-11-06T00:00:00"/>
    <s v="06"/>
    <x v="11"/>
    <x v="0"/>
    <x v="199"/>
    <x v="199"/>
    <s v="mhame5y@newsvine.com"/>
    <s v="+353 (649) 297-0884"/>
    <x v="146"/>
    <x v="1"/>
    <s v="No"/>
    <x v="3"/>
    <s v="L-L-1"/>
    <x v="1"/>
    <n v="2.0605000000000002"/>
    <n v="2"/>
    <n v="1"/>
    <n v="15.85"/>
    <x v="124"/>
    <n v="4.1210000000000004"/>
    <n v="13"/>
  </r>
  <r>
    <s v="BNQ-88920-567"/>
    <d v="2019-12-30T00:00:00"/>
    <s v="30"/>
    <x v="9"/>
    <x v="0"/>
    <x v="200"/>
    <x v="200"/>
    <s v="igurnee5z@usnews.com"/>
    <s v="+1 (801) 642-0352"/>
    <x v="147"/>
    <x v="0"/>
    <s v="No"/>
    <x v="3"/>
    <s v="L-D-0.2"/>
    <x v="2"/>
    <n v="0.50505"/>
    <n v="6"/>
    <n v="0.2"/>
    <n v="3.8849999999999998"/>
    <x v="102"/>
    <n v="3.0303"/>
    <n v="13"/>
  </r>
  <r>
    <s v="PUX-47906-110"/>
    <d v="2021-10-01T00:00:00"/>
    <s v="01"/>
    <x v="7"/>
    <x v="1"/>
    <x v="201"/>
    <x v="201"/>
    <s v="asnowding60@comsenz.com"/>
    <s v="+1 (419) 996-2492"/>
    <x v="45"/>
    <x v="0"/>
    <s v="Yes"/>
    <x v="3"/>
    <s v="L-M-1"/>
    <x v="0"/>
    <n v="1.8915000000000002"/>
    <n v="4"/>
    <n v="1"/>
    <n v="14.55"/>
    <x v="125"/>
    <n v="7.5660000000000007"/>
    <n v="13"/>
  </r>
  <r>
    <s v="COL-72079-610"/>
    <d v="2020-12-09T00:00:00"/>
    <s v="09"/>
    <x v="9"/>
    <x v="3"/>
    <x v="202"/>
    <x v="202"/>
    <s v="gpoinsett61@berkeley.edu"/>
    <s v="+1 (626) 451-7397"/>
    <x v="148"/>
    <x v="0"/>
    <s v="No"/>
    <x v="1"/>
    <s v="E-L-0.5"/>
    <x v="1"/>
    <n v="0.98009999999999997"/>
    <n v="4"/>
    <n v="0.5"/>
    <n v="8.91"/>
    <x v="70"/>
    <n v="3.9203999999999999"/>
    <n v="11"/>
  </r>
  <r>
    <s v="LBC-45686-819"/>
    <d v="2021-05-01T00:00:00"/>
    <s v="01"/>
    <x v="5"/>
    <x v="1"/>
    <x v="203"/>
    <x v="203"/>
    <s v="rfurman62@t.co"/>
    <s v="+353 (829) 808-4788"/>
    <x v="149"/>
    <x v="1"/>
    <s v="Yes"/>
    <x v="2"/>
    <s v="A-M-1"/>
    <x v="0"/>
    <n v="1.0125"/>
    <n v="5"/>
    <n v="1"/>
    <n v="11.25"/>
    <x v="126"/>
    <n v="5.0625"/>
    <n v="9"/>
  </r>
  <r>
    <s v="BLQ-03709-265"/>
    <d v="2022-08-04T00:00:00"/>
    <s v="04"/>
    <x v="3"/>
    <x v="2"/>
    <x v="204"/>
    <x v="204"/>
    <s v="ccrosier63@xrea.com"/>
    <s v="+1 (816) 578-2743"/>
    <x v="150"/>
    <x v="0"/>
    <s v="No"/>
    <x v="0"/>
    <s v="R-L-0.2"/>
    <x v="1"/>
    <n v="0.21509999999999996"/>
    <n v="3"/>
    <n v="0.2"/>
    <n v="3.5849999999999995"/>
    <x v="127"/>
    <n v="0.64529999999999987"/>
    <n v="5.9999999999999991"/>
  </r>
  <r>
    <s v="BLQ-03709-265"/>
    <d v="2022-08-04T00:00:00"/>
    <s v="04"/>
    <x v="3"/>
    <x v="2"/>
    <x v="204"/>
    <x v="204"/>
    <s v="ccrosier63@xrea.com"/>
    <s v="+1 (816) 578-2743"/>
    <x v="150"/>
    <x v="0"/>
    <s v="No"/>
    <x v="0"/>
    <s v="R-M-0.2"/>
    <x v="0"/>
    <n v="0.17909999999999998"/>
    <n v="5"/>
    <n v="0.2"/>
    <n v="2.9849999999999999"/>
    <x v="128"/>
    <n v="0.89549999999999996"/>
    <n v="6.0000000000000009"/>
  </r>
  <r>
    <s v="VFZ-91673-181"/>
    <d v="2021-11-13T00:00:00"/>
    <s v="13"/>
    <x v="11"/>
    <x v="1"/>
    <x v="205"/>
    <x v="205"/>
    <s v="lrushmer65@europa.eu"/>
    <s v="+1 (949) 869-7598"/>
    <x v="151"/>
    <x v="0"/>
    <s v="Yes"/>
    <x v="2"/>
    <s v="A-L-1"/>
    <x v="1"/>
    <n v="1.1655"/>
    <n v="6"/>
    <n v="1"/>
    <n v="12.95"/>
    <x v="17"/>
    <n v="6.9930000000000003"/>
    <n v="9.0000000000000018"/>
  </r>
  <r>
    <s v="WKD-81956-870"/>
    <d v="2020-09-16T00:00:00"/>
    <s v="16"/>
    <x v="0"/>
    <x v="3"/>
    <x v="206"/>
    <x v="206"/>
    <s v="wedinborough66@github.io"/>
    <s v="+1 (516) 445-4950"/>
    <x v="152"/>
    <x v="0"/>
    <s v="No"/>
    <x v="3"/>
    <s v="L-D-0.5"/>
    <x v="2"/>
    <n v="1.0101"/>
    <n v="3"/>
    <n v="0.5"/>
    <n v="7.77"/>
    <x v="102"/>
    <n v="3.0303"/>
    <n v="13"/>
  </r>
  <r>
    <s v="TNI-91067-006"/>
    <d v="2020-10-05T00:00:00"/>
    <s v="05"/>
    <x v="7"/>
    <x v="3"/>
    <x v="207"/>
    <x v="207"/>
    <n v="0"/>
    <s v="+1 (202) 650-1803"/>
    <x v="41"/>
    <x v="0"/>
    <s v="Yes"/>
    <x v="1"/>
    <s v="E-L-1"/>
    <x v="1"/>
    <n v="1.6335"/>
    <n v="4"/>
    <n v="1"/>
    <n v="14.85"/>
    <x v="48"/>
    <n v="6.5339999999999998"/>
    <n v="11"/>
  </r>
  <r>
    <s v="IZA-61469-812"/>
    <d v="2020-01-06T00:00:00"/>
    <s v="06"/>
    <x v="4"/>
    <x v="3"/>
    <x v="208"/>
    <x v="208"/>
    <s v="kbromehead68@un.org"/>
    <s v="+1 (646) 586-9964"/>
    <x v="15"/>
    <x v="0"/>
    <s v="Yes"/>
    <x v="3"/>
    <s v="L-D-2.5"/>
    <x v="2"/>
    <n v="3.8720499999999998"/>
    <n v="4"/>
    <n v="2.5"/>
    <n v="29.784999999999997"/>
    <x v="129"/>
    <n v="15.488199999999999"/>
    <n v="13"/>
  </r>
  <r>
    <s v="PSS-22466-862"/>
    <d v="2021-05-21T00:00:00"/>
    <s v="21"/>
    <x v="5"/>
    <x v="1"/>
    <x v="209"/>
    <x v="209"/>
    <s v="ewesterman69@si.edu"/>
    <s v="+353 (343) 455-4020"/>
    <x v="62"/>
    <x v="1"/>
    <s v="No"/>
    <x v="0"/>
    <s v="R-L-0.2"/>
    <x v="1"/>
    <n v="0.21509999999999996"/>
    <n v="4"/>
    <n v="0.2"/>
    <n v="3.5849999999999995"/>
    <x v="79"/>
    <n v="0.86039999999999983"/>
    <n v="6"/>
  </r>
  <r>
    <s v="REH-56504-397"/>
    <d v="2020-02-26T00:00:00"/>
    <s v="26"/>
    <x v="10"/>
    <x v="3"/>
    <x v="210"/>
    <x v="210"/>
    <s v="ahutchens6a@amazonaws.com"/>
    <s v="+1 (913) 108-5997"/>
    <x v="153"/>
    <x v="0"/>
    <s v="No"/>
    <x v="2"/>
    <s v="A-M-2.5"/>
    <x v="0"/>
    <n v="2.3287499999999994"/>
    <n v="5"/>
    <n v="2.5"/>
    <n v="25.874999999999996"/>
    <x v="130"/>
    <n v="11.643749999999997"/>
    <n v="9"/>
  </r>
  <r>
    <s v="ALA-62598-016"/>
    <d v="2020-02-19T00:00:00"/>
    <s v="19"/>
    <x v="10"/>
    <x v="3"/>
    <x v="211"/>
    <x v="211"/>
    <s v="nwyvill6b@naver.com"/>
    <s v="+44 (872) 383-2829"/>
    <x v="154"/>
    <x v="2"/>
    <s v="Yes"/>
    <x v="0"/>
    <s v="R-D-0.2"/>
    <x v="2"/>
    <n v="0.16109999999999997"/>
    <n v="6"/>
    <n v="0.2"/>
    <n v="2.6849999999999996"/>
    <x v="103"/>
    <n v="0.96659999999999979"/>
    <n v="5.9999999999999991"/>
  </r>
  <r>
    <s v="EYE-70374-835"/>
    <d v="2021-06-29T00:00:00"/>
    <s v="29"/>
    <x v="1"/>
    <x v="1"/>
    <x v="212"/>
    <x v="212"/>
    <s v="bmathon6c@barnesandnoble.com"/>
    <s v="+1 (916) 915-5069"/>
    <x v="155"/>
    <x v="0"/>
    <s v="No"/>
    <x v="0"/>
    <s v="R-L-0.2"/>
    <x v="1"/>
    <n v="0.21509999999999996"/>
    <n v="5"/>
    <n v="0.2"/>
    <n v="3.5849999999999995"/>
    <x v="131"/>
    <n v="1.0754999999999999"/>
    <n v="6.0000000000000009"/>
  </r>
  <r>
    <s v="CCZ-19589-212"/>
    <d v="2021-03-27T00:00:00"/>
    <s v="27"/>
    <x v="6"/>
    <x v="1"/>
    <x v="213"/>
    <x v="213"/>
    <s v="kstreight6d@about.com"/>
    <s v="+1 (570) 873-3891"/>
    <x v="156"/>
    <x v="0"/>
    <s v="No"/>
    <x v="3"/>
    <s v="L-M-0.2"/>
    <x v="0"/>
    <n v="0.56745000000000001"/>
    <n v="2"/>
    <n v="0.2"/>
    <n v="4.3650000000000002"/>
    <x v="31"/>
    <n v="1.1349"/>
    <n v="13"/>
  </r>
  <r>
    <s v="BPT-83989-157"/>
    <d v="2021-10-27T00:00:00"/>
    <s v="27"/>
    <x v="7"/>
    <x v="1"/>
    <x v="214"/>
    <x v="214"/>
    <s v="pcutchie6e@globo.com"/>
    <s v="+1 (336) 679-7755"/>
    <x v="116"/>
    <x v="0"/>
    <s v="No"/>
    <x v="2"/>
    <s v="A-M-2.5"/>
    <x v="0"/>
    <n v="2.3287499999999994"/>
    <n v="2"/>
    <n v="2.5"/>
    <n v="25.874999999999996"/>
    <x v="95"/>
    <n v="4.6574999999999989"/>
    <n v="9"/>
  </r>
  <r>
    <s v="YFH-87456-208"/>
    <d v="2019-06-12T00:00:00"/>
    <s v="12"/>
    <x v="1"/>
    <x v="0"/>
    <x v="215"/>
    <x v="215"/>
    <n v="0"/>
    <s v="+1 (302) 746-8950"/>
    <x v="55"/>
    <x v="0"/>
    <s v="Yes"/>
    <x v="3"/>
    <s v="L-M-0.2"/>
    <x v="0"/>
    <n v="0.56745000000000001"/>
    <n v="2"/>
    <n v="0.2"/>
    <n v="4.3650000000000002"/>
    <x v="31"/>
    <n v="1.1349"/>
    <n v="13"/>
  </r>
  <r>
    <s v="JLN-14700-924"/>
    <d v="2020-06-28T00:00:00"/>
    <s v="28"/>
    <x v="1"/>
    <x v="3"/>
    <x v="216"/>
    <x v="216"/>
    <s v="cgheraldi6g@opera.com"/>
    <s v="+44 (494) 875-2364"/>
    <x v="44"/>
    <x v="2"/>
    <s v="No"/>
    <x v="3"/>
    <s v="L-L-0.2"/>
    <x v="1"/>
    <n v="0.61814999999999998"/>
    <n v="5"/>
    <n v="0.2"/>
    <n v="4.7549999999999999"/>
    <x v="29"/>
    <n v="3.0907499999999999"/>
    <n v="13"/>
  </r>
  <r>
    <s v="JVW-22582-137"/>
    <d v="2021-03-23T00:00:00"/>
    <s v="23"/>
    <x v="6"/>
    <x v="1"/>
    <x v="217"/>
    <x v="217"/>
    <s v="bkenwell6h@over-blog.com"/>
    <s v="+1 (808) 836-6023"/>
    <x v="103"/>
    <x v="0"/>
    <s v="No"/>
    <x v="1"/>
    <s v="E-M-0.2"/>
    <x v="0"/>
    <n v="0.45374999999999999"/>
    <n v="5"/>
    <n v="0.2"/>
    <n v="4.125"/>
    <x v="132"/>
    <n v="2.2687499999999998"/>
    <n v="10.999999999999998"/>
  </r>
  <r>
    <s v="LAA-41879-001"/>
    <d v="2022-02-10T00:00:00"/>
    <s v="10"/>
    <x v="10"/>
    <x v="2"/>
    <x v="218"/>
    <x v="218"/>
    <s v="tsutty6i@google.es"/>
    <s v="+1 (212) 586-1957"/>
    <x v="15"/>
    <x v="0"/>
    <s v="No"/>
    <x v="3"/>
    <s v="L-L-2.5"/>
    <x v="1"/>
    <n v="4.7391499999999995"/>
    <n v="1"/>
    <n v="2.5"/>
    <n v="36.454999999999998"/>
    <x v="133"/>
    <n v="4.7391499999999995"/>
    <n v="13"/>
  </r>
  <r>
    <s v="BRV-64870-915"/>
    <d v="2019-04-16T00:00:00"/>
    <s v="16"/>
    <x v="8"/>
    <x v="0"/>
    <x v="219"/>
    <x v="219"/>
    <n v="0"/>
    <n v="0"/>
    <x v="157"/>
    <x v="1"/>
    <s v="No"/>
    <x v="3"/>
    <s v="L-L-2.5"/>
    <x v="1"/>
    <n v="4.7391499999999995"/>
    <n v="5"/>
    <n v="2.5"/>
    <n v="36.454999999999998"/>
    <x v="134"/>
    <n v="23.695749999999997"/>
    <n v="13"/>
  </r>
  <r>
    <s v="RGJ-12544-083"/>
    <d v="2020-02-12T00:00:00"/>
    <s v="12"/>
    <x v="10"/>
    <x v="3"/>
    <x v="220"/>
    <x v="220"/>
    <s v="charce6k@cafepress.com"/>
    <s v="+353 (444) 423-0673"/>
    <x v="158"/>
    <x v="1"/>
    <s v="No"/>
    <x v="3"/>
    <s v="L-D-2.5"/>
    <x v="2"/>
    <n v="3.8720499999999998"/>
    <n v="3"/>
    <n v="2.5"/>
    <n v="29.784999999999997"/>
    <x v="49"/>
    <n v="11.616149999999999"/>
    <n v="13"/>
  </r>
  <r>
    <s v="JJX-83339-346"/>
    <d v="2022-01-02T00:00:00"/>
    <s v="02"/>
    <x v="4"/>
    <x v="2"/>
    <x v="221"/>
    <x v="221"/>
    <n v="0"/>
    <s v="+1 (513) 461-0440"/>
    <x v="159"/>
    <x v="0"/>
    <s v="Yes"/>
    <x v="0"/>
    <s v="R-L-0.2"/>
    <x v="1"/>
    <n v="0.21509999999999996"/>
    <n v="1"/>
    <n v="0.2"/>
    <n v="3.5849999999999995"/>
    <x v="60"/>
    <n v="0.21509999999999996"/>
    <n v="6"/>
  </r>
  <r>
    <s v="BIU-21970-705"/>
    <d v="2020-12-07T00:00:00"/>
    <s v="07"/>
    <x v="9"/>
    <x v="3"/>
    <x v="222"/>
    <x v="222"/>
    <s v="fdrysdale6m@symantec.com"/>
    <s v="+1 (989) 215-5282"/>
    <x v="67"/>
    <x v="0"/>
    <s v="Yes"/>
    <x v="0"/>
    <s v="R-M-2.5"/>
    <x v="0"/>
    <n v="1.3730999999999998"/>
    <n v="2"/>
    <n v="2.5"/>
    <n v="22.884999999999998"/>
    <x v="135"/>
    <n v="2.7461999999999995"/>
    <n v="6"/>
  </r>
  <r>
    <s v="ELJ-87741-745"/>
    <d v="2020-02-20T00:00:00"/>
    <s v="20"/>
    <x v="10"/>
    <x v="3"/>
    <x v="223"/>
    <x v="223"/>
    <s v="dmagowan6n@fc2.com"/>
    <s v="+1 (307) 159-5237"/>
    <x v="160"/>
    <x v="0"/>
    <s v="No"/>
    <x v="1"/>
    <s v="E-L-1"/>
    <x v="1"/>
    <n v="1.6335"/>
    <n v="4"/>
    <n v="1"/>
    <n v="14.85"/>
    <x v="48"/>
    <n v="6.5339999999999998"/>
    <n v="11"/>
  </r>
  <r>
    <s v="SGI-48226-857"/>
    <d v="2020-06-11T00:00:00"/>
    <s v="11"/>
    <x v="1"/>
    <x v="3"/>
    <x v="224"/>
    <x v="224"/>
    <n v="0"/>
    <n v="0"/>
    <x v="161"/>
    <x v="0"/>
    <s v="Yes"/>
    <x v="2"/>
    <s v="A-M-2.5"/>
    <x v="0"/>
    <n v="2.3287499999999994"/>
    <n v="6"/>
    <n v="2.5"/>
    <n v="25.874999999999996"/>
    <x v="71"/>
    <n v="13.972499999999997"/>
    <n v="9"/>
  </r>
  <r>
    <s v="AHV-66988-037"/>
    <d v="2020-09-08T00:00:00"/>
    <s v="08"/>
    <x v="0"/>
    <x v="3"/>
    <x v="225"/>
    <x v="225"/>
    <n v="0"/>
    <s v="+1 (678) 222-0967"/>
    <x v="162"/>
    <x v="0"/>
    <s v="No"/>
    <x v="0"/>
    <s v="R-M-2.5"/>
    <x v="0"/>
    <n v="1.3730999999999998"/>
    <n v="2"/>
    <n v="2.5"/>
    <n v="22.884999999999998"/>
    <x v="135"/>
    <n v="2.7461999999999995"/>
    <n v="6"/>
  </r>
  <r>
    <s v="ISK-42066-094"/>
    <d v="2020-03-28T00:00:00"/>
    <s v="28"/>
    <x v="6"/>
    <x v="3"/>
    <x v="226"/>
    <x v="226"/>
    <s v="srushbrooke6q@youku.com"/>
    <s v="+1 (916) 214-5665"/>
    <x v="155"/>
    <x v="0"/>
    <s v="Yes"/>
    <x v="1"/>
    <s v="E-D-1"/>
    <x v="2"/>
    <n v="1.3365"/>
    <n v="3"/>
    <n v="1"/>
    <n v="12.15"/>
    <x v="114"/>
    <n v="4.0095000000000001"/>
    <n v="10.999999999999998"/>
  </r>
  <r>
    <s v="FTC-35822-530"/>
    <d v="2020-10-10T00:00:00"/>
    <s v="10"/>
    <x v="7"/>
    <x v="3"/>
    <x v="227"/>
    <x v="227"/>
    <s v="tdrynan6r@deviantart.com"/>
    <s v="+1 (813) 619-0579"/>
    <x v="47"/>
    <x v="0"/>
    <s v="Yes"/>
    <x v="1"/>
    <s v="E-D-0.5"/>
    <x v="2"/>
    <n v="0.80190000000000006"/>
    <n v="4"/>
    <n v="0.5"/>
    <n v="7.29"/>
    <x v="104"/>
    <n v="3.2076000000000002"/>
    <n v="11"/>
  </r>
  <r>
    <s v="VSS-56247-688"/>
    <d v="2022-05-21T00:00:00"/>
    <s v="21"/>
    <x v="5"/>
    <x v="2"/>
    <x v="228"/>
    <x v="228"/>
    <s v="eyurkov6s@hud.gov"/>
    <s v="+1 (808) 320-5976"/>
    <x v="103"/>
    <x v="0"/>
    <s v="No"/>
    <x v="3"/>
    <s v="L-M-2.5"/>
    <x v="0"/>
    <n v="4.3504499999999995"/>
    <n v="4"/>
    <n v="2.5"/>
    <n v="33.464999999999996"/>
    <x v="136"/>
    <n v="17.401799999999998"/>
    <n v="13"/>
  </r>
  <r>
    <s v="HVW-25584-144"/>
    <d v="2020-04-30T00:00:00"/>
    <s v="30"/>
    <x v="8"/>
    <x v="3"/>
    <x v="229"/>
    <x v="229"/>
    <s v="lmallan6t@state.gov"/>
    <s v="+1 (225) 484-4771"/>
    <x v="163"/>
    <x v="0"/>
    <s v="Yes"/>
    <x v="3"/>
    <s v="L-L-0.2"/>
    <x v="1"/>
    <n v="0.61814999999999998"/>
    <n v="5"/>
    <n v="0.2"/>
    <n v="4.7549999999999999"/>
    <x v="29"/>
    <n v="3.0907499999999999"/>
    <n v="13"/>
  </r>
  <r>
    <s v="MUY-15309-209"/>
    <d v="2021-12-12T00:00:00"/>
    <s v="12"/>
    <x v="9"/>
    <x v="1"/>
    <x v="230"/>
    <x v="230"/>
    <s v="gbentjens6u@netlog.com"/>
    <s v="+44 (610) 153-1208"/>
    <x v="164"/>
    <x v="2"/>
    <s v="No"/>
    <x v="3"/>
    <s v="L-D-1"/>
    <x v="2"/>
    <n v="1.6835"/>
    <n v="3"/>
    <n v="1"/>
    <n v="12.95"/>
    <x v="5"/>
    <n v="5.0504999999999995"/>
    <n v="13"/>
  </r>
  <r>
    <s v="VAJ-44572-469"/>
    <d v="2020-10-27T00:00:00"/>
    <s v="27"/>
    <x v="7"/>
    <x v="3"/>
    <x v="231"/>
    <x v="231"/>
    <n v="0"/>
    <s v="+353 (382) 208-0531"/>
    <x v="165"/>
    <x v="1"/>
    <s v="Yes"/>
    <x v="0"/>
    <s v="R-L-0.2"/>
    <x v="1"/>
    <n v="0.21509999999999996"/>
    <n v="6"/>
    <n v="0.2"/>
    <n v="3.5849999999999995"/>
    <x v="137"/>
    <n v="1.2905999999999997"/>
    <n v="5.9999999999999991"/>
  </r>
  <r>
    <s v="YJU-84377-606"/>
    <d v="2020-07-07T00:00:00"/>
    <s v="07"/>
    <x v="2"/>
    <x v="3"/>
    <x v="232"/>
    <x v="232"/>
    <s v="lentwistle6w@omniture.com"/>
    <s v="+1 (612) 972-1256"/>
    <x v="30"/>
    <x v="0"/>
    <s v="Yes"/>
    <x v="2"/>
    <s v="A-D-1"/>
    <x v="2"/>
    <n v="0.89549999999999985"/>
    <n v="1"/>
    <n v="1"/>
    <n v="9.9499999999999993"/>
    <x v="138"/>
    <n v="0.89549999999999985"/>
    <n v="9"/>
  </r>
  <r>
    <s v="VNC-93921-469"/>
    <d v="2020-01-31T00:00:00"/>
    <s v="31"/>
    <x v="4"/>
    <x v="3"/>
    <x v="233"/>
    <x v="233"/>
    <s v="zkiffe74@cyberchimps.com"/>
    <s v="+1 (414) 703-7269"/>
    <x v="166"/>
    <x v="0"/>
    <s v="Yes"/>
    <x v="3"/>
    <s v="L-L-1"/>
    <x v="1"/>
    <n v="2.0605000000000002"/>
    <n v="1"/>
    <n v="1"/>
    <n v="15.85"/>
    <x v="80"/>
    <n v="2.0605000000000002"/>
    <n v="13"/>
  </r>
  <r>
    <s v="OGB-91614-810"/>
    <d v="2020-02-18T00:00:00"/>
    <s v="18"/>
    <x v="10"/>
    <x v="3"/>
    <x v="234"/>
    <x v="234"/>
    <s v="macott6y@pagesperso-orange.fr"/>
    <s v="+1 (704) 892-0605"/>
    <x v="63"/>
    <x v="0"/>
    <s v="Yes"/>
    <x v="0"/>
    <s v="R-M-0.2"/>
    <x v="0"/>
    <n v="0.17909999999999998"/>
    <n v="1"/>
    <n v="0.2"/>
    <n v="2.9849999999999999"/>
    <x v="55"/>
    <n v="0.17909999999999998"/>
    <n v="6"/>
  </r>
  <r>
    <s v="BQI-61647-496"/>
    <d v="2021-06-13T00:00:00"/>
    <s v="13"/>
    <x v="1"/>
    <x v="1"/>
    <x v="235"/>
    <x v="235"/>
    <s v="cheaviside6z@rediff.com"/>
    <s v="+1 (602) 260-2399"/>
    <x v="167"/>
    <x v="0"/>
    <s v="Yes"/>
    <x v="1"/>
    <s v="E-M-1"/>
    <x v="0"/>
    <n v="1.5125"/>
    <n v="5"/>
    <n v="1"/>
    <n v="13.75"/>
    <x v="85"/>
    <n v="7.5625"/>
    <n v="11"/>
  </r>
  <r>
    <s v="IOM-51636-823"/>
    <d v="2022-08-06T00:00:00"/>
    <s v="06"/>
    <x v="3"/>
    <x v="2"/>
    <x v="236"/>
    <x v="236"/>
    <n v="0"/>
    <s v="+1 (212) 360-7479"/>
    <x v="168"/>
    <x v="0"/>
    <s v="No"/>
    <x v="2"/>
    <s v="A-D-1"/>
    <x v="2"/>
    <n v="0.89549999999999985"/>
    <n v="3"/>
    <n v="1"/>
    <n v="9.9499999999999993"/>
    <x v="44"/>
    <n v="2.6864999999999997"/>
    <n v="9"/>
  </r>
  <r>
    <s v="GGD-38107-641"/>
    <d v="2021-11-23T00:00:00"/>
    <s v="23"/>
    <x v="11"/>
    <x v="1"/>
    <x v="237"/>
    <x v="237"/>
    <s v="lkernan71@wsj.com"/>
    <s v="+1 (217) 146-0949"/>
    <x v="169"/>
    <x v="0"/>
    <s v="No"/>
    <x v="3"/>
    <s v="L-M-1"/>
    <x v="0"/>
    <n v="1.8915000000000002"/>
    <n v="4"/>
    <n v="1"/>
    <n v="14.55"/>
    <x v="125"/>
    <n v="7.5660000000000007"/>
    <n v="13"/>
  </r>
  <r>
    <s v="LTO-95975-728"/>
    <d v="2021-10-13T00:00:00"/>
    <s v="13"/>
    <x v="7"/>
    <x v="1"/>
    <x v="238"/>
    <x v="238"/>
    <s v="rmclae72@dailymotion.com"/>
    <n v="0"/>
    <x v="170"/>
    <x v="2"/>
    <s v="No"/>
    <x v="0"/>
    <s v="R-L-0.5"/>
    <x v="1"/>
    <n v="0.43019999999999992"/>
    <n v="4"/>
    <n v="0.5"/>
    <n v="7.169999999999999"/>
    <x v="139"/>
    <n v="1.7207999999999997"/>
    <n v="6"/>
  </r>
  <r>
    <s v="IGM-84664-265"/>
    <d v="2021-08-31T00:00:00"/>
    <s v="31"/>
    <x v="3"/>
    <x v="1"/>
    <x v="239"/>
    <x v="239"/>
    <s v="cblowfelde73@ustream.tv"/>
    <s v="+1 (520) 951-0585"/>
    <x v="31"/>
    <x v="0"/>
    <s v="No"/>
    <x v="0"/>
    <s v="R-L-0.5"/>
    <x v="1"/>
    <n v="0.43019999999999992"/>
    <n v="3"/>
    <n v="0.5"/>
    <n v="7.169999999999999"/>
    <x v="137"/>
    <n v="1.2905999999999997"/>
    <n v="5.9999999999999991"/>
  </r>
  <r>
    <s v="SKO-45740-621"/>
    <d v="2020-01-16T00:00:00"/>
    <s v="16"/>
    <x v="4"/>
    <x v="3"/>
    <x v="233"/>
    <x v="233"/>
    <s v="zkiffe74@cyberchimps.com"/>
    <s v="+1 (414) 703-7269"/>
    <x v="166"/>
    <x v="0"/>
    <s v="Yes"/>
    <x v="3"/>
    <s v="L-M-0.5"/>
    <x v="0"/>
    <n v="1.1349"/>
    <n v="2"/>
    <n v="0.5"/>
    <n v="8.73"/>
    <x v="92"/>
    <n v="2.2698"/>
    <n v="13"/>
  </r>
  <r>
    <s v="FOJ-02234-063"/>
    <d v="2022-04-25T00:00:00"/>
    <s v="25"/>
    <x v="8"/>
    <x v="2"/>
    <x v="240"/>
    <x v="240"/>
    <s v="docalleran75@ucla.edu"/>
    <s v="+1 (954) 368-3867"/>
    <x v="171"/>
    <x v="0"/>
    <s v="Yes"/>
    <x v="1"/>
    <s v="E-D-2.5"/>
    <x v="2"/>
    <n v="3.07395"/>
    <n v="1"/>
    <n v="2.5"/>
    <n v="27.945"/>
    <x v="140"/>
    <n v="3.07395"/>
    <n v="11"/>
  </r>
  <r>
    <s v="MSJ-11909-468"/>
    <d v="2021-11-13T00:00:00"/>
    <s v="13"/>
    <x v="11"/>
    <x v="1"/>
    <x v="241"/>
    <x v="241"/>
    <s v="ccromwell76@desdev.cn"/>
    <s v="+1 (562) 516-6052"/>
    <x v="127"/>
    <x v="0"/>
    <s v="No"/>
    <x v="1"/>
    <s v="E-D-2.5"/>
    <x v="2"/>
    <n v="3.07395"/>
    <n v="5"/>
    <n v="2.5"/>
    <n v="27.945"/>
    <x v="141"/>
    <n v="15.36975"/>
    <n v="11"/>
  </r>
  <r>
    <s v="DKB-78053-329"/>
    <d v="2021-06-08T00:00:00"/>
    <s v="08"/>
    <x v="1"/>
    <x v="1"/>
    <x v="242"/>
    <x v="242"/>
    <s v="ihay77@lulu.com"/>
    <s v="+44 (878) 199-6257"/>
    <x v="172"/>
    <x v="2"/>
    <s v="No"/>
    <x v="0"/>
    <s v="R-M-0.2"/>
    <x v="0"/>
    <n v="0.17909999999999998"/>
    <n v="2"/>
    <n v="0.2"/>
    <n v="2.9849999999999999"/>
    <x v="9"/>
    <n v="0.35819999999999996"/>
    <n v="6"/>
  </r>
  <r>
    <s v="DFZ-45083-941"/>
    <d v="2020-11-21T00:00:00"/>
    <s v="21"/>
    <x v="11"/>
    <x v="3"/>
    <x v="243"/>
    <x v="243"/>
    <s v="ttaffarello78@sciencedaily.com"/>
    <n v="0"/>
    <x v="10"/>
    <x v="0"/>
    <s v="Yes"/>
    <x v="0"/>
    <s v="R-L-2.5"/>
    <x v="1"/>
    <n v="1.6490999999999998"/>
    <n v="1"/>
    <n v="2.5"/>
    <n v="27.484999999999996"/>
    <x v="142"/>
    <n v="1.6490999999999998"/>
    <n v="6.0000000000000009"/>
  </r>
  <r>
    <s v="OTA-40969-710"/>
    <d v="2019-03-14T00:00:00"/>
    <s v="14"/>
    <x v="6"/>
    <x v="0"/>
    <x v="244"/>
    <x v="244"/>
    <s v="mcanty79@jigsy.com"/>
    <s v="+1 (814) 215-3753"/>
    <x v="173"/>
    <x v="0"/>
    <s v="Yes"/>
    <x v="0"/>
    <s v="R-L-1"/>
    <x v="1"/>
    <n v="0.71699999999999997"/>
    <n v="5"/>
    <n v="1"/>
    <n v="11.95"/>
    <x v="143"/>
    <n v="3.585"/>
    <n v="6"/>
  </r>
  <r>
    <s v="GRH-45571-667"/>
    <d v="2019-08-16T00:00:00"/>
    <s v="16"/>
    <x v="3"/>
    <x v="0"/>
    <x v="245"/>
    <x v="245"/>
    <s v="jkopke7a@auda.org.au"/>
    <s v="+1 (253) 638-4435"/>
    <x v="174"/>
    <x v="0"/>
    <s v="No"/>
    <x v="1"/>
    <s v="E-M-1"/>
    <x v="0"/>
    <n v="1.5125"/>
    <n v="3"/>
    <n v="1"/>
    <n v="13.75"/>
    <x v="1"/>
    <n v="4.5374999999999996"/>
    <n v="10.999999999999998"/>
  </r>
  <r>
    <s v="NXV-05302-067"/>
    <d v="2019-04-22T00:00:00"/>
    <s v="22"/>
    <x v="8"/>
    <x v="0"/>
    <x v="246"/>
    <x v="246"/>
    <n v="0"/>
    <s v="+1 (571) 479-3812"/>
    <x v="8"/>
    <x v="0"/>
    <s v="No"/>
    <x v="3"/>
    <s v="L-M-2.5"/>
    <x v="0"/>
    <n v="4.3504499999999995"/>
    <n v="4"/>
    <n v="2.5"/>
    <n v="33.464999999999996"/>
    <x v="136"/>
    <n v="17.401799999999998"/>
    <n v="13"/>
  </r>
  <r>
    <s v="VZH-86274-142"/>
    <d v="2022-05-02T00:00:00"/>
    <s v="02"/>
    <x v="5"/>
    <x v="2"/>
    <x v="247"/>
    <x v="247"/>
    <n v="0"/>
    <s v="+353 (336) 656-6944"/>
    <x v="175"/>
    <x v="1"/>
    <s v="Yes"/>
    <x v="0"/>
    <s v="R-L-1"/>
    <x v="1"/>
    <n v="0.71699999999999997"/>
    <n v="5"/>
    <n v="1"/>
    <n v="11.95"/>
    <x v="143"/>
    <n v="3.585"/>
    <n v="6"/>
  </r>
  <r>
    <s v="KIX-93248-135"/>
    <d v="2020-02-11T00:00:00"/>
    <s v="11"/>
    <x v="10"/>
    <x v="3"/>
    <x v="248"/>
    <x v="248"/>
    <s v="vhellmore7d@bbc.co.uk"/>
    <s v="+1 (501) 899-4038"/>
    <x v="28"/>
    <x v="0"/>
    <s v="Yes"/>
    <x v="2"/>
    <s v="A-D-0.5"/>
    <x v="2"/>
    <n v="0.5373"/>
    <n v="1"/>
    <n v="0.5"/>
    <n v="5.97"/>
    <x v="9"/>
    <n v="0.5373"/>
    <n v="9.0000000000000018"/>
  </r>
  <r>
    <s v="AXR-10962-010"/>
    <d v="2021-03-28T00:00:00"/>
    <s v="28"/>
    <x v="6"/>
    <x v="1"/>
    <x v="249"/>
    <x v="249"/>
    <s v="mseawright7e@nbcnews.com"/>
    <s v="+44 (638) 528-2467"/>
    <x v="176"/>
    <x v="2"/>
    <s v="No"/>
    <x v="1"/>
    <s v="E-D-1"/>
    <x v="2"/>
    <n v="1.3365"/>
    <n v="2"/>
    <n v="1"/>
    <n v="12.15"/>
    <x v="76"/>
    <n v="2.673"/>
    <n v="11"/>
  </r>
  <r>
    <s v="IHS-71573-008"/>
    <d v="2021-05-08T00:00:00"/>
    <s v="08"/>
    <x v="5"/>
    <x v="1"/>
    <x v="250"/>
    <x v="250"/>
    <s v="snortheast7f@mashable.com"/>
    <s v="+1 (775) 344-1930"/>
    <x v="125"/>
    <x v="0"/>
    <s v="Yes"/>
    <x v="1"/>
    <s v="E-D-0.2"/>
    <x v="2"/>
    <n v="0.40095000000000003"/>
    <n v="6"/>
    <n v="0.2"/>
    <n v="3.645"/>
    <x v="6"/>
    <n v="2.4057000000000004"/>
    <n v="11.000000000000002"/>
  </r>
  <r>
    <s v="QTR-19001-114"/>
    <d v="2019-11-21T00:00:00"/>
    <s v="21"/>
    <x v="11"/>
    <x v="0"/>
    <x v="195"/>
    <x v="195"/>
    <s v="aattwater5u@wikia.com"/>
    <s v="+1 (434) 821-8618"/>
    <x v="131"/>
    <x v="0"/>
    <s v="Yes"/>
    <x v="2"/>
    <s v="A-D-1"/>
    <x v="2"/>
    <n v="0.89549999999999985"/>
    <n v="2"/>
    <n v="1"/>
    <n v="9.9499999999999993"/>
    <x v="0"/>
    <n v="1.7909999999999997"/>
    <n v="9"/>
  </r>
  <r>
    <s v="WBK-62297-910"/>
    <d v="2021-05-17T00:00:00"/>
    <s v="17"/>
    <x v="5"/>
    <x v="1"/>
    <x v="251"/>
    <x v="251"/>
    <s v="mfearon7h@reverbnation.com"/>
    <s v="+1 (972) 686-6332"/>
    <x v="177"/>
    <x v="0"/>
    <s v="No"/>
    <x v="2"/>
    <s v="A-D-0.2"/>
    <x v="2"/>
    <n v="0.26865"/>
    <n v="2"/>
    <n v="0.2"/>
    <n v="2.9849999999999999"/>
    <x v="9"/>
    <n v="0.5373"/>
    <n v="9.0000000000000018"/>
  </r>
  <r>
    <s v="OGY-19377-175"/>
    <d v="2019-07-09T00:00:00"/>
    <s v="09"/>
    <x v="2"/>
    <x v="0"/>
    <x v="252"/>
    <x v="252"/>
    <n v="0"/>
    <n v="0"/>
    <x v="178"/>
    <x v="1"/>
    <s v="Yes"/>
    <x v="1"/>
    <s v="E-D-0.5"/>
    <x v="2"/>
    <n v="0.80190000000000006"/>
    <n v="1"/>
    <n v="0.5"/>
    <n v="7.29"/>
    <x v="35"/>
    <n v="0.80190000000000006"/>
    <n v="11"/>
  </r>
  <r>
    <s v="ESR-66651-814"/>
    <d v="2020-05-20T00:00:00"/>
    <s v="20"/>
    <x v="5"/>
    <x v="3"/>
    <x v="253"/>
    <x v="253"/>
    <s v="jsisneros7j@a8.net"/>
    <s v="+1 (919) 448-8909"/>
    <x v="179"/>
    <x v="0"/>
    <s v="Yes"/>
    <x v="2"/>
    <s v="A-D-0.2"/>
    <x v="2"/>
    <n v="0.26865"/>
    <n v="4"/>
    <n v="0.2"/>
    <n v="2.9849999999999999"/>
    <x v="22"/>
    <n v="1.0746"/>
    <n v="9.0000000000000018"/>
  </r>
  <r>
    <s v="CPX-46916-770"/>
    <d v="2021-08-27T00:00:00"/>
    <s v="27"/>
    <x v="3"/>
    <x v="1"/>
    <x v="254"/>
    <x v="254"/>
    <s v="zcarlson7k@bigcartel.com"/>
    <s v="+353 (259) 651-4128"/>
    <x v="180"/>
    <x v="1"/>
    <s v="Yes"/>
    <x v="0"/>
    <s v="R-L-1"/>
    <x v="1"/>
    <n v="0.71699999999999997"/>
    <n v="6"/>
    <n v="1"/>
    <n v="11.95"/>
    <x v="144"/>
    <n v="4.3019999999999996"/>
    <n v="6.0000000000000009"/>
  </r>
  <r>
    <s v="MDC-03318-645"/>
    <d v="2022-04-30T00:00:00"/>
    <s v="30"/>
    <x v="8"/>
    <x v="2"/>
    <x v="255"/>
    <x v="255"/>
    <s v="wmaddox7l@timesonline.co.uk"/>
    <s v="+1 (917) 310-4684"/>
    <x v="15"/>
    <x v="0"/>
    <s v="No"/>
    <x v="2"/>
    <s v="A-L-0.2"/>
    <x v="1"/>
    <n v="0.34964999999999996"/>
    <n v="2"/>
    <n v="0.2"/>
    <n v="3.8849999999999998"/>
    <x v="41"/>
    <n v="0.69929999999999992"/>
    <n v="9"/>
  </r>
  <r>
    <s v="SFF-86059-407"/>
    <d v="2020-06-03T00:00:00"/>
    <s v="03"/>
    <x v="1"/>
    <x v="3"/>
    <x v="256"/>
    <x v="256"/>
    <s v="dhedlestone7m@craigslist.org"/>
    <s v="+1 (203) 768-3169"/>
    <x v="94"/>
    <x v="0"/>
    <s v="No"/>
    <x v="2"/>
    <s v="A-M-2.5"/>
    <x v="0"/>
    <n v="2.3287499999999994"/>
    <n v="1"/>
    <n v="2.5"/>
    <n v="25.874999999999996"/>
    <x v="145"/>
    <n v="2.3287499999999994"/>
    <n v="9"/>
  </r>
  <r>
    <s v="SCL-94540-788"/>
    <d v="2022-06-13T00:00:00"/>
    <s v="13"/>
    <x v="1"/>
    <x v="2"/>
    <x v="257"/>
    <x v="257"/>
    <s v="tcrowthe7n@europa.eu"/>
    <s v="+1 (419) 561-6809"/>
    <x v="45"/>
    <x v="0"/>
    <s v="No"/>
    <x v="1"/>
    <s v="E-L-2.5"/>
    <x v="1"/>
    <n v="3.7570499999999996"/>
    <n v="6"/>
    <n v="2.5"/>
    <n v="34.154999999999994"/>
    <x v="106"/>
    <n v="22.542299999999997"/>
    <n v="11.000000000000002"/>
  </r>
  <r>
    <s v="HVU-21634-076"/>
    <d v="2020-06-10T00:00:00"/>
    <s v="10"/>
    <x v="1"/>
    <x v="3"/>
    <x v="258"/>
    <x v="258"/>
    <s v="dbury7o@tinyurl.com"/>
    <s v="+353 (262) 842-7103"/>
    <x v="181"/>
    <x v="1"/>
    <s v="Yes"/>
    <x v="0"/>
    <s v="R-L-2.5"/>
    <x v="1"/>
    <n v="1.6490999999999998"/>
    <n v="4"/>
    <n v="2.5"/>
    <n v="27.484999999999996"/>
    <x v="108"/>
    <n v="6.5963999999999992"/>
    <n v="6.0000000000000009"/>
  </r>
  <r>
    <s v="XUS-73326-418"/>
    <d v="2020-12-18T00:00:00"/>
    <s v="18"/>
    <x v="9"/>
    <x v="3"/>
    <x v="259"/>
    <x v="259"/>
    <s v="gbroadbear7p@omniture.com"/>
    <s v="+1 (573) 758-1104"/>
    <x v="182"/>
    <x v="0"/>
    <s v="No"/>
    <x v="1"/>
    <s v="E-L-1"/>
    <x v="1"/>
    <n v="1.6335"/>
    <n v="6"/>
    <n v="1"/>
    <n v="14.85"/>
    <x v="146"/>
    <n v="9.8010000000000002"/>
    <n v="11.000000000000002"/>
  </r>
  <r>
    <s v="XWD-18933-006"/>
    <d v="2019-08-31T00:00:00"/>
    <s v="31"/>
    <x v="3"/>
    <x v="0"/>
    <x v="260"/>
    <x v="260"/>
    <s v="epalfrey7q@devhub.com"/>
    <s v="+1 (260) 500-7893"/>
    <x v="51"/>
    <x v="0"/>
    <s v="Yes"/>
    <x v="2"/>
    <s v="A-L-0.2"/>
    <x v="1"/>
    <n v="0.34964999999999996"/>
    <n v="2"/>
    <n v="0.2"/>
    <n v="3.8849999999999998"/>
    <x v="41"/>
    <n v="0.69929999999999992"/>
    <n v="9"/>
  </r>
  <r>
    <s v="HPD-65272-772"/>
    <d v="2019-02-25T00:00:00"/>
    <s v="25"/>
    <x v="10"/>
    <x v="0"/>
    <x v="261"/>
    <x v="261"/>
    <s v="pmetrick7r@rakuten.co.jp"/>
    <s v="+1 (314) 572-2164"/>
    <x v="10"/>
    <x v="0"/>
    <s v="Yes"/>
    <x v="3"/>
    <s v="L-M-2.5"/>
    <x v="0"/>
    <n v="4.3504499999999995"/>
    <n v="1"/>
    <n v="2.5"/>
    <n v="33.464999999999996"/>
    <x v="116"/>
    <n v="4.3504499999999995"/>
    <n v="13"/>
  </r>
  <r>
    <s v="JEG-93140-224"/>
    <d v="2021-02-07T00:00:00"/>
    <s v="07"/>
    <x v="10"/>
    <x v="1"/>
    <x v="262"/>
    <x v="262"/>
    <n v="0"/>
    <s v="+1 (208) 826-3825"/>
    <x v="12"/>
    <x v="0"/>
    <s v="Yes"/>
    <x v="1"/>
    <s v="E-M-0.5"/>
    <x v="0"/>
    <n v="0.90749999999999997"/>
    <n v="5"/>
    <n v="0.5"/>
    <n v="8.25"/>
    <x v="1"/>
    <n v="4.5374999999999996"/>
    <n v="10.999999999999998"/>
  </r>
  <r>
    <s v="NNH-62058-950"/>
    <d v="2021-01-14T00:00:00"/>
    <s v="14"/>
    <x v="4"/>
    <x v="1"/>
    <x v="263"/>
    <x v="263"/>
    <s v="kkarby7t@sbwire.com"/>
    <s v="+1 (303) 516-4935"/>
    <x v="183"/>
    <x v="0"/>
    <s v="Yes"/>
    <x v="1"/>
    <s v="E-L-1"/>
    <x v="1"/>
    <n v="1.6335"/>
    <n v="4"/>
    <n v="1"/>
    <n v="14.85"/>
    <x v="48"/>
    <n v="6.5339999999999998"/>
    <n v="11"/>
  </r>
  <r>
    <s v="LTD-71429-845"/>
    <d v="2019-02-24T00:00:00"/>
    <s v="24"/>
    <x v="10"/>
    <x v="0"/>
    <x v="264"/>
    <x v="264"/>
    <s v="fcrumpe7u@ftc.gov"/>
    <s v="+44 (564) 507-1056"/>
    <x v="184"/>
    <x v="2"/>
    <s v="No"/>
    <x v="2"/>
    <s v="A-L-0.5"/>
    <x v="1"/>
    <n v="0.69929999999999992"/>
    <n v="1"/>
    <n v="0.5"/>
    <n v="7.77"/>
    <x v="41"/>
    <n v="0.69929999999999992"/>
    <n v="9"/>
  </r>
  <r>
    <s v="MPV-26985-215"/>
    <d v="2019-06-23T00:00:00"/>
    <s v="23"/>
    <x v="1"/>
    <x v="0"/>
    <x v="265"/>
    <x v="265"/>
    <s v="achatto7v@sakura.ne.jp"/>
    <s v="+44 (522) 740-3583"/>
    <x v="172"/>
    <x v="2"/>
    <s v="Yes"/>
    <x v="0"/>
    <s v="R-D-0.5"/>
    <x v="2"/>
    <n v="0.32219999999999993"/>
    <n v="1"/>
    <n v="0.5"/>
    <n v="5.3699999999999992"/>
    <x v="147"/>
    <n v="0.32219999999999993"/>
    <n v="6"/>
  </r>
  <r>
    <s v="IYO-10245-081"/>
    <d v="2020-05-09T00:00:00"/>
    <s v="09"/>
    <x v="5"/>
    <x v="3"/>
    <x v="266"/>
    <x v="266"/>
    <n v="0"/>
    <s v="+1 (502) 913-2943"/>
    <x v="185"/>
    <x v="0"/>
    <s v="No"/>
    <x v="1"/>
    <s v="E-M-2.5"/>
    <x v="0"/>
    <n v="3.4787499999999998"/>
    <n v="3"/>
    <n v="2.5"/>
    <n v="31.624999999999996"/>
    <x v="88"/>
    <n v="10.436249999999999"/>
    <n v="11.000000000000002"/>
  </r>
  <r>
    <s v="BYZ-39669-954"/>
    <d v="2020-07-18T00:00:00"/>
    <s v="18"/>
    <x v="2"/>
    <x v="3"/>
    <x v="267"/>
    <x v="267"/>
    <n v="0"/>
    <s v="+1 (716) 790-4379"/>
    <x v="73"/>
    <x v="0"/>
    <s v="No"/>
    <x v="3"/>
    <s v="L-L-2.5"/>
    <x v="1"/>
    <n v="4.7391499999999995"/>
    <n v="1"/>
    <n v="2.5"/>
    <n v="36.454999999999998"/>
    <x v="133"/>
    <n v="4.7391499999999995"/>
    <n v="13"/>
  </r>
  <r>
    <s v="EFB-72860-209"/>
    <d v="2019-10-17T00:00:00"/>
    <s v="17"/>
    <x v="7"/>
    <x v="0"/>
    <x v="268"/>
    <x v="268"/>
    <s v="bmergue7y@umn.edu"/>
    <n v="0"/>
    <x v="186"/>
    <x v="0"/>
    <s v="Yes"/>
    <x v="2"/>
    <s v="A-M-0.2"/>
    <x v="0"/>
    <n v="0.30374999999999996"/>
    <n v="4"/>
    <n v="0.2"/>
    <n v="3.375"/>
    <x v="72"/>
    <n v="1.2149999999999999"/>
    <n v="8.9999999999999982"/>
  </r>
  <r>
    <s v="GMM-72397-378"/>
    <d v="2022-05-16T00:00:00"/>
    <s v="16"/>
    <x v="5"/>
    <x v="2"/>
    <x v="269"/>
    <x v="269"/>
    <s v="kpatise7z@jigsy.com"/>
    <s v="+1 (617) 552-8968"/>
    <x v="35"/>
    <x v="0"/>
    <s v="No"/>
    <x v="0"/>
    <s v="R-L-0.2"/>
    <x v="1"/>
    <n v="0.21509999999999996"/>
    <n v="4"/>
    <n v="0.2"/>
    <n v="3.5849999999999995"/>
    <x v="79"/>
    <n v="0.86039999999999983"/>
    <n v="6"/>
  </r>
  <r>
    <s v="LYP-52345-883"/>
    <d v="2021-03-24T00:00:00"/>
    <s v="24"/>
    <x v="6"/>
    <x v="1"/>
    <x v="270"/>
    <x v="270"/>
    <n v="0"/>
    <s v="+353 (968) 887-1849"/>
    <x v="187"/>
    <x v="1"/>
    <s v="Yes"/>
    <x v="1"/>
    <s v="E-M-0.5"/>
    <x v="0"/>
    <n v="0.90749999999999997"/>
    <n v="1"/>
    <n v="0.5"/>
    <n v="8.25"/>
    <x v="112"/>
    <n v="0.90749999999999997"/>
    <n v="11"/>
  </r>
  <r>
    <s v="DFK-35846-692"/>
    <d v="2019-11-03T00:00:00"/>
    <s v="03"/>
    <x v="11"/>
    <x v="0"/>
    <x v="271"/>
    <x v="271"/>
    <n v="0"/>
    <n v="0"/>
    <x v="188"/>
    <x v="0"/>
    <s v="Yes"/>
    <x v="0"/>
    <s v="R-D-0.2"/>
    <x v="2"/>
    <n v="0.16109999999999997"/>
    <n v="5"/>
    <n v="0.2"/>
    <n v="2.6849999999999996"/>
    <x v="148"/>
    <n v="0.80549999999999988"/>
    <n v="6.0000000000000009"/>
  </r>
  <r>
    <s v="XAH-93337-609"/>
    <d v="2021-10-28T00:00:00"/>
    <s v="28"/>
    <x v="7"/>
    <x v="1"/>
    <x v="272"/>
    <x v="272"/>
    <s v="dduke82@vkontakte.ru"/>
    <s v="+1 (626) 268-7265"/>
    <x v="6"/>
    <x v="0"/>
    <s v="No"/>
    <x v="2"/>
    <s v="A-D-1"/>
    <x v="2"/>
    <n v="0.89549999999999985"/>
    <n v="5"/>
    <n v="1"/>
    <n v="9.9499999999999993"/>
    <x v="12"/>
    <n v="4.4774999999999991"/>
    <n v="8.9999999999999982"/>
  </r>
  <r>
    <s v="QKA-72582-644"/>
    <d v="2020-12-16T00:00:00"/>
    <s v="16"/>
    <x v="9"/>
    <x v="3"/>
    <x v="273"/>
    <x v="273"/>
    <n v="0"/>
    <n v="0"/>
    <x v="96"/>
    <x v="1"/>
    <s v="No"/>
    <x v="1"/>
    <s v="E-M-0.5"/>
    <x v="0"/>
    <n v="0.90749999999999997"/>
    <n v="2"/>
    <n v="0.5"/>
    <n v="8.25"/>
    <x v="38"/>
    <n v="1.8149999999999999"/>
    <n v="11"/>
  </r>
  <r>
    <s v="ZDK-84567-102"/>
    <d v="2021-11-29T00:00:00"/>
    <s v="29"/>
    <x v="11"/>
    <x v="1"/>
    <x v="274"/>
    <x v="274"/>
    <s v="ihussey84@mapy.cz"/>
    <n v="0"/>
    <x v="38"/>
    <x v="0"/>
    <s v="No"/>
    <x v="2"/>
    <s v="A-D-0.5"/>
    <x v="2"/>
    <n v="0.5373"/>
    <n v="3"/>
    <n v="0.5"/>
    <n v="5.97"/>
    <x v="8"/>
    <n v="1.6118999999999999"/>
    <n v="9"/>
  </r>
  <r>
    <s v="WAV-38301-984"/>
    <d v="2021-03-20T00:00:00"/>
    <s v="20"/>
    <x v="6"/>
    <x v="1"/>
    <x v="275"/>
    <x v="275"/>
    <s v="cpinkerton85@upenn.edu"/>
    <s v="+1 (202) 727-7464"/>
    <x v="117"/>
    <x v="0"/>
    <s v="No"/>
    <x v="2"/>
    <s v="A-D-0.5"/>
    <x v="2"/>
    <n v="0.5373"/>
    <n v="5"/>
    <n v="0.5"/>
    <n v="5.97"/>
    <x v="44"/>
    <n v="2.6865000000000001"/>
    <n v="9.0000000000000018"/>
  </r>
  <r>
    <s v="KZR-33023-209"/>
    <d v="2022-04-08T00:00:00"/>
    <s v="08"/>
    <x v="8"/>
    <x v="2"/>
    <x v="276"/>
    <x v="276"/>
    <n v="0"/>
    <s v="+1 (203) 722-1559"/>
    <x v="189"/>
    <x v="0"/>
    <s v="No"/>
    <x v="1"/>
    <s v="E-L-1"/>
    <x v="1"/>
    <n v="1.6335"/>
    <n v="3"/>
    <n v="1"/>
    <n v="14.85"/>
    <x v="69"/>
    <n v="4.9005000000000001"/>
    <n v="11.000000000000002"/>
  </r>
  <r>
    <s v="ULM-49433-003"/>
    <d v="2020-08-14T00:00:00"/>
    <s v="14"/>
    <x v="3"/>
    <x v="3"/>
    <x v="277"/>
    <x v="277"/>
    <n v="0"/>
    <n v="0"/>
    <x v="140"/>
    <x v="0"/>
    <s v="No"/>
    <x v="1"/>
    <s v="E-M-1"/>
    <x v="0"/>
    <n v="1.5125"/>
    <n v="2"/>
    <n v="1"/>
    <n v="13.75"/>
    <x v="3"/>
    <n v="3.0249999999999999"/>
    <n v="11"/>
  </r>
  <r>
    <s v="SIB-83254-136"/>
    <d v="2019-05-12T00:00:00"/>
    <s v="12"/>
    <x v="5"/>
    <x v="0"/>
    <x v="278"/>
    <x v="278"/>
    <s v="dvizor88@furl.net"/>
    <s v="+1 (941) 130-0581"/>
    <x v="53"/>
    <x v="0"/>
    <s v="Yes"/>
    <x v="0"/>
    <s v="R-M-0.5"/>
    <x v="0"/>
    <n v="0.35819999999999996"/>
    <n v="6"/>
    <n v="0.5"/>
    <n v="5.97"/>
    <x v="27"/>
    <n v="2.1491999999999996"/>
    <n v="5.9999999999999982"/>
  </r>
  <r>
    <s v="NOK-50349-551"/>
    <d v="2021-03-03T00:00:00"/>
    <s v="03"/>
    <x v="6"/>
    <x v="1"/>
    <x v="279"/>
    <x v="279"/>
    <s v="esedgebeer89@oaic.gov.au"/>
    <s v="+1 (305) 898-4252"/>
    <x v="190"/>
    <x v="0"/>
    <s v="Yes"/>
    <x v="0"/>
    <s v="R-D-0.5"/>
    <x v="2"/>
    <n v="0.32219999999999993"/>
    <n v="3"/>
    <n v="0.5"/>
    <n v="5.3699999999999992"/>
    <x v="103"/>
    <n v="0.96659999999999979"/>
    <n v="5.9999999999999991"/>
  </r>
  <r>
    <s v="YIS-96268-844"/>
    <d v="2020-02-11T00:00:00"/>
    <s v="11"/>
    <x v="10"/>
    <x v="3"/>
    <x v="280"/>
    <x v="280"/>
    <s v="klestrange8a@lulu.com"/>
    <s v="+1 (404) 479-6402"/>
    <x v="161"/>
    <x v="0"/>
    <s v="Yes"/>
    <x v="1"/>
    <s v="E-L-0.2"/>
    <x v="1"/>
    <n v="0.49004999999999999"/>
    <n v="6"/>
    <n v="0.2"/>
    <n v="4.4550000000000001"/>
    <x v="149"/>
    <n v="2.9402999999999997"/>
    <n v="10.999999999999998"/>
  </r>
  <r>
    <s v="CXI-04933-855"/>
    <d v="2019-04-27T00:00:00"/>
    <s v="27"/>
    <x v="8"/>
    <x v="0"/>
    <x v="281"/>
    <x v="281"/>
    <s v="ltanti8b@techcrunch.com"/>
    <s v="+1 (361) 383-8015"/>
    <x v="191"/>
    <x v="0"/>
    <s v="Yes"/>
    <x v="1"/>
    <s v="E-L-2.5"/>
    <x v="1"/>
    <n v="3.7570499999999996"/>
    <n v="6"/>
    <n v="2.5"/>
    <n v="34.154999999999994"/>
    <x v="106"/>
    <n v="22.542299999999997"/>
    <n v="11.000000000000002"/>
  </r>
  <r>
    <s v="IZU-90429-382"/>
    <d v="2022-03-26T00:00:00"/>
    <s v="26"/>
    <x v="6"/>
    <x v="2"/>
    <x v="282"/>
    <x v="282"/>
    <s v="ade8c@1und1.de"/>
    <s v="+1 (808) 868-6669"/>
    <x v="103"/>
    <x v="0"/>
    <s v="Yes"/>
    <x v="2"/>
    <s v="A-L-1"/>
    <x v="1"/>
    <n v="1.1655"/>
    <n v="3"/>
    <n v="1"/>
    <n v="12.95"/>
    <x v="5"/>
    <n v="3.4965000000000002"/>
    <n v="9.0000000000000018"/>
  </r>
  <r>
    <s v="WIT-40912-783"/>
    <d v="2020-09-28T00:00:00"/>
    <s v="28"/>
    <x v="0"/>
    <x v="3"/>
    <x v="283"/>
    <x v="283"/>
    <s v="tjedrachowicz8d@acquirethisname.com"/>
    <s v="+1 (512) 635-4547"/>
    <x v="79"/>
    <x v="0"/>
    <s v="Yes"/>
    <x v="3"/>
    <s v="L-D-0.2"/>
    <x v="2"/>
    <n v="0.50505"/>
    <n v="4"/>
    <n v="0.2"/>
    <n v="3.8849999999999998"/>
    <x v="42"/>
    <n v="2.0202"/>
    <n v="13"/>
  </r>
  <r>
    <s v="PSD-57291-590"/>
    <d v="2019-10-24T00:00:00"/>
    <s v="24"/>
    <x v="7"/>
    <x v="0"/>
    <x v="284"/>
    <x v="284"/>
    <s v="pstonner8e@moonfruit.com"/>
    <s v="+1 (410) 158-5285"/>
    <x v="192"/>
    <x v="0"/>
    <s v="No"/>
    <x v="2"/>
    <s v="A-M-0.5"/>
    <x v="0"/>
    <n v="0.60749999999999993"/>
    <n v="1"/>
    <n v="0.5"/>
    <n v="6.75"/>
    <x v="52"/>
    <n v="0.60749999999999993"/>
    <n v="8.9999999999999982"/>
  </r>
  <r>
    <s v="GOI-41472-677"/>
    <d v="2021-08-04T00:00:00"/>
    <s v="04"/>
    <x v="3"/>
    <x v="1"/>
    <x v="285"/>
    <x v="285"/>
    <s v="dtingly8f@goo.ne.jp"/>
    <n v="0"/>
    <x v="193"/>
    <x v="0"/>
    <s v="Yes"/>
    <x v="1"/>
    <s v="E-D-2.5"/>
    <x v="2"/>
    <n v="3.07395"/>
    <n v="4"/>
    <n v="2.5"/>
    <n v="27.945"/>
    <x v="150"/>
    <n v="12.2958"/>
    <n v="11"/>
  </r>
  <r>
    <s v="KTX-17944-494"/>
    <d v="2019-12-29T00:00:00"/>
    <s v="29"/>
    <x v="9"/>
    <x v="0"/>
    <x v="286"/>
    <x v="286"/>
    <s v="crushe8n@about.me"/>
    <s v="+1 (704) 883-8274"/>
    <x v="63"/>
    <x v="0"/>
    <s v="Yes"/>
    <x v="2"/>
    <s v="A-L-0.2"/>
    <x v="1"/>
    <n v="0.34964999999999996"/>
    <n v="1"/>
    <n v="0.2"/>
    <n v="3.8849999999999998"/>
    <x v="84"/>
    <n v="0.34964999999999996"/>
    <n v="9"/>
  </r>
  <r>
    <s v="RDM-99811-230"/>
    <d v="2019-11-27T00:00:00"/>
    <s v="27"/>
    <x v="11"/>
    <x v="0"/>
    <x v="287"/>
    <x v="287"/>
    <s v="bchecci8h@usa.gov"/>
    <s v="+44 (237) 377-1917"/>
    <x v="194"/>
    <x v="2"/>
    <s v="No"/>
    <x v="3"/>
    <s v="L-M-0.2"/>
    <x v="0"/>
    <n v="0.56745000000000001"/>
    <n v="5"/>
    <n v="0.2"/>
    <n v="4.3650000000000002"/>
    <x v="26"/>
    <n v="2.83725"/>
    <n v="12.999999999999998"/>
  </r>
  <r>
    <s v="JTU-55897-581"/>
    <d v="2020-02-29T00:00:00"/>
    <s v="29"/>
    <x v="10"/>
    <x v="3"/>
    <x v="288"/>
    <x v="288"/>
    <s v="jbagot8i@mac.com"/>
    <s v="+1 (402) 659-3815"/>
    <x v="195"/>
    <x v="0"/>
    <s v="No"/>
    <x v="0"/>
    <s v="R-M-0.2"/>
    <x v="0"/>
    <n v="0.17909999999999998"/>
    <n v="5"/>
    <n v="0.2"/>
    <n v="2.9849999999999999"/>
    <x v="128"/>
    <n v="0.89549999999999996"/>
    <n v="6.0000000000000009"/>
  </r>
  <r>
    <s v="CRK-07584-240"/>
    <d v="2021-01-31T00:00:00"/>
    <s v="31"/>
    <x v="4"/>
    <x v="1"/>
    <x v="289"/>
    <x v="289"/>
    <s v="ebeeble8j@soundcloud.com"/>
    <s v="+1 (513) 141-9892"/>
    <x v="159"/>
    <x v="0"/>
    <s v="Yes"/>
    <x v="2"/>
    <s v="A-M-1"/>
    <x v="0"/>
    <n v="1.0125"/>
    <n v="3"/>
    <n v="1"/>
    <n v="11.25"/>
    <x v="65"/>
    <n v="3.0374999999999996"/>
    <n v="8.9999999999999982"/>
  </r>
  <r>
    <s v="MKE-75518-399"/>
    <d v="2022-06-17T00:00:00"/>
    <s v="17"/>
    <x v="1"/>
    <x v="2"/>
    <x v="290"/>
    <x v="290"/>
    <s v="cfluin8k@flickr.com"/>
    <n v="0"/>
    <x v="172"/>
    <x v="2"/>
    <s v="No"/>
    <x v="2"/>
    <s v="A-M-1"/>
    <x v="0"/>
    <n v="1.0125"/>
    <n v="3"/>
    <n v="1"/>
    <n v="11.25"/>
    <x v="65"/>
    <n v="3.0374999999999996"/>
    <n v="8.9999999999999982"/>
  </r>
  <r>
    <s v="AEL-51169-725"/>
    <d v="2020-02-03T00:00:00"/>
    <s v="03"/>
    <x v="10"/>
    <x v="3"/>
    <x v="291"/>
    <x v="291"/>
    <s v="ebletsor8l@vinaora.com"/>
    <s v="+1 (860) 182-4246"/>
    <x v="196"/>
    <x v="0"/>
    <s v="Yes"/>
    <x v="3"/>
    <s v="L-M-0.2"/>
    <x v="0"/>
    <n v="0.56745000000000001"/>
    <n v="6"/>
    <n v="0.2"/>
    <n v="4.3650000000000002"/>
    <x v="50"/>
    <n v="3.4047000000000001"/>
    <n v="13"/>
  </r>
  <r>
    <s v="ZGM-83108-823"/>
    <d v="2022-01-25T00:00:00"/>
    <s v="25"/>
    <x v="4"/>
    <x v="2"/>
    <x v="292"/>
    <x v="292"/>
    <s v="pbrydell8m@bloglovin.com"/>
    <s v="+353 (522) 527-0155"/>
    <x v="65"/>
    <x v="1"/>
    <s v="No"/>
    <x v="1"/>
    <s v="E-L-1"/>
    <x v="1"/>
    <n v="1.6335"/>
    <n v="1"/>
    <n v="1"/>
    <n v="14.85"/>
    <x v="151"/>
    <n v="1.6335"/>
    <n v="11"/>
  </r>
  <r>
    <s v="JBP-78754-392"/>
    <d v="2020-04-30T00:00:00"/>
    <s v="30"/>
    <x v="8"/>
    <x v="3"/>
    <x v="286"/>
    <x v="286"/>
    <s v="crushe8n@about.me"/>
    <s v="+1 (704) 883-8274"/>
    <x v="63"/>
    <x v="0"/>
    <s v="Yes"/>
    <x v="1"/>
    <s v="E-M-2.5"/>
    <x v="0"/>
    <n v="3.4787499999999998"/>
    <n v="6"/>
    <n v="2.5"/>
    <n v="31.624999999999996"/>
    <x v="152"/>
    <n v="20.872499999999999"/>
    <n v="11.000000000000002"/>
  </r>
  <r>
    <s v="RNH-54912-747"/>
    <d v="2021-05-01T00:00:00"/>
    <s v="01"/>
    <x v="5"/>
    <x v="1"/>
    <x v="293"/>
    <x v="293"/>
    <s v="nleethem8o@mac.com"/>
    <s v="+1 (318) 839-1492"/>
    <x v="117"/>
    <x v="0"/>
    <s v="Yes"/>
    <x v="0"/>
    <s v="R-M-0.5"/>
    <x v="0"/>
    <n v="0.35819999999999996"/>
    <n v="1"/>
    <n v="0.5"/>
    <n v="5.97"/>
    <x v="9"/>
    <n v="0.35819999999999996"/>
    <n v="6"/>
  </r>
  <r>
    <s v="JDS-33440-914"/>
    <d v="2021-10-28T00:00:00"/>
    <s v="28"/>
    <x v="7"/>
    <x v="1"/>
    <x v="294"/>
    <x v="294"/>
    <s v="anesfield8p@people.com.cn"/>
    <s v="+44 (418) 372-8139"/>
    <x v="197"/>
    <x v="2"/>
    <s v="Yes"/>
    <x v="0"/>
    <s v="R-M-1"/>
    <x v="0"/>
    <n v="0.59699999999999998"/>
    <n v="3"/>
    <n v="1"/>
    <n v="9.9499999999999993"/>
    <x v="44"/>
    <n v="1.7909999999999999"/>
    <n v="6.0000000000000009"/>
  </r>
  <r>
    <s v="SYX-48878-182"/>
    <d v="2021-08-29T00:00:00"/>
    <s v="29"/>
    <x v="3"/>
    <x v="1"/>
    <x v="295"/>
    <x v="295"/>
    <n v="0"/>
    <s v="+1 (702) 723-3139"/>
    <x v="198"/>
    <x v="0"/>
    <s v="No"/>
    <x v="0"/>
    <s v="R-D-1"/>
    <x v="2"/>
    <n v="0.53699999999999992"/>
    <n v="5"/>
    <n v="1"/>
    <n v="8.9499999999999993"/>
    <x v="153"/>
    <n v="2.6849999999999996"/>
    <n v="5.9999999999999991"/>
  </r>
  <r>
    <s v="ZGD-94763-868"/>
    <d v="2019-12-27T00:00:00"/>
    <s v="27"/>
    <x v="9"/>
    <x v="0"/>
    <x v="296"/>
    <x v="296"/>
    <s v="mbrockway8r@ibm.com"/>
    <s v="+1 (515) 216-0617"/>
    <x v="111"/>
    <x v="0"/>
    <s v="Yes"/>
    <x v="1"/>
    <s v="E-L-2.5"/>
    <x v="1"/>
    <n v="3.7570499999999996"/>
    <n v="1"/>
    <n v="2.5"/>
    <n v="34.154999999999994"/>
    <x v="107"/>
    <n v="3.7570499999999996"/>
    <n v="11"/>
  </r>
  <r>
    <s v="CZY-70361-485"/>
    <d v="2019-06-25T00:00:00"/>
    <s v="25"/>
    <x v="1"/>
    <x v="0"/>
    <x v="297"/>
    <x v="297"/>
    <s v="nlush8s@dedecms.com"/>
    <s v="+353 (360) 805-4030"/>
    <x v="104"/>
    <x v="1"/>
    <s v="No"/>
    <x v="1"/>
    <s v="E-L-2.5"/>
    <x v="1"/>
    <n v="3.7570499999999996"/>
    <n v="6"/>
    <n v="2.5"/>
    <n v="34.154999999999994"/>
    <x v="106"/>
    <n v="22.542299999999997"/>
    <n v="11.000000000000002"/>
  </r>
  <r>
    <s v="RJR-12175-899"/>
    <d v="2019-03-02T00:00:00"/>
    <s v="02"/>
    <x v="6"/>
    <x v="0"/>
    <x v="298"/>
    <x v="298"/>
    <s v="smcmillian8t@csmonitor.com"/>
    <s v="+1 (330) 407-0631"/>
    <x v="199"/>
    <x v="0"/>
    <s v="No"/>
    <x v="1"/>
    <s v="E-D-0.5"/>
    <x v="2"/>
    <n v="0.80190000000000006"/>
    <n v="3"/>
    <n v="0.5"/>
    <n v="7.29"/>
    <x v="6"/>
    <n v="2.4057000000000004"/>
    <n v="11.000000000000002"/>
  </r>
  <r>
    <s v="ELB-07929-407"/>
    <d v="2022-01-02T00:00:00"/>
    <s v="02"/>
    <x v="4"/>
    <x v="2"/>
    <x v="299"/>
    <x v="299"/>
    <s v="tbennison8u@google.cn"/>
    <s v="+1 (561) 413-7904"/>
    <x v="200"/>
    <x v="0"/>
    <s v="Yes"/>
    <x v="2"/>
    <s v="A-M-2.5"/>
    <x v="0"/>
    <n v="2.3287499999999994"/>
    <n v="2"/>
    <n v="2.5"/>
    <n v="25.874999999999996"/>
    <x v="95"/>
    <n v="4.6574999999999989"/>
    <n v="9"/>
  </r>
  <r>
    <s v="UJQ-54441-340"/>
    <d v="2019-07-30T00:00:00"/>
    <s v="30"/>
    <x v="2"/>
    <x v="0"/>
    <x v="300"/>
    <x v="300"/>
    <s v="gtweed8v@yolasite.com"/>
    <n v="0"/>
    <x v="74"/>
    <x v="0"/>
    <s v="Yes"/>
    <x v="1"/>
    <s v="E-M-0.2"/>
    <x v="0"/>
    <n v="0.45374999999999999"/>
    <n v="2"/>
    <n v="0.2"/>
    <n v="4.125"/>
    <x v="112"/>
    <n v="0.90749999999999997"/>
    <n v="11"/>
  </r>
  <r>
    <s v="UJQ-54441-340"/>
    <d v="2019-07-30T00:00:00"/>
    <s v="30"/>
    <x v="2"/>
    <x v="0"/>
    <x v="300"/>
    <x v="300"/>
    <s v="gtweed8v@yolasite.com"/>
    <n v="0"/>
    <x v="74"/>
    <x v="0"/>
    <s v="Yes"/>
    <x v="2"/>
    <s v="A-L-0.2"/>
    <x v="1"/>
    <n v="0.34964999999999996"/>
    <n v="5"/>
    <n v="0.2"/>
    <n v="3.8849999999999998"/>
    <x v="117"/>
    <n v="1.7482499999999999"/>
    <n v="9.0000000000000018"/>
  </r>
  <r>
    <s v="OWY-43108-475"/>
    <d v="2020-12-05T00:00:00"/>
    <s v="05"/>
    <x v="9"/>
    <x v="3"/>
    <x v="301"/>
    <x v="301"/>
    <s v="ggoggin8x@wix.com"/>
    <s v="+353 (484) 159-9549"/>
    <x v="201"/>
    <x v="1"/>
    <s v="Yes"/>
    <x v="2"/>
    <s v="A-M-0.2"/>
    <x v="0"/>
    <n v="0.30374999999999996"/>
    <n v="6"/>
    <n v="0.2"/>
    <n v="3.375"/>
    <x v="16"/>
    <n v="1.8224999999999998"/>
    <n v="8.9999999999999982"/>
  </r>
  <r>
    <s v="GNO-91911-159"/>
    <d v="2020-12-17T00:00:00"/>
    <s v="17"/>
    <x v="9"/>
    <x v="3"/>
    <x v="302"/>
    <x v="302"/>
    <s v="sjeyness8y@biglobe.ne.jp"/>
    <s v="+353 (460) 272-4069"/>
    <x v="202"/>
    <x v="1"/>
    <s v="No"/>
    <x v="3"/>
    <s v="L-D-0.5"/>
    <x v="2"/>
    <n v="1.0101"/>
    <n v="3"/>
    <n v="0.5"/>
    <n v="7.77"/>
    <x v="102"/>
    <n v="3.0303"/>
    <n v="13"/>
  </r>
  <r>
    <s v="CNY-06284-066"/>
    <d v="2021-06-26T00:00:00"/>
    <s v="26"/>
    <x v="1"/>
    <x v="1"/>
    <x v="303"/>
    <x v="303"/>
    <s v="dbonhome8z@shinystat.com"/>
    <s v="+1 (865) 238-4985"/>
    <x v="203"/>
    <x v="0"/>
    <s v="Yes"/>
    <x v="1"/>
    <s v="E-D-0.2"/>
    <x v="2"/>
    <n v="0.40095000000000003"/>
    <n v="5"/>
    <n v="0.2"/>
    <n v="3.645"/>
    <x v="94"/>
    <n v="2.00475"/>
    <n v="10.999999999999998"/>
  </r>
  <r>
    <s v="OQS-46321-904"/>
    <d v="2019-07-20T00:00:00"/>
    <s v="20"/>
    <x v="2"/>
    <x v="0"/>
    <x v="304"/>
    <x v="304"/>
    <n v="0"/>
    <s v="+1 (913) 671-7118"/>
    <x v="153"/>
    <x v="0"/>
    <s v="No"/>
    <x v="1"/>
    <s v="E-M-1"/>
    <x v="0"/>
    <n v="1.5125"/>
    <n v="1"/>
    <n v="1"/>
    <n v="13.75"/>
    <x v="154"/>
    <n v="1.5125"/>
    <n v="11"/>
  </r>
  <r>
    <s v="IBW-87442-480"/>
    <d v="2022-07-14T00:00:00"/>
    <s v="14"/>
    <x v="2"/>
    <x v="2"/>
    <x v="305"/>
    <x v="305"/>
    <s v="tle91@epa.gov"/>
    <s v="+1 (415) 176-8216"/>
    <x v="204"/>
    <x v="0"/>
    <s v="Yes"/>
    <x v="2"/>
    <s v="A-L-2.5"/>
    <x v="1"/>
    <n v="2.6806499999999995"/>
    <n v="1"/>
    <n v="2.5"/>
    <n v="29.784999999999997"/>
    <x v="91"/>
    <n v="2.6806499999999995"/>
    <n v="9"/>
  </r>
  <r>
    <s v="DGZ-82537-477"/>
    <d v="2020-08-14T00:00:00"/>
    <s v="14"/>
    <x v="3"/>
    <x v="3"/>
    <x v="306"/>
    <x v="306"/>
    <n v="0"/>
    <s v="+1 (205) 680-5859"/>
    <x v="38"/>
    <x v="0"/>
    <s v="No"/>
    <x v="0"/>
    <s v="R-D-1"/>
    <x v="2"/>
    <n v="0.53699999999999992"/>
    <n v="5"/>
    <n v="1"/>
    <n v="8.9499999999999993"/>
    <x v="153"/>
    <n v="2.6849999999999996"/>
    <n v="5.9999999999999991"/>
  </r>
  <r>
    <s v="LPS-39089-432"/>
    <d v="2019-04-24T00:00:00"/>
    <s v="24"/>
    <x v="8"/>
    <x v="0"/>
    <x v="307"/>
    <x v="307"/>
    <s v="balldridge93@yandex.ru"/>
    <s v="+1 (646) 561-0082"/>
    <x v="130"/>
    <x v="0"/>
    <s v="Yes"/>
    <x v="0"/>
    <s v="R-D-1"/>
    <x v="2"/>
    <n v="0.53699999999999992"/>
    <n v="5"/>
    <n v="1"/>
    <n v="8.9499999999999993"/>
    <x v="153"/>
    <n v="2.6849999999999996"/>
    <n v="5.9999999999999991"/>
  </r>
  <r>
    <s v="MQU-86100-929"/>
    <d v="2019-06-04T00:00:00"/>
    <s v="04"/>
    <x v="1"/>
    <x v="0"/>
    <x v="308"/>
    <x v="308"/>
    <n v="0"/>
    <s v="+1 (915) 761-6081"/>
    <x v="87"/>
    <x v="0"/>
    <s v="Yes"/>
    <x v="3"/>
    <s v="L-L-0.5"/>
    <x v="1"/>
    <n v="1.2363"/>
    <n v="4"/>
    <n v="0.5"/>
    <n v="9.51"/>
    <x v="82"/>
    <n v="4.9451999999999998"/>
    <n v="13"/>
  </r>
  <r>
    <s v="XUR-14132-391"/>
    <d v="2022-08-08T00:00:00"/>
    <s v="08"/>
    <x v="3"/>
    <x v="2"/>
    <x v="309"/>
    <x v="309"/>
    <s v="lgoodger95@guardian.co.uk"/>
    <n v="0"/>
    <x v="155"/>
    <x v="0"/>
    <s v="Yes"/>
    <x v="0"/>
    <s v="R-D-0.5"/>
    <x v="2"/>
    <n v="0.32219999999999993"/>
    <n v="4"/>
    <n v="0.5"/>
    <n v="5.3699999999999992"/>
    <x v="155"/>
    <n v="1.2887999999999997"/>
    <n v="6"/>
  </r>
  <r>
    <s v="OVI-27064-381"/>
    <d v="2019-11-13T00:00:00"/>
    <s v="13"/>
    <x v="11"/>
    <x v="0"/>
    <x v="298"/>
    <x v="298"/>
    <s v="smcmillian8t@csmonitor.com"/>
    <s v="+1 (330) 407-0631"/>
    <x v="199"/>
    <x v="0"/>
    <s v="No"/>
    <x v="0"/>
    <s v="R-D-0.5"/>
    <x v="2"/>
    <n v="0.32219999999999993"/>
    <n v="3"/>
    <n v="0.5"/>
    <n v="5.3699999999999992"/>
    <x v="103"/>
    <n v="0.96659999999999979"/>
    <n v="5.9999999999999991"/>
  </r>
  <r>
    <s v="SHP-17012-870"/>
    <d v="2020-06-07T00:00:00"/>
    <s v="07"/>
    <x v="1"/>
    <x v="3"/>
    <x v="310"/>
    <x v="310"/>
    <s v="cdrewett97@wikipedia.org"/>
    <s v="+1 (561) 651-3098"/>
    <x v="205"/>
    <x v="0"/>
    <s v="Yes"/>
    <x v="0"/>
    <s v="R-M-2.5"/>
    <x v="0"/>
    <n v="1.3730999999999998"/>
    <n v="1"/>
    <n v="2.5"/>
    <n v="22.884999999999998"/>
    <x v="156"/>
    <n v="1.3730999999999998"/>
    <n v="6"/>
  </r>
  <r>
    <s v="FDY-03414-903"/>
    <d v="2019-08-12T00:00:00"/>
    <s v="12"/>
    <x v="3"/>
    <x v="0"/>
    <x v="311"/>
    <x v="311"/>
    <s v="qparsons98@blogtalkradio.com"/>
    <s v="+1 (323) 848-5169"/>
    <x v="6"/>
    <x v="0"/>
    <s v="Yes"/>
    <x v="2"/>
    <s v="A-D-0.5"/>
    <x v="2"/>
    <n v="0.5373"/>
    <n v="3"/>
    <n v="0.5"/>
    <n v="5.97"/>
    <x v="8"/>
    <n v="1.6118999999999999"/>
    <n v="9"/>
  </r>
  <r>
    <s v="WXT-85291-143"/>
    <d v="2019-09-04T00:00:00"/>
    <s v="04"/>
    <x v="0"/>
    <x v="0"/>
    <x v="312"/>
    <x v="312"/>
    <s v="vceely99@auda.org.au"/>
    <s v="+1 (410) 876-8486"/>
    <x v="192"/>
    <x v="0"/>
    <s v="Yes"/>
    <x v="0"/>
    <s v="R-M-0.5"/>
    <x v="0"/>
    <n v="0.35819999999999996"/>
    <n v="4"/>
    <n v="0.5"/>
    <n v="5.97"/>
    <x v="86"/>
    <n v="1.4327999999999999"/>
    <n v="6"/>
  </r>
  <r>
    <s v="QNP-18893-547"/>
    <d v="2019-10-04T00:00:00"/>
    <s v="04"/>
    <x v="7"/>
    <x v="0"/>
    <x v="313"/>
    <x v="313"/>
    <n v="0"/>
    <n v="0"/>
    <x v="147"/>
    <x v="0"/>
    <s v="No"/>
    <x v="0"/>
    <s v="R-L-1"/>
    <x v="1"/>
    <n v="0.71699999999999997"/>
    <n v="5"/>
    <n v="1"/>
    <n v="11.95"/>
    <x v="143"/>
    <n v="3.585"/>
    <n v="6"/>
  </r>
  <r>
    <s v="DOH-92927-530"/>
    <d v="2020-02-24T00:00:00"/>
    <s v="24"/>
    <x v="10"/>
    <x v="3"/>
    <x v="314"/>
    <x v="314"/>
    <s v="cvasiliev9b@discuz.net"/>
    <s v="+1 (214) 507-8264"/>
    <x v="132"/>
    <x v="0"/>
    <s v="Yes"/>
    <x v="3"/>
    <s v="L-L-0.2"/>
    <x v="1"/>
    <n v="0.61814999999999998"/>
    <n v="6"/>
    <n v="0.2"/>
    <n v="4.7549999999999999"/>
    <x v="32"/>
    <n v="3.7088999999999999"/>
    <n v="12.999999999999998"/>
  </r>
  <r>
    <s v="HGJ-82768-173"/>
    <d v="2021-08-26T00:00:00"/>
    <s v="26"/>
    <x v="3"/>
    <x v="1"/>
    <x v="315"/>
    <x v="315"/>
    <s v="tomoylan9c@liveinternet.ru"/>
    <s v="+44 (911) 807-7254"/>
    <x v="206"/>
    <x v="2"/>
    <s v="No"/>
    <x v="2"/>
    <s v="A-M-1"/>
    <x v="0"/>
    <n v="1.0125"/>
    <n v="4"/>
    <n v="1"/>
    <n v="11.25"/>
    <x v="157"/>
    <n v="4.05"/>
    <n v="9"/>
  </r>
  <r>
    <s v="YPT-95383-088"/>
    <d v="2021-10-03T00:00:00"/>
    <s v="03"/>
    <x v="7"/>
    <x v="1"/>
    <x v="306"/>
    <x v="306"/>
    <n v="0"/>
    <s v="+1 (205) 680-5859"/>
    <x v="38"/>
    <x v="0"/>
    <s v="No"/>
    <x v="1"/>
    <s v="E-D-2.5"/>
    <x v="2"/>
    <n v="3.07395"/>
    <n v="2"/>
    <n v="2.5"/>
    <n v="27.945"/>
    <x v="158"/>
    <n v="6.1478999999999999"/>
    <n v="11"/>
  </r>
  <r>
    <s v="OYH-16533-767"/>
    <d v="2020-06-13T00:00:00"/>
    <s v="13"/>
    <x v="1"/>
    <x v="3"/>
    <x v="316"/>
    <x v="316"/>
    <s v="wfetherston9e@constantcontact.com"/>
    <s v="+1 (212) 724-3420"/>
    <x v="15"/>
    <x v="0"/>
    <s v="No"/>
    <x v="1"/>
    <s v="E-L-1"/>
    <x v="1"/>
    <n v="1.6335"/>
    <n v="4"/>
    <n v="1"/>
    <n v="14.85"/>
    <x v="48"/>
    <n v="6.5339999999999998"/>
    <n v="11"/>
  </r>
  <r>
    <s v="DWW-28642-549"/>
    <d v="2021-03-01T00:00:00"/>
    <s v="01"/>
    <x v="6"/>
    <x v="1"/>
    <x v="317"/>
    <x v="317"/>
    <s v="erasmus9f@techcrunch.com"/>
    <s v="+1 (617) 830-9474"/>
    <x v="35"/>
    <x v="0"/>
    <s v="Yes"/>
    <x v="1"/>
    <s v="E-D-0.2"/>
    <x v="2"/>
    <n v="0.40095000000000003"/>
    <n v="2"/>
    <n v="0.2"/>
    <n v="3.645"/>
    <x v="35"/>
    <n v="0.80190000000000006"/>
    <n v="11"/>
  </r>
  <r>
    <s v="CGO-79583-871"/>
    <d v="2019-03-04T00:00:00"/>
    <s v="04"/>
    <x v="6"/>
    <x v="0"/>
    <x v="318"/>
    <x v="318"/>
    <s v="wgiorgioni9g@wikipedia.org"/>
    <s v="+1 (415) 960-7198"/>
    <x v="204"/>
    <x v="0"/>
    <s v="Yes"/>
    <x v="1"/>
    <s v="E-D-0.5"/>
    <x v="2"/>
    <n v="0.80190000000000006"/>
    <n v="1"/>
    <n v="0.5"/>
    <n v="7.29"/>
    <x v="35"/>
    <n v="0.80190000000000006"/>
    <n v="11"/>
  </r>
  <r>
    <s v="TFY-52090-386"/>
    <d v="2019-10-13T00:00:00"/>
    <s v="13"/>
    <x v="7"/>
    <x v="0"/>
    <x v="319"/>
    <x v="319"/>
    <s v="lscargle9h@myspace.com"/>
    <s v="+1 (317) 136-7045"/>
    <x v="207"/>
    <x v="0"/>
    <s v="No"/>
    <x v="1"/>
    <s v="E-L-0.5"/>
    <x v="1"/>
    <n v="0.98009999999999997"/>
    <n v="2"/>
    <n v="0.5"/>
    <n v="8.91"/>
    <x v="58"/>
    <n v="1.9601999999999999"/>
    <n v="11"/>
  </r>
  <r>
    <s v="TFY-52090-386"/>
    <d v="2019-10-13T00:00:00"/>
    <s v="13"/>
    <x v="7"/>
    <x v="0"/>
    <x v="319"/>
    <x v="319"/>
    <s v="lscargle9h@myspace.com"/>
    <s v="+1 (317) 136-7045"/>
    <x v="207"/>
    <x v="0"/>
    <s v="No"/>
    <x v="3"/>
    <s v="L-D-0.5"/>
    <x v="2"/>
    <n v="1.0101"/>
    <n v="5"/>
    <n v="0.5"/>
    <n v="7.77"/>
    <x v="5"/>
    <n v="5.0504999999999995"/>
    <n v="13"/>
  </r>
  <r>
    <s v="NYY-73968-094"/>
    <d v="2019-08-15T00:00:00"/>
    <s v="15"/>
    <x v="3"/>
    <x v="0"/>
    <x v="320"/>
    <x v="320"/>
    <s v="nclimance9j@europa.eu"/>
    <n v="0"/>
    <x v="208"/>
    <x v="0"/>
    <s v="No"/>
    <x v="0"/>
    <s v="R-D-0.5"/>
    <x v="2"/>
    <n v="0.32219999999999993"/>
    <n v="6"/>
    <n v="0.5"/>
    <n v="5.3699999999999992"/>
    <x v="111"/>
    <n v="1.9331999999999996"/>
    <n v="5.9999999999999991"/>
  </r>
  <r>
    <s v="QEY-71761-460"/>
    <d v="2021-11-29T00:00:00"/>
    <s v="29"/>
    <x v="11"/>
    <x v="1"/>
    <x v="321"/>
    <x v="321"/>
    <n v="0"/>
    <s v="+353 (950) 306-4776"/>
    <x v="209"/>
    <x v="1"/>
    <s v="Yes"/>
    <x v="0"/>
    <s v="R-M-1"/>
    <x v="0"/>
    <n v="0.59699999999999998"/>
    <n v="2"/>
    <n v="1"/>
    <n v="9.9499999999999993"/>
    <x v="0"/>
    <n v="1.194"/>
    <n v="6.0000000000000009"/>
  </r>
  <r>
    <s v="GKQ-82603-910"/>
    <d v="2020-01-19T00:00:00"/>
    <s v="19"/>
    <x v="4"/>
    <x v="3"/>
    <x v="322"/>
    <x v="322"/>
    <s v="asnazle9l@oracle.com"/>
    <s v="+1 (334) 193-6359"/>
    <x v="124"/>
    <x v="0"/>
    <s v="No"/>
    <x v="0"/>
    <s v="R-L-1"/>
    <x v="1"/>
    <n v="0.71699999999999997"/>
    <n v="5"/>
    <n v="1"/>
    <n v="11.95"/>
    <x v="143"/>
    <n v="3.585"/>
    <n v="6"/>
  </r>
  <r>
    <s v="IOB-32673-745"/>
    <d v="2021-05-28T00:00:00"/>
    <s v="28"/>
    <x v="5"/>
    <x v="1"/>
    <x v="323"/>
    <x v="323"/>
    <s v="rworg9m@arstechnica.com"/>
    <s v="+1 (214) 985-2470"/>
    <x v="68"/>
    <x v="0"/>
    <s v="Yes"/>
    <x v="2"/>
    <s v="A-L-0.5"/>
    <x v="1"/>
    <n v="0.69929999999999992"/>
    <n v="3"/>
    <n v="0.5"/>
    <n v="7.77"/>
    <x v="102"/>
    <n v="2.0978999999999997"/>
    <n v="9"/>
  </r>
  <r>
    <s v="YAU-98893-150"/>
    <d v="2022-01-15T00:00:00"/>
    <s v="15"/>
    <x v="4"/>
    <x v="2"/>
    <x v="324"/>
    <x v="324"/>
    <s v="ldanes9n@umn.edu"/>
    <s v="+1 (785) 398-5129"/>
    <x v="210"/>
    <x v="0"/>
    <s v="No"/>
    <x v="3"/>
    <s v="L-M-1"/>
    <x v="0"/>
    <n v="1.8915000000000002"/>
    <n v="3"/>
    <n v="1"/>
    <n v="14.55"/>
    <x v="34"/>
    <n v="5.6745000000000001"/>
    <n v="12.999999999999998"/>
  </r>
  <r>
    <s v="XNM-14163-951"/>
    <d v="2019-12-04T00:00:00"/>
    <s v="04"/>
    <x v="9"/>
    <x v="0"/>
    <x v="325"/>
    <x v="325"/>
    <s v="skeynd9o@narod.ru"/>
    <s v="+1 (903) 299-3053"/>
    <x v="211"/>
    <x v="0"/>
    <s v="No"/>
    <x v="1"/>
    <s v="E-L-2.5"/>
    <x v="1"/>
    <n v="3.7570499999999996"/>
    <n v="6"/>
    <n v="2.5"/>
    <n v="34.154999999999994"/>
    <x v="106"/>
    <n v="22.542299999999997"/>
    <n v="11.000000000000002"/>
  </r>
  <r>
    <s v="JPB-45297-000"/>
    <d v="2022-07-01T00:00:00"/>
    <s v="01"/>
    <x v="2"/>
    <x v="2"/>
    <x v="326"/>
    <x v="326"/>
    <s v="ddaveridge9p@arstechnica.com"/>
    <s v="+1 (213) 474-2139"/>
    <x v="6"/>
    <x v="0"/>
    <s v="No"/>
    <x v="0"/>
    <s v="R-L-0.2"/>
    <x v="1"/>
    <n v="0.21509999999999996"/>
    <n v="4"/>
    <n v="0.2"/>
    <n v="3.5849999999999995"/>
    <x v="79"/>
    <n v="0.86039999999999983"/>
    <n v="6"/>
  </r>
  <r>
    <s v="MOU-74341-266"/>
    <d v="2019-05-07T00:00:00"/>
    <s v="07"/>
    <x v="5"/>
    <x v="0"/>
    <x v="327"/>
    <x v="327"/>
    <s v="jawdry9q@utexas.edu"/>
    <s v="+1 (318) 747-7610"/>
    <x v="212"/>
    <x v="0"/>
    <s v="No"/>
    <x v="2"/>
    <s v="A-D-0.5"/>
    <x v="2"/>
    <n v="0.5373"/>
    <n v="4"/>
    <n v="0.5"/>
    <n v="5.97"/>
    <x v="86"/>
    <n v="2.1492"/>
    <n v="9.0000000000000018"/>
  </r>
  <r>
    <s v="DHJ-87461-571"/>
    <d v="2020-08-23T00:00:00"/>
    <s v="23"/>
    <x v="3"/>
    <x v="3"/>
    <x v="328"/>
    <x v="328"/>
    <s v="eryles9r@fastcompany.com"/>
    <s v="+1 (208) 760-1705"/>
    <x v="213"/>
    <x v="0"/>
    <s v="No"/>
    <x v="2"/>
    <s v="A-M-1"/>
    <x v="0"/>
    <n v="1.0125"/>
    <n v="2"/>
    <n v="1"/>
    <n v="11.25"/>
    <x v="122"/>
    <n v="2.0249999999999999"/>
    <n v="9"/>
  </r>
  <r>
    <s v="DKM-97676-850"/>
    <d v="2020-06-02T00:00:00"/>
    <s v="02"/>
    <x v="1"/>
    <x v="3"/>
    <x v="306"/>
    <x v="306"/>
    <n v="0"/>
    <s v="+1 (205) 680-5859"/>
    <x v="38"/>
    <x v="0"/>
    <s v="No"/>
    <x v="1"/>
    <s v="E-D-0.5"/>
    <x v="2"/>
    <n v="0.80190000000000006"/>
    <n v="5"/>
    <n v="0.5"/>
    <n v="7.29"/>
    <x v="114"/>
    <n v="4.0095000000000001"/>
    <n v="10.999999999999998"/>
  </r>
  <r>
    <s v="UEB-09112-118"/>
    <d v="2020-01-30T00:00:00"/>
    <s v="30"/>
    <x v="4"/>
    <x v="3"/>
    <x v="329"/>
    <x v="329"/>
    <n v="0"/>
    <s v="+1 (334) 191-0127"/>
    <x v="124"/>
    <x v="0"/>
    <s v="Yes"/>
    <x v="2"/>
    <s v="A-M-0.5"/>
    <x v="0"/>
    <n v="0.60749999999999993"/>
    <n v="4"/>
    <n v="0.5"/>
    <n v="6.75"/>
    <x v="25"/>
    <n v="2.4299999999999997"/>
    <n v="8.9999999999999982"/>
  </r>
  <r>
    <s v="ORZ-67699-748"/>
    <d v="2020-02-15T00:00:00"/>
    <s v="15"/>
    <x v="10"/>
    <x v="3"/>
    <x v="330"/>
    <x v="330"/>
    <s v="jcaldicott9u@usda.gov"/>
    <n v="0"/>
    <x v="214"/>
    <x v="0"/>
    <s v="No"/>
    <x v="2"/>
    <s v="A-M-2.5"/>
    <x v="0"/>
    <n v="2.3287499999999994"/>
    <n v="6"/>
    <n v="2.5"/>
    <n v="25.874999999999996"/>
    <x v="71"/>
    <n v="13.972499999999997"/>
    <n v="9"/>
  </r>
  <r>
    <s v="JXP-28398-485"/>
    <d v="2021-06-11T00:00:00"/>
    <s v="11"/>
    <x v="1"/>
    <x v="1"/>
    <x v="331"/>
    <x v="331"/>
    <s v="mvedmore9v@a8.net"/>
    <s v="+1 (336) 366-8873"/>
    <x v="116"/>
    <x v="0"/>
    <s v="Yes"/>
    <x v="2"/>
    <s v="A-D-2.5"/>
    <x v="2"/>
    <n v="2.0596499999999995"/>
    <n v="5"/>
    <n v="2.5"/>
    <n v="22.884999999999998"/>
    <x v="15"/>
    <n v="10.298249999999998"/>
    <n v="9"/>
  </r>
  <r>
    <s v="WWH-92259-198"/>
    <d v="2022-03-11T00:00:00"/>
    <s v="11"/>
    <x v="6"/>
    <x v="2"/>
    <x v="332"/>
    <x v="332"/>
    <s v="wromao9w@chronoengine.com"/>
    <s v="+1 (916) 623-2394"/>
    <x v="155"/>
    <x v="0"/>
    <s v="Yes"/>
    <x v="3"/>
    <s v="L-D-1"/>
    <x v="2"/>
    <n v="1.6835"/>
    <n v="4"/>
    <n v="1"/>
    <n v="12.95"/>
    <x v="67"/>
    <n v="6.734"/>
    <n v="13"/>
  </r>
  <r>
    <s v="FLR-82914-153"/>
    <d v="2021-09-09T00:00:00"/>
    <s v="09"/>
    <x v="0"/>
    <x v="1"/>
    <x v="333"/>
    <x v="333"/>
    <n v="0"/>
    <s v="+1 (512) 200-9234"/>
    <x v="215"/>
    <x v="0"/>
    <s v="No"/>
    <x v="2"/>
    <s v="A-M-2.5"/>
    <x v="0"/>
    <n v="2.3287499999999994"/>
    <n v="6"/>
    <n v="2.5"/>
    <n v="25.874999999999996"/>
    <x v="71"/>
    <n v="13.972499999999997"/>
    <n v="9"/>
  </r>
  <r>
    <s v="AMB-93600-000"/>
    <d v="2019-05-14T00:00:00"/>
    <s v="14"/>
    <x v="5"/>
    <x v="0"/>
    <x v="334"/>
    <x v="334"/>
    <s v="tcotmore9y@amazonaws.com"/>
    <s v="+1 (571) 250-3012"/>
    <x v="216"/>
    <x v="0"/>
    <s v="No"/>
    <x v="2"/>
    <s v="A-L-2.5"/>
    <x v="1"/>
    <n v="2.6806499999999995"/>
    <n v="1"/>
    <n v="2.5"/>
    <n v="29.784999999999997"/>
    <x v="91"/>
    <n v="2.6806499999999995"/>
    <n v="9"/>
  </r>
  <r>
    <s v="FEP-36895-658"/>
    <d v="2019-04-08T00:00:00"/>
    <s v="08"/>
    <x v="8"/>
    <x v="0"/>
    <x v="335"/>
    <x v="335"/>
    <s v="yskipsey9z@spotify.com"/>
    <s v="+44 (257) 759-9950"/>
    <x v="217"/>
    <x v="2"/>
    <s v="No"/>
    <x v="0"/>
    <s v="R-L-0.2"/>
    <x v="1"/>
    <n v="0.21509999999999996"/>
    <n v="6"/>
    <n v="0.2"/>
    <n v="3.5849999999999995"/>
    <x v="137"/>
    <n v="1.2905999999999997"/>
    <n v="5.9999999999999991"/>
  </r>
  <r>
    <s v="RXW-91413-276"/>
    <d v="2020-08-15T00:00:00"/>
    <s v="15"/>
    <x v="3"/>
    <x v="3"/>
    <x v="336"/>
    <x v="336"/>
    <s v="ncorpsa0@gmpg.org"/>
    <s v="+1 (803) 730-8217"/>
    <x v="182"/>
    <x v="0"/>
    <s v="No"/>
    <x v="0"/>
    <s v="R-D-2.5"/>
    <x v="2"/>
    <n v="1.2350999999999999"/>
    <n v="2"/>
    <n v="2.5"/>
    <n v="20.584999999999997"/>
    <x v="13"/>
    <n v="2.4701999999999997"/>
    <n v="6.0000000000000009"/>
  </r>
  <r>
    <s v="RXW-91413-276"/>
    <d v="2020-08-15T00:00:00"/>
    <s v="15"/>
    <x v="3"/>
    <x v="3"/>
    <x v="336"/>
    <x v="336"/>
    <s v="ncorpsa0@gmpg.org"/>
    <s v="+1 (803) 730-8217"/>
    <x v="182"/>
    <x v="0"/>
    <s v="No"/>
    <x v="0"/>
    <s v="R-M-0.5"/>
    <x v="0"/>
    <n v="0.35819999999999996"/>
    <n v="1"/>
    <n v="0.5"/>
    <n v="5.97"/>
    <x v="9"/>
    <n v="0.35819999999999996"/>
    <n v="6"/>
  </r>
  <r>
    <s v="SDB-77492-188"/>
    <d v="2022-05-05T00:00:00"/>
    <s v="05"/>
    <x v="5"/>
    <x v="2"/>
    <x v="337"/>
    <x v="337"/>
    <s v="fbabbera2@stanford.edu"/>
    <s v="+1 (623) 550-6050"/>
    <x v="167"/>
    <x v="0"/>
    <s v="Yes"/>
    <x v="1"/>
    <s v="E-L-1"/>
    <x v="1"/>
    <n v="1.6335"/>
    <n v="5"/>
    <n v="1"/>
    <n v="14.85"/>
    <x v="159"/>
    <n v="8.1675000000000004"/>
    <n v="11"/>
  </r>
  <r>
    <s v="RZN-65182-395"/>
    <d v="2021-03-27T00:00:00"/>
    <s v="27"/>
    <x v="6"/>
    <x v="1"/>
    <x v="338"/>
    <x v="338"/>
    <s v="kloxtona3@opensource.org"/>
    <n v="0"/>
    <x v="218"/>
    <x v="0"/>
    <s v="No"/>
    <x v="3"/>
    <s v="L-M-1"/>
    <x v="0"/>
    <n v="1.8915000000000002"/>
    <n v="6"/>
    <n v="1"/>
    <n v="14.55"/>
    <x v="75"/>
    <n v="11.349"/>
    <n v="12.999999999999998"/>
  </r>
  <r>
    <s v="HDQ-86094-507"/>
    <d v="2019-04-27T00:00:00"/>
    <s v="27"/>
    <x v="8"/>
    <x v="0"/>
    <x v="339"/>
    <x v="339"/>
    <s v="ptoffula4@posterous.com"/>
    <s v="+1 (310) 210-6841"/>
    <x v="74"/>
    <x v="0"/>
    <s v="Yes"/>
    <x v="1"/>
    <s v="E-D-1"/>
    <x v="2"/>
    <n v="1.3365"/>
    <n v="6"/>
    <n v="1"/>
    <n v="12.15"/>
    <x v="118"/>
    <n v="8.0190000000000001"/>
    <n v="10.999999999999998"/>
  </r>
  <r>
    <s v="YXO-79631-417"/>
    <d v="2021-09-25T00:00:00"/>
    <s v="25"/>
    <x v="0"/>
    <x v="1"/>
    <x v="340"/>
    <x v="340"/>
    <s v="cgwinnetta5@behance.net"/>
    <n v="0"/>
    <x v="219"/>
    <x v="0"/>
    <s v="No"/>
    <x v="3"/>
    <s v="L-D-0.5"/>
    <x v="2"/>
    <n v="1.0101"/>
    <n v="1"/>
    <n v="0.5"/>
    <n v="7.77"/>
    <x v="41"/>
    <n v="1.0101"/>
    <n v="13"/>
  </r>
  <r>
    <s v="SNF-57032-096"/>
    <d v="2020-02-13T00:00:00"/>
    <s v="13"/>
    <x v="10"/>
    <x v="3"/>
    <x v="341"/>
    <x v="341"/>
    <n v="0"/>
    <s v="+1 (757) 211-0153"/>
    <x v="95"/>
    <x v="0"/>
    <s v="No"/>
    <x v="1"/>
    <s v="E-D-0.5"/>
    <x v="2"/>
    <n v="0.80190000000000006"/>
    <n v="6"/>
    <n v="0.5"/>
    <n v="7.29"/>
    <x v="160"/>
    <n v="4.8114000000000008"/>
    <n v="11.000000000000002"/>
  </r>
  <r>
    <s v="DGL-29648-995"/>
    <d v="2021-07-16T00:00:00"/>
    <s v="16"/>
    <x v="2"/>
    <x v="1"/>
    <x v="342"/>
    <x v="342"/>
    <n v="0"/>
    <n v="0"/>
    <x v="141"/>
    <x v="0"/>
    <s v="Yes"/>
    <x v="3"/>
    <s v="L-M-0.2"/>
    <x v="0"/>
    <n v="0.56745000000000001"/>
    <n v="2"/>
    <n v="0.2"/>
    <n v="4.3650000000000002"/>
    <x v="31"/>
    <n v="1.1349"/>
    <n v="13"/>
  </r>
  <r>
    <s v="GPU-65651-504"/>
    <d v="2022-05-11T00:00:00"/>
    <s v="11"/>
    <x v="5"/>
    <x v="2"/>
    <x v="343"/>
    <x v="343"/>
    <s v="lflaoniera8@wordpress.org"/>
    <s v="+1 (718) 586-2839"/>
    <x v="142"/>
    <x v="0"/>
    <s v="No"/>
    <x v="1"/>
    <s v="E-M-2.5"/>
    <x v="0"/>
    <n v="3.4787499999999998"/>
    <n v="2"/>
    <n v="2.5"/>
    <n v="31.624999999999996"/>
    <x v="40"/>
    <n v="6.9574999999999996"/>
    <n v="11"/>
  </r>
  <r>
    <s v="OJU-34452-896"/>
    <d v="2019-02-04T00:00:00"/>
    <s v="04"/>
    <x v="10"/>
    <x v="0"/>
    <x v="344"/>
    <x v="344"/>
    <n v="0"/>
    <n v="0"/>
    <x v="198"/>
    <x v="0"/>
    <s v="Yes"/>
    <x v="1"/>
    <s v="E-L-0.5"/>
    <x v="1"/>
    <n v="0.98009999999999997"/>
    <n v="1"/>
    <n v="0.5"/>
    <n v="8.91"/>
    <x v="161"/>
    <n v="0.98009999999999997"/>
    <n v="11"/>
  </r>
  <r>
    <s v="GZS-50547-887"/>
    <d v="2019-02-05T00:00:00"/>
    <s v="05"/>
    <x v="10"/>
    <x v="0"/>
    <x v="345"/>
    <x v="345"/>
    <s v="ccatchesideaa@macromedia.com"/>
    <s v="+1 (801) 121-6042"/>
    <x v="147"/>
    <x v="0"/>
    <s v="Yes"/>
    <x v="1"/>
    <s v="E-D-1"/>
    <x v="2"/>
    <n v="1.3365"/>
    <n v="2"/>
    <n v="1"/>
    <n v="12.15"/>
    <x v="76"/>
    <n v="2.673"/>
    <n v="11"/>
  </r>
  <r>
    <s v="ESR-54041-053"/>
    <d v="2022-05-24T00:00:00"/>
    <s v="24"/>
    <x v="5"/>
    <x v="2"/>
    <x v="346"/>
    <x v="346"/>
    <s v="cgibbonsonab@accuweather.com"/>
    <s v="+1 (206) 848-3585"/>
    <x v="208"/>
    <x v="0"/>
    <s v="Yes"/>
    <x v="2"/>
    <s v="A-L-0.5"/>
    <x v="1"/>
    <n v="0.69929999999999992"/>
    <n v="6"/>
    <n v="0.5"/>
    <n v="7.77"/>
    <x v="162"/>
    <n v="4.1957999999999993"/>
    <n v="9"/>
  </r>
  <r>
    <s v="OGD-10781-526"/>
    <d v="2020-10-04T00:00:00"/>
    <s v="04"/>
    <x v="7"/>
    <x v="3"/>
    <x v="347"/>
    <x v="347"/>
    <s v="tfarraac@behance.net"/>
    <s v="+1 (432) 648-9589"/>
    <x v="220"/>
    <x v="0"/>
    <s v="No"/>
    <x v="0"/>
    <s v="R-L-0.5"/>
    <x v="1"/>
    <n v="0.43019999999999992"/>
    <n v="6"/>
    <n v="0.5"/>
    <n v="7.169999999999999"/>
    <x v="163"/>
    <n v="2.5811999999999995"/>
    <n v="5.9999999999999991"/>
  </r>
  <r>
    <s v="FVH-29271-315"/>
    <d v="2022-06-30T00:00:00"/>
    <s v="30"/>
    <x v="1"/>
    <x v="2"/>
    <x v="348"/>
    <x v="348"/>
    <n v="0"/>
    <s v="+353 (772) 127-7148"/>
    <x v="221"/>
    <x v="1"/>
    <s v="Yes"/>
    <x v="2"/>
    <s v="A-D-0.5"/>
    <x v="2"/>
    <n v="0.5373"/>
    <n v="3"/>
    <n v="0.5"/>
    <n v="5.97"/>
    <x v="8"/>
    <n v="1.6118999999999999"/>
    <n v="9"/>
  </r>
  <r>
    <s v="BNZ-20544-633"/>
    <d v="2020-10-21T00:00:00"/>
    <s v="21"/>
    <x v="7"/>
    <x v="3"/>
    <x v="349"/>
    <x v="349"/>
    <s v="gbamfieldae@yellowpages.com"/>
    <s v="+1 (214) 200-7886"/>
    <x v="222"/>
    <x v="0"/>
    <s v="Yes"/>
    <x v="3"/>
    <s v="L-L-0.5"/>
    <x v="1"/>
    <n v="1.2363"/>
    <n v="4"/>
    <n v="0.5"/>
    <n v="9.51"/>
    <x v="82"/>
    <n v="4.9451999999999998"/>
    <n v="13"/>
  </r>
  <r>
    <s v="FUX-85791-078"/>
    <d v="2020-10-16T00:00:00"/>
    <s v="16"/>
    <x v="7"/>
    <x v="3"/>
    <x v="350"/>
    <x v="350"/>
    <s v="whollingdaleaf@about.me"/>
    <s v="+1 (937) 354-2653"/>
    <x v="4"/>
    <x v="0"/>
    <s v="Yes"/>
    <x v="2"/>
    <s v="A-M-0.2"/>
    <x v="0"/>
    <n v="0.30374999999999996"/>
    <n v="2"/>
    <n v="0.2"/>
    <n v="3.375"/>
    <x v="52"/>
    <n v="0.60749999999999993"/>
    <n v="8.9999999999999982"/>
  </r>
  <r>
    <s v="YXP-20078-116"/>
    <d v="2020-09-23T00:00:00"/>
    <s v="23"/>
    <x v="0"/>
    <x v="3"/>
    <x v="351"/>
    <x v="351"/>
    <s v="jdeag@xrea.com"/>
    <s v="+1 (616) 966-1581"/>
    <x v="16"/>
    <x v="0"/>
    <s v="Yes"/>
    <x v="0"/>
    <s v="R-M-0.5"/>
    <x v="0"/>
    <n v="0.35819999999999996"/>
    <n v="1"/>
    <n v="0.5"/>
    <n v="5.97"/>
    <x v="9"/>
    <n v="0.35819999999999996"/>
    <n v="6"/>
  </r>
  <r>
    <s v="VQV-59984-866"/>
    <d v="2019-03-08T00:00:00"/>
    <s v="08"/>
    <x v="6"/>
    <x v="0"/>
    <x v="352"/>
    <x v="352"/>
    <s v="vskulletah@tinyurl.com"/>
    <s v="+353 (215) 420-1467"/>
    <x v="146"/>
    <x v="1"/>
    <s v="No"/>
    <x v="0"/>
    <s v="R-D-0.2"/>
    <x v="2"/>
    <n v="0.16109999999999997"/>
    <n v="3"/>
    <n v="0.2"/>
    <n v="2.6849999999999996"/>
    <x v="36"/>
    <n v="0.4832999999999999"/>
    <n v="5.9999999999999991"/>
  </r>
  <r>
    <s v="JEH-37276-048"/>
    <d v="2021-06-30T00:00:00"/>
    <s v="30"/>
    <x v="1"/>
    <x v="1"/>
    <x v="353"/>
    <x v="353"/>
    <s v="jrudeforthai@wunderground.com"/>
    <s v="+353 (232) 377-5407"/>
    <x v="223"/>
    <x v="1"/>
    <s v="Yes"/>
    <x v="2"/>
    <s v="A-L-0.5"/>
    <x v="1"/>
    <n v="0.69929999999999992"/>
    <n v="3"/>
    <n v="0.5"/>
    <n v="7.77"/>
    <x v="102"/>
    <n v="2.0978999999999997"/>
    <n v="9"/>
  </r>
  <r>
    <s v="VYD-28555-589"/>
    <d v="2019-08-13T00:00:00"/>
    <s v="13"/>
    <x v="3"/>
    <x v="0"/>
    <x v="354"/>
    <x v="354"/>
    <s v="atomaszewskiaj@answers.com"/>
    <n v="0"/>
    <x v="224"/>
    <x v="2"/>
    <s v="Yes"/>
    <x v="0"/>
    <s v="R-L-0.5"/>
    <x v="1"/>
    <n v="0.43019999999999992"/>
    <n v="6"/>
    <n v="0.5"/>
    <n v="7.169999999999999"/>
    <x v="163"/>
    <n v="2.5811999999999995"/>
    <n v="5.9999999999999991"/>
  </r>
  <r>
    <s v="WUG-76466-650"/>
    <d v="2021-02-22T00:00:00"/>
    <s v="22"/>
    <x v="10"/>
    <x v="1"/>
    <x v="306"/>
    <x v="306"/>
    <n v="0"/>
    <s v="+1 (205) 680-5859"/>
    <x v="38"/>
    <x v="0"/>
    <s v="No"/>
    <x v="3"/>
    <s v="L-D-0.5"/>
    <x v="2"/>
    <n v="1.0101"/>
    <n v="3"/>
    <n v="0.5"/>
    <n v="7.77"/>
    <x v="102"/>
    <n v="3.0303"/>
    <n v="13"/>
  </r>
  <r>
    <s v="RJV-08261-583"/>
    <d v="2022-03-26T00:00:00"/>
    <s v="26"/>
    <x v="6"/>
    <x v="2"/>
    <x v="355"/>
    <x v="355"/>
    <s v="pbessal@qq.com"/>
    <s v="+1 (949) 121-4600"/>
    <x v="6"/>
    <x v="0"/>
    <s v="Yes"/>
    <x v="2"/>
    <s v="A-D-0.2"/>
    <x v="2"/>
    <n v="0.26865"/>
    <n v="5"/>
    <n v="0.2"/>
    <n v="2.9849999999999999"/>
    <x v="128"/>
    <n v="1.3432500000000001"/>
    <n v="9.0000000000000018"/>
  </r>
  <r>
    <s v="PMR-56062-609"/>
    <d v="2020-01-10T00:00:00"/>
    <s v="10"/>
    <x v="4"/>
    <x v="3"/>
    <x v="356"/>
    <x v="356"/>
    <s v="ewindressam@marketwatch.com"/>
    <s v="+1 (443) 619-7953"/>
    <x v="192"/>
    <x v="0"/>
    <s v="No"/>
    <x v="1"/>
    <s v="E-D-0.5"/>
    <x v="2"/>
    <n v="0.80190000000000006"/>
    <n v="3"/>
    <n v="0.5"/>
    <n v="7.29"/>
    <x v="6"/>
    <n v="2.4057000000000004"/>
    <n v="11.000000000000002"/>
  </r>
  <r>
    <s v="XLD-12920-505"/>
    <d v="2019-05-01T00:00:00"/>
    <s v="01"/>
    <x v="5"/>
    <x v="0"/>
    <x v="357"/>
    <x v="357"/>
    <n v="0"/>
    <s v="+1 (717) 990-3931"/>
    <x v="225"/>
    <x v="0"/>
    <s v="Yes"/>
    <x v="1"/>
    <s v="E-L-0.5"/>
    <x v="1"/>
    <n v="0.98009999999999997"/>
    <n v="6"/>
    <n v="0.5"/>
    <n v="8.91"/>
    <x v="119"/>
    <n v="5.8805999999999994"/>
    <n v="10.999999999999998"/>
  </r>
  <r>
    <s v="UBW-50312-037"/>
    <d v="2020-02-09T00:00:00"/>
    <s v="09"/>
    <x v="10"/>
    <x v="3"/>
    <x v="358"/>
    <x v="358"/>
    <n v="0"/>
    <s v="+1 (469) 579-2051"/>
    <x v="68"/>
    <x v="0"/>
    <s v="No"/>
    <x v="2"/>
    <s v="A-L-2.5"/>
    <x v="1"/>
    <n v="2.6806499999999995"/>
    <n v="4"/>
    <n v="2.5"/>
    <n v="29.784999999999997"/>
    <x v="129"/>
    <n v="10.722599999999998"/>
    <n v="9"/>
  </r>
  <r>
    <s v="QAW-05889-019"/>
    <d v="2021-12-29T00:00:00"/>
    <s v="29"/>
    <x v="9"/>
    <x v="1"/>
    <x v="359"/>
    <x v="359"/>
    <s v="vbaumadierap@google.cn"/>
    <s v="+1 (816) 987-4857"/>
    <x v="77"/>
    <x v="0"/>
    <s v="Yes"/>
    <x v="3"/>
    <s v="L-M-0.5"/>
    <x v="0"/>
    <n v="1.1349"/>
    <n v="5"/>
    <n v="0.5"/>
    <n v="8.73"/>
    <x v="34"/>
    <n v="5.6745000000000001"/>
    <n v="12.999999999999998"/>
  </r>
  <r>
    <s v="EPT-12715-397"/>
    <d v="2020-09-09T00:00:00"/>
    <s v="09"/>
    <x v="0"/>
    <x v="3"/>
    <x v="360"/>
    <x v="360"/>
    <n v="0"/>
    <s v="+1 (217) 713-5108"/>
    <x v="64"/>
    <x v="0"/>
    <s v="Yes"/>
    <x v="2"/>
    <s v="A-D-0.2"/>
    <x v="2"/>
    <n v="0.26865"/>
    <n v="6"/>
    <n v="0.2"/>
    <n v="2.9849999999999999"/>
    <x v="8"/>
    <n v="1.6118999999999999"/>
    <n v="9"/>
  </r>
  <r>
    <s v="DHT-93810-053"/>
    <d v="2021-09-16T00:00:00"/>
    <s v="16"/>
    <x v="0"/>
    <x v="1"/>
    <x v="361"/>
    <x v="361"/>
    <s v="sweldsar@wired.com"/>
    <s v="+1 (203) 568-7058"/>
    <x v="226"/>
    <x v="0"/>
    <s v="Yes"/>
    <x v="1"/>
    <s v="E-L-1"/>
    <x v="1"/>
    <n v="1.6335"/>
    <n v="5"/>
    <n v="1"/>
    <n v="14.85"/>
    <x v="159"/>
    <n v="8.1675000000000004"/>
    <n v="11"/>
  </r>
  <r>
    <s v="DMY-96037-963"/>
    <d v="2020-10-26T00:00:00"/>
    <s v="26"/>
    <x v="7"/>
    <x v="3"/>
    <x v="362"/>
    <x v="362"/>
    <s v="msarvaras@artisteer.com"/>
    <s v="+1 (404) 401-6865"/>
    <x v="227"/>
    <x v="0"/>
    <s v="Yes"/>
    <x v="3"/>
    <s v="L-D-0.2"/>
    <x v="2"/>
    <n v="0.50505"/>
    <n v="3"/>
    <n v="0.2"/>
    <n v="3.8849999999999998"/>
    <x v="14"/>
    <n v="1.51515"/>
    <n v="13"/>
  </r>
  <r>
    <s v="MBM-55936-917"/>
    <d v="2019-03-12T00:00:00"/>
    <s v="12"/>
    <x v="6"/>
    <x v="0"/>
    <x v="363"/>
    <x v="363"/>
    <s v="ahavickat@nsw.gov.au"/>
    <s v="+1 (828) 769-0743"/>
    <x v="228"/>
    <x v="0"/>
    <s v="Yes"/>
    <x v="3"/>
    <s v="L-D-0.5"/>
    <x v="2"/>
    <n v="1.0101"/>
    <n v="3"/>
    <n v="0.5"/>
    <n v="7.77"/>
    <x v="102"/>
    <n v="3.0303"/>
    <n v="13"/>
  </r>
  <r>
    <s v="TPA-93614-840"/>
    <d v="2021-02-18T00:00:00"/>
    <s v="18"/>
    <x v="10"/>
    <x v="1"/>
    <x v="364"/>
    <x v="364"/>
    <s v="sdivinyau@ask.com"/>
    <n v="0"/>
    <x v="50"/>
    <x v="0"/>
    <s v="Yes"/>
    <x v="1"/>
    <s v="E-D-0.5"/>
    <x v="2"/>
    <n v="0.80190000000000006"/>
    <n v="2"/>
    <n v="0.5"/>
    <n v="7.29"/>
    <x v="20"/>
    <n v="1.6038000000000001"/>
    <n v="11"/>
  </r>
  <r>
    <s v="WDM-77521-710"/>
    <d v="2020-10-29T00:00:00"/>
    <s v="29"/>
    <x v="7"/>
    <x v="3"/>
    <x v="365"/>
    <x v="365"/>
    <s v="inorquoyav@businessweek.com"/>
    <n v="0"/>
    <x v="30"/>
    <x v="0"/>
    <s v="No"/>
    <x v="2"/>
    <s v="A-M-0.5"/>
    <x v="0"/>
    <n v="0.60749999999999993"/>
    <n v="2"/>
    <n v="0.5"/>
    <n v="6.75"/>
    <x v="72"/>
    <n v="1.2149999999999999"/>
    <n v="8.9999999999999982"/>
  </r>
  <r>
    <s v="EIP-19142-462"/>
    <d v="2021-09-06T00:00:00"/>
    <s v="06"/>
    <x v="0"/>
    <x v="1"/>
    <x v="366"/>
    <x v="366"/>
    <s v="aiddisonaw@usa.gov"/>
    <s v="+1 (714) 658-0310"/>
    <x v="100"/>
    <x v="0"/>
    <s v="No"/>
    <x v="1"/>
    <s v="E-L-1"/>
    <x v="1"/>
    <n v="1.6335"/>
    <n v="6"/>
    <n v="1"/>
    <n v="14.85"/>
    <x v="146"/>
    <n v="9.8010000000000002"/>
    <n v="11.000000000000002"/>
  </r>
  <r>
    <s v="EIP-19142-462"/>
    <d v="2021-09-06T00:00:00"/>
    <s v="06"/>
    <x v="0"/>
    <x v="1"/>
    <x v="366"/>
    <x v="366"/>
    <s v="aiddisonaw@usa.gov"/>
    <s v="+1 (714) 658-0310"/>
    <x v="100"/>
    <x v="0"/>
    <s v="No"/>
    <x v="2"/>
    <s v="A-L-0.2"/>
    <x v="1"/>
    <n v="0.34964999999999996"/>
    <n v="1"/>
    <n v="0.2"/>
    <n v="3.8849999999999998"/>
    <x v="84"/>
    <n v="0.34964999999999996"/>
    <n v="9"/>
  </r>
  <r>
    <s v="ZZL-76364-387"/>
    <d v="2020-09-09T00:00:00"/>
    <s v="09"/>
    <x v="0"/>
    <x v="3"/>
    <x v="367"/>
    <x v="367"/>
    <s v="rlongfielday@bluehost.com"/>
    <s v="+1 (612) 210-6966"/>
    <x v="30"/>
    <x v="0"/>
    <s v="No"/>
    <x v="0"/>
    <s v="R-L-2.5"/>
    <x v="1"/>
    <n v="1.6490999999999998"/>
    <n v="4"/>
    <n v="2.5"/>
    <n v="27.484999999999996"/>
    <x v="108"/>
    <n v="6.5963999999999992"/>
    <n v="6.0000000000000009"/>
  </r>
  <r>
    <s v="GMF-18638-786"/>
    <d v="2021-09-26T00:00:00"/>
    <s v="26"/>
    <x v="0"/>
    <x v="1"/>
    <x v="368"/>
    <x v="368"/>
    <s v="gkislingburyaz@samsung.com"/>
    <n v="0"/>
    <x v="41"/>
    <x v="0"/>
    <s v="Yes"/>
    <x v="3"/>
    <s v="L-D-0.5"/>
    <x v="2"/>
    <n v="1.0101"/>
    <n v="6"/>
    <n v="0.5"/>
    <n v="7.77"/>
    <x v="162"/>
    <n v="6.0606"/>
    <n v="13"/>
  </r>
  <r>
    <s v="TDJ-20844-787"/>
    <d v="2020-11-05T00:00:00"/>
    <s v="05"/>
    <x v="11"/>
    <x v="3"/>
    <x v="369"/>
    <x v="369"/>
    <s v="xgibbonsb0@artisteer.com"/>
    <s v="+1 (909) 614-0008"/>
    <x v="39"/>
    <x v="0"/>
    <s v="No"/>
    <x v="2"/>
    <s v="A-L-0.5"/>
    <x v="1"/>
    <n v="0.69929999999999992"/>
    <n v="5"/>
    <n v="0.5"/>
    <n v="7.77"/>
    <x v="5"/>
    <n v="3.4964999999999997"/>
    <n v="9.0000000000000018"/>
  </r>
  <r>
    <s v="BWK-39400-446"/>
    <d v="2019-09-12T00:00:00"/>
    <s v="12"/>
    <x v="0"/>
    <x v="0"/>
    <x v="370"/>
    <x v="370"/>
    <s v="fparresb1@imageshack.us"/>
    <s v="+1 (585) 672-4256"/>
    <x v="36"/>
    <x v="0"/>
    <s v="Yes"/>
    <x v="3"/>
    <s v="L-D-0.5"/>
    <x v="2"/>
    <n v="1.0101"/>
    <n v="4"/>
    <n v="0.5"/>
    <n v="7.77"/>
    <x v="113"/>
    <n v="4.0404"/>
    <n v="13"/>
  </r>
  <r>
    <s v="LCB-02099-995"/>
    <d v="2019-07-31T00:00:00"/>
    <s v="31"/>
    <x v="2"/>
    <x v="0"/>
    <x v="371"/>
    <x v="371"/>
    <s v="gsibrayb2@wsj.com"/>
    <s v="+1 (360) 389-5295"/>
    <x v="18"/>
    <x v="0"/>
    <s v="Yes"/>
    <x v="2"/>
    <s v="A-D-0.2"/>
    <x v="2"/>
    <n v="0.26865"/>
    <n v="6"/>
    <n v="0.2"/>
    <n v="2.9849999999999999"/>
    <x v="8"/>
    <n v="1.6118999999999999"/>
    <n v="9"/>
  </r>
  <r>
    <s v="UBA-43678-174"/>
    <d v="2019-03-15T00:00:00"/>
    <s v="15"/>
    <x v="6"/>
    <x v="0"/>
    <x v="372"/>
    <x v="372"/>
    <s v="ihotchkinb3@mit.edu"/>
    <s v="+44 (387) 464-9544"/>
    <x v="229"/>
    <x v="2"/>
    <s v="No"/>
    <x v="1"/>
    <s v="E-D-2.5"/>
    <x v="2"/>
    <n v="3.07395"/>
    <n v="6"/>
    <n v="2.5"/>
    <n v="27.945"/>
    <x v="164"/>
    <n v="18.4437"/>
    <n v="10.999999999999998"/>
  </r>
  <r>
    <s v="UDH-24280-432"/>
    <d v="2021-05-16T00:00:00"/>
    <s v="16"/>
    <x v="5"/>
    <x v="1"/>
    <x v="373"/>
    <x v="373"/>
    <s v="nbroadberrieb4@gnu.org"/>
    <s v="+1 (202) 327-2217"/>
    <x v="41"/>
    <x v="0"/>
    <s v="No"/>
    <x v="3"/>
    <s v="L-L-1"/>
    <x v="1"/>
    <n v="2.0605000000000002"/>
    <n v="4"/>
    <n v="1"/>
    <n v="15.85"/>
    <x v="165"/>
    <n v="8.2420000000000009"/>
    <n v="13"/>
  </r>
  <r>
    <s v="IDQ-20193-502"/>
    <d v="2019-05-06T00:00:00"/>
    <s v="06"/>
    <x v="5"/>
    <x v="0"/>
    <x v="374"/>
    <x v="374"/>
    <s v="rpithcockb5@yellowbook.com"/>
    <s v="+1 (865) 655-9540"/>
    <x v="203"/>
    <x v="0"/>
    <s v="Yes"/>
    <x v="3"/>
    <s v="L-M-0.2"/>
    <x v="0"/>
    <n v="0.56745000000000001"/>
    <n v="2"/>
    <n v="0.2"/>
    <n v="4.3650000000000002"/>
    <x v="31"/>
    <n v="1.1349"/>
    <n v="13"/>
  </r>
  <r>
    <s v="DJG-14442-608"/>
    <d v="2019-02-06T00:00:00"/>
    <s v="06"/>
    <x v="10"/>
    <x v="0"/>
    <x v="375"/>
    <x v="375"/>
    <s v="gcroysdaleb6@nih.gov"/>
    <s v="+1 (304) 384-2939"/>
    <x v="27"/>
    <x v="0"/>
    <s v="Yes"/>
    <x v="0"/>
    <s v="R-D-1"/>
    <x v="2"/>
    <n v="0.53699999999999992"/>
    <n v="3"/>
    <n v="1"/>
    <n v="8.9499999999999993"/>
    <x v="166"/>
    <n v="1.6109999999999998"/>
    <n v="6"/>
  </r>
  <r>
    <s v="DWB-61381-370"/>
    <d v="2021-04-09T00:00:00"/>
    <s v="09"/>
    <x v="8"/>
    <x v="1"/>
    <x v="376"/>
    <x v="376"/>
    <s v="bgozzettb7@github.com"/>
    <s v="+1 (214) 700-0229"/>
    <x v="68"/>
    <x v="0"/>
    <s v="No"/>
    <x v="3"/>
    <s v="L-L-0.2"/>
    <x v="1"/>
    <n v="0.61814999999999998"/>
    <n v="2"/>
    <n v="0.2"/>
    <n v="4.7549999999999999"/>
    <x v="54"/>
    <n v="1.2363"/>
    <n v="13"/>
  </r>
  <r>
    <s v="FRD-17347-990"/>
    <d v="2020-05-20T00:00:00"/>
    <s v="20"/>
    <x v="5"/>
    <x v="3"/>
    <x v="377"/>
    <x v="377"/>
    <s v="tcraggsb8@house.gov"/>
    <s v="+353 (239) 197-6142"/>
    <x v="230"/>
    <x v="1"/>
    <s v="No"/>
    <x v="2"/>
    <s v="A-D-1"/>
    <x v="2"/>
    <n v="0.89549999999999985"/>
    <n v="4"/>
    <n v="1"/>
    <n v="9.9499999999999993"/>
    <x v="10"/>
    <n v="3.5819999999999994"/>
    <n v="9"/>
  </r>
  <r>
    <s v="YPP-27450-525"/>
    <d v="2020-12-02T00:00:00"/>
    <s v="02"/>
    <x v="9"/>
    <x v="3"/>
    <x v="378"/>
    <x v="378"/>
    <s v="lcullrfordb9@xing.com"/>
    <s v="+1 (530) 998-9789"/>
    <x v="231"/>
    <x v="0"/>
    <s v="Yes"/>
    <x v="1"/>
    <s v="E-M-0.5"/>
    <x v="0"/>
    <n v="0.90749999999999997"/>
    <n v="3"/>
    <n v="0.5"/>
    <n v="8.25"/>
    <x v="167"/>
    <n v="2.7225000000000001"/>
    <n v="11"/>
  </r>
  <r>
    <s v="EFC-39577-424"/>
    <d v="2021-08-08T00:00:00"/>
    <s v="08"/>
    <x v="3"/>
    <x v="1"/>
    <x v="379"/>
    <x v="379"/>
    <s v="arizonba@xing.com"/>
    <s v="+1 (501) 732-3644"/>
    <x v="28"/>
    <x v="0"/>
    <s v="Yes"/>
    <x v="1"/>
    <s v="E-M-1"/>
    <x v="0"/>
    <n v="1.5125"/>
    <n v="5"/>
    <n v="1"/>
    <n v="13.75"/>
    <x v="85"/>
    <n v="7.5625"/>
    <n v="11"/>
  </r>
  <r>
    <s v="LAW-80062-016"/>
    <d v="2022-02-03T00:00:00"/>
    <s v="03"/>
    <x v="10"/>
    <x v="2"/>
    <x v="380"/>
    <x v="380"/>
    <n v="0"/>
    <s v="+353 (764) 294-5957"/>
    <x v="232"/>
    <x v="1"/>
    <s v="No"/>
    <x v="1"/>
    <s v="E-M-0.5"/>
    <x v="0"/>
    <n v="0.90749999999999997"/>
    <n v="6"/>
    <n v="0.5"/>
    <n v="8.25"/>
    <x v="168"/>
    <n v="5.4450000000000003"/>
    <n v="11"/>
  </r>
  <r>
    <s v="WKL-27981-758"/>
    <d v="2022-04-08T00:00:00"/>
    <s v="08"/>
    <x v="8"/>
    <x v="2"/>
    <x v="381"/>
    <x v="381"/>
    <s v="fmiellbc@spiegel.de"/>
    <s v="+1 (732) 770-5368"/>
    <x v="233"/>
    <x v="0"/>
    <s v="Yes"/>
    <x v="2"/>
    <s v="A-M-2.5"/>
    <x v="0"/>
    <n v="2.3287499999999994"/>
    <n v="2"/>
    <n v="2.5"/>
    <n v="25.874999999999996"/>
    <x v="95"/>
    <n v="4.6574999999999989"/>
    <n v="9"/>
  </r>
  <r>
    <s v="VRT-39834-265"/>
    <d v="2021-01-07T00:00:00"/>
    <s v="07"/>
    <x v="4"/>
    <x v="1"/>
    <x v="382"/>
    <x v="382"/>
    <n v="0"/>
    <s v="+353 (677) 415-3920"/>
    <x v="234"/>
    <x v="1"/>
    <s v="Yes"/>
    <x v="3"/>
    <s v="L-L-1"/>
    <x v="1"/>
    <n v="2.0605000000000002"/>
    <n v="3"/>
    <n v="1"/>
    <n v="15.85"/>
    <x v="46"/>
    <n v="6.1815000000000007"/>
    <n v="13.000000000000004"/>
  </r>
  <r>
    <s v="QTC-71005-730"/>
    <d v="2021-09-02T00:00:00"/>
    <s v="02"/>
    <x v="0"/>
    <x v="1"/>
    <x v="383"/>
    <x v="383"/>
    <n v="0"/>
    <s v="+1 (415) 414-0382"/>
    <x v="204"/>
    <x v="0"/>
    <s v="No"/>
    <x v="2"/>
    <s v="A-L-0.2"/>
    <x v="1"/>
    <n v="0.34964999999999996"/>
    <n v="4"/>
    <n v="0.2"/>
    <n v="3.8849999999999998"/>
    <x v="42"/>
    <n v="1.3985999999999998"/>
    <n v="9"/>
  </r>
  <r>
    <s v="TNX-09857-717"/>
    <d v="2021-11-04T00:00:00"/>
    <s v="04"/>
    <x v="11"/>
    <x v="1"/>
    <x v="384"/>
    <x v="384"/>
    <n v="0"/>
    <s v="+1 (337) 322-9762"/>
    <x v="235"/>
    <x v="0"/>
    <s v="Yes"/>
    <x v="3"/>
    <s v="L-M-1"/>
    <x v="0"/>
    <n v="1.8915000000000002"/>
    <n v="6"/>
    <n v="1"/>
    <n v="14.55"/>
    <x v="75"/>
    <n v="11.349"/>
    <n v="12.999999999999998"/>
  </r>
  <r>
    <s v="JZV-43874-185"/>
    <d v="2021-08-02T00:00:00"/>
    <s v="02"/>
    <x v="3"/>
    <x v="1"/>
    <x v="385"/>
    <x v="385"/>
    <n v="0"/>
    <s v="+1 (619) 481-1493"/>
    <x v="236"/>
    <x v="0"/>
    <s v="Yes"/>
    <x v="2"/>
    <s v="A-M-1"/>
    <x v="0"/>
    <n v="1.0125"/>
    <n v="5"/>
    <n v="1"/>
    <n v="11.25"/>
    <x v="126"/>
    <n v="5.0625"/>
    <n v="9"/>
  </r>
  <r>
    <s v="ICF-17486-106"/>
    <d v="2020-01-27T00:00:00"/>
    <s v="27"/>
    <x v="4"/>
    <x v="3"/>
    <x v="386"/>
    <x v="386"/>
    <s v="wspringallbh@jugem.jp"/>
    <s v="+1 (626) 495-9253"/>
    <x v="237"/>
    <x v="0"/>
    <s v="Yes"/>
    <x v="3"/>
    <s v="L-L-2.5"/>
    <x v="1"/>
    <n v="4.7391499999999995"/>
    <n v="1"/>
    <n v="2.5"/>
    <n v="36.454999999999998"/>
    <x v="133"/>
    <n v="4.7391499999999995"/>
    <n v="13"/>
  </r>
  <r>
    <s v="BMK-49520-383"/>
    <d v="2019-12-03T00:00:00"/>
    <s v="03"/>
    <x v="9"/>
    <x v="0"/>
    <x v="387"/>
    <x v="387"/>
    <n v="0"/>
    <s v="+1 (903) 801-9492"/>
    <x v="211"/>
    <x v="0"/>
    <s v="Yes"/>
    <x v="0"/>
    <s v="R-L-0.2"/>
    <x v="1"/>
    <n v="0.21509999999999996"/>
    <n v="3"/>
    <n v="0.2"/>
    <n v="3.5849999999999995"/>
    <x v="127"/>
    <n v="0.64529999999999987"/>
    <n v="5.9999999999999991"/>
  </r>
  <r>
    <s v="HTS-15020-632"/>
    <d v="2019-08-06T00:00:00"/>
    <s v="06"/>
    <x v="3"/>
    <x v="0"/>
    <x v="388"/>
    <x v="388"/>
    <s v="ghawkyensbj@census.gov"/>
    <n v="0"/>
    <x v="235"/>
    <x v="0"/>
    <s v="No"/>
    <x v="0"/>
    <s v="R-M-0.2"/>
    <x v="0"/>
    <n v="0.17909999999999998"/>
    <n v="3"/>
    <n v="0.2"/>
    <n v="2.9849999999999999"/>
    <x v="169"/>
    <n v="0.53729999999999989"/>
    <n v="5.9999999999999982"/>
  </r>
  <r>
    <s v="YLE-18247-749"/>
    <d v="2020-03-11T00:00:00"/>
    <s v="11"/>
    <x v="6"/>
    <x v="3"/>
    <x v="389"/>
    <x v="389"/>
    <n v="0"/>
    <s v="+1 (937) 683-0925"/>
    <x v="4"/>
    <x v="0"/>
    <s v="Yes"/>
    <x v="2"/>
    <s v="A-L-0.5"/>
    <x v="1"/>
    <n v="0.69929999999999992"/>
    <n v="3"/>
    <n v="0.5"/>
    <n v="7.77"/>
    <x v="102"/>
    <n v="2.0978999999999997"/>
    <n v="9"/>
  </r>
  <r>
    <s v="KJJ-12573-591"/>
    <d v="2021-09-18T00:00:00"/>
    <s v="18"/>
    <x v="0"/>
    <x v="1"/>
    <x v="390"/>
    <x v="390"/>
    <n v="0"/>
    <s v="+1 (602) 598-9823"/>
    <x v="167"/>
    <x v="0"/>
    <s v="Yes"/>
    <x v="2"/>
    <s v="A-L-2.5"/>
    <x v="1"/>
    <n v="2.6806499999999995"/>
    <n v="1"/>
    <n v="2.5"/>
    <n v="29.784999999999997"/>
    <x v="91"/>
    <n v="2.6806499999999995"/>
    <n v="9"/>
  </r>
  <r>
    <s v="RGU-43561-950"/>
    <d v="2020-11-07T00:00:00"/>
    <s v="07"/>
    <x v="11"/>
    <x v="3"/>
    <x v="391"/>
    <x v="391"/>
    <s v="bmcgilvrabm@so-net.ne.jp"/>
    <n v="0"/>
    <x v="155"/>
    <x v="0"/>
    <s v="Yes"/>
    <x v="2"/>
    <s v="A-L-2.5"/>
    <x v="1"/>
    <n v="2.6806499999999995"/>
    <n v="5"/>
    <n v="2.5"/>
    <n v="29.784999999999997"/>
    <x v="74"/>
    <n v="13.403249999999998"/>
    <n v="9"/>
  </r>
  <r>
    <s v="JSN-73975-443"/>
    <d v="2022-06-27T00:00:00"/>
    <s v="27"/>
    <x v="1"/>
    <x v="2"/>
    <x v="392"/>
    <x v="392"/>
    <s v="adanzeybn@github.com"/>
    <s v="+1 (402) 633-9913"/>
    <x v="195"/>
    <x v="0"/>
    <s v="Yes"/>
    <x v="3"/>
    <s v="L-M-0.5"/>
    <x v="0"/>
    <n v="1.1349"/>
    <n v="1"/>
    <n v="0.5"/>
    <n v="8.73"/>
    <x v="31"/>
    <n v="1.1349"/>
    <n v="13"/>
  </r>
  <r>
    <s v="WNR-71736-993"/>
    <d v="2020-02-05T00:00:00"/>
    <s v="05"/>
    <x v="10"/>
    <x v="3"/>
    <x v="347"/>
    <x v="347"/>
    <s v="tfarraac@behance.net"/>
    <s v="+1 (432) 648-9589"/>
    <x v="220"/>
    <x v="0"/>
    <s v="No"/>
    <x v="3"/>
    <s v="L-D-0.5"/>
    <x v="2"/>
    <n v="1.0101"/>
    <n v="4"/>
    <n v="0.5"/>
    <n v="7.77"/>
    <x v="113"/>
    <n v="4.0404"/>
    <n v="13"/>
  </r>
  <r>
    <s v="WNR-71736-993"/>
    <d v="2020-02-05T00:00:00"/>
    <s v="05"/>
    <x v="10"/>
    <x v="3"/>
    <x v="347"/>
    <x v="347"/>
    <s v="tfarraac@behance.net"/>
    <s v="+1 (432) 648-9589"/>
    <x v="220"/>
    <x v="0"/>
    <s v="No"/>
    <x v="2"/>
    <s v="A-D-2.5"/>
    <x v="2"/>
    <n v="2.0596499999999995"/>
    <n v="6"/>
    <n v="2.5"/>
    <n v="22.884999999999998"/>
    <x v="170"/>
    <n v="12.357899999999997"/>
    <n v="8.9999999999999982"/>
  </r>
  <r>
    <s v="HNI-91338-546"/>
    <d v="2020-02-07T00:00:00"/>
    <s v="07"/>
    <x v="10"/>
    <x v="3"/>
    <x v="393"/>
    <x v="393"/>
    <n v="0"/>
    <s v="+1 (608) 617-1365"/>
    <x v="238"/>
    <x v="0"/>
    <s v="No"/>
    <x v="2"/>
    <s v="A-D-0.5"/>
    <x v="2"/>
    <n v="0.5373"/>
    <n v="5"/>
    <n v="0.5"/>
    <n v="5.97"/>
    <x v="44"/>
    <n v="2.6865000000000001"/>
    <n v="9.0000000000000018"/>
  </r>
  <r>
    <s v="CYH-53243-218"/>
    <d v="2020-12-18T00:00:00"/>
    <s v="18"/>
    <x v="9"/>
    <x v="3"/>
    <x v="394"/>
    <x v="394"/>
    <n v="0"/>
    <s v="+1 (304) 604-2131"/>
    <x v="27"/>
    <x v="0"/>
    <s v="No"/>
    <x v="0"/>
    <s v="R-M-0.5"/>
    <x v="0"/>
    <n v="0.35819999999999996"/>
    <n v="3"/>
    <n v="0.5"/>
    <n v="5.97"/>
    <x v="8"/>
    <n v="1.0745999999999998"/>
    <n v="5.9999999999999982"/>
  </r>
  <r>
    <s v="SVD-75407-177"/>
    <d v="2021-08-23T00:00:00"/>
    <s v="23"/>
    <x v="3"/>
    <x v="1"/>
    <x v="395"/>
    <x v="395"/>
    <s v="ydombrellbs@dedecms.com"/>
    <s v="+1 (501) 136-0040"/>
    <x v="28"/>
    <x v="0"/>
    <s v="Yes"/>
    <x v="1"/>
    <s v="E-L-0.5"/>
    <x v="1"/>
    <n v="0.98009999999999997"/>
    <n v="3"/>
    <n v="0.5"/>
    <n v="8.91"/>
    <x v="149"/>
    <n v="2.9402999999999997"/>
    <n v="10.999999999999998"/>
  </r>
  <r>
    <s v="NVN-66443-451"/>
    <d v="2021-08-20T00:00:00"/>
    <s v="20"/>
    <x v="3"/>
    <x v="1"/>
    <x v="396"/>
    <x v="396"/>
    <s v="adarthbt@t.co"/>
    <s v="+1 (907) 557-6903"/>
    <x v="92"/>
    <x v="0"/>
    <s v="No"/>
    <x v="0"/>
    <s v="R-D-1"/>
    <x v="2"/>
    <n v="0.53699999999999992"/>
    <n v="2"/>
    <n v="1"/>
    <n v="8.9499999999999993"/>
    <x v="105"/>
    <n v="1.0739999999999998"/>
    <n v="6"/>
  </r>
  <r>
    <s v="JUA-13580-095"/>
    <d v="2019-04-01T00:00:00"/>
    <s v="01"/>
    <x v="8"/>
    <x v="0"/>
    <x v="397"/>
    <x v="397"/>
    <s v="mdarrigoebu@hud.gov"/>
    <s v="+353 (973) 320-9537"/>
    <x v="239"/>
    <x v="1"/>
    <s v="Yes"/>
    <x v="0"/>
    <s v="R-L-0.2"/>
    <x v="1"/>
    <n v="0.21509999999999996"/>
    <n v="4"/>
    <n v="0.2"/>
    <n v="3.5849999999999995"/>
    <x v="79"/>
    <n v="0.86039999999999983"/>
    <n v="6"/>
  </r>
  <r>
    <s v="ACY-56225-839"/>
    <d v="2021-01-28T00:00:00"/>
    <s v="28"/>
    <x v="4"/>
    <x v="1"/>
    <x v="398"/>
    <x v="398"/>
    <n v="0"/>
    <s v="+1 (562) 331-4713"/>
    <x v="204"/>
    <x v="0"/>
    <s v="Yes"/>
    <x v="2"/>
    <s v="A-M-2.5"/>
    <x v="0"/>
    <n v="2.3287499999999994"/>
    <n v="3"/>
    <n v="2.5"/>
    <n v="25.874999999999996"/>
    <x v="57"/>
    <n v="6.9862499999999983"/>
    <n v="9"/>
  </r>
  <r>
    <s v="QBB-07903-622"/>
    <d v="2019-10-21T00:00:00"/>
    <s v="21"/>
    <x v="7"/>
    <x v="0"/>
    <x v="399"/>
    <x v="399"/>
    <s v="mackrillbw@bandcamp.com"/>
    <s v="+1 (330) 603-2373"/>
    <x v="138"/>
    <x v="0"/>
    <s v="No"/>
    <x v="0"/>
    <s v="R-L-1"/>
    <x v="1"/>
    <n v="0.71699999999999997"/>
    <n v="5"/>
    <n v="1"/>
    <n v="11.95"/>
    <x v="143"/>
    <n v="3.585"/>
    <n v="6"/>
  </r>
  <r>
    <s v="JLJ-81802-619"/>
    <d v="2021-06-20T00:00:00"/>
    <s v="20"/>
    <x v="1"/>
    <x v="1"/>
    <x v="347"/>
    <x v="347"/>
    <s v="tfarraac@behance.net"/>
    <s v="+1 (432) 648-9589"/>
    <x v="220"/>
    <x v="0"/>
    <s v="No"/>
    <x v="2"/>
    <s v="A-L-1"/>
    <x v="1"/>
    <n v="1.1655"/>
    <n v="6"/>
    <n v="1"/>
    <n v="12.95"/>
    <x v="17"/>
    <n v="6.9930000000000003"/>
    <n v="9.0000000000000018"/>
  </r>
  <r>
    <s v="HFT-77191-168"/>
    <d v="2021-11-04T00:00:00"/>
    <s v="04"/>
    <x v="11"/>
    <x v="1"/>
    <x v="400"/>
    <x v="400"/>
    <s v="mkippenby@dion.ne.jp"/>
    <s v="+1 (601) 262-2557"/>
    <x v="240"/>
    <x v="0"/>
    <s v="Yes"/>
    <x v="0"/>
    <s v="R-D-0.2"/>
    <x v="2"/>
    <n v="0.16109999999999997"/>
    <n v="2"/>
    <n v="0.2"/>
    <n v="2.6849999999999996"/>
    <x v="147"/>
    <n v="0.32219999999999993"/>
    <n v="6"/>
  </r>
  <r>
    <s v="SZR-35951-530"/>
    <d v="2021-04-05T00:00:00"/>
    <s v="05"/>
    <x v="8"/>
    <x v="1"/>
    <x v="401"/>
    <x v="401"/>
    <s v="wransonbz@ted.com"/>
    <s v="+353 (376) 165-2897"/>
    <x v="241"/>
    <x v="1"/>
    <s v="Yes"/>
    <x v="1"/>
    <s v="E-D-2.5"/>
    <x v="2"/>
    <n v="3.07395"/>
    <n v="3"/>
    <n v="2.5"/>
    <n v="27.945"/>
    <x v="171"/>
    <n v="9.2218499999999999"/>
    <n v="10.999999999999998"/>
  </r>
  <r>
    <s v="IKL-95976-565"/>
    <d v="2019-12-09T00:00:00"/>
    <s v="09"/>
    <x v="9"/>
    <x v="0"/>
    <x v="402"/>
    <x v="402"/>
    <n v="0"/>
    <s v="+1 (360) 347-6756"/>
    <x v="166"/>
    <x v="0"/>
    <s v="No"/>
    <x v="2"/>
    <s v="A-M-1"/>
    <x v="0"/>
    <n v="1.0125"/>
    <n v="2"/>
    <n v="1"/>
    <n v="11.25"/>
    <x v="122"/>
    <n v="2.0249999999999999"/>
    <n v="9"/>
  </r>
  <r>
    <s v="XEY-48929-474"/>
    <d v="2022-01-02T00:00:00"/>
    <s v="02"/>
    <x v="4"/>
    <x v="2"/>
    <x v="403"/>
    <x v="403"/>
    <s v="lrignoldc1@miibeian.gov.cn"/>
    <s v="+1 (916) 472-7804"/>
    <x v="155"/>
    <x v="0"/>
    <s v="Yes"/>
    <x v="3"/>
    <s v="L-M-2.5"/>
    <x v="0"/>
    <n v="4.3504499999999995"/>
    <n v="6"/>
    <n v="2.5"/>
    <n v="33.464999999999996"/>
    <x v="172"/>
    <n v="26.102699999999999"/>
    <n v="13"/>
  </r>
  <r>
    <s v="SQT-07286-736"/>
    <d v="2019-12-08T00:00:00"/>
    <s v="08"/>
    <x v="9"/>
    <x v="0"/>
    <x v="404"/>
    <x v="404"/>
    <n v="0"/>
    <s v="+1 (617) 535-7583"/>
    <x v="35"/>
    <x v="0"/>
    <s v="No"/>
    <x v="2"/>
    <s v="A-M-1"/>
    <x v="0"/>
    <n v="1.0125"/>
    <n v="6"/>
    <n v="1"/>
    <n v="11.25"/>
    <x v="173"/>
    <n v="6.0749999999999993"/>
    <n v="8.9999999999999982"/>
  </r>
  <r>
    <s v="QDU-45390-361"/>
    <d v="2021-11-28T00:00:00"/>
    <s v="28"/>
    <x v="11"/>
    <x v="1"/>
    <x v="405"/>
    <x v="405"/>
    <s v="crowthornc3@msn.com"/>
    <s v="+1 (785) 380-3311"/>
    <x v="210"/>
    <x v="0"/>
    <s v="No"/>
    <x v="1"/>
    <s v="E-M-0.5"/>
    <x v="0"/>
    <n v="0.90749999999999997"/>
    <n v="1"/>
    <n v="0.5"/>
    <n v="8.25"/>
    <x v="112"/>
    <n v="0.90749999999999997"/>
    <n v="11"/>
  </r>
  <r>
    <s v="RUJ-30649-712"/>
    <d v="2022-03-11T00:00:00"/>
    <s v="11"/>
    <x v="6"/>
    <x v="2"/>
    <x v="406"/>
    <x v="406"/>
    <s v="orylandc4@deviantart.com"/>
    <s v="+1 (701) 417-3513"/>
    <x v="97"/>
    <x v="0"/>
    <s v="Yes"/>
    <x v="3"/>
    <s v="L-L-0.2"/>
    <x v="1"/>
    <n v="0.61814999999999998"/>
    <n v="2"/>
    <n v="0.2"/>
    <n v="4.7549999999999999"/>
    <x v="54"/>
    <n v="1.2363"/>
    <n v="13"/>
  </r>
  <r>
    <s v="WSV-49732-075"/>
    <d v="2021-01-17T00:00:00"/>
    <s v="17"/>
    <x v="4"/>
    <x v="1"/>
    <x v="407"/>
    <x v="407"/>
    <n v="0"/>
    <s v="+1 (832) 263-0050"/>
    <x v="13"/>
    <x v="0"/>
    <s v="No"/>
    <x v="3"/>
    <s v="L-D-2.5"/>
    <x v="2"/>
    <n v="3.8720499999999998"/>
    <n v="1"/>
    <n v="2.5"/>
    <n v="29.784999999999997"/>
    <x v="91"/>
    <n v="3.8720499999999998"/>
    <n v="13"/>
  </r>
  <r>
    <s v="VJF-46305-323"/>
    <d v="2019-01-18T00:00:00"/>
    <s v="18"/>
    <x v="4"/>
    <x v="0"/>
    <x v="408"/>
    <x v="408"/>
    <s v="msesonck@census.gov"/>
    <s v="+1 (206) 642-0902"/>
    <x v="208"/>
    <x v="0"/>
    <s v="No"/>
    <x v="3"/>
    <s v="L-D-0.5"/>
    <x v="2"/>
    <n v="1.0101"/>
    <n v="2"/>
    <n v="0.5"/>
    <n v="7.77"/>
    <x v="42"/>
    <n v="2.0202"/>
    <n v="13"/>
  </r>
  <r>
    <s v="CXD-74176-600"/>
    <d v="2019-04-07T00:00:00"/>
    <s v="07"/>
    <x v="8"/>
    <x v="0"/>
    <x v="409"/>
    <x v="409"/>
    <s v="craglessc7@webmd.com"/>
    <s v="+353 (736) 602-8469"/>
    <x v="14"/>
    <x v="1"/>
    <s v="No"/>
    <x v="1"/>
    <s v="E-L-0.5"/>
    <x v="1"/>
    <n v="0.98009999999999997"/>
    <n v="4"/>
    <n v="0.5"/>
    <n v="8.91"/>
    <x v="70"/>
    <n v="3.9203999999999999"/>
    <n v="11"/>
  </r>
  <r>
    <s v="ADX-50674-975"/>
    <d v="2021-02-03T00:00:00"/>
    <s v="03"/>
    <x v="10"/>
    <x v="1"/>
    <x v="410"/>
    <x v="410"/>
    <s v="fhollowsc8@blogtalkradio.com"/>
    <s v="+1 (716) 632-6865"/>
    <x v="73"/>
    <x v="0"/>
    <s v="Yes"/>
    <x v="2"/>
    <s v="A-M-2.5"/>
    <x v="0"/>
    <n v="2.3287499999999994"/>
    <n v="4"/>
    <n v="2.5"/>
    <n v="25.874999999999996"/>
    <x v="68"/>
    <n v="9.3149999999999977"/>
    <n v="9"/>
  </r>
  <r>
    <s v="RRP-51647-420"/>
    <d v="2019-04-18T00:00:00"/>
    <s v="18"/>
    <x v="8"/>
    <x v="0"/>
    <x v="411"/>
    <x v="411"/>
    <s v="llathleiffc9@nationalgeographic.com"/>
    <s v="+353 (895) 566-0110"/>
    <x v="180"/>
    <x v="1"/>
    <s v="Yes"/>
    <x v="1"/>
    <s v="E-D-1"/>
    <x v="2"/>
    <n v="1.3365"/>
    <n v="3"/>
    <n v="1"/>
    <n v="12.15"/>
    <x v="114"/>
    <n v="4.0095000000000001"/>
    <n v="10.999999999999998"/>
  </r>
  <r>
    <s v="PKJ-99134-523"/>
    <d v="2021-07-07T00:00:00"/>
    <s v="07"/>
    <x v="2"/>
    <x v="1"/>
    <x v="412"/>
    <x v="412"/>
    <s v="kheadsca@jalbum.net"/>
    <s v="+1 (484) 131-2636"/>
    <x v="242"/>
    <x v="0"/>
    <s v="No"/>
    <x v="0"/>
    <s v="R-L-0.5"/>
    <x v="1"/>
    <n v="0.43019999999999992"/>
    <n v="5"/>
    <n v="0.5"/>
    <n v="7.169999999999999"/>
    <x v="66"/>
    <n v="2.1509999999999998"/>
    <n v="6.0000000000000009"/>
  </r>
  <r>
    <s v="FZQ-29439-457"/>
    <d v="2021-02-23T00:00:00"/>
    <s v="23"/>
    <x v="10"/>
    <x v="1"/>
    <x v="413"/>
    <x v="413"/>
    <s v="tbownecb@unicef.org"/>
    <s v="+353 (540) 432-8009"/>
    <x v="243"/>
    <x v="1"/>
    <s v="Yes"/>
    <x v="1"/>
    <s v="E-L-0.2"/>
    <x v="1"/>
    <n v="0.49004999999999999"/>
    <n v="5"/>
    <n v="0.2"/>
    <n v="4.4550000000000001"/>
    <x v="110"/>
    <n v="2.45025"/>
    <n v="11.000000000000002"/>
  </r>
  <r>
    <s v="USN-68115-161"/>
    <d v="2021-08-10T00:00:00"/>
    <s v="10"/>
    <x v="3"/>
    <x v="1"/>
    <x v="414"/>
    <x v="414"/>
    <s v="rjacquemardcc@acquirethisname.com"/>
    <s v="+353 (959) 389-1521"/>
    <x v="244"/>
    <x v="1"/>
    <s v="No"/>
    <x v="1"/>
    <s v="E-M-0.2"/>
    <x v="0"/>
    <n v="0.45374999999999999"/>
    <n v="6"/>
    <n v="0.2"/>
    <n v="4.125"/>
    <x v="167"/>
    <n v="2.7225000000000001"/>
    <n v="11"/>
  </r>
  <r>
    <s v="IXU-20263-532"/>
    <d v="2019-11-15T00:00:00"/>
    <s v="15"/>
    <x v="11"/>
    <x v="0"/>
    <x v="415"/>
    <x v="415"/>
    <s v="kwarmancd@printfriendly.com"/>
    <n v="0"/>
    <x v="201"/>
    <x v="1"/>
    <s v="Yes"/>
    <x v="3"/>
    <s v="L-M-2.5"/>
    <x v="0"/>
    <n v="4.3504499999999995"/>
    <n v="2"/>
    <n v="2.5"/>
    <n v="33.464999999999996"/>
    <x v="174"/>
    <n v="8.700899999999999"/>
    <n v="13"/>
  </r>
  <r>
    <s v="CBT-15092-420"/>
    <d v="2019-12-17T00:00:00"/>
    <s v="17"/>
    <x v="9"/>
    <x v="0"/>
    <x v="416"/>
    <x v="416"/>
    <s v="wcholomince@about.com"/>
    <s v="+44 (512) 340-9049"/>
    <x v="38"/>
    <x v="2"/>
    <s v="Yes"/>
    <x v="3"/>
    <s v="L-M-0.5"/>
    <x v="0"/>
    <n v="1.1349"/>
    <n v="1"/>
    <n v="0.5"/>
    <n v="8.73"/>
    <x v="31"/>
    <n v="1.1349"/>
    <n v="13"/>
  </r>
  <r>
    <s v="PKQ-46841-696"/>
    <d v="2020-03-18T00:00:00"/>
    <s v="18"/>
    <x v="6"/>
    <x v="3"/>
    <x v="417"/>
    <x v="417"/>
    <s v="abraidmancf@census.gov"/>
    <n v="0"/>
    <x v="167"/>
    <x v="0"/>
    <s v="No"/>
    <x v="0"/>
    <s v="R-M-0.5"/>
    <x v="0"/>
    <n v="0.35819999999999996"/>
    <n v="3"/>
    <n v="0.5"/>
    <n v="5.97"/>
    <x v="8"/>
    <n v="1.0745999999999998"/>
    <n v="5.9999999999999982"/>
  </r>
  <r>
    <s v="XDU-05471-219"/>
    <d v="2022-06-06T00:00:00"/>
    <s v="06"/>
    <x v="1"/>
    <x v="2"/>
    <x v="418"/>
    <x v="418"/>
    <s v="pdurbancg@symantec.com"/>
    <s v="+353 (709) 884-1892"/>
    <x v="245"/>
    <x v="1"/>
    <s v="No"/>
    <x v="0"/>
    <s v="R-L-0.5"/>
    <x v="1"/>
    <n v="0.43019999999999992"/>
    <n v="1"/>
    <n v="0.5"/>
    <n v="7.169999999999999"/>
    <x v="53"/>
    <n v="0.43019999999999992"/>
    <n v="6"/>
  </r>
  <r>
    <s v="NID-20149-329"/>
    <d v="2021-05-20T00:00:00"/>
    <s v="20"/>
    <x v="5"/>
    <x v="1"/>
    <x v="419"/>
    <x v="419"/>
    <s v="aharroldch@miibeian.gov.cn"/>
    <s v="+1 (419) 153-2104"/>
    <x v="45"/>
    <x v="0"/>
    <s v="No"/>
    <x v="0"/>
    <s v="R-D-0.2"/>
    <x v="2"/>
    <n v="0.16109999999999997"/>
    <n v="2"/>
    <n v="0.2"/>
    <n v="2.6849999999999996"/>
    <x v="147"/>
    <n v="0.32219999999999993"/>
    <n v="6"/>
  </r>
  <r>
    <s v="SVU-27222-213"/>
    <d v="2021-01-11T00:00:00"/>
    <s v="11"/>
    <x v="4"/>
    <x v="1"/>
    <x v="420"/>
    <x v="420"/>
    <s v="spamphilonci@mlb.com"/>
    <s v="+353 (456) 630-8490"/>
    <x v="246"/>
    <x v="1"/>
    <s v="No"/>
    <x v="3"/>
    <s v="L-L-0.2"/>
    <x v="1"/>
    <n v="0.61814999999999998"/>
    <n v="5"/>
    <n v="0.2"/>
    <n v="4.7549999999999999"/>
    <x v="29"/>
    <n v="3.0907499999999999"/>
    <n v="13"/>
  </r>
  <r>
    <s v="RWI-84131-848"/>
    <d v="2019-02-22T00:00:00"/>
    <s v="22"/>
    <x v="10"/>
    <x v="0"/>
    <x v="421"/>
    <x v="421"/>
    <s v="mspurdencj@exblog.jp"/>
    <s v="+1 (704) 256-1371"/>
    <x v="63"/>
    <x v="0"/>
    <s v="Yes"/>
    <x v="0"/>
    <s v="R-D-2.5"/>
    <x v="2"/>
    <n v="1.2350999999999999"/>
    <n v="2"/>
    <n v="2.5"/>
    <n v="20.584999999999997"/>
    <x v="13"/>
    <n v="2.4701999999999997"/>
    <n v="6.0000000000000009"/>
  </r>
  <r>
    <s v="GUU-40666-525"/>
    <d v="2021-11-24T00:00:00"/>
    <s v="24"/>
    <x v="11"/>
    <x v="1"/>
    <x v="408"/>
    <x v="408"/>
    <s v="msesonck@census.gov"/>
    <s v="+1 (206) 642-0902"/>
    <x v="208"/>
    <x v="0"/>
    <s v="No"/>
    <x v="2"/>
    <s v="A-L-0.2"/>
    <x v="1"/>
    <n v="0.34964999999999996"/>
    <n v="3"/>
    <n v="0.2"/>
    <n v="3.8849999999999998"/>
    <x v="14"/>
    <n v="1.0489499999999998"/>
    <n v="9"/>
  </r>
  <r>
    <s v="SCN-51395-066"/>
    <d v="2022-01-18T00:00:00"/>
    <s v="18"/>
    <x v="4"/>
    <x v="2"/>
    <x v="422"/>
    <x v="422"/>
    <s v="npirronecl@weibo.com"/>
    <s v="+1 (570) 223-3194"/>
    <x v="156"/>
    <x v="0"/>
    <s v="No"/>
    <x v="3"/>
    <s v="L-L-0.5"/>
    <x v="1"/>
    <n v="1.2363"/>
    <n v="4"/>
    <n v="0.5"/>
    <n v="9.51"/>
    <x v="82"/>
    <n v="4.9451999999999998"/>
    <n v="13"/>
  </r>
  <r>
    <s v="ULA-24644-321"/>
    <d v="2021-08-13T00:00:00"/>
    <s v="13"/>
    <x v="3"/>
    <x v="1"/>
    <x v="423"/>
    <x v="423"/>
    <s v="rcawleycm@yellowbook.com"/>
    <n v="0"/>
    <x v="247"/>
    <x v="1"/>
    <s v="Yes"/>
    <x v="0"/>
    <s v="R-D-2.5"/>
    <x v="2"/>
    <n v="1.2350999999999999"/>
    <n v="4"/>
    <n v="2.5"/>
    <n v="20.584999999999997"/>
    <x v="18"/>
    <n v="4.9403999999999995"/>
    <n v="6.0000000000000009"/>
  </r>
  <r>
    <s v="EOL-92666-762"/>
    <d v="2020-01-11T00:00:00"/>
    <s v="11"/>
    <x v="4"/>
    <x v="3"/>
    <x v="424"/>
    <x v="424"/>
    <s v="sbarribalcn@microsoft.com"/>
    <s v="+353 (310) 256-3698"/>
    <x v="248"/>
    <x v="1"/>
    <s v="Yes"/>
    <x v="3"/>
    <s v="L-L-0.2"/>
    <x v="1"/>
    <n v="0.61814999999999998"/>
    <n v="2"/>
    <n v="0.2"/>
    <n v="4.7549999999999999"/>
    <x v="54"/>
    <n v="1.2363"/>
    <n v="13"/>
  </r>
  <r>
    <s v="AJV-18231-334"/>
    <d v="2020-07-05T00:00:00"/>
    <s v="05"/>
    <x v="2"/>
    <x v="3"/>
    <x v="425"/>
    <x v="425"/>
    <s v="aadamidesco@bizjournals.com"/>
    <s v="+44 (131) 485-2183"/>
    <x v="60"/>
    <x v="2"/>
    <s v="No"/>
    <x v="0"/>
    <s v="R-D-2.5"/>
    <x v="2"/>
    <n v="1.2350999999999999"/>
    <n v="2"/>
    <n v="2.5"/>
    <n v="20.584999999999997"/>
    <x v="13"/>
    <n v="2.4701999999999997"/>
    <n v="6.0000000000000009"/>
  </r>
  <r>
    <s v="ZQI-47236-301"/>
    <d v="2019-07-25T00:00:00"/>
    <s v="25"/>
    <x v="2"/>
    <x v="0"/>
    <x v="426"/>
    <x v="426"/>
    <s v="cthowescp@craigslist.org"/>
    <s v="+1 (585) 785-2424"/>
    <x v="36"/>
    <x v="0"/>
    <s v="No"/>
    <x v="3"/>
    <s v="L-L-0.5"/>
    <x v="1"/>
    <n v="1.2363"/>
    <n v="5"/>
    <n v="0.5"/>
    <n v="9.51"/>
    <x v="46"/>
    <n v="6.1814999999999998"/>
    <n v="13"/>
  </r>
  <r>
    <s v="ZCR-15721-658"/>
    <d v="2022-05-26T00:00:00"/>
    <s v="26"/>
    <x v="5"/>
    <x v="2"/>
    <x v="427"/>
    <x v="427"/>
    <s v="rwillowaycq@admin.ch"/>
    <s v="+1 (520) 126-8439"/>
    <x v="31"/>
    <x v="0"/>
    <s v="No"/>
    <x v="2"/>
    <s v="A-M-1"/>
    <x v="0"/>
    <n v="1.0125"/>
    <n v="4"/>
    <n v="1"/>
    <n v="11.25"/>
    <x v="157"/>
    <n v="4.05"/>
    <n v="9"/>
  </r>
  <r>
    <s v="QEW-47945-682"/>
    <d v="2020-01-10T00:00:00"/>
    <s v="10"/>
    <x v="4"/>
    <x v="3"/>
    <x v="428"/>
    <x v="428"/>
    <s v="aelwincr@privacy.gov.au"/>
    <s v="+1 (612) 244-0885"/>
    <x v="30"/>
    <x v="0"/>
    <s v="No"/>
    <x v="3"/>
    <s v="L-L-0.2"/>
    <x v="1"/>
    <n v="0.61814999999999998"/>
    <n v="5"/>
    <n v="0.2"/>
    <n v="4.7549999999999999"/>
    <x v="29"/>
    <n v="3.0907499999999999"/>
    <n v="13"/>
  </r>
  <r>
    <s v="PSY-45485-542"/>
    <d v="2019-05-17T00:00:00"/>
    <s v="17"/>
    <x v="5"/>
    <x v="0"/>
    <x v="429"/>
    <x v="429"/>
    <s v="abilbrookcs@booking.com"/>
    <s v="+353 (138) 323-3320"/>
    <x v="249"/>
    <x v="1"/>
    <s v="Yes"/>
    <x v="0"/>
    <s v="R-D-0.5"/>
    <x v="2"/>
    <n v="0.32219999999999993"/>
    <n v="3"/>
    <n v="0.5"/>
    <n v="5.3699999999999992"/>
    <x v="103"/>
    <n v="0.96659999999999979"/>
    <n v="5.9999999999999991"/>
  </r>
  <r>
    <s v="BAQ-74241-156"/>
    <d v="2020-07-24T00:00:00"/>
    <s v="24"/>
    <x v="2"/>
    <x v="3"/>
    <x v="430"/>
    <x v="430"/>
    <s v="rmckallct@sakura.ne.jp"/>
    <s v="+44 (841) 988-2775"/>
    <x v="250"/>
    <x v="2"/>
    <s v="Yes"/>
    <x v="0"/>
    <s v="R-D-0.2"/>
    <x v="2"/>
    <n v="0.16109999999999997"/>
    <n v="4"/>
    <n v="0.2"/>
    <n v="2.6849999999999996"/>
    <x v="175"/>
    <n v="0.64439999999999986"/>
    <n v="6"/>
  </r>
  <r>
    <s v="BVU-77367-451"/>
    <d v="2020-10-20T00:00:00"/>
    <s v="20"/>
    <x v="7"/>
    <x v="3"/>
    <x v="431"/>
    <x v="431"/>
    <s v="bdailecu@vistaprint.com"/>
    <s v="+1 (770) 330-7785"/>
    <x v="161"/>
    <x v="0"/>
    <s v="Yes"/>
    <x v="2"/>
    <s v="A-D-1"/>
    <x v="2"/>
    <n v="0.89549999999999985"/>
    <n v="5"/>
    <n v="1"/>
    <n v="9.9499999999999993"/>
    <x v="12"/>
    <n v="4.4774999999999991"/>
    <n v="8.9999999999999982"/>
  </r>
  <r>
    <s v="TJE-91516-344"/>
    <d v="2019-09-22T00:00:00"/>
    <s v="22"/>
    <x v="0"/>
    <x v="0"/>
    <x v="432"/>
    <x v="432"/>
    <s v="atrehernecv@state.tx.us"/>
    <s v="+353 (860) 359-7907"/>
    <x v="251"/>
    <x v="1"/>
    <s v="No"/>
    <x v="1"/>
    <s v="E-M-1"/>
    <x v="0"/>
    <n v="1.5125"/>
    <n v="2"/>
    <n v="1"/>
    <n v="13.75"/>
    <x v="3"/>
    <n v="3.0249999999999999"/>
    <n v="11"/>
  </r>
  <r>
    <s v="LIS-96202-702"/>
    <d v="2020-06-07T00:00:00"/>
    <s v="07"/>
    <x v="1"/>
    <x v="3"/>
    <x v="433"/>
    <x v="433"/>
    <s v="abrentnallcw@biglobe.ne.jp"/>
    <s v="+44 (373) 897-1797"/>
    <x v="252"/>
    <x v="2"/>
    <s v="No"/>
    <x v="3"/>
    <s v="L-D-2.5"/>
    <x v="2"/>
    <n v="3.8720499999999998"/>
    <n v="4"/>
    <n v="2.5"/>
    <n v="29.784999999999997"/>
    <x v="129"/>
    <n v="15.488199999999999"/>
    <n v="13"/>
  </r>
  <r>
    <s v="VIO-27668-766"/>
    <d v="2019-12-15T00:00:00"/>
    <s v="15"/>
    <x v="9"/>
    <x v="0"/>
    <x v="434"/>
    <x v="434"/>
    <s v="ddrinkallcx@psu.edu"/>
    <s v="+1 (865) 407-3871"/>
    <x v="203"/>
    <x v="0"/>
    <s v="Yes"/>
    <x v="0"/>
    <s v="R-D-2.5"/>
    <x v="2"/>
    <n v="1.2350999999999999"/>
    <n v="1"/>
    <n v="2.5"/>
    <n v="20.584999999999997"/>
    <x v="123"/>
    <n v="1.2350999999999999"/>
    <n v="6.0000000000000009"/>
  </r>
  <r>
    <s v="ZVG-20473-043"/>
    <d v="2020-12-06T00:00:00"/>
    <s v="06"/>
    <x v="9"/>
    <x v="3"/>
    <x v="435"/>
    <x v="435"/>
    <s v="dkornelcy@cyberchimps.com"/>
    <s v="+1 (989) 565-9120"/>
    <x v="253"/>
    <x v="0"/>
    <s v="Yes"/>
    <x v="2"/>
    <s v="A-D-0.2"/>
    <x v="2"/>
    <n v="0.26865"/>
    <n v="3"/>
    <n v="0.2"/>
    <n v="2.9849999999999999"/>
    <x v="169"/>
    <n v="0.80594999999999994"/>
    <n v="9"/>
  </r>
  <r>
    <s v="KGZ-56395-231"/>
    <d v="2021-12-06T00:00:00"/>
    <s v="06"/>
    <x v="9"/>
    <x v="1"/>
    <x v="436"/>
    <x v="436"/>
    <s v="rlequeuxcz@newyorker.com"/>
    <s v="+1 (904) 161-6088"/>
    <x v="254"/>
    <x v="0"/>
    <s v="No"/>
    <x v="2"/>
    <s v="A-D-0.5"/>
    <x v="2"/>
    <n v="0.5373"/>
    <n v="1"/>
    <n v="0.5"/>
    <n v="5.97"/>
    <x v="9"/>
    <n v="0.5373"/>
    <n v="9.0000000000000018"/>
  </r>
  <r>
    <s v="CUU-92244-729"/>
    <d v="2020-07-11T00:00:00"/>
    <s v="11"/>
    <x v="2"/>
    <x v="3"/>
    <x v="437"/>
    <x v="437"/>
    <s v="jmccaulld0@parallels.com"/>
    <n v="0"/>
    <x v="255"/>
    <x v="0"/>
    <s v="Yes"/>
    <x v="1"/>
    <s v="E-M-1"/>
    <x v="0"/>
    <n v="1.5125"/>
    <n v="3"/>
    <n v="1"/>
    <n v="13.75"/>
    <x v="1"/>
    <n v="4.5374999999999996"/>
    <n v="10.999999999999998"/>
  </r>
  <r>
    <s v="EHE-94714-312"/>
    <d v="2021-06-28T00:00:00"/>
    <s v="28"/>
    <x v="1"/>
    <x v="1"/>
    <x v="438"/>
    <x v="438"/>
    <s v="abrashda@plala.or.jp"/>
    <s v="+1 (917) 544-7136"/>
    <x v="256"/>
    <x v="0"/>
    <s v="Yes"/>
    <x v="1"/>
    <s v="E-L-0.2"/>
    <x v="1"/>
    <n v="0.49004999999999999"/>
    <n v="5"/>
    <n v="0.2"/>
    <n v="4.4550000000000001"/>
    <x v="110"/>
    <n v="2.45025"/>
    <n v="11.000000000000002"/>
  </r>
  <r>
    <s v="RTL-16205-161"/>
    <d v="2022-04-05T00:00:00"/>
    <s v="05"/>
    <x v="8"/>
    <x v="2"/>
    <x v="439"/>
    <x v="439"/>
    <s v="ahutchinsond2@imgur.com"/>
    <s v="+1 (404) 775-3251"/>
    <x v="227"/>
    <x v="0"/>
    <s v="Yes"/>
    <x v="2"/>
    <s v="A-M-0.5"/>
    <x v="0"/>
    <n v="0.60749999999999993"/>
    <n v="1"/>
    <n v="0.5"/>
    <n v="6.75"/>
    <x v="52"/>
    <n v="0.60749999999999993"/>
    <n v="8.9999999999999982"/>
  </r>
  <r>
    <s v="GTS-22482-014"/>
    <d v="2022-03-24T00:00:00"/>
    <s v="24"/>
    <x v="6"/>
    <x v="2"/>
    <x v="440"/>
    <x v="440"/>
    <n v="0"/>
    <s v="+1 (785) 654-9564"/>
    <x v="210"/>
    <x v="0"/>
    <s v="Yes"/>
    <x v="3"/>
    <s v="L-M-2.5"/>
    <x v="0"/>
    <n v="4.3504499999999995"/>
    <n v="4"/>
    <n v="2.5"/>
    <n v="33.464999999999996"/>
    <x v="136"/>
    <n v="17.401799999999998"/>
    <n v="13"/>
  </r>
  <r>
    <s v="DYG-25473-881"/>
    <d v="2020-02-08T00:00:00"/>
    <s v="08"/>
    <x v="10"/>
    <x v="3"/>
    <x v="441"/>
    <x v="441"/>
    <s v="rdriversd4@hexun.com"/>
    <s v="+1 (913) 127-4257"/>
    <x v="153"/>
    <x v="0"/>
    <s v="No"/>
    <x v="2"/>
    <s v="A-D-0.2"/>
    <x v="2"/>
    <n v="0.26865"/>
    <n v="2"/>
    <n v="0.2"/>
    <n v="2.9849999999999999"/>
    <x v="9"/>
    <n v="0.5373"/>
    <n v="9.0000000000000018"/>
  </r>
  <r>
    <s v="HTR-21838-286"/>
    <d v="2022-02-11T00:00:00"/>
    <s v="11"/>
    <x v="10"/>
    <x v="2"/>
    <x v="442"/>
    <x v="442"/>
    <s v="hzeald5@google.de"/>
    <s v="+1 (206) 775-4468"/>
    <x v="208"/>
    <x v="0"/>
    <s v="No"/>
    <x v="2"/>
    <s v="A-L-1"/>
    <x v="1"/>
    <n v="1.1655"/>
    <n v="2"/>
    <n v="1"/>
    <n v="12.95"/>
    <x v="109"/>
    <n v="2.331"/>
    <n v="9"/>
  </r>
  <r>
    <s v="KYG-28296-920"/>
    <d v="2020-07-02T00:00:00"/>
    <s v="02"/>
    <x v="2"/>
    <x v="3"/>
    <x v="443"/>
    <x v="443"/>
    <s v="gsmallcombed6@ucla.edu"/>
    <s v="+353 (374) 810-4528"/>
    <x v="165"/>
    <x v="1"/>
    <s v="Yes"/>
    <x v="1"/>
    <s v="E-M-2.5"/>
    <x v="0"/>
    <n v="3.4787499999999998"/>
    <n v="1"/>
    <n v="2.5"/>
    <n v="31.624999999999996"/>
    <x v="176"/>
    <n v="3.4787499999999998"/>
    <n v="11"/>
  </r>
  <r>
    <s v="NNB-20459-430"/>
    <d v="2022-07-25T00:00:00"/>
    <s v="25"/>
    <x v="2"/>
    <x v="2"/>
    <x v="444"/>
    <x v="444"/>
    <s v="ddibleyd7@feedburner.com"/>
    <n v="0"/>
    <x v="257"/>
    <x v="0"/>
    <s v="No"/>
    <x v="3"/>
    <s v="L-M-0.2"/>
    <x v="0"/>
    <n v="0.56745000000000001"/>
    <n v="2"/>
    <n v="0.2"/>
    <n v="4.3650000000000002"/>
    <x v="31"/>
    <n v="1.1349"/>
    <n v="13"/>
  </r>
  <r>
    <s v="FEK-14025-351"/>
    <d v="2021-03-19T00:00:00"/>
    <s v="19"/>
    <x v="6"/>
    <x v="1"/>
    <x v="445"/>
    <x v="445"/>
    <s v="gdimitrioud8@chronoengine.com"/>
    <s v="+1 (585) 303-7337"/>
    <x v="36"/>
    <x v="0"/>
    <s v="Yes"/>
    <x v="1"/>
    <s v="E-L-0.2"/>
    <x v="1"/>
    <n v="0.49004999999999999"/>
    <n v="6"/>
    <n v="0.2"/>
    <n v="4.4550000000000001"/>
    <x v="149"/>
    <n v="2.9402999999999997"/>
    <n v="10.999999999999998"/>
  </r>
  <r>
    <s v="AWH-16980-469"/>
    <d v="2020-05-11T00:00:00"/>
    <s v="11"/>
    <x v="5"/>
    <x v="3"/>
    <x v="446"/>
    <x v="446"/>
    <s v="fflanagand9@woothemes.com"/>
    <s v="+1 (903) 455-7155"/>
    <x v="211"/>
    <x v="0"/>
    <s v="No"/>
    <x v="3"/>
    <s v="L-M-0.2"/>
    <x v="0"/>
    <n v="0.56745000000000001"/>
    <n v="6"/>
    <n v="0.2"/>
    <n v="4.3650000000000002"/>
    <x v="50"/>
    <n v="3.4047000000000001"/>
    <n v="13"/>
  </r>
  <r>
    <s v="ZPW-31329-741"/>
    <d v="2019-06-08T00:00:00"/>
    <s v="08"/>
    <x v="1"/>
    <x v="0"/>
    <x v="438"/>
    <x v="438"/>
    <s v="abrashda@plala.or.jp"/>
    <s v="+1 (917) 544-7136"/>
    <x v="256"/>
    <x v="0"/>
    <s v="Yes"/>
    <x v="0"/>
    <s v="R-D-1"/>
    <x v="2"/>
    <n v="0.53699999999999992"/>
    <n v="6"/>
    <n v="1"/>
    <n v="8.9499999999999993"/>
    <x v="59"/>
    <n v="3.2219999999999995"/>
    <n v="6"/>
  </r>
  <r>
    <s v="ZPW-31329-741"/>
    <d v="2019-06-08T00:00:00"/>
    <s v="08"/>
    <x v="1"/>
    <x v="0"/>
    <x v="438"/>
    <x v="438"/>
    <s v="abrashda@plala.or.jp"/>
    <s v="+1 (917) 544-7136"/>
    <x v="256"/>
    <x v="0"/>
    <s v="Yes"/>
    <x v="1"/>
    <s v="E-M-2.5"/>
    <x v="0"/>
    <n v="3.4787499999999998"/>
    <n v="4"/>
    <n v="2.5"/>
    <n v="31.624999999999996"/>
    <x v="177"/>
    <n v="13.914999999999999"/>
    <n v="11"/>
  </r>
  <r>
    <s v="ZPW-31329-741"/>
    <d v="2019-06-08T00:00:00"/>
    <s v="08"/>
    <x v="1"/>
    <x v="0"/>
    <x v="438"/>
    <x v="438"/>
    <s v="abrashda@plala.or.jp"/>
    <s v="+1 (917) 544-7136"/>
    <x v="256"/>
    <x v="0"/>
    <s v="Yes"/>
    <x v="1"/>
    <s v="E-M-0.2"/>
    <x v="0"/>
    <n v="0.45374999999999999"/>
    <n v="1"/>
    <n v="0.2"/>
    <n v="4.125"/>
    <x v="83"/>
    <n v="0.45374999999999999"/>
    <n v="11"/>
  </r>
  <r>
    <s v="UBI-83843-396"/>
    <d v="2019-10-09T00:00:00"/>
    <s v="09"/>
    <x v="7"/>
    <x v="0"/>
    <x v="447"/>
    <x v="447"/>
    <s v="nizhakovdd@aol.com"/>
    <s v="+44 (570) 683-9517"/>
    <x v="258"/>
    <x v="2"/>
    <s v="No"/>
    <x v="0"/>
    <s v="R-L-1"/>
    <x v="1"/>
    <n v="0.71699999999999997"/>
    <n v="2"/>
    <n v="1"/>
    <n v="11.95"/>
    <x v="178"/>
    <n v="1.4339999999999999"/>
    <n v="6"/>
  </r>
  <r>
    <s v="VID-40587-569"/>
    <d v="2021-02-20T00:00:00"/>
    <s v="20"/>
    <x v="10"/>
    <x v="1"/>
    <x v="448"/>
    <x v="448"/>
    <s v="skeetsde@answers.com"/>
    <s v="+1 (703) 230-2979"/>
    <x v="117"/>
    <x v="0"/>
    <s v="Yes"/>
    <x v="1"/>
    <s v="E-D-2.5"/>
    <x v="2"/>
    <n v="3.07395"/>
    <n v="5"/>
    <n v="2.5"/>
    <n v="27.945"/>
    <x v="141"/>
    <n v="15.36975"/>
    <n v="11"/>
  </r>
  <r>
    <s v="KBB-52530-416"/>
    <d v="2019-11-21T00:00:00"/>
    <s v="21"/>
    <x v="11"/>
    <x v="0"/>
    <x v="449"/>
    <x v="449"/>
    <n v="0"/>
    <s v="+1 (801) 322-2923"/>
    <x v="147"/>
    <x v="0"/>
    <s v="Yes"/>
    <x v="3"/>
    <s v="L-D-2.5"/>
    <x v="2"/>
    <n v="3.8720499999999998"/>
    <n v="2"/>
    <n v="2.5"/>
    <n v="29.784999999999997"/>
    <x v="120"/>
    <n v="7.7440999999999995"/>
    <n v="13"/>
  </r>
  <r>
    <s v="ISJ-48676-420"/>
    <d v="2021-10-10T00:00:00"/>
    <s v="10"/>
    <x v="7"/>
    <x v="1"/>
    <x v="450"/>
    <x v="450"/>
    <s v="kcakedg@huffingtonpost.com"/>
    <n v="0"/>
    <x v="7"/>
    <x v="0"/>
    <s v="No"/>
    <x v="3"/>
    <s v="L-L-0.5"/>
    <x v="1"/>
    <n v="1.2363"/>
    <n v="6"/>
    <n v="0.5"/>
    <n v="9.51"/>
    <x v="30"/>
    <n v="7.4177999999999997"/>
    <n v="12.999999999999998"/>
  </r>
  <r>
    <s v="MIF-17920-768"/>
    <d v="2021-08-05T00:00:00"/>
    <s v="05"/>
    <x v="3"/>
    <x v="1"/>
    <x v="451"/>
    <x v="451"/>
    <s v="mhanseddh@instagram.com"/>
    <s v="+353 (997) 520-7802"/>
    <x v="259"/>
    <x v="1"/>
    <s v="Yes"/>
    <x v="0"/>
    <s v="R-L-0.2"/>
    <x v="1"/>
    <n v="0.21509999999999996"/>
    <n v="6"/>
    <n v="0.2"/>
    <n v="3.5849999999999995"/>
    <x v="137"/>
    <n v="1.2905999999999997"/>
    <n v="5.9999999999999991"/>
  </r>
  <r>
    <s v="CPX-19312-088"/>
    <d v="2020-07-31T00:00:00"/>
    <s v="31"/>
    <x v="2"/>
    <x v="3"/>
    <x v="452"/>
    <x v="452"/>
    <s v="fkienleindi@trellian.com"/>
    <s v="+353 (972) 241-3434"/>
    <x v="260"/>
    <x v="1"/>
    <s v="Yes"/>
    <x v="3"/>
    <s v="L-M-0.5"/>
    <x v="0"/>
    <n v="1.1349"/>
    <n v="6"/>
    <n v="0.5"/>
    <n v="8.73"/>
    <x v="28"/>
    <n v="6.8094000000000001"/>
    <n v="13"/>
  </r>
  <r>
    <s v="RXI-67978-260"/>
    <d v="2020-09-19T00:00:00"/>
    <s v="19"/>
    <x v="0"/>
    <x v="3"/>
    <x v="453"/>
    <x v="453"/>
    <s v="kegglestonedj@sphinn.com"/>
    <s v="+353 (452) 975-6438"/>
    <x v="260"/>
    <x v="1"/>
    <s v="No"/>
    <x v="1"/>
    <s v="E-D-1"/>
    <x v="2"/>
    <n v="1.3365"/>
    <n v="6"/>
    <n v="1"/>
    <n v="12.15"/>
    <x v="118"/>
    <n v="8.0190000000000001"/>
    <n v="10.999999999999998"/>
  </r>
  <r>
    <s v="LKE-14821-285"/>
    <d v="2020-05-03T00:00:00"/>
    <s v="03"/>
    <x v="5"/>
    <x v="3"/>
    <x v="454"/>
    <x v="454"/>
    <s v="bsemkinsdk@unc.edu"/>
    <s v="+353 (209) 764-2690"/>
    <x v="261"/>
    <x v="1"/>
    <s v="Yes"/>
    <x v="0"/>
    <s v="R-M-0.2"/>
    <x v="0"/>
    <n v="0.17909999999999998"/>
    <n v="5"/>
    <n v="0.2"/>
    <n v="2.9849999999999999"/>
    <x v="128"/>
    <n v="0.89549999999999996"/>
    <n v="6.0000000000000009"/>
  </r>
  <r>
    <s v="LRK-97117-150"/>
    <d v="2019-07-08T00:00:00"/>
    <s v="08"/>
    <x v="2"/>
    <x v="0"/>
    <x v="455"/>
    <x v="455"/>
    <s v="slorenzettidl@is.gd"/>
    <s v="+1 (915) 581-0694"/>
    <x v="87"/>
    <x v="0"/>
    <s v="No"/>
    <x v="3"/>
    <s v="L-L-1"/>
    <x v="1"/>
    <n v="2.0605000000000002"/>
    <n v="6"/>
    <n v="1"/>
    <n v="15.85"/>
    <x v="179"/>
    <n v="12.363000000000001"/>
    <n v="13.000000000000004"/>
  </r>
  <r>
    <s v="IGK-51227-573"/>
    <d v="2019-10-26T00:00:00"/>
    <s v="26"/>
    <x v="7"/>
    <x v="0"/>
    <x v="456"/>
    <x v="456"/>
    <s v="bgiannazzidm@apple.com"/>
    <s v="+1 (754) 827-8970"/>
    <x v="42"/>
    <x v="0"/>
    <s v="No"/>
    <x v="3"/>
    <s v="L-D-0.5"/>
    <x v="2"/>
    <n v="1.0101"/>
    <n v="2"/>
    <n v="0.5"/>
    <n v="7.77"/>
    <x v="42"/>
    <n v="2.0202"/>
    <n v="13"/>
  </r>
  <r>
    <s v="ZAY-43009-775"/>
    <d v="2020-09-27T00:00:00"/>
    <s v="27"/>
    <x v="0"/>
    <x v="3"/>
    <x v="457"/>
    <x v="457"/>
    <n v="0"/>
    <s v="+1 (317) 595-9406"/>
    <x v="207"/>
    <x v="0"/>
    <s v="No"/>
    <x v="3"/>
    <s v="L-D-0.2"/>
    <x v="2"/>
    <n v="0.50505"/>
    <n v="6"/>
    <n v="0.2"/>
    <n v="3.8849999999999998"/>
    <x v="102"/>
    <n v="3.0303"/>
    <n v="13"/>
  </r>
  <r>
    <s v="EMA-63190-618"/>
    <d v="2022-02-28T00:00:00"/>
    <s v="28"/>
    <x v="10"/>
    <x v="2"/>
    <x v="458"/>
    <x v="458"/>
    <s v="ulethbrigdo@hc360.com"/>
    <s v="+1 (414) 580-9714"/>
    <x v="166"/>
    <x v="0"/>
    <s v="Yes"/>
    <x v="1"/>
    <s v="E-M-0.2"/>
    <x v="0"/>
    <n v="0.45374999999999999"/>
    <n v="1"/>
    <n v="0.2"/>
    <n v="4.125"/>
    <x v="83"/>
    <n v="0.45374999999999999"/>
    <n v="11"/>
  </r>
  <r>
    <s v="FBI-35855-418"/>
    <d v="2020-09-16T00:00:00"/>
    <s v="16"/>
    <x v="0"/>
    <x v="3"/>
    <x v="459"/>
    <x v="459"/>
    <s v="sfarnishdp@dmoz.org"/>
    <s v="+44 (847) 377-8172"/>
    <x v="194"/>
    <x v="2"/>
    <s v="No"/>
    <x v="0"/>
    <s v="R-M-0.5"/>
    <x v="0"/>
    <n v="0.35819999999999996"/>
    <n v="6"/>
    <n v="0.5"/>
    <n v="5.97"/>
    <x v="27"/>
    <n v="2.1491999999999996"/>
    <n v="5.9999999999999982"/>
  </r>
  <r>
    <s v="TXB-80533-417"/>
    <d v="2020-10-28T00:00:00"/>
    <s v="28"/>
    <x v="7"/>
    <x v="3"/>
    <x v="460"/>
    <x v="460"/>
    <s v="fjecockdq@unicef.org"/>
    <s v="+1 (225) 116-2959"/>
    <x v="163"/>
    <x v="0"/>
    <s v="No"/>
    <x v="3"/>
    <s v="L-L-1"/>
    <x v="1"/>
    <n v="2.0605000000000002"/>
    <n v="2"/>
    <n v="1"/>
    <n v="15.85"/>
    <x v="124"/>
    <n v="4.1210000000000004"/>
    <n v="13"/>
  </r>
  <r>
    <s v="MBM-00112-248"/>
    <d v="2019-09-02T00:00:00"/>
    <s v="02"/>
    <x v="0"/>
    <x v="0"/>
    <x v="461"/>
    <x v="461"/>
    <n v="0"/>
    <s v="+1 (203) 490-3839"/>
    <x v="189"/>
    <x v="0"/>
    <s v="Yes"/>
    <x v="3"/>
    <s v="L-L-1"/>
    <x v="1"/>
    <n v="2.0605000000000002"/>
    <n v="5"/>
    <n v="1"/>
    <n v="15.85"/>
    <x v="180"/>
    <n v="10.302500000000002"/>
    <n v="13.000000000000004"/>
  </r>
  <r>
    <s v="EUO-69145-988"/>
    <d v="2021-08-30T00:00:00"/>
    <s v="30"/>
    <x v="3"/>
    <x v="1"/>
    <x v="462"/>
    <x v="462"/>
    <s v="hpallisterds@ning.com"/>
    <s v="+1 (850) 517-1353"/>
    <x v="48"/>
    <x v="0"/>
    <s v="No"/>
    <x v="1"/>
    <s v="E-D-0.2"/>
    <x v="2"/>
    <n v="0.40095000000000003"/>
    <n v="3"/>
    <n v="0.2"/>
    <n v="3.645"/>
    <x v="47"/>
    <n v="1.2028500000000002"/>
    <n v="11.000000000000002"/>
  </r>
  <r>
    <s v="GYA-80327-368"/>
    <d v="2021-06-04T00:00:00"/>
    <s v="04"/>
    <x v="1"/>
    <x v="1"/>
    <x v="463"/>
    <x v="463"/>
    <s v="cmershdt@drupal.org"/>
    <s v="+353 (343) 889-4565"/>
    <x v="262"/>
    <x v="1"/>
    <s v="No"/>
    <x v="2"/>
    <s v="A-D-1"/>
    <x v="2"/>
    <n v="0.89549999999999985"/>
    <n v="4"/>
    <n v="1"/>
    <n v="9.9499999999999993"/>
    <x v="10"/>
    <n v="3.5819999999999994"/>
    <n v="9"/>
  </r>
  <r>
    <s v="TNW-41601-420"/>
    <d v="2020-11-24T00:00:00"/>
    <s v="24"/>
    <x v="11"/>
    <x v="3"/>
    <x v="464"/>
    <x v="464"/>
    <s v="murione5@alexa.com"/>
    <s v="+353 (715) 989-0283"/>
    <x v="263"/>
    <x v="1"/>
    <s v="Yes"/>
    <x v="0"/>
    <s v="R-M-1"/>
    <x v="0"/>
    <n v="0.59699999999999998"/>
    <n v="5"/>
    <n v="1"/>
    <n v="9.9499999999999993"/>
    <x v="12"/>
    <n v="2.9849999999999999"/>
    <n v="6"/>
  </r>
  <r>
    <s v="ALR-62963-723"/>
    <d v="2020-06-21T00:00:00"/>
    <s v="21"/>
    <x v="1"/>
    <x v="3"/>
    <x v="465"/>
    <x v="465"/>
    <n v="0"/>
    <s v="+353 (160) 183-4278"/>
    <x v="146"/>
    <x v="1"/>
    <s v="Yes"/>
    <x v="0"/>
    <s v="R-D-0.2"/>
    <x v="2"/>
    <n v="0.16109999999999997"/>
    <n v="3"/>
    <n v="0.2"/>
    <n v="2.6849999999999996"/>
    <x v="36"/>
    <n v="0.4832999999999999"/>
    <n v="5.9999999999999991"/>
  </r>
  <r>
    <s v="JIG-27636-870"/>
    <d v="2020-07-13T00:00:00"/>
    <s v="13"/>
    <x v="2"/>
    <x v="3"/>
    <x v="466"/>
    <x v="466"/>
    <n v="0"/>
    <s v="+1 (616) 511-3898"/>
    <x v="16"/>
    <x v="0"/>
    <s v="No"/>
    <x v="0"/>
    <s v="R-L-1"/>
    <x v="1"/>
    <n v="0.71699999999999997"/>
    <n v="4"/>
    <n v="1"/>
    <n v="11.95"/>
    <x v="62"/>
    <n v="2.8679999999999999"/>
    <n v="6"/>
  </r>
  <r>
    <s v="CTE-31437-326"/>
    <d v="2019-01-02T00:00:00"/>
    <s v="02"/>
    <x v="4"/>
    <x v="0"/>
    <x v="467"/>
    <x v="467"/>
    <s v="gduckerdx@patch.com"/>
    <s v="+44 (749) 987-9016"/>
    <x v="197"/>
    <x v="2"/>
    <s v="No"/>
    <x v="0"/>
    <s v="R-M-0.2"/>
    <x v="0"/>
    <n v="0.17909999999999998"/>
    <n v="4"/>
    <n v="0.2"/>
    <n v="2.9849999999999999"/>
    <x v="22"/>
    <n v="0.71639999999999993"/>
    <n v="6"/>
  </r>
  <r>
    <s v="CTE-31437-326"/>
    <d v="2019-01-02T00:00:00"/>
    <s v="02"/>
    <x v="4"/>
    <x v="0"/>
    <x v="467"/>
    <x v="467"/>
    <s v="gduckerdx@patch.com"/>
    <s v="+44 (749) 987-9016"/>
    <x v="197"/>
    <x v="2"/>
    <s v="No"/>
    <x v="1"/>
    <s v="E-M-0.2"/>
    <x v="0"/>
    <n v="0.45374999999999999"/>
    <n v="4"/>
    <n v="0.2"/>
    <n v="4.125"/>
    <x v="38"/>
    <n v="1.8149999999999999"/>
    <n v="11"/>
  </r>
  <r>
    <s v="CTE-31437-326"/>
    <d v="2019-01-02T00:00:00"/>
    <s v="02"/>
    <x v="4"/>
    <x v="0"/>
    <x v="467"/>
    <x v="467"/>
    <s v="gduckerdx@patch.com"/>
    <s v="+44 (749) 987-9016"/>
    <x v="197"/>
    <x v="2"/>
    <s v="No"/>
    <x v="3"/>
    <s v="L-D-1"/>
    <x v="2"/>
    <n v="1.6835"/>
    <n v="4"/>
    <n v="1"/>
    <n v="12.95"/>
    <x v="67"/>
    <n v="6.734"/>
    <n v="13"/>
  </r>
  <r>
    <s v="CTE-31437-326"/>
    <d v="2019-01-02T00:00:00"/>
    <s v="02"/>
    <x v="4"/>
    <x v="0"/>
    <x v="467"/>
    <x v="467"/>
    <s v="gduckerdx@patch.com"/>
    <s v="+44 (749) 987-9016"/>
    <x v="197"/>
    <x v="2"/>
    <s v="No"/>
    <x v="3"/>
    <s v="L-L-0.2"/>
    <x v="1"/>
    <n v="0.61814999999999998"/>
    <n v="3"/>
    <n v="0.2"/>
    <n v="4.7549999999999999"/>
    <x v="181"/>
    <n v="1.8544499999999999"/>
    <n v="12.999999999999998"/>
  </r>
  <r>
    <s v="SLD-63003-334"/>
    <d v="2022-02-17T00:00:00"/>
    <s v="17"/>
    <x v="10"/>
    <x v="2"/>
    <x v="468"/>
    <x v="468"/>
    <s v="wstearleye1@census.gov"/>
    <s v="+1 (336) 213-3687"/>
    <x v="264"/>
    <x v="0"/>
    <s v="No"/>
    <x v="3"/>
    <s v="L-M-0.2"/>
    <x v="0"/>
    <n v="0.56745000000000001"/>
    <n v="6"/>
    <n v="0.2"/>
    <n v="4.3650000000000002"/>
    <x v="50"/>
    <n v="3.4047000000000001"/>
    <n v="13"/>
  </r>
  <r>
    <s v="BXN-64230-789"/>
    <d v="2020-12-19T00:00:00"/>
    <s v="19"/>
    <x v="9"/>
    <x v="3"/>
    <x v="469"/>
    <x v="469"/>
    <s v="dwincere2@marriott.com"/>
    <s v="+1 (915) 676-6367"/>
    <x v="87"/>
    <x v="0"/>
    <s v="Yes"/>
    <x v="2"/>
    <s v="A-L-1"/>
    <x v="1"/>
    <n v="1.1655"/>
    <n v="2"/>
    <n v="1"/>
    <n v="12.95"/>
    <x v="109"/>
    <n v="2.331"/>
    <n v="9"/>
  </r>
  <r>
    <s v="XEE-37895-169"/>
    <d v="2019-02-20T00:00:00"/>
    <s v="20"/>
    <x v="10"/>
    <x v="0"/>
    <x v="470"/>
    <x v="470"/>
    <s v="plyfielde3@baidu.com"/>
    <s v="+1 (216) 614-9325"/>
    <x v="265"/>
    <x v="0"/>
    <s v="Yes"/>
    <x v="2"/>
    <s v="A-L-2.5"/>
    <x v="1"/>
    <n v="2.6806499999999995"/>
    <n v="3"/>
    <n v="2.5"/>
    <n v="29.784999999999997"/>
    <x v="49"/>
    <n v="8.0419499999999982"/>
    <n v="8.9999999999999982"/>
  </r>
  <r>
    <s v="ZTX-80764-911"/>
    <d v="2021-01-14T00:00:00"/>
    <s v="14"/>
    <x v="4"/>
    <x v="1"/>
    <x v="471"/>
    <x v="471"/>
    <s v="hperrise4@studiopress.com"/>
    <s v="+353 (954) 293-8675"/>
    <x v="266"/>
    <x v="1"/>
    <s v="No"/>
    <x v="3"/>
    <s v="L-D-0.5"/>
    <x v="2"/>
    <n v="1.0101"/>
    <n v="6"/>
    <n v="0.5"/>
    <n v="7.77"/>
    <x v="162"/>
    <n v="6.0606"/>
    <n v="13"/>
  </r>
  <r>
    <s v="WVT-88135-549"/>
    <d v="2019-11-16T00:00:00"/>
    <s v="16"/>
    <x v="11"/>
    <x v="0"/>
    <x v="464"/>
    <x v="464"/>
    <s v="murione5@alexa.com"/>
    <s v="+353 (715) 989-0283"/>
    <x v="263"/>
    <x v="1"/>
    <s v="Yes"/>
    <x v="2"/>
    <s v="A-D-1"/>
    <x v="2"/>
    <n v="0.89549999999999985"/>
    <n v="3"/>
    <n v="1"/>
    <n v="9.9499999999999993"/>
    <x v="44"/>
    <n v="2.6864999999999997"/>
    <n v="9"/>
  </r>
  <r>
    <s v="IPA-94170-889"/>
    <d v="2019-12-04T00:00:00"/>
    <s v="04"/>
    <x v="9"/>
    <x v="0"/>
    <x v="472"/>
    <x v="472"/>
    <s v="ckide6@narod.ru"/>
    <s v="+353 (866) 707-2603"/>
    <x v="230"/>
    <x v="1"/>
    <s v="Yes"/>
    <x v="0"/>
    <s v="R-L-0.2"/>
    <x v="1"/>
    <n v="0.21509999999999996"/>
    <n v="3"/>
    <n v="0.2"/>
    <n v="3.5849999999999995"/>
    <x v="127"/>
    <n v="0.64529999999999987"/>
    <n v="5.9999999999999991"/>
  </r>
  <r>
    <s v="YQL-63755-365"/>
    <d v="2020-07-31T00:00:00"/>
    <s v="31"/>
    <x v="2"/>
    <x v="3"/>
    <x v="473"/>
    <x v="473"/>
    <s v="cbeinee7@xinhuanet.com"/>
    <s v="+1 (205) 468-0236"/>
    <x v="38"/>
    <x v="0"/>
    <s v="Yes"/>
    <x v="2"/>
    <s v="A-M-0.2"/>
    <x v="0"/>
    <n v="0.30374999999999996"/>
    <n v="4"/>
    <n v="0.2"/>
    <n v="3.375"/>
    <x v="72"/>
    <n v="1.2149999999999999"/>
    <n v="8.9999999999999982"/>
  </r>
  <r>
    <s v="RKW-81145-984"/>
    <d v="2019-03-11T00:00:00"/>
    <s v="11"/>
    <x v="6"/>
    <x v="0"/>
    <x v="474"/>
    <x v="474"/>
    <s v="cbakeupe8@globo.com"/>
    <s v="+1 (320) 375-8504"/>
    <x v="267"/>
    <x v="0"/>
    <s v="No"/>
    <x v="3"/>
    <s v="L-L-1"/>
    <x v="1"/>
    <n v="2.0605000000000002"/>
    <n v="3"/>
    <n v="1"/>
    <n v="15.85"/>
    <x v="46"/>
    <n v="6.1815000000000007"/>
    <n v="13.000000000000004"/>
  </r>
  <r>
    <s v="MBT-23379-866"/>
    <d v="2022-05-10T00:00:00"/>
    <s v="10"/>
    <x v="5"/>
    <x v="2"/>
    <x v="475"/>
    <x v="475"/>
    <s v="nhelkine9@example.com"/>
    <n v="0"/>
    <x v="11"/>
    <x v="0"/>
    <s v="No"/>
    <x v="3"/>
    <s v="L-L-1"/>
    <x v="1"/>
    <n v="2.0605000000000002"/>
    <n v="5"/>
    <n v="1"/>
    <n v="15.85"/>
    <x v="180"/>
    <n v="10.302500000000002"/>
    <n v="13.000000000000004"/>
  </r>
  <r>
    <s v="GEJ-39834-935"/>
    <d v="2021-12-25T00:00:00"/>
    <s v="25"/>
    <x v="9"/>
    <x v="1"/>
    <x v="476"/>
    <x v="476"/>
    <s v="pwitheringtonea@networkadvertising.org"/>
    <s v="+1 (810) 202-8870"/>
    <x v="135"/>
    <x v="0"/>
    <s v="Yes"/>
    <x v="3"/>
    <s v="L-M-0.2"/>
    <x v="0"/>
    <n v="0.56745000000000001"/>
    <n v="6"/>
    <n v="0.2"/>
    <n v="4.3650000000000002"/>
    <x v="50"/>
    <n v="3.4047000000000001"/>
    <n v="13"/>
  </r>
  <r>
    <s v="KRW-91640-596"/>
    <d v="2022-04-22T00:00:00"/>
    <s v="22"/>
    <x v="8"/>
    <x v="2"/>
    <x v="477"/>
    <x v="477"/>
    <s v="ttilzeyeb@hostgator.com"/>
    <s v="+1 (314) 876-7205"/>
    <x v="10"/>
    <x v="0"/>
    <s v="No"/>
    <x v="0"/>
    <s v="R-L-0.5"/>
    <x v="1"/>
    <n v="0.43019999999999992"/>
    <n v="3"/>
    <n v="0.5"/>
    <n v="7.169999999999999"/>
    <x v="137"/>
    <n v="1.2905999999999997"/>
    <n v="5.9999999999999991"/>
  </r>
  <r>
    <s v="AOT-70449-651"/>
    <d v="2022-06-11T00:00:00"/>
    <s v="11"/>
    <x v="1"/>
    <x v="2"/>
    <x v="478"/>
    <x v="478"/>
    <n v="0"/>
    <s v="+1 (518) 562-5402"/>
    <x v="268"/>
    <x v="0"/>
    <s v="Yes"/>
    <x v="0"/>
    <s v="R-D-2.5"/>
    <x v="2"/>
    <n v="1.2350999999999999"/>
    <n v="5"/>
    <n v="2.5"/>
    <n v="20.584999999999997"/>
    <x v="182"/>
    <n v="6.1754999999999995"/>
    <n v="6.0000000000000009"/>
  </r>
  <r>
    <s v="DGC-21813-731"/>
    <d v="2022-04-27T00:00:00"/>
    <s v="27"/>
    <x v="8"/>
    <x v="2"/>
    <x v="479"/>
    <x v="479"/>
    <n v="0"/>
    <s v="+1 (863) 303-5561"/>
    <x v="269"/>
    <x v="0"/>
    <s v="No"/>
    <x v="3"/>
    <s v="L-D-0.2"/>
    <x v="2"/>
    <n v="0.50505"/>
    <n v="2"/>
    <n v="0.2"/>
    <n v="3.8849999999999998"/>
    <x v="41"/>
    <n v="1.0101"/>
    <n v="13"/>
  </r>
  <r>
    <s v="JBE-92943-643"/>
    <d v="2020-12-29T00:00:00"/>
    <s v="29"/>
    <x v="9"/>
    <x v="3"/>
    <x v="480"/>
    <x v="480"/>
    <s v="kimortsee@alexa.com"/>
    <s v="+1 (321) 156-1160"/>
    <x v="270"/>
    <x v="0"/>
    <s v="No"/>
    <x v="1"/>
    <s v="E-D-2.5"/>
    <x v="2"/>
    <n v="3.07395"/>
    <n v="5"/>
    <n v="2.5"/>
    <n v="27.945"/>
    <x v="141"/>
    <n v="15.36975"/>
    <n v="11"/>
  </r>
  <r>
    <s v="ZIL-34948-499"/>
    <d v="2020-07-14T00:00:00"/>
    <s v="14"/>
    <x v="2"/>
    <x v="3"/>
    <x v="464"/>
    <x v="464"/>
    <s v="murione5@alexa.com"/>
    <s v="+353 (715) 989-0283"/>
    <x v="263"/>
    <x v="1"/>
    <s v="Yes"/>
    <x v="2"/>
    <s v="A-D-0.5"/>
    <x v="2"/>
    <n v="0.5373"/>
    <n v="2"/>
    <n v="0.5"/>
    <n v="5.97"/>
    <x v="22"/>
    <n v="1.0746"/>
    <n v="9.0000000000000018"/>
  </r>
  <r>
    <s v="JSU-23781-256"/>
    <d v="2021-09-07T00:00:00"/>
    <s v="07"/>
    <x v="0"/>
    <x v="1"/>
    <x v="481"/>
    <x v="481"/>
    <s v="marmisteadeg@blogtalkradio.com"/>
    <s v="+1 (504) 611-3400"/>
    <x v="32"/>
    <x v="0"/>
    <s v="No"/>
    <x v="3"/>
    <s v="L-D-0.2"/>
    <x v="2"/>
    <n v="0.50505"/>
    <n v="1"/>
    <n v="0.2"/>
    <n v="3.8849999999999998"/>
    <x v="84"/>
    <n v="0.50505"/>
    <n v="13"/>
  </r>
  <r>
    <s v="JSU-23781-256"/>
    <d v="2021-09-07T00:00:00"/>
    <s v="07"/>
    <x v="0"/>
    <x v="1"/>
    <x v="481"/>
    <x v="481"/>
    <s v="marmisteadeg@blogtalkradio.com"/>
    <s v="+1 (504) 611-3400"/>
    <x v="32"/>
    <x v="0"/>
    <s v="No"/>
    <x v="0"/>
    <s v="R-M-1"/>
    <x v="0"/>
    <n v="0.59699999999999998"/>
    <n v="4"/>
    <n v="1"/>
    <n v="9.9499999999999993"/>
    <x v="10"/>
    <n v="2.3879999999999999"/>
    <n v="6.0000000000000009"/>
  </r>
  <r>
    <s v="VPX-44956-367"/>
    <d v="2019-06-09T00:00:00"/>
    <s v="09"/>
    <x v="1"/>
    <x v="0"/>
    <x v="482"/>
    <x v="482"/>
    <s v="vupstoneei@google.pl"/>
    <s v="+1 (785) 366-9983"/>
    <x v="210"/>
    <x v="0"/>
    <s v="No"/>
    <x v="0"/>
    <s v="R-M-0.5"/>
    <x v="0"/>
    <n v="0.35819999999999996"/>
    <n v="5"/>
    <n v="0.5"/>
    <n v="5.97"/>
    <x v="44"/>
    <n v="1.7909999999999999"/>
    <n v="6.0000000000000009"/>
  </r>
  <r>
    <s v="VTB-46451-959"/>
    <d v="2020-10-25T00:00:00"/>
    <s v="25"/>
    <x v="7"/>
    <x v="3"/>
    <x v="483"/>
    <x v="483"/>
    <s v="bbeelbyej@rediff.com"/>
    <s v="+353 (537) 360-4393"/>
    <x v="271"/>
    <x v="1"/>
    <s v="No"/>
    <x v="3"/>
    <s v="L-D-2.5"/>
    <x v="2"/>
    <n v="3.8720499999999998"/>
    <n v="1"/>
    <n v="2.5"/>
    <n v="29.784999999999997"/>
    <x v="91"/>
    <n v="3.8720499999999998"/>
    <n v="13"/>
  </r>
  <r>
    <s v="DNZ-11665-950"/>
    <d v="2021-02-28T00:00:00"/>
    <s v="28"/>
    <x v="10"/>
    <x v="1"/>
    <x v="484"/>
    <x v="484"/>
    <n v="0"/>
    <s v="+1 (217) 450-8384"/>
    <x v="64"/>
    <x v="0"/>
    <s v="No"/>
    <x v="3"/>
    <s v="L-L-2.5"/>
    <x v="1"/>
    <n v="4.7391499999999995"/>
    <n v="2"/>
    <n v="2.5"/>
    <n v="36.454999999999998"/>
    <x v="37"/>
    <n v="9.4782999999999991"/>
    <n v="13"/>
  </r>
  <r>
    <s v="ITR-54735-364"/>
    <d v="2020-07-26T00:00:00"/>
    <s v="26"/>
    <x v="2"/>
    <x v="3"/>
    <x v="485"/>
    <x v="485"/>
    <n v="0"/>
    <s v="+1 (856) 793-3491"/>
    <x v="272"/>
    <x v="0"/>
    <s v="Yes"/>
    <x v="0"/>
    <s v="R-D-0.2"/>
    <x v="2"/>
    <n v="0.16109999999999997"/>
    <n v="5"/>
    <n v="0.2"/>
    <n v="2.6849999999999996"/>
    <x v="148"/>
    <n v="0.80549999999999988"/>
    <n v="6.0000000000000009"/>
  </r>
  <r>
    <s v="YDS-02797-307"/>
    <d v="2022-06-05T00:00:00"/>
    <s v="05"/>
    <x v="1"/>
    <x v="2"/>
    <x v="486"/>
    <x v="486"/>
    <s v="wspeechlyem@amazon.com"/>
    <s v="+1 (206) 440-5750"/>
    <x v="208"/>
    <x v="0"/>
    <s v="Yes"/>
    <x v="1"/>
    <s v="E-M-2.5"/>
    <x v="0"/>
    <n v="3.4787499999999998"/>
    <n v="4"/>
    <n v="2.5"/>
    <n v="31.624999999999996"/>
    <x v="177"/>
    <n v="13.914999999999999"/>
    <n v="11"/>
  </r>
  <r>
    <s v="BPG-68988-842"/>
    <d v="2019-02-21T00:00:00"/>
    <s v="21"/>
    <x v="10"/>
    <x v="0"/>
    <x v="487"/>
    <x v="487"/>
    <s v="iphillpoten@buzzfeed.com"/>
    <s v="+44 (610) 826-3107"/>
    <x v="52"/>
    <x v="2"/>
    <s v="No"/>
    <x v="1"/>
    <s v="E-M-0.5"/>
    <x v="0"/>
    <n v="0.90749999999999997"/>
    <n v="5"/>
    <n v="0.5"/>
    <n v="8.25"/>
    <x v="1"/>
    <n v="4.5374999999999996"/>
    <n v="10.999999999999998"/>
  </r>
  <r>
    <s v="XZG-51938-658"/>
    <d v="2020-04-05T00:00:00"/>
    <s v="05"/>
    <x v="8"/>
    <x v="3"/>
    <x v="488"/>
    <x v="488"/>
    <s v="lpennaccieo@statcounter.com"/>
    <s v="+1 (254) 597-0519"/>
    <x v="273"/>
    <x v="0"/>
    <s v="No"/>
    <x v="1"/>
    <s v="E-L-0.5"/>
    <x v="1"/>
    <n v="0.98009999999999997"/>
    <n v="6"/>
    <n v="0.5"/>
    <n v="8.91"/>
    <x v="119"/>
    <n v="5.8805999999999994"/>
    <n v="10.999999999999998"/>
  </r>
  <r>
    <s v="KAR-24978-271"/>
    <d v="2019-01-10T00:00:00"/>
    <s v="10"/>
    <x v="4"/>
    <x v="0"/>
    <x v="489"/>
    <x v="489"/>
    <s v="sarpinep@moonfruit.com"/>
    <s v="+1 (804) 588-4160"/>
    <x v="8"/>
    <x v="0"/>
    <s v="No"/>
    <x v="0"/>
    <s v="R-M-1"/>
    <x v="0"/>
    <n v="0.59699999999999998"/>
    <n v="6"/>
    <n v="1"/>
    <n v="9.9499999999999993"/>
    <x v="33"/>
    <n v="3.5819999999999999"/>
    <n v="6.0000000000000009"/>
  </r>
  <r>
    <s v="FQK-28730-361"/>
    <d v="2022-04-12T00:00:00"/>
    <s v="12"/>
    <x v="8"/>
    <x v="2"/>
    <x v="490"/>
    <x v="490"/>
    <s v="dfrieseq@cargocollective.com"/>
    <s v="+1 (419) 138-9171"/>
    <x v="45"/>
    <x v="0"/>
    <s v="No"/>
    <x v="0"/>
    <s v="R-M-1"/>
    <x v="0"/>
    <n v="0.59699999999999998"/>
    <n v="6"/>
    <n v="1"/>
    <n v="9.9499999999999993"/>
    <x v="33"/>
    <n v="3.5819999999999999"/>
    <n v="6.0000000000000009"/>
  </r>
  <r>
    <s v="BGB-67996-089"/>
    <d v="2022-01-30T00:00:00"/>
    <s v="30"/>
    <x v="4"/>
    <x v="2"/>
    <x v="491"/>
    <x v="491"/>
    <s v="rsharerer@flavors.me"/>
    <s v="+1 (304) 632-1951"/>
    <x v="90"/>
    <x v="0"/>
    <s v="No"/>
    <x v="0"/>
    <s v="R-D-1"/>
    <x v="2"/>
    <n v="0.53699999999999992"/>
    <n v="5"/>
    <n v="1"/>
    <n v="8.9499999999999993"/>
    <x v="153"/>
    <n v="2.6849999999999996"/>
    <n v="5.9999999999999991"/>
  </r>
  <r>
    <s v="XMC-20620-809"/>
    <d v="2021-05-14T00:00:00"/>
    <s v="14"/>
    <x v="5"/>
    <x v="1"/>
    <x v="492"/>
    <x v="492"/>
    <s v="nnasebyes@umich.edu"/>
    <s v="+1 (407) 225-7234"/>
    <x v="274"/>
    <x v="0"/>
    <s v="Yes"/>
    <x v="1"/>
    <s v="E-M-0.5"/>
    <x v="0"/>
    <n v="0.90749999999999997"/>
    <n v="2"/>
    <n v="0.5"/>
    <n v="8.25"/>
    <x v="38"/>
    <n v="1.8149999999999999"/>
    <n v="11"/>
  </r>
  <r>
    <s v="ZSO-58292-191"/>
    <d v="2022-06-12T00:00:00"/>
    <s v="12"/>
    <x v="1"/>
    <x v="2"/>
    <x v="493"/>
    <x v="493"/>
    <n v="0"/>
    <s v="+1 (214) 171-1701"/>
    <x v="68"/>
    <x v="0"/>
    <s v="No"/>
    <x v="0"/>
    <s v="R-D-0.5"/>
    <x v="2"/>
    <n v="0.32219999999999993"/>
    <n v="4"/>
    <n v="0.5"/>
    <n v="5.3699999999999992"/>
    <x v="155"/>
    <n v="1.2887999999999997"/>
    <n v="6"/>
  </r>
  <r>
    <s v="LWJ-06793-303"/>
    <d v="2022-01-02T00:00:00"/>
    <s v="02"/>
    <x v="4"/>
    <x v="2"/>
    <x v="494"/>
    <x v="494"/>
    <s v="koculleneu@ca.gov"/>
    <s v="+353 (284) 183-7528"/>
    <x v="72"/>
    <x v="1"/>
    <s v="Yes"/>
    <x v="0"/>
    <s v="R-M-2.5"/>
    <x v="0"/>
    <n v="1.3730999999999998"/>
    <n v="2"/>
    <n v="2.5"/>
    <n v="22.884999999999998"/>
    <x v="135"/>
    <n v="2.7461999999999995"/>
    <n v="6"/>
  </r>
  <r>
    <s v="FLM-82229-989"/>
    <d v="2022-01-24T00:00:00"/>
    <s v="24"/>
    <x v="4"/>
    <x v="2"/>
    <x v="495"/>
    <x v="495"/>
    <n v="0"/>
    <s v="+353 (316) 279-4429"/>
    <x v="104"/>
    <x v="1"/>
    <s v="No"/>
    <x v="3"/>
    <s v="L-L-0.2"/>
    <x v="1"/>
    <n v="0.61814999999999998"/>
    <n v="2"/>
    <n v="0.2"/>
    <n v="4.7549999999999999"/>
    <x v="54"/>
    <n v="1.2363"/>
    <n v="13"/>
  </r>
  <r>
    <s v="CPV-90280-133"/>
    <d v="2019-03-20T00:00:00"/>
    <s v="20"/>
    <x v="6"/>
    <x v="0"/>
    <x v="464"/>
    <x v="464"/>
    <s v="murione5@alexa.com"/>
    <s v="+353 (715) 989-0283"/>
    <x v="263"/>
    <x v="1"/>
    <s v="Yes"/>
    <x v="0"/>
    <s v="R-D-0.2"/>
    <x v="2"/>
    <n v="0.16109999999999997"/>
    <n v="3"/>
    <n v="0.2"/>
    <n v="2.6849999999999996"/>
    <x v="36"/>
    <n v="0.4832999999999999"/>
    <n v="5.9999999999999991"/>
  </r>
  <r>
    <s v="OGW-60685-912"/>
    <d v="2020-11-21T00:00:00"/>
    <s v="21"/>
    <x v="11"/>
    <x v="3"/>
    <x v="496"/>
    <x v="496"/>
    <s v="hbranganex@woothemes.com"/>
    <n v="0"/>
    <x v="98"/>
    <x v="0"/>
    <s v="Yes"/>
    <x v="1"/>
    <s v="E-D-2.5"/>
    <x v="2"/>
    <n v="3.07395"/>
    <n v="4"/>
    <n v="2.5"/>
    <n v="27.945"/>
    <x v="150"/>
    <n v="12.2958"/>
    <n v="11"/>
  </r>
  <r>
    <s v="DEC-11160-362"/>
    <d v="2021-10-13T00:00:00"/>
    <s v="13"/>
    <x v="7"/>
    <x v="1"/>
    <x v="497"/>
    <x v="497"/>
    <s v="agallyoney@engadget.com"/>
    <n v="0"/>
    <x v="275"/>
    <x v="0"/>
    <s v="Yes"/>
    <x v="0"/>
    <s v="R-D-0.2"/>
    <x v="2"/>
    <n v="0.16109999999999997"/>
    <n v="4"/>
    <n v="0.2"/>
    <n v="2.6849999999999996"/>
    <x v="175"/>
    <n v="0.64439999999999986"/>
    <n v="6"/>
  </r>
  <r>
    <s v="WCT-07869-499"/>
    <d v="2021-10-19T00:00:00"/>
    <s v="19"/>
    <x v="7"/>
    <x v="1"/>
    <x v="498"/>
    <x v="498"/>
    <s v="bdomangeez@yahoo.co.jp"/>
    <n v="0"/>
    <x v="27"/>
    <x v="0"/>
    <s v="No"/>
    <x v="0"/>
    <s v="R-D-0.5"/>
    <x v="2"/>
    <n v="0.32219999999999993"/>
    <n v="5"/>
    <n v="0.5"/>
    <n v="5.3699999999999992"/>
    <x v="51"/>
    <n v="1.6109999999999998"/>
    <n v="6.0000000000000009"/>
  </r>
  <r>
    <s v="FHD-89872-325"/>
    <d v="2019-04-29T00:00:00"/>
    <s v="29"/>
    <x v="8"/>
    <x v="0"/>
    <x v="499"/>
    <x v="499"/>
    <s v="koslerf0@gmpg.org"/>
    <s v="+1 (517) 647-5356"/>
    <x v="133"/>
    <x v="0"/>
    <s v="Yes"/>
    <x v="3"/>
    <s v="L-L-1"/>
    <x v="1"/>
    <n v="2.0605000000000002"/>
    <n v="4"/>
    <n v="1"/>
    <n v="15.85"/>
    <x v="165"/>
    <n v="8.2420000000000009"/>
    <n v="13"/>
  </r>
  <r>
    <s v="AZF-45991-584"/>
    <d v="2019-10-12T00:00:00"/>
    <s v="12"/>
    <x v="7"/>
    <x v="0"/>
    <x v="500"/>
    <x v="500"/>
    <n v="0"/>
    <s v="+353 (963) 987-6580"/>
    <x v="276"/>
    <x v="1"/>
    <s v="Yes"/>
    <x v="2"/>
    <s v="A-D-2.5"/>
    <x v="2"/>
    <n v="2.0596499999999995"/>
    <n v="1"/>
    <n v="2.5"/>
    <n v="22.884999999999998"/>
    <x v="156"/>
    <n v="2.0596499999999995"/>
    <n v="8.9999999999999982"/>
  </r>
  <r>
    <s v="MDG-14481-513"/>
    <d v="2021-05-19T00:00:00"/>
    <s v="19"/>
    <x v="5"/>
    <x v="1"/>
    <x v="501"/>
    <x v="501"/>
    <s v="zpellettf2@dailymotion.com"/>
    <s v="+1 (318) 218-5955"/>
    <x v="212"/>
    <x v="0"/>
    <s v="No"/>
    <x v="2"/>
    <s v="A-M-2.5"/>
    <x v="0"/>
    <n v="2.3287499999999994"/>
    <n v="4"/>
    <n v="2.5"/>
    <n v="25.874999999999996"/>
    <x v="68"/>
    <n v="9.3149999999999977"/>
    <n v="9"/>
  </r>
  <r>
    <s v="OFN-49424-848"/>
    <d v="2021-07-03T00:00:00"/>
    <s v="03"/>
    <x v="2"/>
    <x v="1"/>
    <x v="502"/>
    <x v="502"/>
    <s v="isprakesf3@spiegel.de"/>
    <s v="+1 (408) 319-9787"/>
    <x v="7"/>
    <x v="0"/>
    <s v="No"/>
    <x v="0"/>
    <s v="R-L-2.5"/>
    <x v="1"/>
    <n v="1.6490999999999998"/>
    <n v="2"/>
    <n v="2.5"/>
    <n v="27.484999999999996"/>
    <x v="4"/>
    <n v="3.2981999999999996"/>
    <n v="6.0000000000000009"/>
  </r>
  <r>
    <s v="NFA-03411-746"/>
    <d v="2020-02-08T00:00:00"/>
    <s v="08"/>
    <x v="10"/>
    <x v="3"/>
    <x v="503"/>
    <x v="503"/>
    <s v="hfromantf4@ucsd.edu"/>
    <s v="+1 (610) 156-1700"/>
    <x v="11"/>
    <x v="0"/>
    <s v="No"/>
    <x v="2"/>
    <s v="A-L-0.5"/>
    <x v="1"/>
    <n v="0.69929999999999992"/>
    <n v="2"/>
    <n v="0.5"/>
    <n v="7.77"/>
    <x v="42"/>
    <n v="1.3985999999999998"/>
    <n v="9"/>
  </r>
  <r>
    <s v="CYM-74988-450"/>
    <d v="2020-10-16T00:00:00"/>
    <s v="16"/>
    <x v="7"/>
    <x v="3"/>
    <x v="504"/>
    <x v="504"/>
    <s v="rflearf5@artisteer.com"/>
    <s v="+44 (271) 881-4912"/>
    <x v="172"/>
    <x v="2"/>
    <s v="No"/>
    <x v="3"/>
    <s v="L-D-0.2"/>
    <x v="2"/>
    <n v="0.50505"/>
    <n v="4"/>
    <n v="0.2"/>
    <n v="3.8849999999999998"/>
    <x v="42"/>
    <n v="2.0202"/>
    <n v="13"/>
  </r>
  <r>
    <s v="WTV-24996-658"/>
    <d v="2020-10-23T00:00:00"/>
    <s v="23"/>
    <x v="7"/>
    <x v="3"/>
    <x v="505"/>
    <x v="505"/>
    <n v="0"/>
    <s v="+353 (361) 732-3444"/>
    <x v="277"/>
    <x v="1"/>
    <s v="No"/>
    <x v="1"/>
    <s v="E-D-2.5"/>
    <x v="2"/>
    <n v="3.07395"/>
    <n v="3"/>
    <n v="2.5"/>
    <n v="27.945"/>
    <x v="171"/>
    <n v="9.2218499999999999"/>
    <n v="10.999999999999998"/>
  </r>
  <r>
    <s v="DSL-69915-544"/>
    <d v="2021-03-10T00:00:00"/>
    <s v="10"/>
    <x v="6"/>
    <x v="1"/>
    <x v="506"/>
    <x v="506"/>
    <s v="wlightollersf9@baidu.com"/>
    <s v="+1 (646) 793-8756"/>
    <x v="15"/>
    <x v="0"/>
    <s v="Yes"/>
    <x v="0"/>
    <s v="R-L-0.2"/>
    <x v="1"/>
    <n v="0.21509999999999996"/>
    <n v="3"/>
    <n v="0.2"/>
    <n v="3.5849999999999995"/>
    <x v="127"/>
    <n v="0.64529999999999987"/>
    <n v="5.9999999999999991"/>
  </r>
  <r>
    <s v="NBT-35757-542"/>
    <d v="2021-07-07T00:00:00"/>
    <s v="07"/>
    <x v="2"/>
    <x v="1"/>
    <x v="507"/>
    <x v="507"/>
    <s v="bmundenf8@elpais.com"/>
    <s v="+1 (405) 290-3207"/>
    <x v="101"/>
    <x v="0"/>
    <s v="Yes"/>
    <x v="1"/>
    <s v="E-L-0.2"/>
    <x v="1"/>
    <n v="0.49004999999999999"/>
    <n v="3"/>
    <n v="0.2"/>
    <n v="4.4550000000000001"/>
    <x v="77"/>
    <n v="1.4701499999999998"/>
    <n v="10.999999999999998"/>
  </r>
  <r>
    <s v="OYU-25085-528"/>
    <d v="2021-02-05T00:00:00"/>
    <s v="05"/>
    <x v="10"/>
    <x v="1"/>
    <x v="506"/>
    <x v="506"/>
    <s v="wlightollersf9@baidu.com"/>
    <s v="+1 (646) 793-8756"/>
    <x v="15"/>
    <x v="0"/>
    <s v="Yes"/>
    <x v="1"/>
    <s v="E-L-0.2"/>
    <x v="1"/>
    <n v="0.49004999999999999"/>
    <n v="4"/>
    <n v="0.2"/>
    <n v="4.4550000000000001"/>
    <x v="58"/>
    <n v="1.9601999999999999"/>
    <n v="11"/>
  </r>
  <r>
    <s v="XCG-07109-195"/>
    <d v="2020-12-11T00:00:00"/>
    <s v="11"/>
    <x v="9"/>
    <x v="3"/>
    <x v="508"/>
    <x v="508"/>
    <s v="nbrakespearfa@rediff.com"/>
    <s v="+1 (973) 380-3976"/>
    <x v="55"/>
    <x v="0"/>
    <s v="Yes"/>
    <x v="3"/>
    <s v="L-D-0.2"/>
    <x v="2"/>
    <n v="0.50505"/>
    <n v="6"/>
    <n v="0.2"/>
    <n v="3.8849999999999998"/>
    <x v="102"/>
    <n v="3.0303"/>
    <n v="13"/>
  </r>
  <r>
    <s v="YZA-25234-630"/>
    <d v="2022-05-13T00:00:00"/>
    <s v="13"/>
    <x v="5"/>
    <x v="2"/>
    <x v="509"/>
    <x v="509"/>
    <s v="mglawsopfb@reverbnation.com"/>
    <s v="+1 (203) 608-9937"/>
    <x v="226"/>
    <x v="0"/>
    <s v="No"/>
    <x v="1"/>
    <s v="E-D-0.2"/>
    <x v="2"/>
    <n v="0.40095000000000003"/>
    <n v="2"/>
    <n v="0.2"/>
    <n v="3.645"/>
    <x v="35"/>
    <n v="0.80190000000000006"/>
    <n v="11"/>
  </r>
  <r>
    <s v="OKU-29966-417"/>
    <d v="2019-10-23T00:00:00"/>
    <s v="23"/>
    <x v="7"/>
    <x v="0"/>
    <x v="510"/>
    <x v="510"/>
    <s v="galbertsfc@etsy.com"/>
    <s v="+44 (788) 686-0408"/>
    <x v="197"/>
    <x v="2"/>
    <s v="Yes"/>
    <x v="1"/>
    <s v="E-L-0.2"/>
    <x v="1"/>
    <n v="0.49004999999999999"/>
    <n v="4"/>
    <n v="0.2"/>
    <n v="4.4550000000000001"/>
    <x v="58"/>
    <n v="1.9601999999999999"/>
    <n v="11"/>
  </r>
  <r>
    <s v="MEX-29350-659"/>
    <d v="2020-09-11T00:00:00"/>
    <s v="11"/>
    <x v="0"/>
    <x v="3"/>
    <x v="511"/>
    <x v="511"/>
    <s v="vpolglasefd@about.me"/>
    <n v="0"/>
    <x v="45"/>
    <x v="0"/>
    <s v="No"/>
    <x v="1"/>
    <s v="E-M-1"/>
    <x v="0"/>
    <n v="1.5125"/>
    <n v="5"/>
    <n v="1"/>
    <n v="13.75"/>
    <x v="85"/>
    <n v="7.5625"/>
    <n v="11"/>
  </r>
  <r>
    <s v="NOY-99738-977"/>
    <d v="2019-09-29T00:00:00"/>
    <s v="29"/>
    <x v="0"/>
    <x v="0"/>
    <x v="512"/>
    <x v="512"/>
    <n v="0"/>
    <s v="+44 (572) 727-1868"/>
    <x v="176"/>
    <x v="2"/>
    <s v="Yes"/>
    <x v="0"/>
    <s v="R-L-2.5"/>
    <x v="1"/>
    <n v="1.6490999999999998"/>
    <n v="2"/>
    <n v="2.5"/>
    <n v="27.484999999999996"/>
    <x v="4"/>
    <n v="3.2981999999999996"/>
    <n v="6.0000000000000009"/>
  </r>
  <r>
    <s v="TCR-01064-030"/>
    <d v="2021-03-03T00:00:00"/>
    <s v="03"/>
    <x v="6"/>
    <x v="1"/>
    <x v="513"/>
    <x v="513"/>
    <s v="sbuschff@so-net.ne.jp"/>
    <s v="+353 (953) 333-8754"/>
    <x v="278"/>
    <x v="1"/>
    <s v="No"/>
    <x v="1"/>
    <s v="E-M-1"/>
    <x v="0"/>
    <n v="1.5125"/>
    <n v="6"/>
    <n v="1"/>
    <n v="13.75"/>
    <x v="121"/>
    <n v="9.0749999999999993"/>
    <n v="10.999999999999998"/>
  </r>
  <r>
    <s v="YUL-42750-776"/>
    <d v="2021-11-23T00:00:00"/>
    <s v="23"/>
    <x v="11"/>
    <x v="1"/>
    <x v="514"/>
    <x v="514"/>
    <s v="craisbeckfg@webnode.com"/>
    <n v="0"/>
    <x v="212"/>
    <x v="0"/>
    <s v="Yes"/>
    <x v="3"/>
    <s v="L-M-0.2"/>
    <x v="0"/>
    <n v="0.56745000000000001"/>
    <n v="2"/>
    <n v="0.2"/>
    <n v="4.3650000000000002"/>
    <x v="31"/>
    <n v="1.1349"/>
    <n v="13"/>
  </r>
  <r>
    <s v="XQJ-86887-506"/>
    <d v="2021-11-06T00:00:00"/>
    <s v="06"/>
    <x v="11"/>
    <x v="1"/>
    <x v="464"/>
    <x v="464"/>
    <s v="murione5@alexa.com"/>
    <s v="+353 (715) 989-0283"/>
    <x v="263"/>
    <x v="1"/>
    <s v="Yes"/>
    <x v="1"/>
    <s v="E-L-1"/>
    <x v="1"/>
    <n v="1.6335"/>
    <n v="4"/>
    <n v="1"/>
    <n v="14.85"/>
    <x v="48"/>
    <n v="6.5339999999999998"/>
    <n v="11"/>
  </r>
  <r>
    <s v="CUN-90044-279"/>
    <d v="2021-01-29T00:00:00"/>
    <s v="29"/>
    <x v="4"/>
    <x v="1"/>
    <x v="515"/>
    <x v="515"/>
    <n v="0"/>
    <s v="+1 (859) 628-7241"/>
    <x v="193"/>
    <x v="0"/>
    <s v="Yes"/>
    <x v="3"/>
    <s v="L-D-0.2"/>
    <x v="2"/>
    <n v="0.50505"/>
    <n v="4"/>
    <n v="0.2"/>
    <n v="3.8849999999999998"/>
    <x v="42"/>
    <n v="2.0202"/>
    <n v="13"/>
  </r>
  <r>
    <s v="ICC-73030-502"/>
    <d v="2022-04-16T00:00:00"/>
    <s v="16"/>
    <x v="8"/>
    <x v="2"/>
    <x v="516"/>
    <x v="516"/>
    <s v="raynoldfj@ustream.tv"/>
    <s v="+1 (414) 429-0919"/>
    <x v="166"/>
    <x v="0"/>
    <s v="Yes"/>
    <x v="2"/>
    <s v="A-L-1"/>
    <x v="1"/>
    <n v="1.1655"/>
    <n v="3"/>
    <n v="1"/>
    <n v="12.95"/>
    <x v="5"/>
    <n v="3.4965000000000002"/>
    <n v="9.0000000000000018"/>
  </r>
  <r>
    <s v="ADP-04506-084"/>
    <d v="2021-07-24T00:00:00"/>
    <s v="24"/>
    <x v="2"/>
    <x v="1"/>
    <x v="517"/>
    <x v="517"/>
    <n v="0"/>
    <s v="+1 (281) 416-9557"/>
    <x v="279"/>
    <x v="0"/>
    <s v="Yes"/>
    <x v="1"/>
    <s v="E-M-2.5"/>
    <x v="0"/>
    <n v="3.4787499999999998"/>
    <n v="6"/>
    <n v="2.5"/>
    <n v="31.624999999999996"/>
    <x v="152"/>
    <n v="20.872499999999999"/>
    <n v="11.000000000000002"/>
  </r>
  <r>
    <s v="PNU-22150-408"/>
    <d v="2019-08-11T00:00:00"/>
    <s v="11"/>
    <x v="3"/>
    <x v="0"/>
    <x v="518"/>
    <x v="518"/>
    <n v="0"/>
    <s v="+353 (652) 208-7526"/>
    <x v="280"/>
    <x v="1"/>
    <s v="Yes"/>
    <x v="2"/>
    <s v="A-D-0.2"/>
    <x v="2"/>
    <n v="0.26865"/>
    <n v="6"/>
    <n v="0.2"/>
    <n v="2.9849999999999999"/>
    <x v="8"/>
    <n v="1.6118999999999999"/>
    <n v="9"/>
  </r>
  <r>
    <s v="VSQ-07182-513"/>
    <d v="2019-07-23T00:00:00"/>
    <s v="23"/>
    <x v="2"/>
    <x v="0"/>
    <x v="519"/>
    <x v="519"/>
    <s v="bgrecefm@naver.com"/>
    <s v="+44 (933) 508-3795"/>
    <x v="281"/>
    <x v="2"/>
    <s v="No"/>
    <x v="3"/>
    <s v="L-L-0.2"/>
    <x v="1"/>
    <n v="0.61814999999999998"/>
    <n v="6"/>
    <n v="0.2"/>
    <n v="4.7549999999999999"/>
    <x v="32"/>
    <n v="3.7088999999999999"/>
    <n v="12.999999999999998"/>
  </r>
  <r>
    <s v="SPF-31673-217"/>
    <d v="2020-06-09T00:00:00"/>
    <s v="09"/>
    <x v="1"/>
    <x v="3"/>
    <x v="520"/>
    <x v="520"/>
    <s v="dflintiffg1@e-recht24.de"/>
    <n v="0"/>
    <x v="282"/>
    <x v="2"/>
    <s v="No"/>
    <x v="1"/>
    <s v="E-M-1"/>
    <x v="0"/>
    <n v="1.5125"/>
    <n v="6"/>
    <n v="1"/>
    <n v="13.75"/>
    <x v="121"/>
    <n v="9.0749999999999993"/>
    <n v="10.999999999999998"/>
  </r>
  <r>
    <s v="NEX-63825-598"/>
    <d v="2020-02-22T00:00:00"/>
    <s v="22"/>
    <x v="10"/>
    <x v="3"/>
    <x v="521"/>
    <x v="521"/>
    <s v="athysfo@cdc.gov"/>
    <s v="+1 (865) 217-6208"/>
    <x v="203"/>
    <x v="0"/>
    <s v="No"/>
    <x v="0"/>
    <s v="R-L-0.5"/>
    <x v="1"/>
    <n v="0.43019999999999992"/>
    <n v="2"/>
    <n v="0.5"/>
    <n v="7.169999999999999"/>
    <x v="79"/>
    <n v="0.86039999999999983"/>
    <n v="6"/>
  </r>
  <r>
    <s v="XPG-66112-335"/>
    <d v="2020-07-19T00:00:00"/>
    <s v="19"/>
    <x v="2"/>
    <x v="3"/>
    <x v="522"/>
    <x v="522"/>
    <s v="jchuggfp@about.me"/>
    <s v="+1 (913) 466-8319"/>
    <x v="153"/>
    <x v="0"/>
    <s v="No"/>
    <x v="0"/>
    <s v="R-D-2.5"/>
    <x v="2"/>
    <n v="1.2350999999999999"/>
    <n v="4"/>
    <n v="2.5"/>
    <n v="20.584999999999997"/>
    <x v="18"/>
    <n v="4.9403999999999995"/>
    <n v="6.0000000000000009"/>
  </r>
  <r>
    <s v="NSQ-72210-345"/>
    <d v="2021-09-20T00:00:00"/>
    <s v="20"/>
    <x v="0"/>
    <x v="1"/>
    <x v="523"/>
    <x v="523"/>
    <s v="akelstonfq@sakura.ne.jp"/>
    <s v="+1 (954) 981-8804"/>
    <x v="42"/>
    <x v="0"/>
    <s v="Yes"/>
    <x v="2"/>
    <s v="A-M-0.2"/>
    <x v="0"/>
    <n v="0.30374999999999996"/>
    <n v="6"/>
    <n v="0.2"/>
    <n v="3.375"/>
    <x v="16"/>
    <n v="1.8224999999999998"/>
    <n v="8.9999999999999982"/>
  </r>
  <r>
    <s v="XRR-28376-277"/>
    <d v="2021-05-02T00:00:00"/>
    <s v="02"/>
    <x v="5"/>
    <x v="1"/>
    <x v="524"/>
    <x v="524"/>
    <n v="0"/>
    <s v="+353 (921) 742-1111"/>
    <x v="21"/>
    <x v="1"/>
    <s v="No"/>
    <x v="0"/>
    <s v="R-L-2.5"/>
    <x v="1"/>
    <n v="1.6490999999999998"/>
    <n v="6"/>
    <n v="2.5"/>
    <n v="27.484999999999996"/>
    <x v="183"/>
    <n v="9.8945999999999987"/>
    <n v="6.0000000000000009"/>
  </r>
  <r>
    <s v="WHQ-25197-475"/>
    <d v="2021-11-26T00:00:00"/>
    <s v="26"/>
    <x v="11"/>
    <x v="1"/>
    <x v="525"/>
    <x v="525"/>
    <s v="cmottramfs@harvard.edu"/>
    <s v="+1 (512) 333-9861"/>
    <x v="79"/>
    <x v="0"/>
    <s v="Yes"/>
    <x v="3"/>
    <s v="L-L-0.2"/>
    <x v="1"/>
    <n v="0.61814999999999998"/>
    <n v="4"/>
    <n v="0.2"/>
    <n v="4.7549999999999999"/>
    <x v="81"/>
    <n v="2.4725999999999999"/>
    <n v="13"/>
  </r>
  <r>
    <s v="HMB-30634-745"/>
    <d v="2020-02-18T00:00:00"/>
    <s v="18"/>
    <x v="10"/>
    <x v="3"/>
    <x v="520"/>
    <x v="520"/>
    <s v="dflintiffg1@e-recht24.de"/>
    <n v="0"/>
    <x v="282"/>
    <x v="2"/>
    <s v="No"/>
    <x v="2"/>
    <s v="A-D-2.5"/>
    <x v="2"/>
    <n v="2.0596499999999995"/>
    <n v="6"/>
    <n v="2.5"/>
    <n v="22.884999999999998"/>
    <x v="170"/>
    <n v="12.357899999999997"/>
    <n v="8.9999999999999982"/>
  </r>
  <r>
    <s v="XTL-68000-371"/>
    <d v="2020-04-07T00:00:00"/>
    <s v="07"/>
    <x v="8"/>
    <x v="3"/>
    <x v="526"/>
    <x v="526"/>
    <s v="dsangwinfu@weebly.com"/>
    <s v="+1 (301) 879-4079"/>
    <x v="283"/>
    <x v="0"/>
    <s v="No"/>
    <x v="2"/>
    <s v="A-M-0.5"/>
    <x v="0"/>
    <n v="0.60749999999999993"/>
    <n v="4"/>
    <n v="0.5"/>
    <n v="6.75"/>
    <x v="25"/>
    <n v="2.4299999999999997"/>
    <n v="8.9999999999999982"/>
  </r>
  <r>
    <s v="YES-51109-625"/>
    <d v="2022-01-31T00:00:00"/>
    <s v="31"/>
    <x v="4"/>
    <x v="2"/>
    <x v="527"/>
    <x v="527"/>
    <s v="eaizikowitzfv@virginia.edu"/>
    <s v="+44 (148) 635-3706"/>
    <x v="284"/>
    <x v="2"/>
    <s v="No"/>
    <x v="1"/>
    <s v="E-L-0.5"/>
    <x v="1"/>
    <n v="0.98009999999999997"/>
    <n v="4"/>
    <n v="0.5"/>
    <n v="8.91"/>
    <x v="70"/>
    <n v="3.9203999999999999"/>
    <n v="11"/>
  </r>
  <r>
    <s v="EAY-89850-211"/>
    <d v="2019-02-19T00:00:00"/>
    <s v="19"/>
    <x v="10"/>
    <x v="0"/>
    <x v="528"/>
    <x v="528"/>
    <n v="0"/>
    <n v="0"/>
    <x v="148"/>
    <x v="0"/>
    <s v="Yes"/>
    <x v="2"/>
    <s v="A-D-0.2"/>
    <x v="2"/>
    <n v="0.26865"/>
    <n v="2"/>
    <n v="0.2"/>
    <n v="2.9849999999999999"/>
    <x v="9"/>
    <n v="0.5373"/>
    <n v="9.0000000000000018"/>
  </r>
  <r>
    <s v="IOQ-84840-827"/>
    <d v="2019-11-12T00:00:00"/>
    <s v="12"/>
    <x v="11"/>
    <x v="0"/>
    <x v="529"/>
    <x v="529"/>
    <s v="cvenourfx@ask.com"/>
    <s v="+1 (318) 578-8039"/>
    <x v="212"/>
    <x v="0"/>
    <s v="No"/>
    <x v="2"/>
    <s v="A-M-1"/>
    <x v="0"/>
    <n v="1.0125"/>
    <n v="6"/>
    <n v="1"/>
    <n v="11.25"/>
    <x v="173"/>
    <n v="6.0749999999999993"/>
    <n v="8.9999999999999982"/>
  </r>
  <r>
    <s v="FBD-56220-430"/>
    <d v="2022-05-16T00:00:00"/>
    <s v="16"/>
    <x v="5"/>
    <x v="2"/>
    <x v="530"/>
    <x v="530"/>
    <s v="mharbyfy@163.com"/>
    <n v="0"/>
    <x v="48"/>
    <x v="0"/>
    <s v="Yes"/>
    <x v="0"/>
    <s v="R-L-0.2"/>
    <x v="1"/>
    <n v="0.21509999999999996"/>
    <n v="6"/>
    <n v="0.2"/>
    <n v="3.5849999999999995"/>
    <x v="137"/>
    <n v="1.2905999999999997"/>
    <n v="5.9999999999999991"/>
  </r>
  <r>
    <s v="COV-52659-202"/>
    <d v="2021-02-12T00:00:00"/>
    <s v="12"/>
    <x v="10"/>
    <x v="1"/>
    <x v="531"/>
    <x v="531"/>
    <s v="rthickpennyfz@cafepress.com"/>
    <s v="+1 (213) 234-9242"/>
    <x v="6"/>
    <x v="0"/>
    <s v="No"/>
    <x v="3"/>
    <s v="L-M-2.5"/>
    <x v="0"/>
    <n v="4.3504499999999995"/>
    <n v="2"/>
    <n v="2.5"/>
    <n v="33.464999999999996"/>
    <x v="174"/>
    <n v="8.700899999999999"/>
    <n v="13"/>
  </r>
  <r>
    <s v="YUO-76652-814"/>
    <d v="2021-04-04T00:00:00"/>
    <s v="04"/>
    <x v="8"/>
    <x v="1"/>
    <x v="532"/>
    <x v="532"/>
    <s v="pormerodg0@redcross.org"/>
    <s v="+1 (919) 491-2772"/>
    <x v="285"/>
    <x v="0"/>
    <s v="No"/>
    <x v="2"/>
    <s v="A-D-0.2"/>
    <x v="2"/>
    <n v="0.26865"/>
    <n v="6"/>
    <n v="0.2"/>
    <n v="2.9849999999999999"/>
    <x v="8"/>
    <n v="1.6118999999999999"/>
    <n v="9"/>
  </r>
  <r>
    <s v="PBT-36926-102"/>
    <d v="2021-08-02T00:00:00"/>
    <s v="02"/>
    <x v="3"/>
    <x v="1"/>
    <x v="520"/>
    <x v="520"/>
    <s v="dflintiffg1@e-recht24.de"/>
    <n v="0"/>
    <x v="282"/>
    <x v="2"/>
    <s v="No"/>
    <x v="3"/>
    <s v="L-M-1"/>
    <x v="0"/>
    <n v="1.8915000000000002"/>
    <n v="4"/>
    <n v="1"/>
    <n v="14.55"/>
    <x v="125"/>
    <n v="7.5660000000000007"/>
    <n v="13"/>
  </r>
  <r>
    <s v="BLV-60087-454"/>
    <d v="2022-06-08T00:00:00"/>
    <s v="08"/>
    <x v="1"/>
    <x v="2"/>
    <x v="533"/>
    <x v="533"/>
    <s v="tzanettig2@gravatar.com"/>
    <s v="+353 (351) 897-2630"/>
    <x v="286"/>
    <x v="1"/>
    <s v="No"/>
    <x v="1"/>
    <s v="E-L-0.2"/>
    <x v="1"/>
    <n v="0.49004999999999999"/>
    <n v="3"/>
    <n v="0.2"/>
    <n v="4.4550000000000001"/>
    <x v="77"/>
    <n v="1.4701499999999998"/>
    <n v="10.999999999999998"/>
  </r>
  <r>
    <s v="BLV-60087-454"/>
    <d v="2022-06-08T00:00:00"/>
    <s v="08"/>
    <x v="1"/>
    <x v="2"/>
    <x v="533"/>
    <x v="533"/>
    <s v="tzanettig2@gravatar.com"/>
    <s v="+353 (351) 897-2630"/>
    <x v="286"/>
    <x v="1"/>
    <s v="No"/>
    <x v="2"/>
    <s v="A-M-0.5"/>
    <x v="0"/>
    <n v="0.60749999999999993"/>
    <n v="5"/>
    <n v="0.5"/>
    <n v="6.75"/>
    <x v="65"/>
    <n v="3.0374999999999996"/>
    <n v="8.9999999999999982"/>
  </r>
  <r>
    <s v="QYC-63914-195"/>
    <d v="2020-05-14T00:00:00"/>
    <s v="14"/>
    <x v="5"/>
    <x v="3"/>
    <x v="534"/>
    <x v="534"/>
    <s v="rkirtleyg4@hatena.ne.jp"/>
    <s v="+1 (626) 635-6367"/>
    <x v="127"/>
    <x v="0"/>
    <s v="Yes"/>
    <x v="1"/>
    <s v="E-L-1"/>
    <x v="1"/>
    <n v="1.6335"/>
    <n v="3"/>
    <n v="1"/>
    <n v="14.85"/>
    <x v="69"/>
    <n v="4.9005000000000001"/>
    <n v="11.000000000000002"/>
  </r>
  <r>
    <s v="OIB-77163-890"/>
    <d v="2020-12-25T00:00:00"/>
    <s v="25"/>
    <x v="9"/>
    <x v="3"/>
    <x v="535"/>
    <x v="535"/>
    <s v="cclemencetg5@weather.com"/>
    <n v="0"/>
    <x v="38"/>
    <x v="2"/>
    <s v="Yes"/>
    <x v="1"/>
    <s v="E-L-0.5"/>
    <x v="1"/>
    <n v="0.98009999999999997"/>
    <n v="5"/>
    <n v="0.5"/>
    <n v="8.91"/>
    <x v="69"/>
    <n v="4.9005000000000001"/>
    <n v="11.000000000000002"/>
  </r>
  <r>
    <s v="SGS-87525-238"/>
    <d v="2021-07-05T00:00:00"/>
    <s v="05"/>
    <x v="2"/>
    <x v="1"/>
    <x v="536"/>
    <x v="536"/>
    <s v="rdonetg6@oakley.com"/>
    <s v="+1 (804) 583-2067"/>
    <x v="8"/>
    <x v="0"/>
    <s v="No"/>
    <x v="1"/>
    <s v="E-D-1"/>
    <x v="2"/>
    <n v="1.3365"/>
    <n v="5"/>
    <n v="1"/>
    <n v="12.15"/>
    <x v="184"/>
    <n v="6.6825000000000001"/>
    <n v="11"/>
  </r>
  <r>
    <s v="GQR-12490-152"/>
    <d v="2019-03-14T00:00:00"/>
    <s v="14"/>
    <x v="6"/>
    <x v="0"/>
    <x v="537"/>
    <x v="537"/>
    <s v="sgaweng7@creativecommons.org"/>
    <s v="+1 (571) 317-3089"/>
    <x v="287"/>
    <x v="0"/>
    <s v="Yes"/>
    <x v="0"/>
    <s v="R-L-0.2"/>
    <x v="1"/>
    <n v="0.21509999999999996"/>
    <n v="1"/>
    <n v="0.2"/>
    <n v="3.5849999999999995"/>
    <x v="60"/>
    <n v="0.21509999999999996"/>
    <n v="6"/>
  </r>
  <r>
    <s v="UOJ-28238-299"/>
    <d v="2021-03-07T00:00:00"/>
    <s v="07"/>
    <x v="6"/>
    <x v="1"/>
    <x v="538"/>
    <x v="538"/>
    <s v="rreadieg8@guardian.co.uk"/>
    <s v="+1 (775) 993-8273"/>
    <x v="107"/>
    <x v="0"/>
    <s v="No"/>
    <x v="0"/>
    <s v="R-L-0.2"/>
    <x v="1"/>
    <n v="0.21509999999999996"/>
    <n v="6"/>
    <n v="0.2"/>
    <n v="3.5849999999999995"/>
    <x v="137"/>
    <n v="1.2905999999999997"/>
    <n v="5.9999999999999991"/>
  </r>
  <r>
    <s v="ETD-58130-674"/>
    <d v="2021-11-05T00:00:00"/>
    <s v="05"/>
    <x v="11"/>
    <x v="1"/>
    <x v="539"/>
    <x v="539"/>
    <s v="cverissimogh@theglobeandmail.com"/>
    <n v="0"/>
    <x v="26"/>
    <x v="2"/>
    <s v="Yes"/>
    <x v="1"/>
    <s v="E-M-0.5"/>
    <x v="0"/>
    <n v="0.90749999999999997"/>
    <n v="2"/>
    <n v="0.5"/>
    <n v="8.25"/>
    <x v="38"/>
    <n v="1.8149999999999999"/>
    <n v="11"/>
  </r>
  <r>
    <s v="UPF-60123-025"/>
    <d v="2020-02-06T00:00:00"/>
    <s v="06"/>
    <x v="10"/>
    <x v="3"/>
    <x v="540"/>
    <x v="540"/>
    <n v="0"/>
    <s v="+1 (612) 477-9298"/>
    <x v="50"/>
    <x v="0"/>
    <s v="No"/>
    <x v="0"/>
    <s v="R-L-2.5"/>
    <x v="1"/>
    <n v="1.6490999999999998"/>
    <n v="3"/>
    <n v="2.5"/>
    <n v="27.484999999999996"/>
    <x v="185"/>
    <n v="4.9472999999999994"/>
    <n v="6.0000000000000009"/>
  </r>
  <r>
    <s v="NQS-01613-687"/>
    <d v="2021-03-12T00:00:00"/>
    <s v="12"/>
    <x v="6"/>
    <x v="1"/>
    <x v="541"/>
    <x v="541"/>
    <s v="bogb@elpais.com"/>
    <n v="0"/>
    <x v="99"/>
    <x v="0"/>
    <s v="Yes"/>
    <x v="3"/>
    <s v="L-D-0.5"/>
    <x v="2"/>
    <n v="1.0101"/>
    <n v="1"/>
    <n v="0.5"/>
    <n v="7.77"/>
    <x v="41"/>
    <n v="1.0101"/>
    <n v="13"/>
  </r>
  <r>
    <s v="MGH-36050-573"/>
    <d v="2020-08-03T00:00:00"/>
    <s v="03"/>
    <x v="3"/>
    <x v="3"/>
    <x v="542"/>
    <x v="542"/>
    <s v="vstansburygc@unblog.fr"/>
    <s v="+1 (915) 530-3435"/>
    <x v="87"/>
    <x v="0"/>
    <s v="Yes"/>
    <x v="0"/>
    <s v="R-M-0.5"/>
    <x v="0"/>
    <n v="0.35819999999999996"/>
    <n v="2"/>
    <n v="0.5"/>
    <n v="5.97"/>
    <x v="22"/>
    <n v="0.71639999999999993"/>
    <n v="6"/>
  </r>
  <r>
    <s v="UVF-59322-459"/>
    <d v="2019-07-25T00:00:00"/>
    <s v="25"/>
    <x v="2"/>
    <x v="0"/>
    <x v="543"/>
    <x v="543"/>
    <s v="dheinonengd@printfriendly.com"/>
    <n v="0"/>
    <x v="288"/>
    <x v="0"/>
    <s v="No"/>
    <x v="1"/>
    <s v="E-L-2.5"/>
    <x v="1"/>
    <n v="3.7570499999999996"/>
    <n v="6"/>
    <n v="2.5"/>
    <n v="34.154999999999994"/>
    <x v="106"/>
    <n v="22.542299999999997"/>
    <n v="11.000000000000002"/>
  </r>
  <r>
    <s v="VET-41158-896"/>
    <d v="2020-04-29T00:00:00"/>
    <s v="29"/>
    <x v="8"/>
    <x v="3"/>
    <x v="544"/>
    <x v="544"/>
    <s v="jshentonge@google.com.hk"/>
    <s v="+1 (650) 712-0135"/>
    <x v="106"/>
    <x v="0"/>
    <s v="Yes"/>
    <x v="1"/>
    <s v="E-M-2.5"/>
    <x v="0"/>
    <n v="3.4787499999999998"/>
    <n v="2"/>
    <n v="2.5"/>
    <n v="31.624999999999996"/>
    <x v="40"/>
    <n v="6.9574999999999996"/>
    <n v="11"/>
  </r>
  <r>
    <s v="XYL-52196-459"/>
    <d v="2019-05-02T00:00:00"/>
    <s v="02"/>
    <x v="5"/>
    <x v="0"/>
    <x v="545"/>
    <x v="545"/>
    <s v="jwilkissongf@nba.com"/>
    <n v="0"/>
    <x v="289"/>
    <x v="0"/>
    <s v="Yes"/>
    <x v="0"/>
    <s v="R-D-0.2"/>
    <x v="2"/>
    <n v="0.16109999999999997"/>
    <n v="3"/>
    <n v="0.2"/>
    <n v="2.6849999999999996"/>
    <x v="36"/>
    <n v="0.4832999999999999"/>
    <n v="5.9999999999999991"/>
  </r>
  <r>
    <s v="BPZ-51283-916"/>
    <d v="2021-08-29T00:00:00"/>
    <s v="29"/>
    <x v="3"/>
    <x v="1"/>
    <x v="546"/>
    <x v="546"/>
    <n v="0"/>
    <s v="+1 (206) 275-3973"/>
    <x v="166"/>
    <x v="0"/>
    <s v="No"/>
    <x v="2"/>
    <s v="A-M-2.5"/>
    <x v="0"/>
    <n v="2.3287499999999994"/>
    <n v="2"/>
    <n v="2.5"/>
    <n v="25.874999999999996"/>
    <x v="95"/>
    <n v="4.6574999999999989"/>
    <n v="9"/>
  </r>
  <r>
    <s v="VQW-91903-926"/>
    <d v="2020-03-13T00:00:00"/>
    <s v="13"/>
    <x v="6"/>
    <x v="3"/>
    <x v="539"/>
    <x v="539"/>
    <s v="cverissimogh@theglobeandmail.com"/>
    <n v="0"/>
    <x v="26"/>
    <x v="2"/>
    <s v="Yes"/>
    <x v="1"/>
    <s v="E-D-2.5"/>
    <x v="2"/>
    <n v="3.07395"/>
    <n v="1"/>
    <n v="2.5"/>
    <n v="27.945"/>
    <x v="140"/>
    <n v="3.07395"/>
    <n v="11"/>
  </r>
  <r>
    <s v="OLF-77983-457"/>
    <d v="2019-02-16T00:00:00"/>
    <s v="16"/>
    <x v="10"/>
    <x v="0"/>
    <x v="547"/>
    <x v="547"/>
    <s v="gstarcksgi@abc.net.au"/>
    <s v="+1 (423) 903-3146"/>
    <x v="115"/>
    <x v="0"/>
    <s v="No"/>
    <x v="2"/>
    <s v="A-L-2.5"/>
    <x v="1"/>
    <n v="2.6806499999999995"/>
    <n v="2"/>
    <n v="2.5"/>
    <n v="29.784999999999997"/>
    <x v="120"/>
    <n v="5.3612999999999991"/>
    <n v="9"/>
  </r>
  <r>
    <s v="MVI-04946-827"/>
    <d v="2021-11-27T00:00:00"/>
    <s v="27"/>
    <x v="11"/>
    <x v="1"/>
    <x v="548"/>
    <x v="548"/>
    <n v="0"/>
    <n v="0"/>
    <x v="290"/>
    <x v="2"/>
    <s v="No"/>
    <x v="1"/>
    <s v="E-L-1"/>
    <x v="1"/>
    <n v="1.6335"/>
    <n v="1"/>
    <n v="1"/>
    <n v="14.85"/>
    <x v="151"/>
    <n v="1.6335"/>
    <n v="11"/>
  </r>
  <r>
    <s v="UOG-94188-104"/>
    <d v="2021-11-23T00:00:00"/>
    <s v="23"/>
    <x v="11"/>
    <x v="1"/>
    <x v="549"/>
    <x v="549"/>
    <s v="kscholardgk@sbwire.com"/>
    <s v="+1 (614) 199-9032"/>
    <x v="61"/>
    <x v="0"/>
    <s v="No"/>
    <x v="2"/>
    <s v="A-M-0.5"/>
    <x v="0"/>
    <n v="0.60749999999999993"/>
    <n v="5"/>
    <n v="0.5"/>
    <n v="6.75"/>
    <x v="65"/>
    <n v="3.0374999999999996"/>
    <n v="8.9999999999999982"/>
  </r>
  <r>
    <s v="DSN-15872-519"/>
    <d v="2021-12-02T00:00:00"/>
    <s v="02"/>
    <x v="9"/>
    <x v="1"/>
    <x v="550"/>
    <x v="550"/>
    <s v="bkindleygl@wikimedia.org"/>
    <s v="+1 (650) 799-2315"/>
    <x v="148"/>
    <x v="0"/>
    <s v="Yes"/>
    <x v="3"/>
    <s v="L-L-2.5"/>
    <x v="1"/>
    <n v="4.7391499999999995"/>
    <n v="4"/>
    <n v="2.5"/>
    <n v="36.454999999999998"/>
    <x v="43"/>
    <n v="18.956599999999998"/>
    <n v="13"/>
  </r>
  <r>
    <s v="OUQ-73954-002"/>
    <d v="2019-01-06T00:00:00"/>
    <s v="06"/>
    <x v="4"/>
    <x v="0"/>
    <x v="551"/>
    <x v="551"/>
    <s v="khammettgm@dmoz.org"/>
    <s v="+1 (415) 825-4799"/>
    <x v="204"/>
    <x v="0"/>
    <s v="Yes"/>
    <x v="0"/>
    <s v="R-M-0.2"/>
    <x v="0"/>
    <n v="0.17909999999999998"/>
    <n v="4"/>
    <n v="0.2"/>
    <n v="2.9849999999999999"/>
    <x v="22"/>
    <n v="0.71639999999999993"/>
    <n v="6"/>
  </r>
  <r>
    <s v="LGL-16843-667"/>
    <d v="2021-05-05T00:00:00"/>
    <s v="05"/>
    <x v="5"/>
    <x v="1"/>
    <x v="552"/>
    <x v="552"/>
    <s v="ahulburtgn@fda.gov"/>
    <n v="0"/>
    <x v="212"/>
    <x v="0"/>
    <s v="Yes"/>
    <x v="2"/>
    <s v="A-D-0.2"/>
    <x v="2"/>
    <n v="0.26865"/>
    <n v="4"/>
    <n v="0.2"/>
    <n v="2.9849999999999999"/>
    <x v="22"/>
    <n v="1.0746"/>
    <n v="9.0000000000000018"/>
  </r>
  <r>
    <s v="TCC-89722-031"/>
    <d v="2021-10-23T00:00:00"/>
    <s v="23"/>
    <x v="7"/>
    <x v="1"/>
    <x v="553"/>
    <x v="553"/>
    <s v="plauritzengo@photobucket.com"/>
    <s v="+1 (215) 308-0788"/>
    <x v="11"/>
    <x v="0"/>
    <s v="No"/>
    <x v="3"/>
    <s v="L-D-0.5"/>
    <x v="2"/>
    <n v="1.0101"/>
    <n v="1"/>
    <n v="0.5"/>
    <n v="7.77"/>
    <x v="41"/>
    <n v="1.0101"/>
    <n v="13"/>
  </r>
  <r>
    <s v="TRA-79507-007"/>
    <d v="2019-12-16T00:00:00"/>
    <s v="16"/>
    <x v="9"/>
    <x v="0"/>
    <x v="554"/>
    <x v="554"/>
    <s v="aburgwingp@redcross.org"/>
    <s v="+1 (314) 407-3962"/>
    <x v="9"/>
    <x v="0"/>
    <s v="Yes"/>
    <x v="0"/>
    <s v="R-L-2.5"/>
    <x v="1"/>
    <n v="1.6490999999999998"/>
    <n v="4"/>
    <n v="2.5"/>
    <n v="27.484999999999996"/>
    <x v="108"/>
    <n v="6.5963999999999992"/>
    <n v="6.0000000000000009"/>
  </r>
  <r>
    <s v="MZJ-77284-941"/>
    <d v="2019-05-18T00:00:00"/>
    <s v="18"/>
    <x v="5"/>
    <x v="0"/>
    <x v="555"/>
    <x v="555"/>
    <s v="erolingq@google.fr"/>
    <s v="+1 (419) 597-8743"/>
    <x v="45"/>
    <x v="0"/>
    <s v="Yes"/>
    <x v="1"/>
    <s v="E-L-0.2"/>
    <x v="1"/>
    <n v="0.49004999999999999"/>
    <n v="5"/>
    <n v="0.2"/>
    <n v="4.4550000000000001"/>
    <x v="110"/>
    <n v="2.45025"/>
    <n v="11.000000000000002"/>
  </r>
  <r>
    <s v="AXN-57779-891"/>
    <d v="2019-07-14T00:00:00"/>
    <s v="14"/>
    <x v="2"/>
    <x v="0"/>
    <x v="556"/>
    <x v="556"/>
    <s v="dfowlegr@epa.gov"/>
    <n v="0"/>
    <x v="71"/>
    <x v="0"/>
    <s v="No"/>
    <x v="0"/>
    <s v="R-M-0.2"/>
    <x v="0"/>
    <n v="0.17909999999999998"/>
    <n v="3"/>
    <n v="0.2"/>
    <n v="2.9849999999999999"/>
    <x v="169"/>
    <n v="0.53729999999999989"/>
    <n v="5.9999999999999982"/>
  </r>
  <r>
    <s v="PJB-15659-994"/>
    <d v="2020-11-13T00:00:00"/>
    <s v="13"/>
    <x v="11"/>
    <x v="3"/>
    <x v="557"/>
    <x v="557"/>
    <n v="0"/>
    <s v="+353 (782) 457-9198"/>
    <x v="239"/>
    <x v="1"/>
    <s v="No"/>
    <x v="3"/>
    <s v="L-D-2.5"/>
    <x v="2"/>
    <n v="3.8720499999999998"/>
    <n v="4"/>
    <n v="2.5"/>
    <n v="29.784999999999997"/>
    <x v="129"/>
    <n v="15.488199999999999"/>
    <n v="13"/>
  </r>
  <r>
    <s v="LTS-03470-353"/>
    <d v="2020-07-16T00:00:00"/>
    <s v="16"/>
    <x v="2"/>
    <x v="3"/>
    <x v="558"/>
    <x v="558"/>
    <s v="wpowleslandgt@soundcloud.com"/>
    <s v="+1 (412) 453-4798"/>
    <x v="291"/>
    <x v="0"/>
    <s v="Yes"/>
    <x v="2"/>
    <s v="A-L-2.5"/>
    <x v="1"/>
    <n v="2.6806499999999995"/>
    <n v="5"/>
    <n v="2.5"/>
    <n v="29.784999999999997"/>
    <x v="74"/>
    <n v="13.403249999999998"/>
    <n v="9"/>
  </r>
  <r>
    <s v="UMM-28497-689"/>
    <d v="2020-11-03T00:00:00"/>
    <s v="03"/>
    <x v="11"/>
    <x v="3"/>
    <x v="539"/>
    <x v="539"/>
    <s v="cverissimogh@theglobeandmail.com"/>
    <n v="0"/>
    <x v="26"/>
    <x v="2"/>
    <s v="Yes"/>
    <x v="3"/>
    <s v="L-L-2.5"/>
    <x v="1"/>
    <n v="4.7391499999999995"/>
    <n v="3"/>
    <n v="2.5"/>
    <n v="36.454999999999998"/>
    <x v="63"/>
    <n v="14.217449999999999"/>
    <n v="13"/>
  </r>
  <r>
    <s v="MJZ-93232-402"/>
    <d v="2022-03-20T00:00:00"/>
    <s v="20"/>
    <x v="6"/>
    <x v="2"/>
    <x v="559"/>
    <x v="559"/>
    <s v="lellinghamgv@sciencedaily.com"/>
    <s v="+1 (318) 670-8027"/>
    <x v="212"/>
    <x v="0"/>
    <s v="Yes"/>
    <x v="1"/>
    <s v="E-D-0.2"/>
    <x v="2"/>
    <n v="0.40095000000000003"/>
    <n v="1"/>
    <n v="0.2"/>
    <n v="3.645"/>
    <x v="186"/>
    <n v="0.40095000000000003"/>
    <n v="11"/>
  </r>
  <r>
    <s v="UHW-74617-126"/>
    <d v="2022-02-16T00:00:00"/>
    <s v="16"/>
    <x v="10"/>
    <x v="2"/>
    <x v="560"/>
    <x v="560"/>
    <n v="0"/>
    <n v="0"/>
    <x v="265"/>
    <x v="0"/>
    <s v="No"/>
    <x v="1"/>
    <s v="E-D-2.5"/>
    <x v="2"/>
    <n v="3.07395"/>
    <n v="2"/>
    <n v="2.5"/>
    <n v="27.945"/>
    <x v="158"/>
    <n v="6.1478999999999999"/>
    <n v="11"/>
  </r>
  <r>
    <s v="RIK-61730-794"/>
    <d v="2020-11-12T00:00:00"/>
    <s v="12"/>
    <x v="11"/>
    <x v="3"/>
    <x v="561"/>
    <x v="561"/>
    <s v="afendtgx@forbes.com"/>
    <s v="+1 (414) 811-7606"/>
    <x v="166"/>
    <x v="0"/>
    <s v="Yes"/>
    <x v="3"/>
    <s v="L-M-0.2"/>
    <x v="0"/>
    <n v="0.56745000000000001"/>
    <n v="6"/>
    <n v="0.2"/>
    <n v="4.3650000000000002"/>
    <x v="50"/>
    <n v="3.4047000000000001"/>
    <n v="13"/>
  </r>
  <r>
    <s v="IDJ-55379-750"/>
    <d v="2019-10-05T00:00:00"/>
    <s v="05"/>
    <x v="7"/>
    <x v="0"/>
    <x v="562"/>
    <x v="562"/>
    <s v="acleyburngy@lycos.com"/>
    <s v="+1 (754) 355-3802"/>
    <x v="42"/>
    <x v="0"/>
    <s v="No"/>
    <x v="0"/>
    <s v="R-M-1"/>
    <x v="0"/>
    <n v="0.59699999999999998"/>
    <n v="4"/>
    <n v="1"/>
    <n v="9.9499999999999993"/>
    <x v="10"/>
    <n v="2.3879999999999999"/>
    <n v="6.0000000000000009"/>
  </r>
  <r>
    <s v="OHX-11953-965"/>
    <d v="2019-10-01T00:00:00"/>
    <s v="01"/>
    <x v="7"/>
    <x v="0"/>
    <x v="563"/>
    <x v="563"/>
    <s v="tcastiglionegz@xing.com"/>
    <s v="+1 (318) 820-6128"/>
    <x v="212"/>
    <x v="0"/>
    <s v="No"/>
    <x v="1"/>
    <s v="E-L-2.5"/>
    <x v="1"/>
    <n v="3.7570499999999996"/>
    <n v="2"/>
    <n v="2.5"/>
    <n v="34.154999999999994"/>
    <x v="93"/>
    <n v="7.5140999999999991"/>
    <n v="11"/>
  </r>
  <r>
    <s v="TVV-42245-088"/>
    <d v="2020-03-06T00:00:00"/>
    <s v="06"/>
    <x v="6"/>
    <x v="3"/>
    <x v="564"/>
    <x v="564"/>
    <n v="0"/>
    <s v="+353 (930) 704-1778"/>
    <x v="75"/>
    <x v="1"/>
    <s v="No"/>
    <x v="2"/>
    <s v="A-M-0.2"/>
    <x v="0"/>
    <n v="0.30374999999999996"/>
    <n v="4"/>
    <n v="0.2"/>
    <n v="3.375"/>
    <x v="72"/>
    <n v="1.2149999999999999"/>
    <n v="8.9999999999999982"/>
  </r>
  <r>
    <s v="DYP-74337-787"/>
    <d v="2019-10-23T00:00:00"/>
    <s v="23"/>
    <x v="7"/>
    <x v="0"/>
    <x v="565"/>
    <x v="565"/>
    <n v="0"/>
    <s v="+1 (916) 626-5223"/>
    <x v="155"/>
    <x v="0"/>
    <s v="No"/>
    <x v="0"/>
    <s v="R-M-0.5"/>
    <x v="0"/>
    <n v="0.35819999999999996"/>
    <n v="1"/>
    <n v="0.5"/>
    <n v="5.97"/>
    <x v="9"/>
    <n v="0.35819999999999996"/>
    <n v="6"/>
  </r>
  <r>
    <s v="OKA-93124-100"/>
    <d v="2020-04-23T00:00:00"/>
    <s v="23"/>
    <x v="8"/>
    <x v="3"/>
    <x v="539"/>
    <x v="539"/>
    <s v="cverissimogh@theglobeandmail.com"/>
    <n v="0"/>
    <x v="26"/>
    <x v="2"/>
    <s v="Yes"/>
    <x v="0"/>
    <s v="R-M-0.5"/>
    <x v="0"/>
    <n v="0.35819999999999996"/>
    <n v="5"/>
    <n v="0.5"/>
    <n v="5.97"/>
    <x v="44"/>
    <n v="1.7909999999999999"/>
    <n v="6.0000000000000009"/>
  </r>
  <r>
    <s v="IXW-20780-268"/>
    <d v="2020-06-24T00:00:00"/>
    <s v="24"/>
    <x v="1"/>
    <x v="3"/>
    <x v="566"/>
    <x v="566"/>
    <s v="scouronneh3@mozilla.org"/>
    <s v="+1 (701) 894-8081"/>
    <x v="97"/>
    <x v="0"/>
    <s v="Yes"/>
    <x v="3"/>
    <s v="L-L-2.5"/>
    <x v="1"/>
    <n v="4.7391499999999995"/>
    <n v="2"/>
    <n v="2.5"/>
    <n v="36.454999999999998"/>
    <x v="37"/>
    <n v="9.4782999999999991"/>
    <n v="13"/>
  </r>
  <r>
    <s v="NGG-24006-937"/>
    <d v="2021-03-16T00:00:00"/>
    <s v="16"/>
    <x v="6"/>
    <x v="1"/>
    <x v="567"/>
    <x v="567"/>
    <s v="lflippellih4@github.io"/>
    <s v="+44 (200) 860-6521"/>
    <x v="292"/>
    <x v="2"/>
    <s v="No"/>
    <x v="1"/>
    <s v="E-M-2.5"/>
    <x v="0"/>
    <n v="3.4787499999999998"/>
    <n v="4"/>
    <n v="2.5"/>
    <n v="31.624999999999996"/>
    <x v="177"/>
    <n v="13.914999999999999"/>
    <n v="11"/>
  </r>
  <r>
    <s v="JZC-31180-557"/>
    <d v="2020-04-07T00:00:00"/>
    <s v="07"/>
    <x v="8"/>
    <x v="3"/>
    <x v="568"/>
    <x v="568"/>
    <s v="relizabethh5@live.com"/>
    <s v="+1 (918) 203-3263"/>
    <x v="134"/>
    <x v="0"/>
    <s v="No"/>
    <x v="3"/>
    <s v="L-M-2.5"/>
    <x v="0"/>
    <n v="4.3504499999999995"/>
    <n v="1"/>
    <n v="2.5"/>
    <n v="33.464999999999996"/>
    <x v="116"/>
    <n v="4.3504499999999995"/>
    <n v="13"/>
  </r>
  <r>
    <s v="ZMU-63715-204"/>
    <d v="2021-09-30T00:00:00"/>
    <s v="30"/>
    <x v="0"/>
    <x v="1"/>
    <x v="569"/>
    <x v="569"/>
    <s v="irenhardh6@i2i.jp"/>
    <s v="+1 (646) 225-6560"/>
    <x v="15"/>
    <x v="0"/>
    <s v="Yes"/>
    <x v="1"/>
    <s v="E-D-1"/>
    <x v="2"/>
    <n v="1.3365"/>
    <n v="6"/>
    <n v="1"/>
    <n v="12.15"/>
    <x v="118"/>
    <n v="8.0190000000000001"/>
    <n v="10.999999999999998"/>
  </r>
  <r>
    <s v="GND-08192-056"/>
    <d v="2022-05-01T00:00:00"/>
    <s v="01"/>
    <x v="5"/>
    <x v="2"/>
    <x v="570"/>
    <x v="570"/>
    <s v="wrocheh7@xinhuanet.com"/>
    <s v="+1 (317) 439-5584"/>
    <x v="293"/>
    <x v="0"/>
    <s v="Yes"/>
    <x v="3"/>
    <s v="L-D-0.5"/>
    <x v="2"/>
    <n v="1.0101"/>
    <n v="2"/>
    <n v="0.5"/>
    <n v="7.77"/>
    <x v="42"/>
    <n v="2.0202"/>
    <n v="13"/>
  </r>
  <r>
    <s v="RYY-38961-093"/>
    <d v="2021-01-21T00:00:00"/>
    <s v="21"/>
    <x v="4"/>
    <x v="1"/>
    <x v="571"/>
    <x v="571"/>
    <s v="lalawayhh@weather.com"/>
    <n v="0"/>
    <x v="42"/>
    <x v="0"/>
    <s v="No"/>
    <x v="2"/>
    <s v="A-M-0.2"/>
    <x v="0"/>
    <n v="0.30374999999999996"/>
    <n v="6"/>
    <n v="0.2"/>
    <n v="3.375"/>
    <x v="16"/>
    <n v="1.8224999999999998"/>
    <n v="8.9999999999999982"/>
  </r>
  <r>
    <s v="CVA-64996-969"/>
    <d v="2020-06-24T00:00:00"/>
    <s v="24"/>
    <x v="1"/>
    <x v="3"/>
    <x v="572"/>
    <x v="572"/>
    <s v="codgaardh9@nsw.gov.au"/>
    <s v="+1 (503) 203-1484"/>
    <x v="12"/>
    <x v="0"/>
    <s v="No"/>
    <x v="2"/>
    <s v="A-L-1"/>
    <x v="1"/>
    <n v="1.1655"/>
    <n v="6"/>
    <n v="1"/>
    <n v="12.95"/>
    <x v="17"/>
    <n v="6.9930000000000003"/>
    <n v="9.0000000000000018"/>
  </r>
  <r>
    <s v="XTH-67276-442"/>
    <d v="2019-03-03T00:00:00"/>
    <s v="03"/>
    <x v="6"/>
    <x v="0"/>
    <x v="573"/>
    <x v="573"/>
    <s v="bbyrdha@4shared.com"/>
    <n v="0"/>
    <x v="198"/>
    <x v="0"/>
    <s v="No"/>
    <x v="3"/>
    <s v="L-M-2.5"/>
    <x v="0"/>
    <n v="4.3504499999999995"/>
    <n v="4"/>
    <n v="2.5"/>
    <n v="33.464999999999996"/>
    <x v="136"/>
    <n v="17.401799999999998"/>
    <n v="13"/>
  </r>
  <r>
    <s v="PVU-02950-470"/>
    <d v="2021-01-28T00:00:00"/>
    <s v="28"/>
    <x v="4"/>
    <x v="1"/>
    <x v="574"/>
    <x v="574"/>
    <n v="0"/>
    <s v="+44 (141) 640-7113"/>
    <x v="294"/>
    <x v="2"/>
    <s v="No"/>
    <x v="1"/>
    <s v="E-D-1"/>
    <x v="2"/>
    <n v="1.3365"/>
    <n v="1"/>
    <n v="1"/>
    <n v="12.15"/>
    <x v="87"/>
    <n v="1.3365"/>
    <n v="11"/>
  </r>
  <r>
    <s v="XSN-26809-910"/>
    <d v="2020-06-28T00:00:00"/>
    <s v="28"/>
    <x v="1"/>
    <x v="3"/>
    <x v="575"/>
    <x v="575"/>
    <s v="dchardinhc@nhs.uk"/>
    <n v="0"/>
    <x v="295"/>
    <x v="1"/>
    <s v="Yes"/>
    <x v="1"/>
    <s v="E-M-2.5"/>
    <x v="0"/>
    <n v="3.4787499999999998"/>
    <n v="2"/>
    <n v="2.5"/>
    <n v="31.624999999999996"/>
    <x v="40"/>
    <n v="6.9574999999999996"/>
    <n v="11"/>
  </r>
  <r>
    <s v="UDN-88321-005"/>
    <d v="2020-07-05T00:00:00"/>
    <s v="05"/>
    <x v="2"/>
    <x v="3"/>
    <x v="576"/>
    <x v="576"/>
    <s v="hradbonehd@newsvine.com"/>
    <s v="+1 (415) 968-9559"/>
    <x v="204"/>
    <x v="0"/>
    <s v="No"/>
    <x v="0"/>
    <s v="R-L-0.5"/>
    <x v="1"/>
    <n v="0.43019999999999992"/>
    <n v="5"/>
    <n v="0.5"/>
    <n v="7.169999999999999"/>
    <x v="66"/>
    <n v="2.1509999999999998"/>
    <n v="6.0000000000000009"/>
  </r>
  <r>
    <s v="EXP-21628-670"/>
    <d v="2019-03-02T00:00:00"/>
    <s v="02"/>
    <x v="6"/>
    <x v="0"/>
    <x v="577"/>
    <x v="577"/>
    <s v="wbernthhe@miitbeian.gov.cn"/>
    <s v="+1 (412) 597-3861"/>
    <x v="291"/>
    <x v="0"/>
    <s v="No"/>
    <x v="2"/>
    <s v="A-M-2.5"/>
    <x v="0"/>
    <n v="2.3287499999999994"/>
    <n v="3"/>
    <n v="2.5"/>
    <n v="25.874999999999996"/>
    <x v="57"/>
    <n v="6.9862499999999983"/>
    <n v="9"/>
  </r>
  <r>
    <s v="VGM-24161-361"/>
    <d v="2022-05-01T00:00:00"/>
    <s v="01"/>
    <x v="5"/>
    <x v="2"/>
    <x v="578"/>
    <x v="578"/>
    <s v="bacarsonhf@cnn.com"/>
    <s v="+1 (713) 418-6385"/>
    <x v="13"/>
    <x v="0"/>
    <s v="Yes"/>
    <x v="1"/>
    <s v="E-M-2.5"/>
    <x v="0"/>
    <n v="3.4787499999999998"/>
    <n v="2"/>
    <n v="2.5"/>
    <n v="31.624999999999996"/>
    <x v="40"/>
    <n v="6.9574999999999996"/>
    <n v="11"/>
  </r>
  <r>
    <s v="PKN-19556-918"/>
    <d v="2022-04-29T00:00:00"/>
    <s v="29"/>
    <x v="8"/>
    <x v="2"/>
    <x v="579"/>
    <x v="579"/>
    <s v="fbrighamhg@blog.com"/>
    <s v="+353 (620) 657-2946"/>
    <x v="296"/>
    <x v="1"/>
    <s v="Yes"/>
    <x v="1"/>
    <s v="E-L-0.2"/>
    <x v="1"/>
    <n v="0.49004999999999999"/>
    <n v="6"/>
    <n v="0.2"/>
    <n v="4.4550000000000001"/>
    <x v="149"/>
    <n v="2.9402999999999997"/>
    <n v="10.999999999999998"/>
  </r>
  <r>
    <s v="PKN-19556-918"/>
    <d v="2022-04-29T00:00:00"/>
    <s v="29"/>
    <x v="8"/>
    <x v="2"/>
    <x v="579"/>
    <x v="579"/>
    <s v="fbrighamhg@blog.com"/>
    <s v="+353 (620) 657-2946"/>
    <x v="296"/>
    <x v="1"/>
    <s v="Yes"/>
    <x v="3"/>
    <s v="L-D-0.5"/>
    <x v="2"/>
    <n v="1.0101"/>
    <n v="4"/>
    <n v="0.5"/>
    <n v="7.77"/>
    <x v="113"/>
    <n v="4.0404"/>
    <n v="13"/>
  </r>
  <r>
    <s v="PKN-19556-918"/>
    <d v="2022-04-29T00:00:00"/>
    <s v="29"/>
    <x v="8"/>
    <x v="2"/>
    <x v="579"/>
    <x v="579"/>
    <s v="fbrighamhg@blog.com"/>
    <s v="+353 (620) 657-2946"/>
    <x v="296"/>
    <x v="1"/>
    <s v="Yes"/>
    <x v="2"/>
    <s v="A-D-0.2"/>
    <x v="2"/>
    <n v="0.26865"/>
    <n v="1"/>
    <n v="0.2"/>
    <n v="2.9849999999999999"/>
    <x v="55"/>
    <n v="0.26865"/>
    <n v="9.0000000000000018"/>
  </r>
  <r>
    <s v="PKN-19556-918"/>
    <d v="2022-04-29T00:00:00"/>
    <s v="29"/>
    <x v="8"/>
    <x v="2"/>
    <x v="579"/>
    <x v="579"/>
    <s v="fbrighamhg@blog.com"/>
    <s v="+353 (620) 657-2946"/>
    <x v="296"/>
    <x v="1"/>
    <s v="Yes"/>
    <x v="0"/>
    <s v="R-D-2.5"/>
    <x v="2"/>
    <n v="1.2350999999999999"/>
    <n v="5"/>
    <n v="2.5"/>
    <n v="20.584999999999997"/>
    <x v="182"/>
    <n v="6.1754999999999995"/>
    <n v="6.0000000000000009"/>
  </r>
  <r>
    <s v="DXQ-44537-297"/>
    <d v="2020-08-06T00:00:00"/>
    <s v="06"/>
    <x v="3"/>
    <x v="3"/>
    <x v="580"/>
    <x v="580"/>
    <s v="myoxenhk@google.com"/>
    <s v="+1 (213) 241-8051"/>
    <x v="6"/>
    <x v="0"/>
    <s v="No"/>
    <x v="1"/>
    <s v="E-L-0.5"/>
    <x v="1"/>
    <n v="0.98009999999999997"/>
    <n v="4"/>
    <n v="0.5"/>
    <n v="8.91"/>
    <x v="70"/>
    <n v="3.9203999999999999"/>
    <n v="11"/>
  </r>
  <r>
    <s v="BPC-54727-307"/>
    <d v="2019-12-21T00:00:00"/>
    <s v="21"/>
    <x v="9"/>
    <x v="0"/>
    <x v="581"/>
    <x v="581"/>
    <s v="gmcgavinhl@histats.com"/>
    <s v="+1 (570) 745-7589"/>
    <x v="156"/>
    <x v="0"/>
    <s v="No"/>
    <x v="0"/>
    <s v="R-L-1"/>
    <x v="1"/>
    <n v="0.71699999999999997"/>
    <n v="4"/>
    <n v="1"/>
    <n v="11.95"/>
    <x v="62"/>
    <n v="2.8679999999999999"/>
    <n v="6"/>
  </r>
  <r>
    <s v="KSH-47717-456"/>
    <d v="2020-04-19T00:00:00"/>
    <s v="19"/>
    <x v="8"/>
    <x v="3"/>
    <x v="582"/>
    <x v="582"/>
    <s v="luttermarehm@engadget.com"/>
    <s v="+1 (817) 793-6871"/>
    <x v="177"/>
    <x v="0"/>
    <s v="No"/>
    <x v="3"/>
    <s v="L-M-1"/>
    <x v="0"/>
    <n v="1.8915000000000002"/>
    <n v="3"/>
    <n v="1"/>
    <n v="14.55"/>
    <x v="34"/>
    <n v="5.6745000000000001"/>
    <n v="12.999999999999998"/>
  </r>
  <r>
    <s v="ANK-59436-446"/>
    <d v="2022-01-17T00:00:00"/>
    <s v="17"/>
    <x v="4"/>
    <x v="2"/>
    <x v="583"/>
    <x v="583"/>
    <s v="edambrogiohn@techcrunch.com"/>
    <s v="+1 (816) 196-1729"/>
    <x v="150"/>
    <x v="0"/>
    <s v="Yes"/>
    <x v="1"/>
    <s v="E-L-0.5"/>
    <x v="1"/>
    <n v="0.98009999999999997"/>
    <n v="4"/>
    <n v="0.5"/>
    <n v="8.91"/>
    <x v="70"/>
    <n v="3.9203999999999999"/>
    <n v="11"/>
  </r>
  <r>
    <s v="AYY-83051-752"/>
    <d v="2019-01-22T00:00:00"/>
    <s v="22"/>
    <x v="4"/>
    <x v="0"/>
    <x v="584"/>
    <x v="584"/>
    <s v="cwinchcombeho@jiathis.com"/>
    <s v="+1 (501) 772-4397"/>
    <x v="28"/>
    <x v="0"/>
    <s v="Yes"/>
    <x v="3"/>
    <s v="L-L-1"/>
    <x v="1"/>
    <n v="2.0605000000000002"/>
    <n v="6"/>
    <n v="1"/>
    <n v="15.85"/>
    <x v="179"/>
    <n v="12.363000000000001"/>
    <n v="13.000000000000004"/>
  </r>
  <r>
    <s v="CSW-59644-267"/>
    <d v="2020-02-28T00:00:00"/>
    <s v="28"/>
    <x v="10"/>
    <x v="3"/>
    <x v="585"/>
    <x v="585"/>
    <s v="bpaumierhp@umn.edu"/>
    <s v="+353 (777) 856-8236"/>
    <x v="297"/>
    <x v="1"/>
    <s v="Yes"/>
    <x v="1"/>
    <s v="E-M-2.5"/>
    <x v="0"/>
    <n v="3.4787499999999998"/>
    <n v="1"/>
    <n v="2.5"/>
    <n v="31.624999999999996"/>
    <x v="176"/>
    <n v="3.4787499999999998"/>
    <n v="11"/>
  </r>
  <r>
    <s v="ITY-92466-909"/>
    <d v="2019-08-07T00:00:00"/>
    <s v="07"/>
    <x v="3"/>
    <x v="0"/>
    <x v="586"/>
    <x v="586"/>
    <n v="0"/>
    <s v="+353 (573) 561-9754"/>
    <x v="280"/>
    <x v="1"/>
    <s v="Yes"/>
    <x v="2"/>
    <s v="A-M-2.5"/>
    <x v="0"/>
    <n v="2.3287499999999994"/>
    <n v="3"/>
    <n v="2.5"/>
    <n v="25.874999999999996"/>
    <x v="57"/>
    <n v="6.9862499999999983"/>
    <n v="9"/>
  </r>
  <r>
    <s v="IGW-04801-466"/>
    <d v="2021-05-15T00:00:00"/>
    <s v="15"/>
    <x v="5"/>
    <x v="1"/>
    <x v="587"/>
    <x v="587"/>
    <s v="jcapeyhr@bravesites.com"/>
    <s v="+1 (814) 974-7878"/>
    <x v="173"/>
    <x v="0"/>
    <s v="Yes"/>
    <x v="3"/>
    <s v="L-D-0.2"/>
    <x v="2"/>
    <n v="0.50505"/>
    <n v="1"/>
    <n v="0.2"/>
    <n v="3.8849999999999998"/>
    <x v="84"/>
    <n v="0.50505"/>
    <n v="13"/>
  </r>
  <r>
    <s v="LJN-34281-921"/>
    <d v="2021-12-17T00:00:00"/>
    <s v="17"/>
    <x v="9"/>
    <x v="1"/>
    <x v="588"/>
    <x v="588"/>
    <s v="tmathonneti0@google.co.jp"/>
    <s v="+1 (614) 781-0396"/>
    <x v="61"/>
    <x v="0"/>
    <s v="No"/>
    <x v="0"/>
    <s v="R-L-2.5"/>
    <x v="1"/>
    <n v="1.6490999999999998"/>
    <n v="5"/>
    <n v="2.5"/>
    <n v="27.484999999999996"/>
    <x v="187"/>
    <n v="8.2454999999999998"/>
    <n v="6.0000000000000009"/>
  </r>
  <r>
    <s v="BWZ-46364-547"/>
    <d v="2021-09-09T00:00:00"/>
    <s v="09"/>
    <x v="0"/>
    <x v="1"/>
    <x v="589"/>
    <x v="589"/>
    <s v="ybasillht@theguardian.com"/>
    <s v="+1 (412) 297-2806"/>
    <x v="291"/>
    <x v="0"/>
    <s v="Yes"/>
    <x v="0"/>
    <s v="R-L-1"/>
    <x v="1"/>
    <n v="0.71699999999999997"/>
    <n v="3"/>
    <n v="1"/>
    <n v="11.95"/>
    <x v="66"/>
    <n v="2.1509999999999998"/>
    <n v="6.0000000000000009"/>
  </r>
  <r>
    <s v="SBC-95710-706"/>
    <d v="2020-02-19T00:00:00"/>
    <s v="19"/>
    <x v="10"/>
    <x v="3"/>
    <x v="590"/>
    <x v="590"/>
    <s v="mbaistowhu@i2i.jp"/>
    <s v="+44 (876) 508-3376"/>
    <x v="298"/>
    <x v="2"/>
    <s v="Yes"/>
    <x v="1"/>
    <s v="E-M-0.2"/>
    <x v="0"/>
    <n v="0.45374999999999999"/>
    <n v="2"/>
    <n v="0.2"/>
    <n v="4.125"/>
    <x v="112"/>
    <n v="0.90749999999999997"/>
    <n v="11"/>
  </r>
  <r>
    <s v="WRN-55114-031"/>
    <d v="2020-06-29T00:00:00"/>
    <s v="29"/>
    <x v="1"/>
    <x v="3"/>
    <x v="591"/>
    <x v="591"/>
    <s v="cpallanthv@typepad.com"/>
    <n v="0"/>
    <x v="68"/>
    <x v="0"/>
    <s v="Yes"/>
    <x v="1"/>
    <s v="E-L-2.5"/>
    <x v="1"/>
    <n v="3.7570499999999996"/>
    <n v="3"/>
    <n v="2.5"/>
    <n v="34.154999999999994"/>
    <x v="89"/>
    <n v="11.271149999999999"/>
    <n v="11.000000000000002"/>
  </r>
  <r>
    <s v="TZU-64255-831"/>
    <d v="2022-05-13T00:00:00"/>
    <s v="13"/>
    <x v="5"/>
    <x v="2"/>
    <x v="592"/>
    <x v="592"/>
    <n v="0"/>
    <s v="+1 (786) 445-8879"/>
    <x v="218"/>
    <x v="0"/>
    <s v="No"/>
    <x v="0"/>
    <s v="R-D-2.5"/>
    <x v="2"/>
    <n v="1.2350999999999999"/>
    <n v="2"/>
    <n v="2.5"/>
    <n v="20.584999999999997"/>
    <x v="13"/>
    <n v="2.4701999999999997"/>
    <n v="6.0000000000000009"/>
  </r>
  <r>
    <s v="JVF-91003-729"/>
    <d v="2020-10-02T00:00:00"/>
    <s v="02"/>
    <x v="7"/>
    <x v="3"/>
    <x v="593"/>
    <x v="593"/>
    <s v="dohx@redcross.org"/>
    <s v="+1 (325) 276-3690"/>
    <x v="299"/>
    <x v="0"/>
    <s v="Yes"/>
    <x v="2"/>
    <s v="A-D-2.5"/>
    <x v="2"/>
    <n v="2.0596499999999995"/>
    <n v="3"/>
    <n v="2.5"/>
    <n v="22.884999999999998"/>
    <x v="96"/>
    <n v="6.1789499999999986"/>
    <n v="8.9999999999999982"/>
  </r>
  <r>
    <s v="MVB-22135-665"/>
    <d v="2021-12-02T00:00:00"/>
    <s v="02"/>
    <x v="9"/>
    <x v="1"/>
    <x v="594"/>
    <x v="594"/>
    <s v="drallinhy@howstuffworks.com"/>
    <s v="+1 (518) 981-1531"/>
    <x v="140"/>
    <x v="0"/>
    <s v="Yes"/>
    <x v="2"/>
    <s v="A-D-1"/>
    <x v="2"/>
    <n v="0.89549999999999985"/>
    <n v="1"/>
    <n v="1"/>
    <n v="9.9499999999999993"/>
    <x v="138"/>
    <n v="0.89549999999999985"/>
    <n v="9"/>
  </r>
  <r>
    <s v="CKS-47815-571"/>
    <d v="2021-11-02T00:00:00"/>
    <s v="02"/>
    <x v="11"/>
    <x v="1"/>
    <x v="595"/>
    <x v="595"/>
    <s v="achillhz@epa.gov"/>
    <s v="+44 (411) 344-1320"/>
    <x v="300"/>
    <x v="2"/>
    <s v="Yes"/>
    <x v="3"/>
    <s v="L-L-0.5"/>
    <x v="1"/>
    <n v="1.2363"/>
    <n v="3"/>
    <n v="0.5"/>
    <n v="9.51"/>
    <x v="32"/>
    <n v="3.7088999999999999"/>
    <n v="12.999999999999998"/>
  </r>
  <r>
    <s v="OAW-17338-101"/>
    <d v="2020-02-23T00:00:00"/>
    <s v="23"/>
    <x v="10"/>
    <x v="3"/>
    <x v="588"/>
    <x v="588"/>
    <s v="tmathonneti0@google.co.jp"/>
    <s v="+1 (614) 781-0396"/>
    <x v="61"/>
    <x v="0"/>
    <s v="No"/>
    <x v="0"/>
    <s v="R-D-0.2"/>
    <x v="2"/>
    <n v="0.16109999999999997"/>
    <n v="6"/>
    <n v="0.2"/>
    <n v="2.6849999999999996"/>
    <x v="103"/>
    <n v="0.96659999999999979"/>
    <n v="5.9999999999999991"/>
  </r>
  <r>
    <s v="ALP-37623-536"/>
    <d v="2020-07-03T00:00:00"/>
    <s v="03"/>
    <x v="2"/>
    <x v="3"/>
    <x v="596"/>
    <x v="596"/>
    <s v="cdenysi1@is.gd"/>
    <s v="+44 (341) 297-2539"/>
    <x v="301"/>
    <x v="2"/>
    <s v="No"/>
    <x v="3"/>
    <s v="L-L-1"/>
    <x v="1"/>
    <n v="2.0605000000000002"/>
    <n v="6"/>
    <n v="1"/>
    <n v="15.85"/>
    <x v="179"/>
    <n v="12.363000000000001"/>
    <n v="13.000000000000004"/>
  </r>
  <r>
    <s v="WMU-87639-108"/>
    <d v="2019-02-11T00:00:00"/>
    <s v="11"/>
    <x v="10"/>
    <x v="0"/>
    <x v="597"/>
    <x v="597"/>
    <s v="cstebbingsi2@drupal.org"/>
    <s v="+1 (951) 986-4062"/>
    <x v="78"/>
    <x v="0"/>
    <s v="Yes"/>
    <x v="0"/>
    <s v="R-D-0.5"/>
    <x v="2"/>
    <n v="0.32219999999999993"/>
    <n v="1"/>
    <n v="0.5"/>
    <n v="5.3699999999999992"/>
    <x v="147"/>
    <n v="0.32219999999999993"/>
    <n v="6"/>
  </r>
  <r>
    <s v="USN-44968-231"/>
    <d v="2020-09-10T00:00:00"/>
    <s v="10"/>
    <x v="0"/>
    <x v="3"/>
    <x v="598"/>
    <x v="598"/>
    <n v="0"/>
    <s v="+1 (202) 931-2413"/>
    <x v="41"/>
    <x v="0"/>
    <s v="No"/>
    <x v="0"/>
    <s v="R-L-1"/>
    <x v="1"/>
    <n v="0.71699999999999997"/>
    <n v="4"/>
    <n v="1"/>
    <n v="11.95"/>
    <x v="62"/>
    <n v="2.8679999999999999"/>
    <n v="6"/>
  </r>
  <r>
    <s v="YZG-20575-451"/>
    <d v="2020-03-02T00:00:00"/>
    <s v="02"/>
    <x v="6"/>
    <x v="3"/>
    <x v="599"/>
    <x v="599"/>
    <s v="rzywickii4@ifeng.com"/>
    <n v="0"/>
    <x v="302"/>
    <x v="1"/>
    <s v="No"/>
    <x v="3"/>
    <s v="L-L-1"/>
    <x v="1"/>
    <n v="2.0605000000000002"/>
    <n v="4"/>
    <n v="1"/>
    <n v="15.85"/>
    <x v="165"/>
    <n v="8.2420000000000009"/>
    <n v="13"/>
  </r>
  <r>
    <s v="HTH-52867-812"/>
    <d v="2021-06-28T00:00:00"/>
    <s v="28"/>
    <x v="1"/>
    <x v="1"/>
    <x v="600"/>
    <x v="600"/>
    <s v="aburgetti5@moonfruit.com"/>
    <s v="+1 (419) 372-4746"/>
    <x v="45"/>
    <x v="0"/>
    <s v="No"/>
    <x v="2"/>
    <s v="A-M-2.5"/>
    <x v="0"/>
    <n v="2.3287499999999994"/>
    <n v="4"/>
    <n v="2.5"/>
    <n v="25.874999999999996"/>
    <x v="68"/>
    <n v="9.3149999999999977"/>
    <n v="9"/>
  </r>
  <r>
    <s v="FWU-44971-444"/>
    <d v="2019-01-11T00:00:00"/>
    <s v="11"/>
    <x v="4"/>
    <x v="0"/>
    <x v="601"/>
    <x v="601"/>
    <s v="mmalloyi6@seattletimes.com"/>
    <s v="+1 (202) 284-7115"/>
    <x v="41"/>
    <x v="0"/>
    <s v="No"/>
    <x v="2"/>
    <s v="A-D-2.5"/>
    <x v="2"/>
    <n v="2.0596499999999995"/>
    <n v="3"/>
    <n v="2.5"/>
    <n v="22.884999999999998"/>
    <x v="96"/>
    <n v="6.1789499999999986"/>
    <n v="8.9999999999999982"/>
  </r>
  <r>
    <s v="EQI-82205-066"/>
    <d v="2019-09-20T00:00:00"/>
    <s v="20"/>
    <x v="0"/>
    <x v="0"/>
    <x v="602"/>
    <x v="602"/>
    <s v="mmcparlandi7@w3.org"/>
    <n v="0"/>
    <x v="303"/>
    <x v="0"/>
    <s v="Yes"/>
    <x v="0"/>
    <s v="R-M-2.5"/>
    <x v="0"/>
    <n v="1.3730999999999998"/>
    <n v="2"/>
    <n v="2.5"/>
    <n v="22.884999999999998"/>
    <x v="135"/>
    <n v="2.7461999999999995"/>
    <n v="6"/>
  </r>
  <r>
    <s v="NAR-00747-074"/>
    <d v="2021-10-16T00:00:00"/>
    <s v="16"/>
    <x v="7"/>
    <x v="1"/>
    <x v="603"/>
    <x v="603"/>
    <s v="sjennaroyi8@purevolume.com"/>
    <n v="0"/>
    <x v="24"/>
    <x v="0"/>
    <s v="No"/>
    <x v="3"/>
    <s v="L-D-1"/>
    <x v="2"/>
    <n v="1.6835"/>
    <n v="4"/>
    <n v="1"/>
    <n v="12.95"/>
    <x v="67"/>
    <n v="6.734"/>
    <n v="13"/>
  </r>
  <r>
    <s v="JYR-22052-185"/>
    <d v="2020-01-01T00:00:00"/>
    <s v="01"/>
    <x v="4"/>
    <x v="3"/>
    <x v="604"/>
    <x v="604"/>
    <s v="wplacei9@wsj.com"/>
    <s v="+1 (408) 106-8863"/>
    <x v="304"/>
    <x v="0"/>
    <s v="Yes"/>
    <x v="2"/>
    <s v="A-M-0.5"/>
    <x v="0"/>
    <n v="0.60749999999999993"/>
    <n v="2"/>
    <n v="0.5"/>
    <n v="6.75"/>
    <x v="72"/>
    <n v="1.2149999999999999"/>
    <n v="8.9999999999999982"/>
  </r>
  <r>
    <s v="XKO-54097-932"/>
    <d v="2022-03-10T00:00:00"/>
    <s v="10"/>
    <x v="6"/>
    <x v="2"/>
    <x v="605"/>
    <x v="605"/>
    <s v="jmillettik@addtoany.com"/>
    <s v="+1 (919) 302-3228"/>
    <x v="285"/>
    <x v="0"/>
    <s v="Yes"/>
    <x v="1"/>
    <s v="E-M-0.5"/>
    <x v="0"/>
    <n v="0.90749999999999997"/>
    <n v="3"/>
    <n v="0.5"/>
    <n v="8.25"/>
    <x v="167"/>
    <n v="2.7225000000000001"/>
    <n v="11"/>
  </r>
  <r>
    <s v="HXA-72415-025"/>
    <d v="2022-05-12T00:00:00"/>
    <s v="12"/>
    <x v="5"/>
    <x v="2"/>
    <x v="606"/>
    <x v="606"/>
    <s v="dgadsdenib@google.com.hk"/>
    <s v="+353 (847) 447-7835"/>
    <x v="305"/>
    <x v="1"/>
    <s v="Yes"/>
    <x v="2"/>
    <s v="A-D-2.5"/>
    <x v="2"/>
    <n v="2.0596499999999995"/>
    <n v="2"/>
    <n v="2.5"/>
    <n v="22.884999999999998"/>
    <x v="135"/>
    <n v="4.1192999999999991"/>
    <n v="8.9999999999999982"/>
  </r>
  <r>
    <s v="MJF-20065-335"/>
    <d v="2020-09-10T00:00:00"/>
    <s v="10"/>
    <x v="0"/>
    <x v="3"/>
    <x v="607"/>
    <x v="607"/>
    <s v="vwakelinic@unesco.org"/>
    <s v="+1 (517) 163-7746"/>
    <x v="133"/>
    <x v="0"/>
    <s v="No"/>
    <x v="1"/>
    <s v="E-L-0.5"/>
    <x v="1"/>
    <n v="0.98009999999999997"/>
    <n v="6"/>
    <n v="0.5"/>
    <n v="8.91"/>
    <x v="119"/>
    <n v="5.8805999999999994"/>
    <n v="10.999999999999998"/>
  </r>
  <r>
    <s v="GFI-83300-059"/>
    <d v="2021-10-16T00:00:00"/>
    <s v="16"/>
    <x v="7"/>
    <x v="1"/>
    <x v="608"/>
    <x v="608"/>
    <s v="acampsallid@zimbio.com"/>
    <s v="+1 (713) 339-5547"/>
    <x v="13"/>
    <x v="0"/>
    <s v="Yes"/>
    <x v="2"/>
    <s v="A-M-0.2"/>
    <x v="0"/>
    <n v="0.30374999999999996"/>
    <n v="6"/>
    <n v="0.2"/>
    <n v="3.375"/>
    <x v="16"/>
    <n v="1.8224999999999998"/>
    <n v="8.9999999999999982"/>
  </r>
  <r>
    <s v="WJR-51493-682"/>
    <d v="2021-06-17T00:00:00"/>
    <s v="17"/>
    <x v="1"/>
    <x v="1"/>
    <x v="609"/>
    <x v="609"/>
    <s v="smosebyie@stanford.edu"/>
    <n v="0"/>
    <x v="306"/>
    <x v="0"/>
    <s v="No"/>
    <x v="3"/>
    <s v="L-D-2.5"/>
    <x v="2"/>
    <n v="3.8720499999999998"/>
    <n v="5"/>
    <n v="2.5"/>
    <n v="29.784999999999997"/>
    <x v="74"/>
    <n v="19.360250000000001"/>
    <n v="13.000000000000004"/>
  </r>
  <r>
    <s v="SHP-55648-472"/>
    <d v="2019-03-30T00:00:00"/>
    <s v="30"/>
    <x v="6"/>
    <x v="0"/>
    <x v="610"/>
    <x v="610"/>
    <s v="cwassif@prweb.com"/>
    <n v="0"/>
    <x v="27"/>
    <x v="0"/>
    <s v="No"/>
    <x v="2"/>
    <s v="A-M-1"/>
    <x v="0"/>
    <n v="1.0125"/>
    <n v="6"/>
    <n v="1"/>
    <n v="11.25"/>
    <x v="173"/>
    <n v="6.0749999999999993"/>
    <n v="8.9999999999999982"/>
  </r>
  <r>
    <s v="HYR-03455-684"/>
    <d v="2021-12-19T00:00:00"/>
    <s v="19"/>
    <x v="9"/>
    <x v="1"/>
    <x v="611"/>
    <x v="611"/>
    <s v="isjostromig@pbs.org"/>
    <s v="+1 (814) 359-4610"/>
    <x v="173"/>
    <x v="0"/>
    <s v="No"/>
    <x v="1"/>
    <s v="E-D-1"/>
    <x v="2"/>
    <n v="1.3365"/>
    <n v="6"/>
    <n v="1"/>
    <n v="12.15"/>
    <x v="118"/>
    <n v="8.0190000000000001"/>
    <n v="10.999999999999998"/>
  </r>
  <r>
    <s v="HYR-03455-684"/>
    <d v="2021-12-19T00:00:00"/>
    <s v="19"/>
    <x v="9"/>
    <x v="1"/>
    <x v="611"/>
    <x v="611"/>
    <s v="isjostromig@pbs.org"/>
    <s v="+1 (814) 359-4610"/>
    <x v="173"/>
    <x v="0"/>
    <s v="No"/>
    <x v="3"/>
    <s v="L-D-0.2"/>
    <x v="2"/>
    <n v="0.50505"/>
    <n v="2"/>
    <n v="0.2"/>
    <n v="3.8849999999999998"/>
    <x v="41"/>
    <n v="1.0101"/>
    <n v="13"/>
  </r>
  <r>
    <s v="HUG-52766-375"/>
    <d v="2020-06-05T00:00:00"/>
    <s v="05"/>
    <x v="1"/>
    <x v="3"/>
    <x v="612"/>
    <x v="612"/>
    <s v="jbranchettii@bravesites.com"/>
    <s v="+1 (806) 376-6144"/>
    <x v="143"/>
    <x v="0"/>
    <s v="No"/>
    <x v="2"/>
    <s v="A-D-2.5"/>
    <x v="2"/>
    <n v="2.0596499999999995"/>
    <n v="4"/>
    <n v="2.5"/>
    <n v="22.884999999999998"/>
    <x v="21"/>
    <n v="8.2385999999999981"/>
    <n v="8.9999999999999982"/>
  </r>
  <r>
    <s v="DAH-46595-917"/>
    <d v="2021-09-12T00:00:00"/>
    <s v="12"/>
    <x v="0"/>
    <x v="1"/>
    <x v="613"/>
    <x v="613"/>
    <s v="nrudlandij@blogs.com"/>
    <s v="+353 (445) 224-6111"/>
    <x v="307"/>
    <x v="1"/>
    <s v="No"/>
    <x v="2"/>
    <s v="A-D-1"/>
    <x v="2"/>
    <n v="0.89549999999999985"/>
    <n v="6"/>
    <n v="1"/>
    <n v="9.9499999999999993"/>
    <x v="33"/>
    <n v="5.3729999999999993"/>
    <n v="9"/>
  </r>
  <r>
    <s v="VEM-79839-466"/>
    <d v="2022-03-16T00:00:00"/>
    <s v="16"/>
    <x v="6"/>
    <x v="2"/>
    <x v="605"/>
    <x v="605"/>
    <s v="jmillettik@addtoany.com"/>
    <s v="+1 (919) 302-3228"/>
    <x v="285"/>
    <x v="0"/>
    <s v="Yes"/>
    <x v="0"/>
    <s v="R-L-2.5"/>
    <x v="1"/>
    <n v="1.6490999999999998"/>
    <n v="5"/>
    <n v="2.5"/>
    <n v="27.484999999999996"/>
    <x v="187"/>
    <n v="8.2454999999999998"/>
    <n v="6.0000000000000009"/>
  </r>
  <r>
    <s v="OWH-11126-533"/>
    <d v="2021-12-21T00:00:00"/>
    <s v="21"/>
    <x v="9"/>
    <x v="1"/>
    <x v="614"/>
    <x v="614"/>
    <s v="ftourryil@google.de"/>
    <s v="+1 (843) 243-1686"/>
    <x v="308"/>
    <x v="0"/>
    <s v="No"/>
    <x v="3"/>
    <s v="L-M-2.5"/>
    <x v="0"/>
    <n v="4.3504499999999995"/>
    <n v="2"/>
    <n v="2.5"/>
    <n v="33.464999999999996"/>
    <x v="174"/>
    <n v="8.700899999999999"/>
    <n v="13"/>
  </r>
  <r>
    <s v="UMT-26130-151"/>
    <d v="2019-05-21T00:00:00"/>
    <s v="21"/>
    <x v="5"/>
    <x v="0"/>
    <x v="615"/>
    <x v="615"/>
    <s v="cweatherallim@toplist.cz"/>
    <s v="+1 (315) 335-0182"/>
    <x v="309"/>
    <x v="0"/>
    <s v="Yes"/>
    <x v="3"/>
    <s v="L-M-0.2"/>
    <x v="0"/>
    <n v="0.56745000000000001"/>
    <n v="3"/>
    <n v="0.2"/>
    <n v="4.3650000000000002"/>
    <x v="73"/>
    <n v="1.70235"/>
    <n v="13"/>
  </r>
  <r>
    <s v="JKA-27899-806"/>
    <d v="2021-10-26T00:00:00"/>
    <s v="26"/>
    <x v="7"/>
    <x v="1"/>
    <x v="616"/>
    <x v="616"/>
    <s v="gheindrickin@usda.gov"/>
    <s v="+1 (229) 111-7292"/>
    <x v="227"/>
    <x v="0"/>
    <s v="No"/>
    <x v="0"/>
    <s v="R-L-1"/>
    <x v="1"/>
    <n v="0.71699999999999997"/>
    <n v="5"/>
    <n v="1"/>
    <n v="11.95"/>
    <x v="143"/>
    <n v="3.585"/>
    <n v="6"/>
  </r>
  <r>
    <s v="ULU-07744-724"/>
    <d v="2020-03-26T00:00:00"/>
    <s v="26"/>
    <x v="6"/>
    <x v="3"/>
    <x v="617"/>
    <x v="617"/>
    <s v="limasonio@discuz.net"/>
    <n v="0"/>
    <x v="13"/>
    <x v="0"/>
    <s v="Yes"/>
    <x v="3"/>
    <s v="L-M-0.5"/>
    <x v="0"/>
    <n v="1.1349"/>
    <n v="5"/>
    <n v="0.5"/>
    <n v="8.73"/>
    <x v="34"/>
    <n v="5.6745000000000001"/>
    <n v="12.999999999999998"/>
  </r>
  <r>
    <s v="NOM-56457-507"/>
    <d v="2020-10-14T00:00:00"/>
    <s v="14"/>
    <x v="7"/>
    <x v="3"/>
    <x v="618"/>
    <x v="618"/>
    <s v="hsaillip@odnoklassniki.ru"/>
    <s v="+1 (913) 968-8024"/>
    <x v="77"/>
    <x v="0"/>
    <s v="Yes"/>
    <x v="1"/>
    <s v="E-M-1"/>
    <x v="0"/>
    <n v="1.5125"/>
    <n v="6"/>
    <n v="1"/>
    <n v="13.75"/>
    <x v="121"/>
    <n v="9.0749999999999993"/>
    <n v="10.999999999999998"/>
  </r>
  <r>
    <s v="NZN-71683-705"/>
    <d v="2021-12-13T00:00:00"/>
    <s v="13"/>
    <x v="9"/>
    <x v="1"/>
    <x v="619"/>
    <x v="619"/>
    <s v="hlarvoriq@last.fm"/>
    <s v="+1 (941) 779-2195"/>
    <x v="310"/>
    <x v="0"/>
    <s v="Yes"/>
    <x v="2"/>
    <s v="A-L-2.5"/>
    <x v="1"/>
    <n v="2.6806499999999995"/>
    <n v="6"/>
    <n v="2.5"/>
    <n v="29.784999999999997"/>
    <x v="39"/>
    <n v="16.083899999999996"/>
    <n v="8.9999999999999982"/>
  </r>
  <r>
    <s v="WMA-34232-850"/>
    <d v="2021-03-08T00:00:00"/>
    <s v="08"/>
    <x v="6"/>
    <x v="1"/>
    <x v="620"/>
    <x v="620"/>
    <n v="0"/>
    <s v="+1 (610) 942-2790"/>
    <x v="311"/>
    <x v="0"/>
    <s v="Yes"/>
    <x v="3"/>
    <s v="L-D-2.5"/>
    <x v="2"/>
    <n v="3.8720499999999998"/>
    <n v="4"/>
    <n v="2.5"/>
    <n v="29.784999999999997"/>
    <x v="129"/>
    <n v="15.488199999999999"/>
    <n v="13"/>
  </r>
  <r>
    <s v="EZL-27919-704"/>
    <d v="2021-01-21T00:00:00"/>
    <s v="21"/>
    <x v="4"/>
    <x v="1"/>
    <x v="621"/>
    <x v="621"/>
    <n v="0"/>
    <s v="+1 (757) 101-9459"/>
    <x v="312"/>
    <x v="0"/>
    <s v="No"/>
    <x v="3"/>
    <s v="L-L-0.5"/>
    <x v="1"/>
    <n v="1.2363"/>
    <n v="5"/>
    <n v="0.5"/>
    <n v="9.51"/>
    <x v="46"/>
    <n v="6.1814999999999998"/>
    <n v="13"/>
  </r>
  <r>
    <s v="ZYU-11345-774"/>
    <d v="2021-01-10T00:00:00"/>
    <s v="10"/>
    <x v="4"/>
    <x v="1"/>
    <x v="622"/>
    <x v="622"/>
    <s v="cpenwardenit@mlb.com"/>
    <s v="+353 (765) 345-5590"/>
    <x v="230"/>
    <x v="1"/>
    <s v="No"/>
    <x v="3"/>
    <s v="L-M-0.5"/>
    <x v="0"/>
    <n v="1.1349"/>
    <n v="5"/>
    <n v="0.5"/>
    <n v="8.73"/>
    <x v="34"/>
    <n v="5.6745000000000001"/>
    <n v="12.999999999999998"/>
  </r>
  <r>
    <s v="CPW-34587-459"/>
    <d v="2021-03-26T00:00:00"/>
    <s v="26"/>
    <x v="6"/>
    <x v="1"/>
    <x v="623"/>
    <x v="623"/>
    <s v="mmiddisiu@dmoz.org"/>
    <s v="+1 (316) 736-9645"/>
    <x v="313"/>
    <x v="0"/>
    <s v="Yes"/>
    <x v="2"/>
    <s v="A-L-2.5"/>
    <x v="1"/>
    <n v="2.6806499999999995"/>
    <n v="6"/>
    <n v="2.5"/>
    <n v="29.784999999999997"/>
    <x v="39"/>
    <n v="16.083899999999996"/>
    <n v="8.9999999999999982"/>
  </r>
  <r>
    <s v="NQZ-82067-394"/>
    <d v="2022-03-25T00:00:00"/>
    <s v="25"/>
    <x v="6"/>
    <x v="2"/>
    <x v="624"/>
    <x v="624"/>
    <s v="avairowiv@studiopress.com"/>
    <s v="+44 (236) 517-2586"/>
    <x v="300"/>
    <x v="2"/>
    <s v="No"/>
    <x v="0"/>
    <s v="R-L-2.5"/>
    <x v="1"/>
    <n v="1.6490999999999998"/>
    <n v="1"/>
    <n v="2.5"/>
    <n v="27.484999999999996"/>
    <x v="142"/>
    <n v="1.6490999999999998"/>
    <n v="6.0000000000000009"/>
  </r>
  <r>
    <s v="JBW-95055-851"/>
    <d v="2021-07-22T00:00:00"/>
    <s v="22"/>
    <x v="2"/>
    <x v="1"/>
    <x v="625"/>
    <x v="625"/>
    <s v="agoldieiw@goo.gl"/>
    <n v="0"/>
    <x v="189"/>
    <x v="0"/>
    <s v="No"/>
    <x v="2"/>
    <s v="A-M-1"/>
    <x v="0"/>
    <n v="1.0125"/>
    <n v="5"/>
    <n v="1"/>
    <n v="11.25"/>
    <x v="126"/>
    <n v="5.0625"/>
    <n v="9"/>
  </r>
  <r>
    <s v="AHY-20324-088"/>
    <d v="2020-09-06T00:00:00"/>
    <s v="06"/>
    <x v="0"/>
    <x v="3"/>
    <x v="626"/>
    <x v="626"/>
    <s v="nayrisix@t-online.de"/>
    <s v="+44 (627) 552-5656"/>
    <x v="44"/>
    <x v="2"/>
    <s v="Yes"/>
    <x v="3"/>
    <s v="L-L-0.2"/>
    <x v="1"/>
    <n v="0.61814999999999998"/>
    <n v="2"/>
    <n v="0.2"/>
    <n v="4.7549999999999999"/>
    <x v="54"/>
    <n v="1.2363"/>
    <n v="13"/>
  </r>
  <r>
    <s v="ZSL-66684-103"/>
    <d v="2019-12-28T00:00:00"/>
    <s v="28"/>
    <x v="9"/>
    <x v="0"/>
    <x v="627"/>
    <x v="627"/>
    <s v="lbenediktovichiy@wunderground.com"/>
    <s v="+1 (904) 330-1211"/>
    <x v="314"/>
    <x v="0"/>
    <s v="Yes"/>
    <x v="1"/>
    <s v="E-M-0.2"/>
    <x v="0"/>
    <n v="0.45374999999999999"/>
    <n v="2"/>
    <n v="0.2"/>
    <n v="4.125"/>
    <x v="112"/>
    <n v="0.90749999999999997"/>
    <n v="11"/>
  </r>
  <r>
    <s v="WNE-73911-475"/>
    <d v="2020-04-20T00:00:00"/>
    <s v="20"/>
    <x v="8"/>
    <x v="3"/>
    <x v="628"/>
    <x v="628"/>
    <s v="tjacobovitziz@cbc.ca"/>
    <s v="+1 (713) 642-2082"/>
    <x v="13"/>
    <x v="0"/>
    <s v="No"/>
    <x v="3"/>
    <s v="L-D-0.5"/>
    <x v="2"/>
    <n v="1.0101"/>
    <n v="6"/>
    <n v="0.5"/>
    <n v="7.77"/>
    <x v="162"/>
    <n v="6.0606"/>
    <n v="13"/>
  </r>
  <r>
    <s v="EZB-68383-559"/>
    <d v="2019-02-21T00:00:00"/>
    <s v="21"/>
    <x v="10"/>
    <x v="0"/>
    <x v="629"/>
    <x v="629"/>
    <n v="0"/>
    <s v="+1 (971) 254-5295"/>
    <x v="12"/>
    <x v="0"/>
    <s v="No"/>
    <x v="0"/>
    <s v="R-L-1"/>
    <x v="1"/>
    <n v="0.71699999999999997"/>
    <n v="6"/>
    <n v="1"/>
    <n v="11.95"/>
    <x v="144"/>
    <n v="4.3019999999999996"/>
    <n v="6.0000000000000009"/>
  </r>
  <r>
    <s v="OVO-01283-090"/>
    <d v="2022-03-17T00:00:00"/>
    <s v="17"/>
    <x v="6"/>
    <x v="2"/>
    <x v="630"/>
    <x v="630"/>
    <s v="jdruittj1@feedburner.com"/>
    <s v="+1 (650) 693-6904"/>
    <x v="148"/>
    <x v="0"/>
    <s v="Yes"/>
    <x v="3"/>
    <s v="L-L-2.5"/>
    <x v="1"/>
    <n v="4.7391499999999995"/>
    <n v="2"/>
    <n v="2.5"/>
    <n v="36.454999999999998"/>
    <x v="37"/>
    <n v="9.4782999999999991"/>
    <n v="13"/>
  </r>
  <r>
    <s v="TXH-78646-919"/>
    <d v="2021-05-14T00:00:00"/>
    <s v="14"/>
    <x v="5"/>
    <x v="1"/>
    <x v="631"/>
    <x v="631"/>
    <s v="dshortallj2@wikipedia.org"/>
    <s v="+1 (714) 917-8665"/>
    <x v="100"/>
    <x v="0"/>
    <s v="Yes"/>
    <x v="0"/>
    <s v="R-D-0.2"/>
    <x v="2"/>
    <n v="0.16109999999999997"/>
    <n v="3"/>
    <n v="0.2"/>
    <n v="2.6849999999999996"/>
    <x v="36"/>
    <n v="0.4832999999999999"/>
    <n v="5.9999999999999991"/>
  </r>
  <r>
    <s v="CYZ-37122-164"/>
    <d v="2019-01-06T00:00:00"/>
    <s v="06"/>
    <x v="4"/>
    <x v="0"/>
    <x v="632"/>
    <x v="632"/>
    <s v="wcottierj3@cafepress.com"/>
    <s v="+1 (408) 261-7902"/>
    <x v="7"/>
    <x v="0"/>
    <s v="No"/>
    <x v="1"/>
    <s v="E-M-0.5"/>
    <x v="0"/>
    <n v="0.90749999999999997"/>
    <n v="2"/>
    <n v="0.5"/>
    <n v="8.25"/>
    <x v="38"/>
    <n v="1.8149999999999999"/>
    <n v="11"/>
  </r>
  <r>
    <s v="AGQ-06534-750"/>
    <d v="2019-04-24T00:00:00"/>
    <s v="24"/>
    <x v="8"/>
    <x v="0"/>
    <x v="633"/>
    <x v="633"/>
    <s v="kgrinstedj4@google.com.br"/>
    <s v="+353 (773) 225-6216"/>
    <x v="315"/>
    <x v="1"/>
    <s v="No"/>
    <x v="2"/>
    <s v="A-L-1"/>
    <x v="1"/>
    <n v="1.1655"/>
    <n v="5"/>
    <n v="1"/>
    <n v="12.95"/>
    <x v="188"/>
    <n v="5.8274999999999997"/>
    <n v="9"/>
  </r>
  <r>
    <s v="QVL-32245-818"/>
    <d v="2021-05-30T00:00:00"/>
    <s v="30"/>
    <x v="5"/>
    <x v="1"/>
    <x v="634"/>
    <x v="634"/>
    <s v="dskynerj5@hubpages.com"/>
    <s v="+1 (719) 937-4913"/>
    <x v="71"/>
    <x v="0"/>
    <s v="No"/>
    <x v="2"/>
    <s v="A-M-0.5"/>
    <x v="0"/>
    <n v="0.60749999999999993"/>
    <n v="5"/>
    <n v="0.5"/>
    <n v="6.75"/>
    <x v="65"/>
    <n v="3.0374999999999996"/>
    <n v="8.9999999999999982"/>
  </r>
  <r>
    <s v="LTD-96842-834"/>
    <d v="2022-07-12T00:00:00"/>
    <s v="12"/>
    <x v="2"/>
    <x v="2"/>
    <x v="635"/>
    <x v="635"/>
    <n v="0"/>
    <n v="0"/>
    <x v="45"/>
    <x v="0"/>
    <s v="No"/>
    <x v="3"/>
    <s v="L-D-2.5"/>
    <x v="2"/>
    <n v="3.8720499999999998"/>
    <n v="6"/>
    <n v="2.5"/>
    <n v="29.784999999999997"/>
    <x v="39"/>
    <n v="23.232299999999999"/>
    <n v="13"/>
  </r>
  <r>
    <s v="SEC-91807-425"/>
    <d v="2021-01-31T00:00:00"/>
    <s v="31"/>
    <x v="4"/>
    <x v="1"/>
    <x v="636"/>
    <x v="636"/>
    <s v="jdymokeje@prnewswire.com"/>
    <s v="+353 (390) 459-9269"/>
    <x v="75"/>
    <x v="1"/>
    <s v="No"/>
    <x v="2"/>
    <s v="A-M-1"/>
    <x v="0"/>
    <n v="1.0125"/>
    <n v="2"/>
    <n v="1"/>
    <n v="11.25"/>
    <x v="122"/>
    <n v="2.0249999999999999"/>
    <n v="9"/>
  </r>
  <r>
    <s v="MHM-44857-599"/>
    <d v="2019-09-12T00:00:00"/>
    <s v="12"/>
    <x v="0"/>
    <x v="0"/>
    <x v="637"/>
    <x v="637"/>
    <s v="aweinmannj8@shinystat.com"/>
    <s v="+1 (513) 966-3308"/>
    <x v="159"/>
    <x v="0"/>
    <s v="No"/>
    <x v="3"/>
    <s v="L-D-1"/>
    <x v="2"/>
    <n v="1.6835"/>
    <n v="1"/>
    <n v="1"/>
    <n v="12.95"/>
    <x v="2"/>
    <n v="1.6835"/>
    <n v="13"/>
  </r>
  <r>
    <s v="KGC-95046-911"/>
    <d v="2020-06-30T00:00:00"/>
    <s v="30"/>
    <x v="1"/>
    <x v="3"/>
    <x v="638"/>
    <x v="638"/>
    <s v="eandriessenj9@europa.eu"/>
    <s v="+1 (314) 307-5250"/>
    <x v="10"/>
    <x v="0"/>
    <s v="Yes"/>
    <x v="2"/>
    <s v="A-M-2.5"/>
    <x v="0"/>
    <n v="2.3287499999999994"/>
    <n v="2"/>
    <n v="2.5"/>
    <n v="25.874999999999996"/>
    <x v="95"/>
    <n v="4.6574999999999989"/>
    <n v="9"/>
  </r>
  <r>
    <s v="RZC-75150-413"/>
    <d v="2020-03-25T00:00:00"/>
    <s v="25"/>
    <x v="6"/>
    <x v="3"/>
    <x v="639"/>
    <x v="639"/>
    <s v="rdeaconsonja@archive.org"/>
    <s v="+1 (914) 524-1161"/>
    <x v="316"/>
    <x v="0"/>
    <s v="No"/>
    <x v="1"/>
    <s v="E-D-0.5"/>
    <x v="2"/>
    <n v="0.80190000000000006"/>
    <n v="5"/>
    <n v="0.5"/>
    <n v="7.29"/>
    <x v="114"/>
    <n v="4.0095000000000001"/>
    <n v="10.999999999999998"/>
  </r>
  <r>
    <s v="EYH-88288-452"/>
    <d v="2021-04-14T00:00:00"/>
    <s v="14"/>
    <x v="8"/>
    <x v="1"/>
    <x v="640"/>
    <x v="640"/>
    <s v="dcarojb@twitter.com"/>
    <s v="+1 (410) 594-3041"/>
    <x v="192"/>
    <x v="0"/>
    <s v="Yes"/>
    <x v="3"/>
    <s v="L-L-2.5"/>
    <x v="1"/>
    <n v="4.7391499999999995"/>
    <n v="5"/>
    <n v="2.5"/>
    <n v="36.454999999999998"/>
    <x v="134"/>
    <n v="23.695749999999997"/>
    <n v="13"/>
  </r>
  <r>
    <s v="NYQ-24237-772"/>
    <d v="2019-08-16T00:00:00"/>
    <s v="16"/>
    <x v="3"/>
    <x v="0"/>
    <x v="641"/>
    <x v="641"/>
    <s v="jbluckjc@imageshack.us"/>
    <s v="+1 (904) 875-3139"/>
    <x v="314"/>
    <x v="0"/>
    <s v="No"/>
    <x v="3"/>
    <s v="L-D-0.5"/>
    <x v="2"/>
    <n v="1.0101"/>
    <n v="4"/>
    <n v="0.5"/>
    <n v="7.77"/>
    <x v="113"/>
    <n v="4.0404"/>
    <n v="13"/>
  </r>
  <r>
    <s v="WKB-21680-566"/>
    <d v="2021-12-17T00:00:00"/>
    <s v="17"/>
    <x v="9"/>
    <x v="1"/>
    <x v="642"/>
    <x v="642"/>
    <n v="0"/>
    <n v="0"/>
    <x v="317"/>
    <x v="1"/>
    <s v="No"/>
    <x v="2"/>
    <s v="A-M-0.5"/>
    <x v="0"/>
    <n v="0.60749999999999993"/>
    <n v="3"/>
    <n v="0.5"/>
    <n v="6.75"/>
    <x v="16"/>
    <n v="1.8224999999999998"/>
    <n v="8.9999999999999982"/>
  </r>
  <r>
    <s v="THE-61147-027"/>
    <d v="2019-12-31T00:00:00"/>
    <s v="31"/>
    <x v="9"/>
    <x v="0"/>
    <x v="636"/>
    <x v="636"/>
    <s v="jdymokeje@prnewswire.com"/>
    <s v="+353 (390) 459-9269"/>
    <x v="75"/>
    <x v="1"/>
    <s v="No"/>
    <x v="3"/>
    <s v="L-D-1"/>
    <x v="2"/>
    <n v="1.6835"/>
    <n v="2"/>
    <n v="1"/>
    <n v="12.95"/>
    <x v="109"/>
    <n v="3.367"/>
    <n v="13"/>
  </r>
  <r>
    <s v="PTY-86420-119"/>
    <d v="2021-04-12T00:00:00"/>
    <s v="12"/>
    <x v="8"/>
    <x v="1"/>
    <x v="643"/>
    <x v="643"/>
    <s v="otadmanjf@ft.com"/>
    <s v="+1 (305) 205-3682"/>
    <x v="218"/>
    <x v="0"/>
    <s v="Yes"/>
    <x v="2"/>
    <s v="A-D-0.5"/>
    <x v="2"/>
    <n v="0.5373"/>
    <n v="4"/>
    <n v="0.5"/>
    <n v="5.97"/>
    <x v="86"/>
    <n v="2.1492"/>
    <n v="9.0000000000000018"/>
  </r>
  <r>
    <s v="QHL-27188-431"/>
    <d v="2019-09-28T00:00:00"/>
    <s v="28"/>
    <x v="0"/>
    <x v="0"/>
    <x v="644"/>
    <x v="644"/>
    <s v="bguddejg@dailymotion.com"/>
    <n v="0"/>
    <x v="204"/>
    <x v="0"/>
    <s v="No"/>
    <x v="3"/>
    <s v="L-L-0.5"/>
    <x v="1"/>
    <n v="1.2363"/>
    <n v="2"/>
    <n v="0.5"/>
    <n v="9.51"/>
    <x v="81"/>
    <n v="2.4725999999999999"/>
    <n v="13"/>
  </r>
  <r>
    <s v="MIS-54381-047"/>
    <d v="2022-06-15T00:00:00"/>
    <s v="15"/>
    <x v="1"/>
    <x v="2"/>
    <x v="645"/>
    <x v="645"/>
    <s v="nsictornesjh@buzzfeed.com"/>
    <s v="+353 (410) 713-0145"/>
    <x v="201"/>
    <x v="1"/>
    <s v="Yes"/>
    <x v="2"/>
    <s v="A-D-0.5"/>
    <x v="2"/>
    <n v="0.5373"/>
    <n v="5"/>
    <n v="0.5"/>
    <n v="5.97"/>
    <x v="44"/>
    <n v="2.6865000000000001"/>
    <n v="9.0000000000000018"/>
  </r>
  <r>
    <s v="TBB-29780-459"/>
    <d v="2019-07-15T00:00:00"/>
    <s v="15"/>
    <x v="2"/>
    <x v="0"/>
    <x v="646"/>
    <x v="646"/>
    <s v="vdunningji@independent.co.uk"/>
    <n v="0"/>
    <x v="17"/>
    <x v="0"/>
    <s v="Yes"/>
    <x v="2"/>
    <s v="A-L-0.5"/>
    <x v="1"/>
    <n v="0.69929999999999992"/>
    <n v="1"/>
    <n v="0.5"/>
    <n v="7.77"/>
    <x v="41"/>
    <n v="0.69929999999999992"/>
    <n v="9"/>
  </r>
  <r>
    <s v="QLC-52637-305"/>
    <d v="2019-02-10T00:00:00"/>
    <s v="10"/>
    <x v="10"/>
    <x v="0"/>
    <x v="647"/>
    <x v="647"/>
    <n v="0"/>
    <s v="+353 (214) 406-4884"/>
    <x v="104"/>
    <x v="1"/>
    <s v="Yes"/>
    <x v="3"/>
    <s v="L-D-2.5"/>
    <x v="2"/>
    <n v="3.8720499999999998"/>
    <n v="4"/>
    <n v="2.5"/>
    <n v="29.784999999999997"/>
    <x v="129"/>
    <n v="15.488199999999999"/>
    <n v="13"/>
  </r>
  <r>
    <s v="CWT-27056-328"/>
    <d v="2022-06-04T00:00:00"/>
    <s v="04"/>
    <x v="1"/>
    <x v="2"/>
    <x v="648"/>
    <x v="648"/>
    <n v="0"/>
    <s v="+1 (212) 163-1916"/>
    <x v="15"/>
    <x v="0"/>
    <s v="Yes"/>
    <x v="1"/>
    <s v="E-D-0.2"/>
    <x v="2"/>
    <n v="0.40095000000000003"/>
    <n v="6"/>
    <n v="0.2"/>
    <n v="3.645"/>
    <x v="6"/>
    <n v="2.4057000000000004"/>
    <n v="11.000000000000002"/>
  </r>
  <r>
    <s v="ASS-05878-128"/>
    <d v="2020-10-10T00:00:00"/>
    <s v="10"/>
    <x v="7"/>
    <x v="3"/>
    <x v="649"/>
    <x v="649"/>
    <s v="sgehringjl@gnu.org"/>
    <s v="+1 (864) 940-7075"/>
    <x v="141"/>
    <x v="0"/>
    <s v="No"/>
    <x v="1"/>
    <s v="E-L-0.5"/>
    <x v="1"/>
    <n v="0.98009999999999997"/>
    <n v="2"/>
    <n v="0.5"/>
    <n v="8.91"/>
    <x v="58"/>
    <n v="1.9601999999999999"/>
    <n v="11"/>
  </r>
  <r>
    <s v="EGK-03027-418"/>
    <d v="2021-06-06T00:00:00"/>
    <s v="06"/>
    <x v="1"/>
    <x v="1"/>
    <x v="650"/>
    <x v="650"/>
    <s v="bfallowesjm@purevolume.com"/>
    <s v="+1 (805) 975-3527"/>
    <x v="318"/>
    <x v="0"/>
    <s v="No"/>
    <x v="1"/>
    <s v="E-M-0.2"/>
    <x v="0"/>
    <n v="0.45374999999999999"/>
    <n v="3"/>
    <n v="0.2"/>
    <n v="4.125"/>
    <x v="24"/>
    <n v="1.3612500000000001"/>
    <n v="11"/>
  </r>
  <r>
    <s v="KCY-61732-849"/>
    <d v="2019-03-16T00:00:00"/>
    <s v="16"/>
    <x v="6"/>
    <x v="0"/>
    <x v="651"/>
    <x v="651"/>
    <n v="0"/>
    <s v="+353 (861) 791-0313"/>
    <x v="319"/>
    <x v="1"/>
    <s v="No"/>
    <x v="3"/>
    <s v="L-D-1"/>
    <x v="2"/>
    <n v="1.6835"/>
    <n v="2"/>
    <n v="1"/>
    <n v="12.95"/>
    <x v="109"/>
    <n v="3.367"/>
    <n v="13"/>
  </r>
  <r>
    <s v="BLI-21697-702"/>
    <d v="2019-12-05T00:00:00"/>
    <s v="05"/>
    <x v="9"/>
    <x v="0"/>
    <x v="652"/>
    <x v="652"/>
    <s v="sdejo@newsvine.com"/>
    <s v="+1 (314) 496-2561"/>
    <x v="10"/>
    <x v="0"/>
    <s v="Yes"/>
    <x v="2"/>
    <s v="A-M-0.5"/>
    <x v="0"/>
    <n v="0.60749999999999993"/>
    <n v="2"/>
    <n v="0.5"/>
    <n v="6.75"/>
    <x v="72"/>
    <n v="1.2149999999999999"/>
    <n v="8.9999999999999982"/>
  </r>
  <r>
    <s v="KFJ-46568-890"/>
    <d v="2019-01-20T00:00:00"/>
    <s v="20"/>
    <x v="4"/>
    <x v="0"/>
    <x v="653"/>
    <x v="653"/>
    <n v="0"/>
    <s v="+1 (260) 280-7251"/>
    <x v="51"/>
    <x v="0"/>
    <s v="Yes"/>
    <x v="1"/>
    <s v="E-L-0.5"/>
    <x v="1"/>
    <n v="0.98009999999999997"/>
    <n v="2"/>
    <n v="0.5"/>
    <n v="8.91"/>
    <x v="58"/>
    <n v="1.9601999999999999"/>
    <n v="11"/>
  </r>
  <r>
    <s v="SOK-43535-680"/>
    <d v="2022-04-04T00:00:00"/>
    <s v="04"/>
    <x v="8"/>
    <x v="2"/>
    <x v="654"/>
    <x v="654"/>
    <s v="scountjq@nba.com"/>
    <s v="+1 (952) 721-7276"/>
    <x v="320"/>
    <x v="0"/>
    <s v="No"/>
    <x v="1"/>
    <s v="E-M-0.5"/>
    <x v="0"/>
    <n v="0.90749999999999997"/>
    <n v="3"/>
    <n v="0.5"/>
    <n v="8.25"/>
    <x v="167"/>
    <n v="2.7225000000000001"/>
    <n v="11"/>
  </r>
  <r>
    <s v="XUE-87260-201"/>
    <d v="2022-02-08T00:00:00"/>
    <s v="08"/>
    <x v="10"/>
    <x v="2"/>
    <x v="655"/>
    <x v="655"/>
    <s v="sraglesjr@blogtalkradio.com"/>
    <s v="+1 (479) 494-1369"/>
    <x v="321"/>
    <x v="0"/>
    <s v="No"/>
    <x v="0"/>
    <s v="R-M-0.2"/>
    <x v="0"/>
    <n v="0.17909999999999998"/>
    <n v="6"/>
    <n v="0.2"/>
    <n v="2.9849999999999999"/>
    <x v="8"/>
    <n v="1.0745999999999998"/>
    <n v="5.9999999999999982"/>
  </r>
  <r>
    <s v="CZF-40873-691"/>
    <d v="2019-06-30T00:00:00"/>
    <s v="30"/>
    <x v="1"/>
    <x v="0"/>
    <x v="656"/>
    <x v="656"/>
    <n v="0"/>
    <n v="0"/>
    <x v="217"/>
    <x v="2"/>
    <s v="No"/>
    <x v="1"/>
    <s v="E-M-0.5"/>
    <x v="0"/>
    <n v="0.90749999999999997"/>
    <n v="2"/>
    <n v="0.5"/>
    <n v="8.25"/>
    <x v="38"/>
    <n v="1.8149999999999999"/>
    <n v="11"/>
  </r>
  <r>
    <s v="AIA-98989-755"/>
    <d v="2020-05-09T00:00:00"/>
    <s v="09"/>
    <x v="5"/>
    <x v="3"/>
    <x v="657"/>
    <x v="657"/>
    <s v="sbruunjt@blogtalkradio.com"/>
    <s v="+1 (209) 784-1969"/>
    <x v="83"/>
    <x v="0"/>
    <s v="No"/>
    <x v="0"/>
    <s v="R-M-0.2"/>
    <x v="0"/>
    <n v="0.17909999999999998"/>
    <n v="1"/>
    <n v="0.2"/>
    <n v="2.9849999999999999"/>
    <x v="55"/>
    <n v="0.17909999999999998"/>
    <n v="6"/>
  </r>
  <r>
    <s v="ITZ-21793-986"/>
    <d v="2021-06-11T00:00:00"/>
    <s v="11"/>
    <x v="1"/>
    <x v="1"/>
    <x v="658"/>
    <x v="658"/>
    <s v="aplluju@dagondesign.com"/>
    <s v="+353 (915) 742-6707"/>
    <x v="322"/>
    <x v="1"/>
    <s v="Yes"/>
    <x v="1"/>
    <s v="E-D-0.2"/>
    <x v="2"/>
    <n v="0.40095000000000003"/>
    <n v="4"/>
    <n v="0.2"/>
    <n v="3.645"/>
    <x v="20"/>
    <n v="1.6038000000000001"/>
    <n v="11"/>
  </r>
  <r>
    <s v="YOK-93322-608"/>
    <d v="2021-11-04T00:00:00"/>
    <s v="04"/>
    <x v="11"/>
    <x v="1"/>
    <x v="659"/>
    <x v="659"/>
    <s v="gcornierjv@techcrunch.com"/>
    <n v="0"/>
    <x v="47"/>
    <x v="0"/>
    <s v="No"/>
    <x v="1"/>
    <s v="E-L-1"/>
    <x v="1"/>
    <n v="1.6335"/>
    <n v="6"/>
    <n v="1"/>
    <n v="14.85"/>
    <x v="146"/>
    <n v="9.8010000000000002"/>
    <n v="11.000000000000002"/>
  </r>
  <r>
    <s v="LXK-00634-611"/>
    <d v="2022-02-20T00:00:00"/>
    <s v="20"/>
    <x v="10"/>
    <x v="2"/>
    <x v="636"/>
    <x v="636"/>
    <s v="jdymokeje@prnewswire.com"/>
    <s v="+353 (390) 459-9269"/>
    <x v="75"/>
    <x v="1"/>
    <s v="No"/>
    <x v="0"/>
    <s v="R-L-1"/>
    <x v="1"/>
    <n v="0.71699999999999997"/>
    <n v="3"/>
    <n v="1"/>
    <n v="11.95"/>
    <x v="66"/>
    <n v="2.1509999999999998"/>
    <n v="6.0000000000000009"/>
  </r>
  <r>
    <s v="CQW-37388-302"/>
    <d v="2019-07-03T00:00:00"/>
    <s v="03"/>
    <x v="2"/>
    <x v="0"/>
    <x v="660"/>
    <x v="660"/>
    <s v="wharvisonjx@gizmodo.com"/>
    <s v="+1 (610) 316-8430"/>
    <x v="11"/>
    <x v="0"/>
    <s v="No"/>
    <x v="2"/>
    <s v="A-D-2.5"/>
    <x v="2"/>
    <n v="2.0596499999999995"/>
    <n v="3"/>
    <n v="2.5"/>
    <n v="22.884999999999998"/>
    <x v="96"/>
    <n v="6.1789499999999986"/>
    <n v="8.9999999999999982"/>
  </r>
  <r>
    <s v="SPA-79365-334"/>
    <d v="2021-06-01T00:00:00"/>
    <s v="01"/>
    <x v="1"/>
    <x v="1"/>
    <x v="661"/>
    <x v="661"/>
    <s v="dheafordjy@twitpic.com"/>
    <s v="+1 (325) 537-8835"/>
    <x v="299"/>
    <x v="0"/>
    <s v="No"/>
    <x v="3"/>
    <s v="L-D-1"/>
    <x v="2"/>
    <n v="1.6835"/>
    <n v="3"/>
    <n v="1"/>
    <n v="12.95"/>
    <x v="5"/>
    <n v="5.0504999999999995"/>
    <n v="13"/>
  </r>
  <r>
    <s v="VPX-08817-517"/>
    <d v="2020-11-15T00:00:00"/>
    <s v="15"/>
    <x v="11"/>
    <x v="3"/>
    <x v="662"/>
    <x v="662"/>
    <s v="gfanthamjz@hexun.com"/>
    <s v="+1 (323) 878-8818"/>
    <x v="6"/>
    <x v="0"/>
    <s v="Yes"/>
    <x v="3"/>
    <s v="L-L-1"/>
    <x v="1"/>
    <n v="2.0605000000000002"/>
    <n v="5"/>
    <n v="1"/>
    <n v="15.85"/>
    <x v="180"/>
    <n v="10.302500000000002"/>
    <n v="13.000000000000004"/>
  </r>
  <r>
    <s v="PBP-87115-410"/>
    <d v="2021-01-19T00:00:00"/>
    <s v="19"/>
    <x v="4"/>
    <x v="1"/>
    <x v="663"/>
    <x v="663"/>
    <s v="rcrookshanksk0@unc.edu"/>
    <s v="+1 (517) 654-6004"/>
    <x v="133"/>
    <x v="0"/>
    <s v="Yes"/>
    <x v="1"/>
    <s v="E-D-0.5"/>
    <x v="2"/>
    <n v="0.80190000000000006"/>
    <n v="5"/>
    <n v="0.5"/>
    <n v="7.29"/>
    <x v="114"/>
    <n v="4.0095000000000001"/>
    <n v="10.999999999999998"/>
  </r>
  <r>
    <s v="SFB-93752-440"/>
    <d v="2021-10-10T00:00:00"/>
    <s v="10"/>
    <x v="7"/>
    <x v="1"/>
    <x v="664"/>
    <x v="664"/>
    <s v="nleakek1@cmu.edu"/>
    <s v="+1 (786) 470-1233"/>
    <x v="120"/>
    <x v="0"/>
    <s v="Yes"/>
    <x v="0"/>
    <s v="R-M-0.2"/>
    <x v="0"/>
    <n v="0.17909999999999998"/>
    <n v="3"/>
    <n v="0.2"/>
    <n v="2.9849999999999999"/>
    <x v="169"/>
    <n v="0.53729999999999989"/>
    <n v="5.9999999999999982"/>
  </r>
  <r>
    <s v="TBU-65158-068"/>
    <d v="2022-02-28T00:00:00"/>
    <s v="28"/>
    <x v="10"/>
    <x v="2"/>
    <x v="665"/>
    <x v="665"/>
    <n v="0"/>
    <s v="+1 (562) 343-9707"/>
    <x v="127"/>
    <x v="0"/>
    <s v="No"/>
    <x v="1"/>
    <s v="E-D-1"/>
    <x v="2"/>
    <n v="1.3365"/>
    <n v="2"/>
    <n v="1"/>
    <n v="12.15"/>
    <x v="76"/>
    <n v="2.673"/>
    <n v="11"/>
  </r>
  <r>
    <s v="TEH-08414-216"/>
    <d v="2021-10-01T00:00:00"/>
    <s v="01"/>
    <x v="7"/>
    <x v="1"/>
    <x v="666"/>
    <x v="666"/>
    <s v="geilhersenk3@networksolutions.com"/>
    <s v="+1 (559) 791-5117"/>
    <x v="74"/>
    <x v="0"/>
    <s v="No"/>
    <x v="1"/>
    <s v="E-M-2.5"/>
    <x v="0"/>
    <n v="3.4787499999999998"/>
    <n v="2"/>
    <n v="2.5"/>
    <n v="31.624999999999996"/>
    <x v="40"/>
    <n v="6.9574999999999996"/>
    <n v="11"/>
  </r>
  <r>
    <s v="MAY-77231-536"/>
    <d v="2020-09-02T00:00:00"/>
    <s v="02"/>
    <x v="0"/>
    <x v="3"/>
    <x v="667"/>
    <x v="667"/>
    <n v="0"/>
    <s v="+1 (646) 228-3492"/>
    <x v="15"/>
    <x v="0"/>
    <s v="Yes"/>
    <x v="2"/>
    <s v="A-M-0.2"/>
    <x v="0"/>
    <n v="0.30374999999999996"/>
    <n v="2"/>
    <n v="0.2"/>
    <n v="3.375"/>
    <x v="52"/>
    <n v="0.60749999999999993"/>
    <n v="8.9999999999999982"/>
  </r>
  <r>
    <s v="ATY-28980-884"/>
    <d v="2020-07-31T00:00:00"/>
    <s v="31"/>
    <x v="2"/>
    <x v="3"/>
    <x v="668"/>
    <x v="668"/>
    <s v="caleixok5@globo.com"/>
    <s v="+1 (719) 241-4639"/>
    <x v="71"/>
    <x v="0"/>
    <s v="No"/>
    <x v="2"/>
    <s v="A-L-0.2"/>
    <x v="1"/>
    <n v="0.34964999999999996"/>
    <n v="6"/>
    <n v="0.2"/>
    <n v="3.8849999999999998"/>
    <x v="102"/>
    <n v="2.0978999999999997"/>
    <n v="9"/>
  </r>
  <r>
    <s v="SWP-88281-918"/>
    <d v="2022-01-10T00:00:00"/>
    <s v="10"/>
    <x v="4"/>
    <x v="2"/>
    <x v="669"/>
    <x v="669"/>
    <n v="0"/>
    <s v="+1 (562) 723-4457"/>
    <x v="323"/>
    <x v="0"/>
    <s v="No"/>
    <x v="3"/>
    <s v="L-L-2.5"/>
    <x v="1"/>
    <n v="4.7391499999999995"/>
    <n v="4"/>
    <n v="2.5"/>
    <n v="36.454999999999998"/>
    <x v="43"/>
    <n v="18.956599999999998"/>
    <n v="13"/>
  </r>
  <r>
    <s v="VCE-56531-986"/>
    <d v="2021-03-09T00:00:00"/>
    <s v="09"/>
    <x v="6"/>
    <x v="1"/>
    <x v="670"/>
    <x v="670"/>
    <s v="rtomkowiczk7@bravesites.com"/>
    <s v="+353 (849) 645-1593"/>
    <x v="324"/>
    <x v="1"/>
    <s v="Yes"/>
    <x v="0"/>
    <s v="R-M-0.5"/>
    <x v="0"/>
    <n v="0.35819999999999996"/>
    <n v="5"/>
    <n v="0.5"/>
    <n v="5.97"/>
    <x v="44"/>
    <n v="1.7909999999999999"/>
    <n v="6.0000000000000009"/>
  </r>
  <r>
    <s v="FVV-75700-005"/>
    <d v="2020-11-20T00:00:00"/>
    <s v="20"/>
    <x v="11"/>
    <x v="3"/>
    <x v="671"/>
    <x v="671"/>
    <s v="rhuscroftk8@jimdo.com"/>
    <s v="+1 (775) 223-5044"/>
    <x v="76"/>
    <x v="0"/>
    <s v="Yes"/>
    <x v="1"/>
    <s v="E-D-0.5"/>
    <x v="2"/>
    <n v="0.80190000000000006"/>
    <n v="3"/>
    <n v="0.5"/>
    <n v="7.29"/>
    <x v="6"/>
    <n v="2.4057000000000004"/>
    <n v="11.000000000000002"/>
  </r>
  <r>
    <s v="CFZ-53492-600"/>
    <d v="2022-03-14T00:00:00"/>
    <s v="14"/>
    <x v="6"/>
    <x v="2"/>
    <x v="672"/>
    <x v="672"/>
    <s v="sscurrerk9@flavors.me"/>
    <s v="+44 (520) 402-1303"/>
    <x v="26"/>
    <x v="2"/>
    <s v="No"/>
    <x v="3"/>
    <s v="L-M-0.2"/>
    <x v="0"/>
    <n v="0.56745000000000001"/>
    <n v="1"/>
    <n v="0.2"/>
    <n v="4.3650000000000002"/>
    <x v="189"/>
    <n v="0.56745000000000001"/>
    <n v="13"/>
  </r>
  <r>
    <s v="LDK-71031-121"/>
    <d v="2019-01-10T00:00:00"/>
    <s v="10"/>
    <x v="4"/>
    <x v="0"/>
    <x v="673"/>
    <x v="673"/>
    <s v="arudramka@prnewswire.com"/>
    <s v="+1 (702) 333-7442"/>
    <x v="198"/>
    <x v="0"/>
    <s v="No"/>
    <x v="3"/>
    <s v="L-L-2.5"/>
    <x v="1"/>
    <n v="4.7391499999999995"/>
    <n v="1"/>
    <n v="2.5"/>
    <n v="36.454999999999998"/>
    <x v="133"/>
    <n v="4.7391499999999995"/>
    <n v="13"/>
  </r>
  <r>
    <s v="EBA-82404-343"/>
    <d v="2021-01-26T00:00:00"/>
    <s v="26"/>
    <x v="4"/>
    <x v="1"/>
    <x v="674"/>
    <x v="674"/>
    <n v="0"/>
    <s v="+1 (302) 620-1205"/>
    <x v="325"/>
    <x v="0"/>
    <s v="Yes"/>
    <x v="3"/>
    <s v="L-D-0.2"/>
    <x v="2"/>
    <n v="0.50505"/>
    <n v="4"/>
    <n v="0.2"/>
    <n v="3.8849999999999998"/>
    <x v="42"/>
    <n v="2.0202"/>
    <n v="13"/>
  </r>
  <r>
    <s v="USA-42811-560"/>
    <d v="2021-04-26T00:00:00"/>
    <s v="26"/>
    <x v="8"/>
    <x v="1"/>
    <x v="675"/>
    <x v="675"/>
    <s v="jmahakc@cyberchimps.com"/>
    <s v="+1 (702) 238-8287"/>
    <x v="76"/>
    <x v="0"/>
    <s v="No"/>
    <x v="1"/>
    <s v="E-L-0.2"/>
    <x v="1"/>
    <n v="0.49004999999999999"/>
    <n v="2"/>
    <n v="0.2"/>
    <n v="4.4550000000000001"/>
    <x v="161"/>
    <n v="0.98009999999999997"/>
    <n v="11"/>
  </r>
  <r>
    <s v="SNL-83703-516"/>
    <d v="2022-01-04T00:00:00"/>
    <s v="04"/>
    <x v="4"/>
    <x v="2"/>
    <x v="676"/>
    <x v="676"/>
    <s v="gclemonkd@networksolutions.com"/>
    <s v="+1 (205) 681-2376"/>
    <x v="86"/>
    <x v="0"/>
    <s v="Yes"/>
    <x v="3"/>
    <s v="L-M-2.5"/>
    <x v="0"/>
    <n v="4.3504499999999995"/>
    <n v="3"/>
    <n v="2.5"/>
    <n v="33.464999999999996"/>
    <x v="64"/>
    <n v="13.051349999999999"/>
    <n v="13"/>
  </r>
  <r>
    <s v="SUZ-83036-175"/>
    <d v="2019-08-20T00:00:00"/>
    <s v="20"/>
    <x v="3"/>
    <x v="0"/>
    <x v="677"/>
    <x v="677"/>
    <n v="0"/>
    <s v="+1 (209) 133-9447"/>
    <x v="326"/>
    <x v="0"/>
    <s v="No"/>
    <x v="0"/>
    <s v="R-D-0.2"/>
    <x v="2"/>
    <n v="0.16109999999999997"/>
    <n v="5"/>
    <n v="0.2"/>
    <n v="2.6849999999999996"/>
    <x v="148"/>
    <n v="0.80549999999999988"/>
    <n v="6.0000000000000009"/>
  </r>
  <r>
    <s v="RGM-01187-513"/>
    <d v="2022-07-15T00:00:00"/>
    <s v="15"/>
    <x v="2"/>
    <x v="2"/>
    <x v="678"/>
    <x v="678"/>
    <s v="bpollinskf@shinystat.com"/>
    <n v="0"/>
    <x v="153"/>
    <x v="0"/>
    <s v="No"/>
    <x v="1"/>
    <s v="E-D-0.2"/>
    <x v="2"/>
    <n v="0.40095000000000003"/>
    <n v="6"/>
    <n v="0.2"/>
    <n v="3.645"/>
    <x v="6"/>
    <n v="2.4057000000000004"/>
    <n v="11.000000000000002"/>
  </r>
  <r>
    <s v="CZG-01299-952"/>
    <d v="2019-02-12T00:00:00"/>
    <s v="12"/>
    <x v="10"/>
    <x v="0"/>
    <x v="679"/>
    <x v="679"/>
    <s v="jtoyekg@pinterest.com"/>
    <s v="+353 (587) 270-6561"/>
    <x v="104"/>
    <x v="1"/>
    <s v="Yes"/>
    <x v="3"/>
    <s v="L-D-1"/>
    <x v="2"/>
    <n v="1.6835"/>
    <n v="2"/>
    <n v="1"/>
    <n v="12.95"/>
    <x v="109"/>
    <n v="3.367"/>
    <n v="13"/>
  </r>
  <r>
    <s v="KLD-88731-484"/>
    <d v="2021-09-08T00:00:00"/>
    <s v="08"/>
    <x v="0"/>
    <x v="1"/>
    <x v="680"/>
    <x v="680"/>
    <s v="clinskillkh@sphinn.com"/>
    <s v="+1 (513) 743-7556"/>
    <x v="159"/>
    <x v="0"/>
    <s v="No"/>
    <x v="2"/>
    <s v="A-M-1"/>
    <x v="0"/>
    <n v="1.0125"/>
    <n v="5"/>
    <n v="1"/>
    <n v="11.25"/>
    <x v="126"/>
    <n v="5.0625"/>
    <n v="9"/>
  </r>
  <r>
    <s v="BQK-38412-229"/>
    <d v="2019-12-13T00:00:00"/>
    <s v="13"/>
    <x v="9"/>
    <x v="0"/>
    <x v="681"/>
    <x v="681"/>
    <s v="nvigrasski@ezinearticles.com"/>
    <s v="+44 (336) 257-7415"/>
    <x v="145"/>
    <x v="2"/>
    <s v="No"/>
    <x v="0"/>
    <s v="R-L-0.2"/>
    <x v="1"/>
    <n v="0.21509999999999996"/>
    <n v="3"/>
    <n v="0.2"/>
    <n v="3.5849999999999995"/>
    <x v="127"/>
    <n v="0.64529999999999987"/>
    <n v="5.9999999999999991"/>
  </r>
  <r>
    <s v="TCX-76953-071"/>
    <d v="2021-08-25T00:00:00"/>
    <s v="25"/>
    <x v="3"/>
    <x v="1"/>
    <x v="636"/>
    <x v="636"/>
    <s v="jdymokeje@prnewswire.com"/>
    <s v="+353 (390) 459-9269"/>
    <x v="75"/>
    <x v="1"/>
    <s v="No"/>
    <x v="1"/>
    <s v="E-D-0.2"/>
    <x v="2"/>
    <n v="0.40095000000000003"/>
    <n v="5"/>
    <n v="0.2"/>
    <n v="3.645"/>
    <x v="94"/>
    <n v="2.00475"/>
    <n v="10.999999999999998"/>
  </r>
  <r>
    <s v="LIN-88046-551"/>
    <d v="2022-03-23T00:00:00"/>
    <s v="23"/>
    <x v="6"/>
    <x v="2"/>
    <x v="682"/>
    <x v="682"/>
    <s v="kcragellkk@google.com"/>
    <s v="+353 (458) 634-2269"/>
    <x v="319"/>
    <x v="1"/>
    <s v="No"/>
    <x v="0"/>
    <s v="R-L-0.5"/>
    <x v="1"/>
    <n v="0.43019999999999992"/>
    <n v="4"/>
    <n v="0.5"/>
    <n v="7.169999999999999"/>
    <x v="139"/>
    <n v="1.7207999999999997"/>
    <n v="6"/>
  </r>
  <r>
    <s v="PMV-54491-220"/>
    <d v="2019-04-11T00:00:00"/>
    <s v="11"/>
    <x v="8"/>
    <x v="0"/>
    <x v="683"/>
    <x v="683"/>
    <s v="libertkl@huffingtonpost.com"/>
    <s v="+1 (408) 546-0790"/>
    <x v="304"/>
    <x v="0"/>
    <s v="No"/>
    <x v="3"/>
    <s v="L-M-0.2"/>
    <x v="0"/>
    <n v="0.56745000000000001"/>
    <n v="2"/>
    <n v="0.2"/>
    <n v="4.3650000000000002"/>
    <x v="31"/>
    <n v="1.1349"/>
    <n v="13"/>
  </r>
  <r>
    <s v="SKA-73676-005"/>
    <d v="2020-10-29T00:00:00"/>
    <s v="29"/>
    <x v="7"/>
    <x v="3"/>
    <x v="684"/>
    <x v="684"/>
    <s v="rlidgeykm@vimeo.com"/>
    <s v="+1 (901) 276-4141"/>
    <x v="139"/>
    <x v="0"/>
    <s v="No"/>
    <x v="3"/>
    <s v="L-M-1"/>
    <x v="0"/>
    <n v="1.8915000000000002"/>
    <n v="4"/>
    <n v="1"/>
    <n v="14.55"/>
    <x v="125"/>
    <n v="7.5660000000000007"/>
    <n v="13"/>
  </r>
  <r>
    <s v="TKH-62197-239"/>
    <d v="2020-07-30T00:00:00"/>
    <s v="30"/>
    <x v="2"/>
    <x v="3"/>
    <x v="685"/>
    <x v="685"/>
    <s v="tcastagnekn@wikia.com"/>
    <s v="+1 (407) 154-6967"/>
    <x v="327"/>
    <x v="0"/>
    <s v="No"/>
    <x v="2"/>
    <s v="A-D-0.5"/>
    <x v="2"/>
    <n v="0.5373"/>
    <n v="3"/>
    <n v="0.5"/>
    <n v="5.97"/>
    <x v="8"/>
    <n v="1.6118999999999999"/>
    <n v="9"/>
  </r>
  <r>
    <s v="YXF-57218-272"/>
    <d v="2019-03-15T00:00:00"/>
    <s v="15"/>
    <x v="6"/>
    <x v="0"/>
    <x v="686"/>
    <x v="686"/>
    <n v="0"/>
    <s v="+1 (313) 436-2249"/>
    <x v="135"/>
    <x v="0"/>
    <s v="Yes"/>
    <x v="0"/>
    <s v="R-M-0.2"/>
    <x v="0"/>
    <n v="0.17909999999999998"/>
    <n v="6"/>
    <n v="0.2"/>
    <n v="2.9849999999999999"/>
    <x v="8"/>
    <n v="1.0745999999999998"/>
    <n v="5.9999999999999982"/>
  </r>
  <r>
    <s v="PKJ-30083-501"/>
    <d v="2021-12-27T00:00:00"/>
    <s v="27"/>
    <x v="9"/>
    <x v="1"/>
    <x v="687"/>
    <x v="687"/>
    <s v="jhaldenkp@comcast.net"/>
    <s v="+353 (278) 873-4395"/>
    <x v="328"/>
    <x v="1"/>
    <s v="No"/>
    <x v="1"/>
    <s v="E-D-0.5"/>
    <x v="2"/>
    <n v="0.80190000000000006"/>
    <n v="2"/>
    <n v="0.5"/>
    <n v="7.29"/>
    <x v="20"/>
    <n v="1.6038000000000001"/>
    <n v="11"/>
  </r>
  <r>
    <s v="WTT-91832-645"/>
    <d v="2019-10-03T00:00:00"/>
    <s v="03"/>
    <x v="7"/>
    <x v="0"/>
    <x v="688"/>
    <x v="688"/>
    <s v="holliffkq@sciencedirect.com"/>
    <s v="+353 (203) 716-7239"/>
    <x v="329"/>
    <x v="1"/>
    <s v="No"/>
    <x v="2"/>
    <s v="A-M-1"/>
    <x v="0"/>
    <n v="1.0125"/>
    <n v="3"/>
    <n v="1"/>
    <n v="11.25"/>
    <x v="65"/>
    <n v="3.0374999999999996"/>
    <n v="8.9999999999999982"/>
  </r>
  <r>
    <s v="TRZ-94735-865"/>
    <d v="2019-02-05T00:00:00"/>
    <s v="05"/>
    <x v="10"/>
    <x v="0"/>
    <x v="689"/>
    <x v="689"/>
    <s v="tquadrikr@opensource.org"/>
    <s v="+353 (789) 442-3189"/>
    <x v="330"/>
    <x v="1"/>
    <s v="Yes"/>
    <x v="3"/>
    <s v="L-M-0.5"/>
    <x v="0"/>
    <n v="1.1349"/>
    <n v="4"/>
    <n v="0.5"/>
    <n v="8.73"/>
    <x v="190"/>
    <n v="4.5396000000000001"/>
    <n v="13"/>
  </r>
  <r>
    <s v="UDB-09651-780"/>
    <d v="2020-08-31T00:00:00"/>
    <s v="31"/>
    <x v="3"/>
    <x v="3"/>
    <x v="690"/>
    <x v="690"/>
    <s v="feshmadeks@umn.edu"/>
    <s v="+1 (804) 531-4136"/>
    <x v="8"/>
    <x v="0"/>
    <s v="No"/>
    <x v="1"/>
    <s v="E-D-0.5"/>
    <x v="2"/>
    <n v="0.80190000000000006"/>
    <n v="2"/>
    <n v="0.5"/>
    <n v="7.29"/>
    <x v="20"/>
    <n v="1.6038000000000001"/>
    <n v="11"/>
  </r>
  <r>
    <s v="EHJ-82097-549"/>
    <d v="2021-01-13T00:00:00"/>
    <s v="13"/>
    <x v="4"/>
    <x v="1"/>
    <x v="691"/>
    <x v="691"/>
    <s v="moilierkt@paginegialle.it"/>
    <s v="+353 (675) 503-7567"/>
    <x v="331"/>
    <x v="1"/>
    <s v="Yes"/>
    <x v="0"/>
    <s v="R-D-0.2"/>
    <x v="2"/>
    <n v="0.16109999999999997"/>
    <n v="2"/>
    <n v="0.2"/>
    <n v="2.6849999999999996"/>
    <x v="147"/>
    <n v="0.32219999999999993"/>
    <n v="6"/>
  </r>
  <r>
    <s v="ZFR-79447-696"/>
    <d v="2021-03-22T00:00:00"/>
    <s v="22"/>
    <x v="6"/>
    <x v="1"/>
    <x v="692"/>
    <x v="692"/>
    <n v="0"/>
    <s v="+1 (682) 246-6139"/>
    <x v="57"/>
    <x v="0"/>
    <s v="Yes"/>
    <x v="0"/>
    <s v="R-M-0.5"/>
    <x v="0"/>
    <n v="0.35819999999999996"/>
    <n v="1"/>
    <n v="0.5"/>
    <n v="5.97"/>
    <x v="9"/>
    <n v="0.35819999999999996"/>
    <n v="6"/>
  </r>
  <r>
    <s v="NUU-03893-975"/>
    <d v="2020-01-17T00:00:00"/>
    <s v="17"/>
    <x v="4"/>
    <x v="3"/>
    <x v="693"/>
    <x v="693"/>
    <s v="vshoebothamkv@redcross.org"/>
    <s v="+1 (212) 998-0802"/>
    <x v="130"/>
    <x v="0"/>
    <s v="No"/>
    <x v="3"/>
    <s v="L-L-0.5"/>
    <x v="1"/>
    <n v="1.2363"/>
    <n v="2"/>
    <n v="0.5"/>
    <n v="9.51"/>
    <x v="81"/>
    <n v="2.4725999999999999"/>
    <n v="13"/>
  </r>
  <r>
    <s v="GVG-59542-307"/>
    <d v="2019-07-02T00:00:00"/>
    <s v="02"/>
    <x v="2"/>
    <x v="0"/>
    <x v="694"/>
    <x v="694"/>
    <s v="bsterkekw@biblegateway.com"/>
    <s v="+1 (682) 617-0470"/>
    <x v="57"/>
    <x v="0"/>
    <s v="Yes"/>
    <x v="1"/>
    <s v="E-M-1"/>
    <x v="0"/>
    <n v="1.5125"/>
    <n v="2"/>
    <n v="1"/>
    <n v="13.75"/>
    <x v="3"/>
    <n v="3.0249999999999999"/>
    <n v="11"/>
  </r>
  <r>
    <s v="YLY-35287-172"/>
    <d v="2022-05-23T00:00:00"/>
    <s v="23"/>
    <x v="5"/>
    <x v="2"/>
    <x v="695"/>
    <x v="695"/>
    <s v="scaponkx@craigslist.org"/>
    <s v="+1 (602) 619-0168"/>
    <x v="167"/>
    <x v="0"/>
    <s v="No"/>
    <x v="2"/>
    <s v="A-D-0.5"/>
    <x v="2"/>
    <n v="0.5373"/>
    <n v="5"/>
    <n v="0.5"/>
    <n v="5.97"/>
    <x v="44"/>
    <n v="2.6865000000000001"/>
    <n v="9.0000000000000018"/>
  </r>
  <r>
    <s v="DCI-96254-548"/>
    <d v="2022-06-14T00:00:00"/>
    <s v="14"/>
    <x v="1"/>
    <x v="2"/>
    <x v="636"/>
    <x v="636"/>
    <s v="jdymokeje@prnewswire.com"/>
    <s v="+353 (390) 459-9269"/>
    <x v="75"/>
    <x v="1"/>
    <s v="No"/>
    <x v="2"/>
    <s v="A-D-0.2"/>
    <x v="2"/>
    <n v="0.26865"/>
    <n v="6"/>
    <n v="0.2"/>
    <n v="2.9849999999999999"/>
    <x v="8"/>
    <n v="1.6118999999999999"/>
    <n v="9"/>
  </r>
  <r>
    <s v="KHZ-26264-253"/>
    <d v="2021-07-20T00:00:00"/>
    <s v="20"/>
    <x v="2"/>
    <x v="1"/>
    <x v="696"/>
    <x v="696"/>
    <s v="fconstancekz@ifeng.com"/>
    <s v="+1 (214) 388-6754"/>
    <x v="68"/>
    <x v="0"/>
    <s v="No"/>
    <x v="3"/>
    <s v="L-L-0.2"/>
    <x v="1"/>
    <n v="0.61814999999999998"/>
    <n v="6"/>
    <n v="0.2"/>
    <n v="4.7549999999999999"/>
    <x v="32"/>
    <n v="3.7088999999999999"/>
    <n v="12.999999999999998"/>
  </r>
  <r>
    <s v="AAQ-13644-699"/>
    <d v="2022-06-03T00:00:00"/>
    <s v="03"/>
    <x v="1"/>
    <x v="2"/>
    <x v="697"/>
    <x v="697"/>
    <s v="fsulmanl0@washington.edu"/>
    <s v="+1 (828) 464-2678"/>
    <x v="228"/>
    <x v="0"/>
    <s v="Yes"/>
    <x v="0"/>
    <s v="R-D-1"/>
    <x v="2"/>
    <n v="0.53699999999999992"/>
    <n v="4"/>
    <n v="1"/>
    <n v="8.9499999999999993"/>
    <x v="191"/>
    <n v="2.1479999999999997"/>
    <n v="6"/>
  </r>
  <r>
    <s v="LWL-68108-794"/>
    <d v="2020-05-26T00:00:00"/>
    <s v="26"/>
    <x v="5"/>
    <x v="3"/>
    <x v="698"/>
    <x v="698"/>
    <s v="dhollymanl1@ibm.com"/>
    <s v="+1 (406) 851-1244"/>
    <x v="332"/>
    <x v="0"/>
    <s v="Yes"/>
    <x v="2"/>
    <s v="A-D-0.5"/>
    <x v="2"/>
    <n v="0.5373"/>
    <n v="3"/>
    <n v="0.5"/>
    <n v="5.97"/>
    <x v="8"/>
    <n v="1.6118999999999999"/>
    <n v="9"/>
  </r>
  <r>
    <s v="JQT-14347-517"/>
    <d v="2019-07-26T00:00:00"/>
    <s v="26"/>
    <x v="2"/>
    <x v="0"/>
    <x v="699"/>
    <x v="699"/>
    <s v="lnardonil2@hao123.com"/>
    <n v="0"/>
    <x v="10"/>
    <x v="0"/>
    <s v="No"/>
    <x v="0"/>
    <s v="R-D-1"/>
    <x v="2"/>
    <n v="0.53699999999999992"/>
    <n v="1"/>
    <n v="1"/>
    <n v="8.9499999999999993"/>
    <x v="192"/>
    <n v="0.53699999999999992"/>
    <n v="6"/>
  </r>
  <r>
    <s v="BMM-86471-923"/>
    <d v="2020-10-22T00:00:00"/>
    <s v="22"/>
    <x v="7"/>
    <x v="3"/>
    <x v="700"/>
    <x v="700"/>
    <s v="dyarhaml3@moonfruit.com"/>
    <s v="+1 (816) 213-5248"/>
    <x v="333"/>
    <x v="0"/>
    <s v="Yes"/>
    <x v="3"/>
    <s v="L-D-2.5"/>
    <x v="2"/>
    <n v="3.8720499999999998"/>
    <n v="1"/>
    <n v="2.5"/>
    <n v="29.784999999999997"/>
    <x v="91"/>
    <n v="3.8720499999999998"/>
    <n v="13"/>
  </r>
  <r>
    <s v="IXU-67272-326"/>
    <d v="2020-12-24T00:00:00"/>
    <s v="24"/>
    <x v="9"/>
    <x v="3"/>
    <x v="701"/>
    <x v="701"/>
    <s v="aferreal4@wikia.com"/>
    <n v="0"/>
    <x v="116"/>
    <x v="0"/>
    <s v="No"/>
    <x v="1"/>
    <s v="E-L-0.5"/>
    <x v="1"/>
    <n v="0.98009999999999997"/>
    <n v="5"/>
    <n v="0.5"/>
    <n v="8.91"/>
    <x v="69"/>
    <n v="4.9005000000000001"/>
    <n v="11.000000000000002"/>
  </r>
  <r>
    <s v="ITE-28312-615"/>
    <d v="2019-09-06T00:00:00"/>
    <s v="06"/>
    <x v="0"/>
    <x v="0"/>
    <x v="702"/>
    <x v="702"/>
    <s v="ckendrickl5@webnode.com"/>
    <n v="0"/>
    <x v="334"/>
    <x v="0"/>
    <s v="Yes"/>
    <x v="1"/>
    <s v="E-L-1"/>
    <x v="1"/>
    <n v="1.6335"/>
    <n v="6"/>
    <n v="1"/>
    <n v="14.85"/>
    <x v="146"/>
    <n v="9.8010000000000002"/>
    <n v="11.000000000000002"/>
  </r>
  <r>
    <s v="ZHQ-30471-635"/>
    <d v="2019-04-08T00:00:00"/>
    <s v="08"/>
    <x v="8"/>
    <x v="0"/>
    <x v="703"/>
    <x v="703"/>
    <s v="sdanilchikl6@mit.edu"/>
    <s v="+44 (292) 975-0144"/>
    <x v="281"/>
    <x v="2"/>
    <s v="No"/>
    <x v="3"/>
    <s v="L-M-0.5"/>
    <x v="0"/>
    <n v="1.1349"/>
    <n v="5"/>
    <n v="0.5"/>
    <n v="8.73"/>
    <x v="34"/>
    <n v="5.6745000000000001"/>
    <n v="12.999999999999998"/>
  </r>
  <r>
    <s v="LTP-31133-134"/>
    <d v="2022-01-26T00:00:00"/>
    <s v="26"/>
    <x v="4"/>
    <x v="2"/>
    <x v="704"/>
    <x v="704"/>
    <n v="0"/>
    <s v="+1 (817) 389-2294"/>
    <x v="57"/>
    <x v="0"/>
    <s v="No"/>
    <x v="2"/>
    <s v="A-L-0.5"/>
    <x v="1"/>
    <n v="0.69929999999999992"/>
    <n v="3"/>
    <n v="0.5"/>
    <n v="7.77"/>
    <x v="102"/>
    <n v="2.0978999999999997"/>
    <n v="9"/>
  </r>
  <r>
    <s v="ZVQ-26122-859"/>
    <d v="2019-11-28T00:00:00"/>
    <s v="28"/>
    <x v="11"/>
    <x v="0"/>
    <x v="705"/>
    <x v="705"/>
    <s v="bfolomkinl8@yolasite.com"/>
    <s v="+1 (701) 278-8412"/>
    <x v="97"/>
    <x v="0"/>
    <s v="Yes"/>
    <x v="2"/>
    <s v="A-L-2.5"/>
    <x v="1"/>
    <n v="2.6806499999999995"/>
    <n v="6"/>
    <n v="2.5"/>
    <n v="29.784999999999997"/>
    <x v="39"/>
    <n v="16.083899999999996"/>
    <n v="8.9999999999999982"/>
  </r>
  <r>
    <s v="MIU-01481-194"/>
    <d v="2019-07-21T00:00:00"/>
    <s v="21"/>
    <x v="2"/>
    <x v="0"/>
    <x v="706"/>
    <x v="706"/>
    <s v="rpursglovel9@biblegateway.com"/>
    <s v="+1 (214) 813-8745"/>
    <x v="132"/>
    <x v="0"/>
    <s v="Yes"/>
    <x v="0"/>
    <s v="R-M-1"/>
    <x v="0"/>
    <n v="0.59699999999999998"/>
    <n v="6"/>
    <n v="1"/>
    <n v="9.9499999999999993"/>
    <x v="33"/>
    <n v="3.5819999999999999"/>
    <n v="6.0000000000000009"/>
  </r>
  <r>
    <s v="MIU-01481-194"/>
    <d v="2019-07-21T00:00:00"/>
    <s v="21"/>
    <x v="2"/>
    <x v="0"/>
    <x v="706"/>
    <x v="706"/>
    <s v="rpursglovel9@biblegateway.com"/>
    <s v="+1 (214) 813-8745"/>
    <x v="132"/>
    <x v="0"/>
    <s v="Yes"/>
    <x v="2"/>
    <s v="A-L-0.5"/>
    <x v="1"/>
    <n v="0.69929999999999992"/>
    <n v="2"/>
    <n v="0.5"/>
    <n v="7.77"/>
    <x v="42"/>
    <n v="1.3985999999999998"/>
    <n v="9"/>
  </r>
  <r>
    <s v="UEA-72681-629"/>
    <d v="2021-03-12T00:00:00"/>
    <s v="12"/>
    <x v="6"/>
    <x v="1"/>
    <x v="696"/>
    <x v="696"/>
    <s v="fconstancekz@ifeng.com"/>
    <s v="+1 (214) 388-6754"/>
    <x v="68"/>
    <x v="0"/>
    <s v="No"/>
    <x v="2"/>
    <s v="A-L-2.5"/>
    <x v="1"/>
    <n v="2.6806499999999995"/>
    <n v="3"/>
    <n v="2.5"/>
    <n v="29.784999999999997"/>
    <x v="49"/>
    <n v="8.0419499999999982"/>
    <n v="8.9999999999999982"/>
  </r>
  <r>
    <s v="CVE-15042-481"/>
    <d v="2022-01-01T00:00:00"/>
    <s v="01"/>
    <x v="4"/>
    <x v="2"/>
    <x v="696"/>
    <x v="696"/>
    <s v="fconstancekz@ifeng.com"/>
    <s v="+1 (214) 388-6754"/>
    <x v="68"/>
    <x v="0"/>
    <s v="No"/>
    <x v="0"/>
    <s v="R-L-1"/>
    <x v="1"/>
    <n v="0.71699999999999997"/>
    <n v="2"/>
    <n v="1"/>
    <n v="11.95"/>
    <x v="178"/>
    <n v="1.4339999999999999"/>
    <n v="6"/>
  </r>
  <r>
    <s v="EJA-79176-833"/>
    <d v="2020-03-22T00:00:00"/>
    <s v="22"/>
    <x v="6"/>
    <x v="3"/>
    <x v="707"/>
    <x v="707"/>
    <s v="deburahld@google.co.jp"/>
    <s v="+44 (607) 596-3921"/>
    <x v="38"/>
    <x v="2"/>
    <s v="No"/>
    <x v="0"/>
    <s v="R-M-2.5"/>
    <x v="0"/>
    <n v="1.3730999999999998"/>
    <n v="6"/>
    <n v="2.5"/>
    <n v="22.884999999999998"/>
    <x v="170"/>
    <n v="8.2385999999999981"/>
    <n v="5.9999999999999982"/>
  </r>
  <r>
    <s v="AHQ-40440-522"/>
    <d v="2020-09-18T00:00:00"/>
    <s v="18"/>
    <x v="0"/>
    <x v="3"/>
    <x v="708"/>
    <x v="708"/>
    <s v="mbrimilcombele@cnn.com"/>
    <n v="0"/>
    <x v="64"/>
    <x v="0"/>
    <s v="No"/>
    <x v="2"/>
    <s v="A-D-1"/>
    <x v="2"/>
    <n v="0.89549999999999985"/>
    <n v="1"/>
    <n v="1"/>
    <n v="9.9499999999999993"/>
    <x v="138"/>
    <n v="0.89549999999999985"/>
    <n v="9"/>
  </r>
  <r>
    <s v="TID-21626-411"/>
    <d v="2019-01-03T00:00:00"/>
    <s v="03"/>
    <x v="4"/>
    <x v="0"/>
    <x v="709"/>
    <x v="709"/>
    <s v="sbollamlf@list-manage.com"/>
    <s v="+1 (303) 746-0415"/>
    <x v="335"/>
    <x v="0"/>
    <s v="No"/>
    <x v="0"/>
    <s v="R-L-0.5"/>
    <x v="1"/>
    <n v="0.43019999999999992"/>
    <n v="3"/>
    <n v="0.5"/>
    <n v="7.169999999999999"/>
    <x v="137"/>
    <n v="1.2905999999999997"/>
    <n v="5.9999999999999991"/>
  </r>
  <r>
    <s v="RSR-96390-187"/>
    <d v="2021-09-29T00:00:00"/>
    <s v="29"/>
    <x v="0"/>
    <x v="1"/>
    <x v="710"/>
    <x v="710"/>
    <n v="0"/>
    <s v="+1 (410) 273-2348"/>
    <x v="192"/>
    <x v="0"/>
    <s v="No"/>
    <x v="1"/>
    <s v="E-M-1"/>
    <x v="0"/>
    <n v="1.5125"/>
    <n v="6"/>
    <n v="1"/>
    <n v="13.75"/>
    <x v="121"/>
    <n v="9.0749999999999993"/>
    <n v="10.999999999999998"/>
  </r>
  <r>
    <s v="BZE-96093-118"/>
    <d v="2021-10-19T00:00:00"/>
    <s v="19"/>
    <x v="7"/>
    <x v="1"/>
    <x v="711"/>
    <x v="711"/>
    <s v="afilipczaklh@ning.com"/>
    <s v="+353 (176) 447-3656"/>
    <x v="66"/>
    <x v="1"/>
    <s v="No"/>
    <x v="3"/>
    <s v="L-M-0.2"/>
    <x v="0"/>
    <n v="0.56745000000000001"/>
    <n v="2"/>
    <n v="0.2"/>
    <n v="4.3650000000000002"/>
    <x v="31"/>
    <n v="1.1349"/>
    <n v="13"/>
  </r>
  <r>
    <s v="LOU-41819-242"/>
    <d v="2022-07-14T00:00:00"/>
    <s v="14"/>
    <x v="2"/>
    <x v="2"/>
    <x v="712"/>
    <x v="712"/>
    <n v="0"/>
    <s v="+1 (754) 336-4224"/>
    <x v="42"/>
    <x v="0"/>
    <s v="Yes"/>
    <x v="0"/>
    <s v="R-M-1"/>
    <x v="0"/>
    <n v="0.59699999999999998"/>
    <n v="2"/>
    <n v="1"/>
    <n v="9.9499999999999993"/>
    <x v="0"/>
    <n v="1.194"/>
    <n v="6.0000000000000009"/>
  </r>
  <r>
    <s v="FND-99527-640"/>
    <d v="2021-07-19T00:00:00"/>
    <s v="19"/>
    <x v="2"/>
    <x v="1"/>
    <x v="713"/>
    <x v="713"/>
    <s v="relnaughlj@comsenz.com"/>
    <s v="+1 (619) 728-2474"/>
    <x v="236"/>
    <x v="0"/>
    <s v="Yes"/>
    <x v="1"/>
    <s v="E-L-0.5"/>
    <x v="1"/>
    <n v="0.98009999999999997"/>
    <n v="2"/>
    <n v="0.5"/>
    <n v="8.91"/>
    <x v="58"/>
    <n v="1.9601999999999999"/>
    <n v="11"/>
  </r>
  <r>
    <s v="ASG-27179-958"/>
    <d v="2021-12-10T00:00:00"/>
    <s v="10"/>
    <x v="9"/>
    <x v="1"/>
    <x v="714"/>
    <x v="714"/>
    <s v="jdeehanlk@about.me"/>
    <s v="+1 (972) 327-1194"/>
    <x v="68"/>
    <x v="0"/>
    <s v="No"/>
    <x v="2"/>
    <s v="A-M-0.5"/>
    <x v="0"/>
    <n v="0.60749999999999993"/>
    <n v="3"/>
    <n v="0.5"/>
    <n v="6.75"/>
    <x v="16"/>
    <n v="1.8224999999999998"/>
    <n v="8.9999999999999982"/>
  </r>
  <r>
    <s v="YKX-23510-272"/>
    <d v="2019-03-17T00:00:00"/>
    <s v="17"/>
    <x v="6"/>
    <x v="0"/>
    <x v="715"/>
    <x v="715"/>
    <s v="jedenll@e-recht24.de"/>
    <n v="0"/>
    <x v="336"/>
    <x v="0"/>
    <s v="No"/>
    <x v="2"/>
    <s v="A-L-2.5"/>
    <x v="1"/>
    <n v="2.6806499999999995"/>
    <n v="2"/>
    <n v="2.5"/>
    <n v="29.784999999999997"/>
    <x v="120"/>
    <n v="5.3612999999999991"/>
    <n v="9"/>
  </r>
  <r>
    <s v="FSA-98650-921"/>
    <d v="2020-02-28T00:00:00"/>
    <s v="28"/>
    <x v="10"/>
    <x v="3"/>
    <x v="716"/>
    <x v="716"/>
    <s v="cjewsterlu@moonfruit.com"/>
    <s v="+1 (937) 925-7390"/>
    <x v="4"/>
    <x v="0"/>
    <s v="Yes"/>
    <x v="3"/>
    <s v="L-L-0.5"/>
    <x v="1"/>
    <n v="1.2363"/>
    <n v="2"/>
    <n v="0.5"/>
    <n v="9.51"/>
    <x v="81"/>
    <n v="2.4725999999999999"/>
    <n v="13"/>
  </r>
  <r>
    <s v="ZUR-55774-294"/>
    <d v="2020-06-03T00:00:00"/>
    <s v="03"/>
    <x v="1"/>
    <x v="3"/>
    <x v="717"/>
    <x v="717"/>
    <s v="usoutherdenln@hao123.com"/>
    <s v="+1 (786) 490-0037"/>
    <x v="120"/>
    <x v="0"/>
    <s v="Yes"/>
    <x v="3"/>
    <s v="L-D-1"/>
    <x v="2"/>
    <n v="1.6835"/>
    <n v="6"/>
    <n v="1"/>
    <n v="12.95"/>
    <x v="17"/>
    <n v="10.100999999999999"/>
    <n v="13"/>
  </r>
  <r>
    <s v="FUO-99821-974"/>
    <d v="2020-02-22T00:00:00"/>
    <s v="22"/>
    <x v="10"/>
    <x v="3"/>
    <x v="718"/>
    <x v="718"/>
    <n v="0"/>
    <s v="+1 (763) 806-0186"/>
    <x v="30"/>
    <x v="0"/>
    <s v="No"/>
    <x v="1"/>
    <s v="E-M-1"/>
    <x v="0"/>
    <n v="1.5125"/>
    <n v="3"/>
    <n v="1"/>
    <n v="13.75"/>
    <x v="1"/>
    <n v="4.5374999999999996"/>
    <n v="10.999999999999998"/>
  </r>
  <r>
    <s v="YVH-19865-819"/>
    <d v="2019-11-09T00:00:00"/>
    <s v="09"/>
    <x v="11"/>
    <x v="0"/>
    <x v="719"/>
    <x v="719"/>
    <s v="lburtenshawlp@shinystat.com"/>
    <s v="+1 (678) 536-4251"/>
    <x v="227"/>
    <x v="0"/>
    <s v="No"/>
    <x v="3"/>
    <s v="L-L-2.5"/>
    <x v="1"/>
    <n v="4.7391499999999995"/>
    <n v="4"/>
    <n v="2.5"/>
    <n v="36.454999999999998"/>
    <x v="43"/>
    <n v="18.956599999999998"/>
    <n v="13"/>
  </r>
  <r>
    <s v="NNF-47422-501"/>
    <d v="2020-03-07T00:00:00"/>
    <s v="07"/>
    <x v="6"/>
    <x v="3"/>
    <x v="720"/>
    <x v="720"/>
    <s v="agregorattilq@vistaprint.com"/>
    <s v="+353 (773) 508-6581"/>
    <x v="337"/>
    <x v="1"/>
    <s v="No"/>
    <x v="1"/>
    <s v="E-L-0.2"/>
    <x v="1"/>
    <n v="0.49004999999999999"/>
    <n v="6"/>
    <n v="0.2"/>
    <n v="4.4550000000000001"/>
    <x v="149"/>
    <n v="2.9402999999999997"/>
    <n v="10.999999999999998"/>
  </r>
  <r>
    <s v="RJI-71409-490"/>
    <d v="2021-04-26T00:00:00"/>
    <s v="26"/>
    <x v="8"/>
    <x v="1"/>
    <x v="721"/>
    <x v="721"/>
    <s v="ccrosterlr@gov.uk"/>
    <s v="+1 (813) 621-3097"/>
    <x v="47"/>
    <x v="0"/>
    <s v="Yes"/>
    <x v="3"/>
    <s v="L-M-0.5"/>
    <x v="0"/>
    <n v="1.1349"/>
    <n v="5"/>
    <n v="0.5"/>
    <n v="8.73"/>
    <x v="34"/>
    <n v="5.6745000000000001"/>
    <n v="12.999999999999998"/>
  </r>
  <r>
    <s v="UZL-46108-213"/>
    <d v="2021-11-11T00:00:00"/>
    <s v="11"/>
    <x v="11"/>
    <x v="1"/>
    <x v="722"/>
    <x v="722"/>
    <s v="gwhiteheadls@hp.com"/>
    <n v="0"/>
    <x v="93"/>
    <x v="0"/>
    <s v="No"/>
    <x v="3"/>
    <s v="L-L-1"/>
    <x v="1"/>
    <n v="2.0605000000000002"/>
    <n v="2"/>
    <n v="1"/>
    <n v="15.85"/>
    <x v="124"/>
    <n v="4.1210000000000004"/>
    <n v="13"/>
  </r>
  <r>
    <s v="AOX-44467-109"/>
    <d v="2021-06-15T00:00:00"/>
    <s v="15"/>
    <x v="1"/>
    <x v="1"/>
    <x v="723"/>
    <x v="723"/>
    <s v="hjodrellelt@samsung.com"/>
    <s v="+1 (305) 334-0992"/>
    <x v="218"/>
    <x v="0"/>
    <s v="No"/>
    <x v="2"/>
    <s v="A-D-2.5"/>
    <x v="2"/>
    <n v="2.0596499999999995"/>
    <n v="1"/>
    <n v="2.5"/>
    <n v="22.884999999999998"/>
    <x v="156"/>
    <n v="2.0596499999999995"/>
    <n v="8.9999999999999982"/>
  </r>
  <r>
    <s v="TZD-67261-174"/>
    <d v="2020-02-27T00:00:00"/>
    <s v="27"/>
    <x v="10"/>
    <x v="3"/>
    <x v="716"/>
    <x v="716"/>
    <s v="cjewsterlu@moonfruit.com"/>
    <s v="+1 (937) 925-7390"/>
    <x v="4"/>
    <x v="0"/>
    <s v="Yes"/>
    <x v="1"/>
    <s v="E-D-2.5"/>
    <x v="2"/>
    <n v="3.07395"/>
    <n v="1"/>
    <n v="2.5"/>
    <n v="27.945"/>
    <x v="140"/>
    <n v="3.07395"/>
    <n v="11"/>
  </r>
  <r>
    <s v="TBU-64277-625"/>
    <d v="2021-04-19T00:00:00"/>
    <s v="19"/>
    <x v="8"/>
    <x v="1"/>
    <x v="724"/>
    <x v="724"/>
    <n v="0"/>
    <s v="+1 (312) 648-4940"/>
    <x v="54"/>
    <x v="0"/>
    <s v="Yes"/>
    <x v="1"/>
    <s v="E-M-1"/>
    <x v="0"/>
    <n v="1.5125"/>
    <n v="6"/>
    <n v="1"/>
    <n v="13.75"/>
    <x v="121"/>
    <n v="9.0749999999999993"/>
    <n v="10.999999999999998"/>
  </r>
  <r>
    <s v="TYP-85767-944"/>
    <d v="2022-07-29T00:00:00"/>
    <s v="29"/>
    <x v="2"/>
    <x v="2"/>
    <x v="725"/>
    <x v="725"/>
    <s v="knottramlw@odnoklassniki.ru"/>
    <s v="+353 (549) 358-7019"/>
    <x v="338"/>
    <x v="1"/>
    <s v="Yes"/>
    <x v="0"/>
    <s v="R-M-2.5"/>
    <x v="0"/>
    <n v="1.3730999999999998"/>
    <n v="2"/>
    <n v="2.5"/>
    <n v="22.884999999999998"/>
    <x v="135"/>
    <n v="2.7461999999999995"/>
    <n v="6"/>
  </r>
  <r>
    <s v="GTT-73214-334"/>
    <d v="2019-01-20T00:00:00"/>
    <s v="20"/>
    <x v="4"/>
    <x v="0"/>
    <x v="726"/>
    <x v="726"/>
    <s v="nbuneylx@jugem.jp"/>
    <s v="+1 (510) 973-7084"/>
    <x v="8"/>
    <x v="0"/>
    <s v="No"/>
    <x v="2"/>
    <s v="A-L-1"/>
    <x v="1"/>
    <n v="1.1655"/>
    <n v="6"/>
    <n v="1"/>
    <n v="12.95"/>
    <x v="17"/>
    <n v="6.9930000000000003"/>
    <n v="9.0000000000000018"/>
  </r>
  <r>
    <s v="WAI-89905-069"/>
    <d v="2022-02-21T00:00:00"/>
    <s v="21"/>
    <x v="10"/>
    <x v="2"/>
    <x v="727"/>
    <x v="727"/>
    <s v="smcshealy@photobucket.com"/>
    <s v="+1 (360) 578-2262"/>
    <x v="339"/>
    <x v="0"/>
    <s v="No"/>
    <x v="2"/>
    <s v="A-L-0.5"/>
    <x v="1"/>
    <n v="0.69929999999999992"/>
    <n v="3"/>
    <n v="0.5"/>
    <n v="7.77"/>
    <x v="102"/>
    <n v="2.0978999999999997"/>
    <n v="9"/>
  </r>
  <r>
    <s v="OJL-96844-459"/>
    <d v="2020-05-03T00:00:00"/>
    <s v="03"/>
    <x v="5"/>
    <x v="3"/>
    <x v="728"/>
    <x v="728"/>
    <s v="khuddartlz@about.com"/>
    <s v="+1 (214) 931-4518"/>
    <x v="113"/>
    <x v="0"/>
    <s v="Yes"/>
    <x v="3"/>
    <s v="L-L-0.2"/>
    <x v="1"/>
    <n v="0.61814999999999998"/>
    <n v="5"/>
    <n v="0.2"/>
    <n v="4.7549999999999999"/>
    <x v="29"/>
    <n v="3.0907499999999999"/>
    <n v="13"/>
  </r>
  <r>
    <s v="VGI-33205-360"/>
    <d v="2019-03-21T00:00:00"/>
    <s v="21"/>
    <x v="6"/>
    <x v="0"/>
    <x v="729"/>
    <x v="729"/>
    <s v="jgippesm0@cloudflare.com"/>
    <s v="+44 (185) 319-5850"/>
    <x v="340"/>
    <x v="2"/>
    <s v="Yes"/>
    <x v="3"/>
    <s v="L-M-0.5"/>
    <x v="0"/>
    <n v="1.1349"/>
    <n v="6"/>
    <n v="0.5"/>
    <n v="8.73"/>
    <x v="28"/>
    <n v="6.8094000000000001"/>
    <n v="13"/>
  </r>
  <r>
    <s v="PCA-14081-576"/>
    <d v="2019-06-13T00:00:00"/>
    <s v="13"/>
    <x v="1"/>
    <x v="0"/>
    <x v="730"/>
    <x v="730"/>
    <s v="lwhittleseem1@e-recht24.de"/>
    <s v="+1 (540) 413-9605"/>
    <x v="110"/>
    <x v="0"/>
    <s v="No"/>
    <x v="0"/>
    <s v="R-L-0.2"/>
    <x v="1"/>
    <n v="0.21509999999999996"/>
    <n v="5"/>
    <n v="0.2"/>
    <n v="3.5849999999999995"/>
    <x v="131"/>
    <n v="1.0754999999999999"/>
    <n v="6.0000000000000009"/>
  </r>
  <r>
    <s v="SCS-67069-962"/>
    <d v="2020-06-05T00:00:00"/>
    <s v="05"/>
    <x v="1"/>
    <x v="3"/>
    <x v="731"/>
    <x v="731"/>
    <s v="gtrengrovem2@elpais.com"/>
    <s v="+1 (516) 513-7620"/>
    <x v="341"/>
    <x v="0"/>
    <s v="No"/>
    <x v="2"/>
    <s v="A-L-2.5"/>
    <x v="1"/>
    <n v="2.6806499999999995"/>
    <n v="5"/>
    <n v="2.5"/>
    <n v="29.784999999999997"/>
    <x v="74"/>
    <n v="13.403249999999998"/>
    <n v="9"/>
  </r>
  <r>
    <s v="BDM-03174-485"/>
    <d v="2019-03-16T00:00:00"/>
    <s v="16"/>
    <x v="6"/>
    <x v="0"/>
    <x v="732"/>
    <x v="732"/>
    <s v="wcalderom3@stumbleupon.com"/>
    <s v="+1 (714) 117-5483"/>
    <x v="219"/>
    <x v="0"/>
    <s v="No"/>
    <x v="0"/>
    <s v="R-L-0.5"/>
    <x v="1"/>
    <n v="0.43019999999999992"/>
    <n v="4"/>
    <n v="0.5"/>
    <n v="7.169999999999999"/>
    <x v="139"/>
    <n v="1.7207999999999997"/>
    <n v="6"/>
  </r>
  <r>
    <s v="UJV-32333-364"/>
    <d v="2021-12-03T00:00:00"/>
    <s v="03"/>
    <x v="9"/>
    <x v="1"/>
    <x v="733"/>
    <x v="733"/>
    <n v="0"/>
    <s v="+1 (606) 824-3445"/>
    <x v="193"/>
    <x v="0"/>
    <s v="No"/>
    <x v="3"/>
    <s v="L-L-0.5"/>
    <x v="1"/>
    <n v="1.2363"/>
    <n v="1"/>
    <n v="0.5"/>
    <n v="9.51"/>
    <x v="54"/>
    <n v="1.2363"/>
    <n v="13"/>
  </r>
  <r>
    <s v="FLI-11493-954"/>
    <d v="2022-07-09T00:00:00"/>
    <s v="09"/>
    <x v="2"/>
    <x v="2"/>
    <x v="734"/>
    <x v="734"/>
    <s v="jkennicottm5@yahoo.co.jp"/>
    <s v="+1 (813) 579-8389"/>
    <x v="47"/>
    <x v="0"/>
    <s v="No"/>
    <x v="2"/>
    <s v="A-L-0.5"/>
    <x v="1"/>
    <n v="0.69929999999999992"/>
    <n v="4"/>
    <n v="0.5"/>
    <n v="7.77"/>
    <x v="113"/>
    <n v="2.7971999999999997"/>
    <n v="9"/>
  </r>
  <r>
    <s v="IWL-13117-537"/>
    <d v="2020-04-29T00:00:00"/>
    <s v="29"/>
    <x v="8"/>
    <x v="3"/>
    <x v="735"/>
    <x v="735"/>
    <s v="gruggenm6@nymag.com"/>
    <s v="+1 (408) 211-2306"/>
    <x v="7"/>
    <x v="0"/>
    <s v="Yes"/>
    <x v="0"/>
    <s v="R-D-0.2"/>
    <x v="2"/>
    <n v="0.16109999999999997"/>
    <n v="3"/>
    <n v="0.2"/>
    <n v="2.6849999999999996"/>
    <x v="36"/>
    <n v="0.4832999999999999"/>
    <n v="5.9999999999999991"/>
  </r>
  <r>
    <s v="OAM-76916-748"/>
    <d v="2022-01-27T00:00:00"/>
    <s v="27"/>
    <x v="4"/>
    <x v="2"/>
    <x v="736"/>
    <x v="736"/>
    <n v="0"/>
    <n v="0"/>
    <x v="41"/>
    <x v="0"/>
    <s v="Yes"/>
    <x v="1"/>
    <s v="E-D-1"/>
    <x v="2"/>
    <n v="1.3365"/>
    <n v="3"/>
    <n v="1"/>
    <n v="12.15"/>
    <x v="114"/>
    <n v="4.0095000000000001"/>
    <n v="10.999999999999998"/>
  </r>
  <r>
    <s v="UMB-11223-710"/>
    <d v="2021-02-13T00:00:00"/>
    <s v="13"/>
    <x v="10"/>
    <x v="1"/>
    <x v="737"/>
    <x v="737"/>
    <s v="mfrightm8@harvard.edu"/>
    <s v="+353 (955) 108-0675"/>
    <x v="280"/>
    <x v="1"/>
    <s v="No"/>
    <x v="0"/>
    <s v="R-D-0.2"/>
    <x v="2"/>
    <n v="0.16109999999999997"/>
    <n v="6"/>
    <n v="0.2"/>
    <n v="2.6849999999999996"/>
    <x v="103"/>
    <n v="0.96659999999999979"/>
    <n v="5.9999999999999991"/>
  </r>
  <r>
    <s v="LXR-09892-726"/>
    <d v="2020-07-13T00:00:00"/>
    <s v="13"/>
    <x v="2"/>
    <x v="3"/>
    <x v="738"/>
    <x v="738"/>
    <s v="btartem9@aol.com"/>
    <s v="+1 (360) 927-6561"/>
    <x v="339"/>
    <x v="0"/>
    <s v="Yes"/>
    <x v="0"/>
    <s v="R-D-2.5"/>
    <x v="2"/>
    <n v="1.2350999999999999"/>
    <n v="2"/>
    <n v="2.5"/>
    <n v="20.584999999999997"/>
    <x v="13"/>
    <n v="2.4701999999999997"/>
    <n v="6.0000000000000009"/>
  </r>
  <r>
    <s v="QXX-89943-393"/>
    <d v="2020-03-12T00:00:00"/>
    <s v="12"/>
    <x v="6"/>
    <x v="3"/>
    <x v="739"/>
    <x v="739"/>
    <s v="ckrzysztofiakma@skyrock.com"/>
    <s v="+1 (972) 782-4187"/>
    <x v="342"/>
    <x v="0"/>
    <s v="No"/>
    <x v="0"/>
    <s v="R-D-0.2"/>
    <x v="2"/>
    <n v="0.16109999999999997"/>
    <n v="4"/>
    <n v="0.2"/>
    <n v="2.6849999999999996"/>
    <x v="175"/>
    <n v="0.64439999999999986"/>
    <n v="6"/>
  </r>
  <r>
    <s v="WVS-57822-366"/>
    <d v="2020-05-04T00:00:00"/>
    <s v="04"/>
    <x v="5"/>
    <x v="3"/>
    <x v="740"/>
    <x v="740"/>
    <s v="dpenquetmb@diigo.com"/>
    <n v="0"/>
    <x v="155"/>
    <x v="0"/>
    <s v="No"/>
    <x v="1"/>
    <s v="E-M-2.5"/>
    <x v="0"/>
    <n v="3.4787499999999998"/>
    <n v="4"/>
    <n v="2.5"/>
    <n v="31.624999999999996"/>
    <x v="177"/>
    <n v="13.914999999999999"/>
    <n v="11"/>
  </r>
  <r>
    <s v="CLJ-23403-689"/>
    <d v="2021-04-03T00:00:00"/>
    <s v="03"/>
    <x v="8"/>
    <x v="1"/>
    <x v="741"/>
    <x v="741"/>
    <n v="0"/>
    <s v="+44 (540) 353-5754"/>
    <x v="176"/>
    <x v="2"/>
    <s v="No"/>
    <x v="0"/>
    <s v="R-L-1"/>
    <x v="1"/>
    <n v="0.71699999999999997"/>
    <n v="2"/>
    <n v="1"/>
    <n v="11.95"/>
    <x v="178"/>
    <n v="1.4339999999999999"/>
    <n v="6"/>
  </r>
  <r>
    <s v="XNU-83276-288"/>
    <d v="2022-06-01T00:00:00"/>
    <s v="01"/>
    <x v="1"/>
    <x v="2"/>
    <x v="742"/>
    <x v="742"/>
    <n v="0"/>
    <s v="+1 (763) 691-6777"/>
    <x v="343"/>
    <x v="0"/>
    <s v="No"/>
    <x v="0"/>
    <s v="R-M-0.5"/>
    <x v="0"/>
    <n v="0.35819999999999996"/>
    <n v="1"/>
    <n v="0.5"/>
    <n v="5.97"/>
    <x v="9"/>
    <n v="0.35819999999999996"/>
    <n v="6"/>
  </r>
  <r>
    <s v="YOG-94666-679"/>
    <d v="2021-02-14T00:00:00"/>
    <s v="14"/>
    <x v="10"/>
    <x v="1"/>
    <x v="743"/>
    <x v="743"/>
    <n v="0"/>
    <n v="0"/>
    <x v="44"/>
    <x v="2"/>
    <s v="Yes"/>
    <x v="3"/>
    <s v="L-D-0.2"/>
    <x v="2"/>
    <n v="0.50505"/>
    <n v="2"/>
    <n v="0.2"/>
    <n v="3.8849999999999998"/>
    <x v="41"/>
    <n v="1.0101"/>
    <n v="13"/>
  </r>
  <r>
    <s v="KHG-33953-115"/>
    <d v="2021-12-13T00:00:00"/>
    <s v="13"/>
    <x v="9"/>
    <x v="1"/>
    <x v="744"/>
    <x v="744"/>
    <s v="kferrettimf@huffingtonpost.com"/>
    <s v="+353 (526) 215-2582"/>
    <x v="232"/>
    <x v="1"/>
    <s v="No"/>
    <x v="3"/>
    <s v="L-D-0.5"/>
    <x v="2"/>
    <n v="1.0101"/>
    <n v="3"/>
    <n v="0.5"/>
    <n v="7.77"/>
    <x v="102"/>
    <n v="3.0303"/>
    <n v="13"/>
  </r>
  <r>
    <s v="MHD-95615-696"/>
    <d v="2020-02-07T00:00:00"/>
    <s v="07"/>
    <x v="10"/>
    <x v="3"/>
    <x v="745"/>
    <x v="745"/>
    <n v="0"/>
    <s v="+1 (713) 984-5207"/>
    <x v="13"/>
    <x v="0"/>
    <s v="No"/>
    <x v="0"/>
    <s v="R-L-2.5"/>
    <x v="1"/>
    <n v="1.6490999999999998"/>
    <n v="5"/>
    <n v="2.5"/>
    <n v="27.484999999999996"/>
    <x v="187"/>
    <n v="8.2454999999999998"/>
    <n v="6.0000000000000009"/>
  </r>
  <r>
    <s v="HBH-64794-080"/>
    <d v="2021-02-08T00:00:00"/>
    <s v="08"/>
    <x v="10"/>
    <x v="1"/>
    <x v="746"/>
    <x v="746"/>
    <n v="0"/>
    <s v="+1 (915) 204-2588"/>
    <x v="87"/>
    <x v="0"/>
    <s v="Yes"/>
    <x v="0"/>
    <s v="R-D-0.2"/>
    <x v="2"/>
    <n v="0.16109999999999997"/>
    <n v="3"/>
    <n v="0.2"/>
    <n v="2.6849999999999996"/>
    <x v="36"/>
    <n v="0.4832999999999999"/>
    <n v="5.9999999999999991"/>
  </r>
  <r>
    <s v="CNJ-56058-223"/>
    <d v="2020-08-11T00:00:00"/>
    <s v="11"/>
    <x v="3"/>
    <x v="3"/>
    <x v="747"/>
    <x v="747"/>
    <s v="abalsdonemi@toplist.cz"/>
    <s v="+1 (863) 490-5370"/>
    <x v="344"/>
    <x v="0"/>
    <s v="No"/>
    <x v="3"/>
    <s v="L-L-0.5"/>
    <x v="1"/>
    <n v="1.2363"/>
    <n v="3"/>
    <n v="0.5"/>
    <n v="9.51"/>
    <x v="32"/>
    <n v="3.7088999999999999"/>
    <n v="12.999999999999998"/>
  </r>
  <r>
    <s v="KHO-27106-786"/>
    <d v="2020-10-10T00:00:00"/>
    <s v="10"/>
    <x v="7"/>
    <x v="3"/>
    <x v="748"/>
    <x v="748"/>
    <s v="bromeramj@list-manage.com"/>
    <s v="+353 (640) 110-9801"/>
    <x v="345"/>
    <x v="1"/>
    <s v="Yes"/>
    <x v="2"/>
    <s v="A-M-1"/>
    <x v="0"/>
    <n v="1.0125"/>
    <n v="6"/>
    <n v="1"/>
    <n v="11.25"/>
    <x v="173"/>
    <n v="6.0749999999999993"/>
    <n v="8.9999999999999982"/>
  </r>
  <r>
    <s v="KHO-27106-786"/>
    <d v="2020-10-10T00:00:00"/>
    <s v="10"/>
    <x v="7"/>
    <x v="3"/>
    <x v="748"/>
    <x v="748"/>
    <s v="bromeramj@list-manage.com"/>
    <s v="+353 (640) 110-9801"/>
    <x v="345"/>
    <x v="1"/>
    <s v="Yes"/>
    <x v="3"/>
    <s v="L-D-2.5"/>
    <x v="2"/>
    <n v="3.8720499999999998"/>
    <n v="6"/>
    <n v="2.5"/>
    <n v="29.784999999999997"/>
    <x v="39"/>
    <n v="23.232299999999999"/>
    <n v="13"/>
  </r>
  <r>
    <s v="YAC-50329-982"/>
    <d v="2020-12-08T00:00:00"/>
    <s v="08"/>
    <x v="9"/>
    <x v="3"/>
    <x v="749"/>
    <x v="749"/>
    <s v="cbrydeml@tuttocitta.it"/>
    <s v="+1 (405) 497-2199"/>
    <x v="101"/>
    <x v="0"/>
    <s v="Yes"/>
    <x v="1"/>
    <s v="E-M-2.5"/>
    <x v="0"/>
    <n v="3.4787499999999998"/>
    <n v="1"/>
    <n v="2.5"/>
    <n v="31.624999999999996"/>
    <x v="176"/>
    <n v="3.4787499999999998"/>
    <n v="11"/>
  </r>
  <r>
    <s v="VVL-95291-039"/>
    <d v="2019-04-18T00:00:00"/>
    <s v="18"/>
    <x v="8"/>
    <x v="0"/>
    <x v="750"/>
    <x v="750"/>
    <s v="senefermm@blog.com"/>
    <s v="+1 (202) 877-3473"/>
    <x v="41"/>
    <x v="0"/>
    <s v="No"/>
    <x v="1"/>
    <s v="E-L-0.2"/>
    <x v="1"/>
    <n v="0.49004999999999999"/>
    <n v="2"/>
    <n v="0.2"/>
    <n v="4.4550000000000001"/>
    <x v="161"/>
    <n v="0.98009999999999997"/>
    <n v="11"/>
  </r>
  <r>
    <s v="VUT-20974-364"/>
    <d v="2021-01-04T00:00:00"/>
    <s v="04"/>
    <x v="4"/>
    <x v="1"/>
    <x v="751"/>
    <x v="751"/>
    <s v="lhaggerstonemn@independent.co.uk"/>
    <s v="+1 (770) 779-0007"/>
    <x v="161"/>
    <x v="0"/>
    <s v="No"/>
    <x v="0"/>
    <s v="R-M-0.5"/>
    <x v="0"/>
    <n v="0.35819999999999996"/>
    <n v="6"/>
    <n v="0.5"/>
    <n v="5.97"/>
    <x v="27"/>
    <n v="2.1491999999999996"/>
    <n v="5.9999999999999982"/>
  </r>
  <r>
    <s v="SFC-34054-213"/>
    <d v="2019-03-10T00:00:00"/>
    <s v="10"/>
    <x v="6"/>
    <x v="0"/>
    <x v="752"/>
    <x v="752"/>
    <s v="mgundrymo@omniture.com"/>
    <s v="+353 (500) 164-9392"/>
    <x v="118"/>
    <x v="1"/>
    <s v="No"/>
    <x v="3"/>
    <s v="L-L-0.5"/>
    <x v="1"/>
    <n v="1.2363"/>
    <n v="4"/>
    <n v="0.5"/>
    <n v="9.51"/>
    <x v="82"/>
    <n v="4.9451999999999998"/>
    <n v="13"/>
  </r>
  <r>
    <s v="UDS-04807-593"/>
    <d v="2019-11-29T00:00:00"/>
    <s v="29"/>
    <x v="11"/>
    <x v="0"/>
    <x v="753"/>
    <x v="753"/>
    <s v="bwellanmp@cafepress.com"/>
    <n v="0"/>
    <x v="73"/>
    <x v="0"/>
    <s v="No"/>
    <x v="3"/>
    <s v="L-D-0.5"/>
    <x v="2"/>
    <n v="1.0101"/>
    <n v="2"/>
    <n v="0.5"/>
    <n v="7.77"/>
    <x v="42"/>
    <n v="2.0202"/>
    <n v="13"/>
  </r>
  <r>
    <s v="FWE-98471-488"/>
    <d v="2022-07-19T00:00:00"/>
    <s v="19"/>
    <x v="2"/>
    <x v="2"/>
    <x v="745"/>
    <x v="745"/>
    <n v="0"/>
    <s v="+1 (713) 984-5207"/>
    <x v="13"/>
    <x v="0"/>
    <s v="No"/>
    <x v="3"/>
    <s v="L-L-1"/>
    <x v="1"/>
    <n v="2.0605000000000002"/>
    <n v="5"/>
    <n v="1"/>
    <n v="15.85"/>
    <x v="180"/>
    <n v="10.302500000000002"/>
    <n v="13.000000000000004"/>
  </r>
  <r>
    <s v="RAU-17060-674"/>
    <d v="2020-06-26T00:00:00"/>
    <s v="26"/>
    <x v="1"/>
    <x v="3"/>
    <x v="754"/>
    <x v="754"/>
    <s v="catchesonmr@xinhuanet.com"/>
    <s v="+1 (202) 975-7723"/>
    <x v="41"/>
    <x v="0"/>
    <s v="Yes"/>
    <x v="3"/>
    <s v="L-L-0.2"/>
    <x v="1"/>
    <n v="0.61814999999999998"/>
    <n v="1"/>
    <n v="0.2"/>
    <n v="4.7549999999999999"/>
    <x v="7"/>
    <n v="0.61814999999999998"/>
    <n v="13"/>
  </r>
  <r>
    <s v="AOL-13866-711"/>
    <d v="2019-02-14T00:00:00"/>
    <s v="14"/>
    <x v="10"/>
    <x v="0"/>
    <x v="755"/>
    <x v="755"/>
    <s v="estentonms@google.it"/>
    <s v="+1 (512) 819-1430"/>
    <x v="79"/>
    <x v="0"/>
    <s v="Yes"/>
    <x v="1"/>
    <s v="E-M-1"/>
    <x v="0"/>
    <n v="1.5125"/>
    <n v="4"/>
    <n v="1"/>
    <n v="13.75"/>
    <x v="193"/>
    <n v="6.05"/>
    <n v="11"/>
  </r>
  <r>
    <s v="NOA-79645-377"/>
    <d v="2020-11-09T00:00:00"/>
    <s v="09"/>
    <x v="11"/>
    <x v="3"/>
    <x v="756"/>
    <x v="756"/>
    <s v="etrippmt@wp.com"/>
    <s v="+1 (602) 971-9708"/>
    <x v="137"/>
    <x v="0"/>
    <s v="No"/>
    <x v="0"/>
    <s v="R-D-0.5"/>
    <x v="2"/>
    <n v="0.32219999999999993"/>
    <n v="5"/>
    <n v="0.5"/>
    <n v="5.3699999999999992"/>
    <x v="51"/>
    <n v="1.6109999999999998"/>
    <n v="6.0000000000000009"/>
  </r>
  <r>
    <s v="KMS-49214-806"/>
    <d v="2019-04-30T00:00:00"/>
    <s v="30"/>
    <x v="8"/>
    <x v="0"/>
    <x v="757"/>
    <x v="757"/>
    <s v="lmacmanusmu@imdb.com"/>
    <s v="+1 (912) 191-6620"/>
    <x v="346"/>
    <x v="0"/>
    <s v="No"/>
    <x v="1"/>
    <s v="E-L-2.5"/>
    <x v="1"/>
    <n v="3.7570499999999996"/>
    <n v="4"/>
    <n v="2.5"/>
    <n v="34.154999999999994"/>
    <x v="56"/>
    <n v="15.028199999999998"/>
    <n v="11"/>
  </r>
  <r>
    <s v="ABK-08091-531"/>
    <d v="2020-10-30T00:00:00"/>
    <s v="30"/>
    <x v="7"/>
    <x v="3"/>
    <x v="758"/>
    <x v="758"/>
    <s v="tbenediktovichmv@ebay.com"/>
    <s v="+1 (505) 523-8113"/>
    <x v="347"/>
    <x v="0"/>
    <s v="Yes"/>
    <x v="3"/>
    <s v="L-L-1"/>
    <x v="1"/>
    <n v="2.0605000000000002"/>
    <n v="3"/>
    <n v="1"/>
    <n v="15.85"/>
    <x v="46"/>
    <n v="6.1815000000000007"/>
    <n v="13.000000000000004"/>
  </r>
  <r>
    <s v="GPT-67705-953"/>
    <d v="2019-11-12T00:00:00"/>
    <s v="12"/>
    <x v="11"/>
    <x v="0"/>
    <x v="759"/>
    <x v="759"/>
    <s v="cbournermw@chronoengine.com"/>
    <n v="0"/>
    <x v="63"/>
    <x v="0"/>
    <s v="Yes"/>
    <x v="2"/>
    <s v="A-M-0.2"/>
    <x v="0"/>
    <n v="0.30374999999999996"/>
    <n v="5"/>
    <n v="0.2"/>
    <n v="3.375"/>
    <x v="19"/>
    <n v="1.5187499999999998"/>
    <n v="8.9999999999999982"/>
  </r>
  <r>
    <s v="JNA-21450-177"/>
    <d v="2022-02-11T00:00:00"/>
    <s v="11"/>
    <x v="10"/>
    <x v="2"/>
    <x v="760"/>
    <x v="760"/>
    <s v="oskermen3@hatena.ne.jp"/>
    <s v="+1 (405) 615-0298"/>
    <x v="101"/>
    <x v="0"/>
    <s v="Yes"/>
    <x v="2"/>
    <s v="A-D-1"/>
    <x v="2"/>
    <n v="0.89549999999999985"/>
    <n v="3"/>
    <n v="1"/>
    <n v="9.9499999999999993"/>
    <x v="44"/>
    <n v="2.6864999999999997"/>
    <n v="9"/>
  </r>
  <r>
    <s v="MPQ-23421-608"/>
    <d v="2021-03-28T00:00:00"/>
    <s v="28"/>
    <x v="6"/>
    <x v="1"/>
    <x v="761"/>
    <x v="761"/>
    <s v="kheddanmy@icq.com"/>
    <s v="+1 (850) 796-6812"/>
    <x v="48"/>
    <x v="0"/>
    <s v="Yes"/>
    <x v="1"/>
    <s v="E-M-0.5"/>
    <x v="0"/>
    <n v="0.90749999999999997"/>
    <n v="5"/>
    <n v="0.5"/>
    <n v="8.25"/>
    <x v="1"/>
    <n v="4.5374999999999996"/>
    <n v="10.999999999999998"/>
  </r>
  <r>
    <s v="NLI-63891-565"/>
    <d v="2021-12-10T00:00:00"/>
    <s v="10"/>
    <x v="9"/>
    <x v="1"/>
    <x v="762"/>
    <x v="762"/>
    <s v="ichartersmz@abc.net.au"/>
    <s v="+1 (202) 710-9776"/>
    <x v="41"/>
    <x v="0"/>
    <s v="No"/>
    <x v="1"/>
    <s v="E-M-0.2"/>
    <x v="0"/>
    <n v="0.45374999999999999"/>
    <n v="5"/>
    <n v="0.2"/>
    <n v="4.125"/>
    <x v="132"/>
    <n v="2.2687499999999998"/>
    <n v="10.999999999999998"/>
  </r>
  <r>
    <s v="HHF-36647-854"/>
    <d v="2021-11-05T00:00:00"/>
    <s v="05"/>
    <x v="11"/>
    <x v="1"/>
    <x v="763"/>
    <x v="763"/>
    <s v="aroubertn0@tmall.com"/>
    <s v="+1 (772) 366-6549"/>
    <x v="348"/>
    <x v="0"/>
    <s v="Yes"/>
    <x v="2"/>
    <s v="A-D-2.5"/>
    <x v="2"/>
    <n v="2.0596499999999995"/>
    <n v="6"/>
    <n v="2.5"/>
    <n v="22.884999999999998"/>
    <x v="170"/>
    <n v="12.357899999999997"/>
    <n v="8.9999999999999982"/>
  </r>
  <r>
    <s v="SBN-16537-046"/>
    <d v="2020-02-29T00:00:00"/>
    <s v="29"/>
    <x v="10"/>
    <x v="3"/>
    <x v="764"/>
    <x v="764"/>
    <s v="hmairsn1@so-net.ne.jp"/>
    <s v="+1 (304) 834-9665"/>
    <x v="90"/>
    <x v="0"/>
    <s v="No"/>
    <x v="2"/>
    <s v="A-D-0.2"/>
    <x v="2"/>
    <n v="0.26865"/>
    <n v="1"/>
    <n v="0.2"/>
    <n v="2.9849999999999999"/>
    <x v="55"/>
    <n v="0.26865"/>
    <n v="9.0000000000000018"/>
  </r>
  <r>
    <s v="XZD-44484-632"/>
    <d v="2021-08-06T00:00:00"/>
    <s v="06"/>
    <x v="3"/>
    <x v="1"/>
    <x v="765"/>
    <x v="765"/>
    <s v="hrainforthn2@blog.com"/>
    <s v="+1 (215) 607-9440"/>
    <x v="11"/>
    <x v="0"/>
    <s v="No"/>
    <x v="1"/>
    <s v="E-M-1"/>
    <x v="0"/>
    <n v="1.5125"/>
    <n v="2"/>
    <n v="1"/>
    <n v="13.75"/>
    <x v="3"/>
    <n v="3.0249999999999999"/>
    <n v="11"/>
  </r>
  <r>
    <s v="XZD-44484-632"/>
    <d v="2021-08-06T00:00:00"/>
    <s v="06"/>
    <x v="3"/>
    <x v="1"/>
    <x v="765"/>
    <x v="765"/>
    <s v="hrainforthn2@blog.com"/>
    <s v="+1 (215) 607-9440"/>
    <x v="11"/>
    <x v="0"/>
    <s v="No"/>
    <x v="2"/>
    <s v="A-D-0.2"/>
    <x v="2"/>
    <n v="0.26865"/>
    <n v="2"/>
    <n v="0.2"/>
    <n v="2.9849999999999999"/>
    <x v="9"/>
    <n v="0.5373"/>
    <n v="9.0000000000000018"/>
  </r>
  <r>
    <s v="IKQ-39946-768"/>
    <d v="2021-03-19T00:00:00"/>
    <s v="19"/>
    <x v="6"/>
    <x v="1"/>
    <x v="766"/>
    <x v="766"/>
    <s v="ijespern4@theglobeandmail.com"/>
    <s v="+1 (239) 918-0943"/>
    <x v="53"/>
    <x v="0"/>
    <s v="No"/>
    <x v="0"/>
    <s v="R-M-1"/>
    <x v="0"/>
    <n v="0.59699999999999998"/>
    <n v="6"/>
    <n v="1"/>
    <n v="9.9499999999999993"/>
    <x v="33"/>
    <n v="3.5819999999999999"/>
    <n v="6.0000000000000009"/>
  </r>
  <r>
    <s v="KMB-95211-174"/>
    <d v="2021-04-16T00:00:00"/>
    <s v="16"/>
    <x v="8"/>
    <x v="1"/>
    <x v="767"/>
    <x v="767"/>
    <s v="ldwerryhousen5@gravatar.com"/>
    <s v="+1 (682) 812-1698"/>
    <x v="57"/>
    <x v="0"/>
    <s v="Yes"/>
    <x v="0"/>
    <s v="R-D-2.5"/>
    <x v="2"/>
    <n v="1.2350999999999999"/>
    <n v="4"/>
    <n v="2.5"/>
    <n v="20.584999999999997"/>
    <x v="18"/>
    <n v="4.9403999999999995"/>
    <n v="6.0000000000000009"/>
  </r>
  <r>
    <s v="QWY-99467-368"/>
    <d v="2020-11-06T00:00:00"/>
    <s v="06"/>
    <x v="11"/>
    <x v="3"/>
    <x v="768"/>
    <x v="768"/>
    <s v="nbroomern6@examiner.com"/>
    <s v="+1 (402) 219-2018"/>
    <x v="349"/>
    <x v="0"/>
    <s v="No"/>
    <x v="2"/>
    <s v="A-D-2.5"/>
    <x v="2"/>
    <n v="2.0596499999999995"/>
    <n v="1"/>
    <n v="2.5"/>
    <n v="22.884999999999998"/>
    <x v="156"/>
    <n v="2.0596499999999995"/>
    <n v="8.9999999999999982"/>
  </r>
  <r>
    <s v="SRG-76791-614"/>
    <d v="2021-03-15T00:00:00"/>
    <s v="15"/>
    <x v="6"/>
    <x v="1"/>
    <x v="769"/>
    <x v="769"/>
    <s v="kthoumassonn7@bloglovin.com"/>
    <n v="0"/>
    <x v="31"/>
    <x v="0"/>
    <s v="Yes"/>
    <x v="1"/>
    <s v="E-L-0.5"/>
    <x v="1"/>
    <n v="0.98009999999999997"/>
    <n v="1"/>
    <n v="0.5"/>
    <n v="8.91"/>
    <x v="161"/>
    <n v="0.98009999999999997"/>
    <n v="11"/>
  </r>
  <r>
    <s v="VSN-94485-621"/>
    <d v="2021-10-17T00:00:00"/>
    <s v="17"/>
    <x v="7"/>
    <x v="1"/>
    <x v="770"/>
    <x v="770"/>
    <s v="fhabberghamn8@discovery.com"/>
    <s v="+1 (775) 814-9362"/>
    <x v="125"/>
    <x v="0"/>
    <s v="No"/>
    <x v="2"/>
    <s v="A-D-0.2"/>
    <x v="2"/>
    <n v="0.26865"/>
    <n v="4"/>
    <n v="0.2"/>
    <n v="2.9849999999999999"/>
    <x v="22"/>
    <n v="1.0746"/>
    <n v="9.0000000000000018"/>
  </r>
  <r>
    <s v="UFZ-24348-219"/>
    <d v="2019-09-07T00:00:00"/>
    <s v="07"/>
    <x v="0"/>
    <x v="0"/>
    <x v="745"/>
    <x v="745"/>
    <n v="0"/>
    <s v="+1 (713) 984-5207"/>
    <x v="13"/>
    <x v="0"/>
    <s v="No"/>
    <x v="3"/>
    <s v="L-M-2.5"/>
    <x v="0"/>
    <n v="4.3504499999999995"/>
    <n v="3"/>
    <n v="2.5"/>
    <n v="33.464999999999996"/>
    <x v="64"/>
    <n v="13.051349999999999"/>
    <n v="13"/>
  </r>
  <r>
    <s v="UKS-93055-397"/>
    <d v="2022-07-13T00:00:00"/>
    <s v="13"/>
    <x v="2"/>
    <x v="2"/>
    <x v="771"/>
    <x v="771"/>
    <s v="ravrashinna@tamu.edu"/>
    <s v="+1 (202) 973-9890"/>
    <x v="41"/>
    <x v="0"/>
    <s v="No"/>
    <x v="2"/>
    <s v="A-D-2.5"/>
    <x v="2"/>
    <n v="2.0596499999999995"/>
    <n v="5"/>
    <n v="2.5"/>
    <n v="22.884999999999998"/>
    <x v="15"/>
    <n v="10.298249999999998"/>
    <n v="9"/>
  </r>
  <r>
    <s v="AVH-56062-335"/>
    <d v="2021-11-21T00:00:00"/>
    <s v="21"/>
    <x v="11"/>
    <x v="1"/>
    <x v="772"/>
    <x v="772"/>
    <s v="mdoidgenb@etsy.com"/>
    <s v="+1 (831) 955-4716"/>
    <x v="350"/>
    <x v="0"/>
    <s v="No"/>
    <x v="1"/>
    <s v="E-M-0.5"/>
    <x v="0"/>
    <n v="0.90749999999999997"/>
    <n v="5"/>
    <n v="0.5"/>
    <n v="8.25"/>
    <x v="1"/>
    <n v="4.5374999999999996"/>
    <n v="10.999999999999998"/>
  </r>
  <r>
    <s v="HGE-19842-613"/>
    <d v="2022-01-13T00:00:00"/>
    <s v="13"/>
    <x v="4"/>
    <x v="2"/>
    <x v="773"/>
    <x v="773"/>
    <s v="jedinboronc@reverbnation.com"/>
    <s v="+1 (754) 219-4187"/>
    <x v="42"/>
    <x v="0"/>
    <s v="Yes"/>
    <x v="0"/>
    <s v="R-L-0.5"/>
    <x v="1"/>
    <n v="0.43019999999999992"/>
    <n v="4"/>
    <n v="0.5"/>
    <n v="7.169999999999999"/>
    <x v="139"/>
    <n v="1.7207999999999997"/>
    <n v="6"/>
  </r>
  <r>
    <s v="WBA-85905-175"/>
    <d v="2022-07-13T00:00:00"/>
    <s v="13"/>
    <x v="2"/>
    <x v="2"/>
    <x v="774"/>
    <x v="774"/>
    <s v="ttewelsonnd@cdbaby.com"/>
    <n v="0"/>
    <x v="87"/>
    <x v="0"/>
    <s v="No"/>
    <x v="3"/>
    <s v="L-M-0.2"/>
    <x v="0"/>
    <n v="0.56745000000000001"/>
    <n v="1"/>
    <n v="0.2"/>
    <n v="4.3650000000000002"/>
    <x v="189"/>
    <n v="0.56745000000000001"/>
    <n v="13"/>
  </r>
  <r>
    <s v="DZI-35365-596"/>
    <d v="2021-11-02T00:00:00"/>
    <s v="02"/>
    <x v="11"/>
    <x v="1"/>
    <x v="760"/>
    <x v="760"/>
    <s v="oskermen3@hatena.ne.jp"/>
    <s v="+1 (405) 615-0298"/>
    <x v="101"/>
    <x v="0"/>
    <s v="Yes"/>
    <x v="1"/>
    <s v="E-M-0.2"/>
    <x v="0"/>
    <n v="0.45374999999999999"/>
    <n v="2"/>
    <n v="0.2"/>
    <n v="4.125"/>
    <x v="112"/>
    <n v="0.90749999999999997"/>
    <n v="11"/>
  </r>
  <r>
    <s v="XIR-88982-743"/>
    <d v="2021-07-10T00:00:00"/>
    <s v="10"/>
    <x v="2"/>
    <x v="1"/>
    <x v="775"/>
    <x v="775"/>
    <s v="ddrewittnf@mapquest.com"/>
    <s v="+1 (571) 504-1175"/>
    <x v="117"/>
    <x v="0"/>
    <s v="Yes"/>
    <x v="1"/>
    <s v="E-M-0.2"/>
    <x v="0"/>
    <n v="0.45374999999999999"/>
    <n v="2"/>
    <n v="0.2"/>
    <n v="4.125"/>
    <x v="112"/>
    <n v="0.90749999999999997"/>
    <n v="11"/>
  </r>
  <r>
    <s v="VUC-72395-865"/>
    <d v="2021-10-07T00:00:00"/>
    <s v="07"/>
    <x v="7"/>
    <x v="1"/>
    <x v="776"/>
    <x v="776"/>
    <s v="agladhillng@stanford.edu"/>
    <s v="+1 (410) 991-5601"/>
    <x v="192"/>
    <x v="0"/>
    <s v="Yes"/>
    <x v="2"/>
    <s v="A-D-0.5"/>
    <x v="2"/>
    <n v="0.5373"/>
    <n v="6"/>
    <n v="0.5"/>
    <n v="5.97"/>
    <x v="27"/>
    <n v="3.2237999999999998"/>
    <n v="9"/>
  </r>
  <r>
    <s v="BQJ-44755-910"/>
    <d v="2020-02-28T00:00:00"/>
    <s v="28"/>
    <x v="10"/>
    <x v="3"/>
    <x v="777"/>
    <x v="777"/>
    <s v="mlorineznh@whitehouse.gov"/>
    <n v="0"/>
    <x v="98"/>
    <x v="0"/>
    <s v="No"/>
    <x v="1"/>
    <s v="E-D-2.5"/>
    <x v="2"/>
    <n v="3.07395"/>
    <n v="6"/>
    <n v="2.5"/>
    <n v="27.945"/>
    <x v="164"/>
    <n v="18.4437"/>
    <n v="10.999999999999998"/>
  </r>
  <r>
    <s v="JKC-64636-831"/>
    <d v="2022-07-05T00:00:00"/>
    <s v="05"/>
    <x v="2"/>
    <x v="2"/>
    <x v="778"/>
    <x v="778"/>
    <n v="0"/>
    <s v="+1 (404) 514-8311"/>
    <x v="227"/>
    <x v="0"/>
    <s v="Yes"/>
    <x v="2"/>
    <s v="A-M-2.5"/>
    <x v="0"/>
    <n v="2.3287499999999994"/>
    <n v="2"/>
    <n v="2.5"/>
    <n v="25.874999999999996"/>
    <x v="95"/>
    <n v="4.6574999999999989"/>
    <n v="9"/>
  </r>
  <r>
    <s v="ZKI-78561-066"/>
    <d v="2021-09-21T00:00:00"/>
    <s v="21"/>
    <x v="0"/>
    <x v="1"/>
    <x v="779"/>
    <x v="779"/>
    <s v="mvannj@wikipedia.org"/>
    <n v="0"/>
    <x v="351"/>
    <x v="0"/>
    <s v="Yes"/>
    <x v="2"/>
    <s v="A-D-0.2"/>
    <x v="2"/>
    <n v="0.26865"/>
    <n v="3"/>
    <n v="0.2"/>
    <n v="2.9849999999999999"/>
    <x v="169"/>
    <n v="0.80594999999999994"/>
    <n v="9"/>
  </r>
  <r>
    <s v="IMP-12563-728"/>
    <d v="2019-01-03T00:00:00"/>
    <s v="03"/>
    <x v="4"/>
    <x v="0"/>
    <x v="780"/>
    <x v="780"/>
    <n v="0"/>
    <s v="+1 (432) 765-8747"/>
    <x v="67"/>
    <x v="0"/>
    <s v="No"/>
    <x v="1"/>
    <s v="E-L-0.5"/>
    <x v="1"/>
    <n v="0.98009999999999997"/>
    <n v="6"/>
    <n v="0.5"/>
    <n v="8.91"/>
    <x v="119"/>
    <n v="5.8805999999999994"/>
    <n v="10.999999999999998"/>
  </r>
  <r>
    <s v="MZL-81126-390"/>
    <d v="2022-03-08T00:00:00"/>
    <s v="08"/>
    <x v="6"/>
    <x v="2"/>
    <x v="781"/>
    <x v="781"/>
    <s v="jethelstonnl@creativecommons.org"/>
    <s v="+1 (954) 385-3551"/>
    <x v="352"/>
    <x v="0"/>
    <s v="Yes"/>
    <x v="2"/>
    <s v="A-L-0.2"/>
    <x v="1"/>
    <n v="0.34964999999999996"/>
    <n v="6"/>
    <n v="0.2"/>
    <n v="3.8849999999999998"/>
    <x v="102"/>
    <n v="2.0978999999999997"/>
    <n v="9"/>
  </r>
  <r>
    <s v="MZL-81126-390"/>
    <d v="2022-03-08T00:00:00"/>
    <s v="08"/>
    <x v="6"/>
    <x v="2"/>
    <x v="781"/>
    <x v="781"/>
    <s v="jethelstonnl@creativecommons.org"/>
    <s v="+1 (954) 385-3551"/>
    <x v="352"/>
    <x v="0"/>
    <s v="Yes"/>
    <x v="2"/>
    <s v="A-M-0.2"/>
    <x v="0"/>
    <n v="0.30374999999999996"/>
    <n v="2"/>
    <n v="0.2"/>
    <n v="3.375"/>
    <x v="52"/>
    <n v="0.60749999999999993"/>
    <n v="8.9999999999999982"/>
  </r>
  <r>
    <s v="TVF-57766-608"/>
    <d v="2020-03-10T00:00:00"/>
    <s v="10"/>
    <x v="6"/>
    <x v="3"/>
    <x v="782"/>
    <x v="782"/>
    <s v="peberznn@woothemes.com"/>
    <s v="+1 (530) 938-1204"/>
    <x v="231"/>
    <x v="0"/>
    <s v="Yes"/>
    <x v="3"/>
    <s v="L-D-0.5"/>
    <x v="2"/>
    <n v="1.0101"/>
    <n v="1"/>
    <n v="0.5"/>
    <n v="7.77"/>
    <x v="41"/>
    <n v="1.0101"/>
    <n v="13"/>
  </r>
  <r>
    <s v="RUX-37995-892"/>
    <d v="2021-11-27T00:00:00"/>
    <s v="27"/>
    <x v="11"/>
    <x v="1"/>
    <x v="783"/>
    <x v="783"/>
    <s v="bgaishno@altervista.org"/>
    <n v="0"/>
    <x v="79"/>
    <x v="0"/>
    <s v="Yes"/>
    <x v="3"/>
    <s v="L-D-2.5"/>
    <x v="2"/>
    <n v="3.8720499999999998"/>
    <n v="4"/>
    <n v="2.5"/>
    <n v="29.784999999999997"/>
    <x v="129"/>
    <n v="15.488199999999999"/>
    <n v="13"/>
  </r>
  <r>
    <s v="AVK-76526-953"/>
    <d v="2021-03-04T00:00:00"/>
    <s v="04"/>
    <x v="6"/>
    <x v="1"/>
    <x v="784"/>
    <x v="784"/>
    <s v="ldantonnp@miitbeian.gov.cn"/>
    <n v="0"/>
    <x v="87"/>
    <x v="0"/>
    <s v="No"/>
    <x v="2"/>
    <s v="A-D-1"/>
    <x v="2"/>
    <n v="0.89549999999999985"/>
    <n v="2"/>
    <n v="1"/>
    <n v="9.9499999999999993"/>
    <x v="0"/>
    <n v="1.7909999999999997"/>
    <n v="9"/>
  </r>
  <r>
    <s v="RIU-02231-623"/>
    <d v="2021-11-16T00:00:00"/>
    <s v="16"/>
    <x v="11"/>
    <x v="1"/>
    <x v="785"/>
    <x v="785"/>
    <s v="smorrallnq@answers.com"/>
    <s v="+1 (304) 897-5422"/>
    <x v="27"/>
    <x v="0"/>
    <s v="Yes"/>
    <x v="0"/>
    <s v="R-L-0.5"/>
    <x v="1"/>
    <n v="0.43019999999999992"/>
    <n v="5"/>
    <n v="0.5"/>
    <n v="7.169999999999999"/>
    <x v="66"/>
    <n v="2.1509999999999998"/>
    <n v="6.0000000000000009"/>
  </r>
  <r>
    <s v="WFK-99317-827"/>
    <d v="2019-06-16T00:00:00"/>
    <s v="16"/>
    <x v="1"/>
    <x v="0"/>
    <x v="786"/>
    <x v="786"/>
    <s v="dcrownshawnr@photobucket.com"/>
    <s v="+1 (610) 576-4733"/>
    <x v="311"/>
    <x v="0"/>
    <s v="No"/>
    <x v="3"/>
    <s v="L-D-2.5"/>
    <x v="2"/>
    <n v="3.8720499999999998"/>
    <n v="3"/>
    <n v="2.5"/>
    <n v="29.784999999999997"/>
    <x v="49"/>
    <n v="11.616149999999999"/>
    <n v="13"/>
  </r>
  <r>
    <s v="SFD-00372-284"/>
    <d v="2020-07-19T00:00:00"/>
    <s v="19"/>
    <x v="2"/>
    <x v="3"/>
    <x v="760"/>
    <x v="760"/>
    <s v="oskermen3@hatena.ne.jp"/>
    <s v="+1 (405) 615-0298"/>
    <x v="101"/>
    <x v="0"/>
    <s v="Yes"/>
    <x v="3"/>
    <s v="L-M-0.2"/>
    <x v="0"/>
    <n v="0.56745000000000001"/>
    <n v="2"/>
    <n v="0.2"/>
    <n v="4.3650000000000002"/>
    <x v="31"/>
    <n v="1.1349"/>
    <n v="13"/>
  </r>
  <r>
    <s v="SXC-62166-515"/>
    <d v="2020-02-28T00:00:00"/>
    <s v="28"/>
    <x v="10"/>
    <x v="3"/>
    <x v="787"/>
    <x v="787"/>
    <s v="jreddochnt@sun.com"/>
    <s v="+1 (863) 742-5292"/>
    <x v="344"/>
    <x v="0"/>
    <s v="No"/>
    <x v="0"/>
    <s v="R-L-2.5"/>
    <x v="1"/>
    <n v="1.6490999999999998"/>
    <n v="5"/>
    <n v="2.5"/>
    <n v="27.484999999999996"/>
    <x v="187"/>
    <n v="8.2454999999999998"/>
    <n v="6.0000000000000009"/>
  </r>
  <r>
    <s v="YIE-87008-621"/>
    <d v="2019-06-22T00:00:00"/>
    <s v="22"/>
    <x v="1"/>
    <x v="0"/>
    <x v="788"/>
    <x v="788"/>
    <s v="stitleynu@whitehouse.gov"/>
    <s v="+1 (701) 350-6149"/>
    <x v="97"/>
    <x v="0"/>
    <s v="No"/>
    <x v="3"/>
    <s v="L-M-0.5"/>
    <x v="0"/>
    <n v="1.1349"/>
    <n v="4"/>
    <n v="0.5"/>
    <n v="8.73"/>
    <x v="190"/>
    <n v="4.5396000000000001"/>
    <n v="13"/>
  </r>
  <r>
    <s v="HRM-94548-288"/>
    <d v="2019-09-08T00:00:00"/>
    <s v="08"/>
    <x v="0"/>
    <x v="0"/>
    <x v="789"/>
    <x v="789"/>
    <s v="rsimaonv@simplemachines.org"/>
    <s v="+1 (479) 898-5090"/>
    <x v="321"/>
    <x v="0"/>
    <s v="No"/>
    <x v="2"/>
    <s v="A-L-2.5"/>
    <x v="1"/>
    <n v="2.6806499999999995"/>
    <n v="6"/>
    <n v="2.5"/>
    <n v="29.784999999999997"/>
    <x v="39"/>
    <n v="16.083899999999996"/>
    <n v="8.9999999999999982"/>
  </r>
  <r>
    <s v="UJG-34731-295"/>
    <d v="2022-05-26T00:00:00"/>
    <s v="26"/>
    <x v="5"/>
    <x v="2"/>
    <x v="790"/>
    <x v="790"/>
    <n v="0"/>
    <s v="+1 (863) 977-9033"/>
    <x v="269"/>
    <x v="0"/>
    <s v="No"/>
    <x v="2"/>
    <s v="A-M-2.5"/>
    <x v="0"/>
    <n v="2.3287499999999994"/>
    <n v="1"/>
    <n v="2.5"/>
    <n v="25.874999999999996"/>
    <x v="145"/>
    <n v="2.3287499999999994"/>
    <n v="9"/>
  </r>
  <r>
    <s v="TWD-70988-853"/>
    <d v="2019-12-03T00:00:00"/>
    <s v="03"/>
    <x v="9"/>
    <x v="0"/>
    <x v="791"/>
    <x v="791"/>
    <s v="nchisholmnx@example.com"/>
    <s v="+1 (865) 228-1100"/>
    <x v="203"/>
    <x v="0"/>
    <s v="Yes"/>
    <x v="3"/>
    <s v="L-D-1"/>
    <x v="2"/>
    <n v="1.6835"/>
    <n v="6"/>
    <n v="1"/>
    <n v="12.95"/>
    <x v="17"/>
    <n v="10.100999999999999"/>
    <n v="13"/>
  </r>
  <r>
    <s v="CIX-22904-641"/>
    <d v="2019-09-17T00:00:00"/>
    <s v="17"/>
    <x v="0"/>
    <x v="0"/>
    <x v="792"/>
    <x v="792"/>
    <s v="goatsny@live.com"/>
    <s v="+1 (213) 813-1072"/>
    <x v="6"/>
    <x v="0"/>
    <s v="Yes"/>
    <x v="0"/>
    <s v="R-M-1"/>
    <x v="0"/>
    <n v="0.59699999999999998"/>
    <n v="1"/>
    <n v="1"/>
    <n v="9.9499999999999993"/>
    <x v="138"/>
    <n v="0.59699999999999998"/>
    <n v="6.0000000000000009"/>
  </r>
  <r>
    <s v="DLV-65840-759"/>
    <d v="2022-05-31T00:00:00"/>
    <s v="31"/>
    <x v="5"/>
    <x v="2"/>
    <x v="793"/>
    <x v="793"/>
    <s v="mbirkinnz@java.com"/>
    <s v="+1 (954) 431-7206"/>
    <x v="218"/>
    <x v="0"/>
    <s v="Yes"/>
    <x v="3"/>
    <s v="L-M-1"/>
    <x v="0"/>
    <n v="1.8915000000000002"/>
    <n v="2"/>
    <n v="1"/>
    <n v="14.55"/>
    <x v="194"/>
    <n v="3.7830000000000004"/>
    <n v="13"/>
  </r>
  <r>
    <s v="RXN-55491-201"/>
    <d v="2019-10-21T00:00:00"/>
    <s v="21"/>
    <x v="7"/>
    <x v="0"/>
    <x v="794"/>
    <x v="794"/>
    <s v="rpysono0@constantcontact.com"/>
    <s v="+353 (836) 436-1472"/>
    <x v="328"/>
    <x v="1"/>
    <s v="No"/>
    <x v="0"/>
    <s v="R-L-0.2"/>
    <x v="1"/>
    <n v="0.21509999999999996"/>
    <n v="6"/>
    <n v="0.2"/>
    <n v="3.5849999999999995"/>
    <x v="137"/>
    <n v="1.2905999999999997"/>
    <n v="5.9999999999999991"/>
  </r>
  <r>
    <s v="UHK-63283-868"/>
    <d v="2022-04-24T00:00:00"/>
    <s v="24"/>
    <x v="8"/>
    <x v="2"/>
    <x v="795"/>
    <x v="795"/>
    <s v="mmacconnechieo9@reuters.com"/>
    <s v="+1 (304) 620-6008"/>
    <x v="27"/>
    <x v="0"/>
    <s v="Yes"/>
    <x v="2"/>
    <s v="A-M-0.5"/>
    <x v="0"/>
    <n v="0.60749999999999993"/>
    <n v="1"/>
    <n v="0.5"/>
    <n v="6.75"/>
    <x v="52"/>
    <n v="0.60749999999999993"/>
    <n v="8.9999999999999982"/>
  </r>
  <r>
    <s v="PJC-31401-893"/>
    <d v="2021-01-13T00:00:00"/>
    <s v="13"/>
    <x v="4"/>
    <x v="1"/>
    <x v="796"/>
    <x v="796"/>
    <s v="rtreachero2@usa.gov"/>
    <s v="+353 (552) 867-2244"/>
    <x v="353"/>
    <x v="1"/>
    <s v="No"/>
    <x v="2"/>
    <s v="A-D-0.5"/>
    <x v="2"/>
    <n v="0.5373"/>
    <n v="3"/>
    <n v="0.5"/>
    <n v="5.97"/>
    <x v="8"/>
    <n v="1.6118999999999999"/>
    <n v="9"/>
  </r>
  <r>
    <s v="HHO-79903-185"/>
    <d v="2022-08-19T00:00:00"/>
    <s v="19"/>
    <x v="3"/>
    <x v="2"/>
    <x v="797"/>
    <x v="797"/>
    <s v="bfattorinio3@quantcast.com"/>
    <n v="0"/>
    <x v="354"/>
    <x v="1"/>
    <s v="Yes"/>
    <x v="2"/>
    <s v="A-L-2.5"/>
    <x v="1"/>
    <n v="2.6806499999999995"/>
    <n v="1"/>
    <n v="2.5"/>
    <n v="29.784999999999997"/>
    <x v="91"/>
    <n v="2.6806499999999995"/>
    <n v="9"/>
  </r>
  <r>
    <s v="YWM-07310-594"/>
    <d v="2019-03-02T00:00:00"/>
    <s v="02"/>
    <x v="6"/>
    <x v="0"/>
    <x v="798"/>
    <x v="798"/>
    <s v="mpalleskeo4@nyu.edu"/>
    <s v="+1 (561) 371-1596"/>
    <x v="171"/>
    <x v="0"/>
    <s v="Yes"/>
    <x v="1"/>
    <s v="E-M-0.5"/>
    <x v="0"/>
    <n v="0.90749999999999997"/>
    <n v="5"/>
    <n v="0.5"/>
    <n v="8.25"/>
    <x v="1"/>
    <n v="4.5374999999999996"/>
    <n v="10.999999999999998"/>
  </r>
  <r>
    <s v="FHD-94983-982"/>
    <d v="2020-01-21T00:00:00"/>
    <s v="21"/>
    <x v="4"/>
    <x v="3"/>
    <x v="799"/>
    <x v="799"/>
    <n v="0"/>
    <s v="+1 (916) 300-4433"/>
    <x v="155"/>
    <x v="0"/>
    <s v="Yes"/>
    <x v="0"/>
    <s v="R-M-0.5"/>
    <x v="0"/>
    <n v="0.35819999999999996"/>
    <n v="3"/>
    <n v="0.5"/>
    <n v="5.97"/>
    <x v="8"/>
    <n v="1.0745999999999998"/>
    <n v="5.9999999999999982"/>
  </r>
  <r>
    <s v="WQK-10857-119"/>
    <d v="2021-09-21T00:00:00"/>
    <s v="21"/>
    <x v="0"/>
    <x v="1"/>
    <x v="800"/>
    <x v="800"/>
    <s v="fantcliffeo6@amazon.co.jp"/>
    <s v="+353 (581) 217-6697"/>
    <x v="22"/>
    <x v="1"/>
    <s v="Yes"/>
    <x v="1"/>
    <s v="E-D-0.5"/>
    <x v="2"/>
    <n v="0.80190000000000006"/>
    <n v="1"/>
    <n v="0.5"/>
    <n v="7.29"/>
    <x v="35"/>
    <n v="0.80190000000000006"/>
    <n v="11"/>
  </r>
  <r>
    <s v="DXA-50313-073"/>
    <d v="2019-08-30T00:00:00"/>
    <s v="30"/>
    <x v="3"/>
    <x v="0"/>
    <x v="801"/>
    <x v="801"/>
    <s v="pmatignono7@harvard.edu"/>
    <s v="+44 (792) 626-3977"/>
    <x v="355"/>
    <x v="2"/>
    <s v="Yes"/>
    <x v="1"/>
    <s v="E-L-1"/>
    <x v="1"/>
    <n v="1.6335"/>
    <n v="2"/>
    <n v="1"/>
    <n v="14.85"/>
    <x v="195"/>
    <n v="3.2669999999999999"/>
    <n v="11"/>
  </r>
  <r>
    <s v="ONW-00560-570"/>
    <d v="2019-02-25T00:00:00"/>
    <s v="25"/>
    <x v="10"/>
    <x v="0"/>
    <x v="802"/>
    <x v="802"/>
    <s v="cweondo8@theglobeandmail.com"/>
    <s v="+1 (828) 335-1268"/>
    <x v="228"/>
    <x v="0"/>
    <s v="No"/>
    <x v="2"/>
    <s v="A-M-1"/>
    <x v="0"/>
    <n v="1.0125"/>
    <n v="2"/>
    <n v="1"/>
    <n v="11.25"/>
    <x v="122"/>
    <n v="2.0249999999999999"/>
    <n v="9"/>
  </r>
  <r>
    <s v="BRJ-19414-277"/>
    <d v="2019-09-17T00:00:00"/>
    <s v="17"/>
    <x v="0"/>
    <x v="0"/>
    <x v="795"/>
    <x v="795"/>
    <s v="mmacconnechieo9@reuters.com"/>
    <s v="+1 (304) 620-6008"/>
    <x v="27"/>
    <x v="0"/>
    <s v="Yes"/>
    <x v="0"/>
    <s v="R-M-0.2"/>
    <x v="0"/>
    <n v="0.17909999999999998"/>
    <n v="4"/>
    <n v="0.2"/>
    <n v="2.9849999999999999"/>
    <x v="22"/>
    <n v="0.71639999999999993"/>
    <n v="6"/>
  </r>
  <r>
    <s v="MIQ-16322-908"/>
    <d v="2019-08-03T00:00:00"/>
    <s v="03"/>
    <x v="3"/>
    <x v="0"/>
    <x v="803"/>
    <x v="803"/>
    <s v="jskentelberyoa@paypal.com"/>
    <s v="+1 (713) 976-5419"/>
    <x v="13"/>
    <x v="0"/>
    <s v="No"/>
    <x v="2"/>
    <s v="A-L-1"/>
    <x v="1"/>
    <n v="1.1655"/>
    <n v="2"/>
    <n v="1"/>
    <n v="12.95"/>
    <x v="109"/>
    <n v="2.331"/>
    <n v="9"/>
  </r>
  <r>
    <s v="MVO-39328-830"/>
    <d v="2021-02-26T00:00:00"/>
    <s v="26"/>
    <x v="10"/>
    <x v="1"/>
    <x v="804"/>
    <x v="804"/>
    <s v="ocomberob@goo.gl"/>
    <s v="+353 (947) 836-2302"/>
    <x v="82"/>
    <x v="1"/>
    <s v="No"/>
    <x v="3"/>
    <s v="L-M-0.5"/>
    <x v="0"/>
    <n v="1.1349"/>
    <n v="5"/>
    <n v="0.5"/>
    <n v="8.73"/>
    <x v="34"/>
    <n v="5.6745000000000001"/>
    <n v="12.999999999999998"/>
  </r>
  <r>
    <s v="MVO-39328-830"/>
    <d v="2021-02-26T00:00:00"/>
    <s v="26"/>
    <x v="10"/>
    <x v="1"/>
    <x v="804"/>
    <x v="804"/>
    <s v="ocomberob@goo.gl"/>
    <s v="+353 (947) 836-2302"/>
    <x v="82"/>
    <x v="1"/>
    <s v="No"/>
    <x v="2"/>
    <s v="A-L-0.5"/>
    <x v="1"/>
    <n v="0.69929999999999992"/>
    <n v="6"/>
    <n v="0.5"/>
    <n v="7.77"/>
    <x v="162"/>
    <n v="4.1957999999999993"/>
    <n v="9"/>
  </r>
  <r>
    <s v="NTJ-88319-746"/>
    <d v="2021-08-03T00:00:00"/>
    <s v="03"/>
    <x v="3"/>
    <x v="1"/>
    <x v="805"/>
    <x v="805"/>
    <s v="ztramelod@netlog.com"/>
    <s v="+1 (862) 925-5943"/>
    <x v="55"/>
    <x v="0"/>
    <s v="No"/>
    <x v="3"/>
    <s v="L-L-0.5"/>
    <x v="1"/>
    <n v="1.2363"/>
    <n v="3"/>
    <n v="0.5"/>
    <n v="9.51"/>
    <x v="32"/>
    <n v="3.7088999999999999"/>
    <n v="12.999999999999998"/>
  </r>
  <r>
    <s v="LCY-24377-948"/>
    <d v="2021-05-07T00:00:00"/>
    <s v="07"/>
    <x v="5"/>
    <x v="1"/>
    <x v="806"/>
    <x v="806"/>
    <n v="0"/>
    <s v="+1 (206) 705-3979"/>
    <x v="208"/>
    <x v="0"/>
    <s v="Yes"/>
    <x v="0"/>
    <s v="R-L-2.5"/>
    <x v="1"/>
    <n v="1.6490999999999998"/>
    <n v="1"/>
    <n v="2.5"/>
    <n v="27.484999999999996"/>
    <x v="142"/>
    <n v="1.6490999999999998"/>
    <n v="6.0000000000000009"/>
  </r>
  <r>
    <s v="FWD-85967-769"/>
    <d v="2019-06-14T00:00:00"/>
    <s v="14"/>
    <x v="1"/>
    <x v="0"/>
    <x v="807"/>
    <x v="807"/>
    <n v="0"/>
    <s v="+1 (303) 606-9146"/>
    <x v="19"/>
    <x v="0"/>
    <s v="No"/>
    <x v="1"/>
    <s v="E-D-0.2"/>
    <x v="2"/>
    <n v="0.40095000000000003"/>
    <n v="3"/>
    <n v="0.2"/>
    <n v="3.645"/>
    <x v="47"/>
    <n v="1.2028500000000002"/>
    <n v="11.000000000000002"/>
  </r>
  <r>
    <s v="KTO-53793-109"/>
    <d v="2019-11-21T00:00:00"/>
    <s v="21"/>
    <x v="11"/>
    <x v="0"/>
    <x v="808"/>
    <x v="808"/>
    <s v="chatfullog@ebay.com"/>
    <s v="+1 (815) 382-1966"/>
    <x v="356"/>
    <x v="0"/>
    <s v="No"/>
    <x v="0"/>
    <s v="R-L-0.2"/>
    <x v="1"/>
    <n v="0.21509999999999996"/>
    <n v="2"/>
    <n v="0.2"/>
    <n v="3.5849999999999995"/>
    <x v="53"/>
    <n v="0.43019999999999992"/>
    <n v="6"/>
  </r>
  <r>
    <s v="OCK-89033-348"/>
    <d v="2021-03-31T00:00:00"/>
    <s v="31"/>
    <x v="6"/>
    <x v="1"/>
    <x v="809"/>
    <x v="809"/>
    <n v="0"/>
    <s v="+1 (406) 972-9050"/>
    <x v="332"/>
    <x v="0"/>
    <s v="Yes"/>
    <x v="2"/>
    <s v="A-L-0.2"/>
    <x v="1"/>
    <n v="0.34964999999999996"/>
    <n v="6"/>
    <n v="0.2"/>
    <n v="3.8849999999999998"/>
    <x v="102"/>
    <n v="2.0978999999999997"/>
    <n v="9"/>
  </r>
  <r>
    <s v="GPZ-36017-366"/>
    <d v="2019-07-01T00:00:00"/>
    <s v="01"/>
    <x v="2"/>
    <x v="0"/>
    <x v="810"/>
    <x v="810"/>
    <s v="kmarrisonoq@dropbox.com"/>
    <s v="+1 (303) 808-6803"/>
    <x v="29"/>
    <x v="0"/>
    <s v="Yes"/>
    <x v="2"/>
    <s v="A-D-2.5"/>
    <x v="2"/>
    <n v="2.0596499999999995"/>
    <n v="5"/>
    <n v="2.5"/>
    <n v="22.884999999999998"/>
    <x v="15"/>
    <n v="10.298249999999998"/>
    <n v="9"/>
  </r>
  <r>
    <s v="BZP-33213-637"/>
    <d v="2020-05-05T00:00:00"/>
    <s v="05"/>
    <x v="5"/>
    <x v="3"/>
    <x v="811"/>
    <x v="811"/>
    <s v="lagnolooj@pinterest.com"/>
    <s v="+1 (918) 228-6949"/>
    <x v="134"/>
    <x v="0"/>
    <s v="Yes"/>
    <x v="2"/>
    <s v="A-M-2.5"/>
    <x v="0"/>
    <n v="2.3287499999999994"/>
    <n v="3"/>
    <n v="2.5"/>
    <n v="25.874999999999996"/>
    <x v="57"/>
    <n v="6.9862499999999983"/>
    <n v="9"/>
  </r>
  <r>
    <s v="WFH-21507-708"/>
    <d v="2020-04-20T00:00:00"/>
    <s v="20"/>
    <x v="8"/>
    <x v="3"/>
    <x v="812"/>
    <x v="812"/>
    <s v="dkiddyok@fda.gov"/>
    <s v="+1 (209) 103-3933"/>
    <x v="74"/>
    <x v="0"/>
    <s v="Yes"/>
    <x v="0"/>
    <s v="R-D-0.5"/>
    <x v="2"/>
    <n v="0.32219999999999993"/>
    <n v="1"/>
    <n v="0.5"/>
    <n v="5.3699999999999992"/>
    <x v="147"/>
    <n v="0.32219999999999993"/>
    <n v="6"/>
  </r>
  <r>
    <s v="HST-96923-073"/>
    <d v="2019-07-18T00:00:00"/>
    <s v="18"/>
    <x v="2"/>
    <x v="0"/>
    <x v="813"/>
    <x v="813"/>
    <s v="hpetroulisol@state.tx.us"/>
    <s v="+353 (783) 893-0842"/>
    <x v="357"/>
    <x v="1"/>
    <s v="No"/>
    <x v="0"/>
    <s v="R-D-2.5"/>
    <x v="2"/>
    <n v="1.2350999999999999"/>
    <n v="6"/>
    <n v="2.5"/>
    <n v="20.584999999999997"/>
    <x v="99"/>
    <n v="7.4105999999999987"/>
    <n v="5.9999999999999991"/>
  </r>
  <r>
    <s v="ENN-79947-323"/>
    <d v="2021-11-18T00:00:00"/>
    <s v="18"/>
    <x v="11"/>
    <x v="1"/>
    <x v="814"/>
    <x v="814"/>
    <s v="mschollom@taobao.com"/>
    <s v="+1 (415) 613-5939"/>
    <x v="204"/>
    <x v="0"/>
    <s v="No"/>
    <x v="3"/>
    <s v="L-M-0.5"/>
    <x v="0"/>
    <n v="1.1349"/>
    <n v="2"/>
    <n v="0.5"/>
    <n v="8.73"/>
    <x v="92"/>
    <n v="2.2698"/>
    <n v="13"/>
  </r>
  <r>
    <s v="BHA-47429-889"/>
    <d v="2020-06-20T00:00:00"/>
    <s v="20"/>
    <x v="1"/>
    <x v="3"/>
    <x v="815"/>
    <x v="815"/>
    <s v="kfersonon@g.co"/>
    <s v="+1 (251) 291-1195"/>
    <x v="351"/>
    <x v="0"/>
    <s v="No"/>
    <x v="1"/>
    <s v="E-L-0.2"/>
    <x v="1"/>
    <n v="0.49004999999999999"/>
    <n v="3"/>
    <n v="0.2"/>
    <n v="4.4550000000000001"/>
    <x v="77"/>
    <n v="1.4701499999999998"/>
    <n v="10.999999999999998"/>
  </r>
  <r>
    <s v="SZY-63017-318"/>
    <d v="2021-04-06T00:00:00"/>
    <s v="06"/>
    <x v="8"/>
    <x v="1"/>
    <x v="816"/>
    <x v="816"/>
    <s v="bkellowayoo@omniture.com"/>
    <s v="+1 (415) 757-3377"/>
    <x v="204"/>
    <x v="0"/>
    <s v="Yes"/>
    <x v="2"/>
    <s v="A-L-0.2"/>
    <x v="1"/>
    <n v="0.34964999999999996"/>
    <n v="2"/>
    <n v="0.2"/>
    <n v="3.8849999999999998"/>
    <x v="41"/>
    <n v="0.69929999999999992"/>
    <n v="9"/>
  </r>
  <r>
    <s v="LCU-93317-340"/>
    <d v="2019-06-17T00:00:00"/>
    <s v="17"/>
    <x v="1"/>
    <x v="0"/>
    <x v="817"/>
    <x v="817"/>
    <s v="soliffeop@yellowbook.com"/>
    <s v="+1 (212) 198-9134"/>
    <x v="168"/>
    <x v="0"/>
    <s v="Yes"/>
    <x v="0"/>
    <s v="R-D-0.2"/>
    <x v="2"/>
    <n v="0.16109999999999997"/>
    <n v="1"/>
    <n v="0.2"/>
    <n v="2.6849999999999996"/>
    <x v="97"/>
    <n v="0.16109999999999997"/>
    <n v="6"/>
  </r>
  <r>
    <s v="UOM-71431-481"/>
    <d v="2022-03-26T00:00:00"/>
    <s v="26"/>
    <x v="6"/>
    <x v="2"/>
    <x v="810"/>
    <x v="810"/>
    <s v="kmarrisonoq@dropbox.com"/>
    <s v="+1 (303) 808-6803"/>
    <x v="29"/>
    <x v="0"/>
    <s v="Yes"/>
    <x v="0"/>
    <s v="R-D-2.5"/>
    <x v="2"/>
    <n v="1.2350999999999999"/>
    <n v="1"/>
    <n v="2.5"/>
    <n v="20.584999999999997"/>
    <x v="123"/>
    <n v="1.2350999999999999"/>
    <n v="6.0000000000000009"/>
  </r>
  <r>
    <s v="PJH-42618-877"/>
    <d v="2021-09-30T00:00:00"/>
    <s v="30"/>
    <x v="0"/>
    <x v="1"/>
    <x v="818"/>
    <x v="818"/>
    <s v="cdolohuntyor@dailymail.co.uk"/>
    <s v="+1 (619) 353-0412"/>
    <x v="236"/>
    <x v="0"/>
    <s v="Yes"/>
    <x v="2"/>
    <s v="A-D-2.5"/>
    <x v="2"/>
    <n v="2.0596499999999995"/>
    <n v="5"/>
    <n v="2.5"/>
    <n v="22.884999999999998"/>
    <x v="15"/>
    <n v="10.298249999999998"/>
    <n v="9"/>
  </r>
  <r>
    <s v="XED-90333-402"/>
    <d v="2019-06-19T00:00:00"/>
    <s v="19"/>
    <x v="1"/>
    <x v="0"/>
    <x v="819"/>
    <x v="819"/>
    <s v="pvasilenkoos@addtoany.com"/>
    <s v="+44 (116) 714-6469"/>
    <x v="229"/>
    <x v="2"/>
    <s v="No"/>
    <x v="1"/>
    <s v="E-M-0.2"/>
    <x v="0"/>
    <n v="0.45374999999999999"/>
    <n v="5"/>
    <n v="0.2"/>
    <n v="4.125"/>
    <x v="132"/>
    <n v="2.2687499999999998"/>
    <n v="10.999999999999998"/>
  </r>
  <r>
    <s v="IKK-62234-199"/>
    <d v="2022-03-31T00:00:00"/>
    <s v="31"/>
    <x v="6"/>
    <x v="2"/>
    <x v="820"/>
    <x v="820"/>
    <s v="rschankelborgot@ameblo.jp"/>
    <n v="0"/>
    <x v="291"/>
    <x v="0"/>
    <s v="Yes"/>
    <x v="3"/>
    <s v="L-L-0.5"/>
    <x v="1"/>
    <n v="1.2363"/>
    <n v="6"/>
    <n v="0.5"/>
    <n v="9.51"/>
    <x v="30"/>
    <n v="7.4177999999999997"/>
    <n v="12.999999999999998"/>
  </r>
  <r>
    <s v="KAW-95195-329"/>
    <d v="2020-07-04T00:00:00"/>
    <s v="04"/>
    <x v="2"/>
    <x v="3"/>
    <x v="821"/>
    <x v="821"/>
    <n v="0"/>
    <s v="+353 (724) 224-5556"/>
    <x v="358"/>
    <x v="1"/>
    <s v="Yes"/>
    <x v="0"/>
    <s v="R-D-2.5"/>
    <x v="2"/>
    <n v="1.2350999999999999"/>
    <n v="4"/>
    <n v="2.5"/>
    <n v="20.584999999999997"/>
    <x v="18"/>
    <n v="4.9403999999999995"/>
    <n v="6.0000000000000009"/>
  </r>
  <r>
    <s v="QDO-57268-842"/>
    <d v="2021-11-21T00:00:00"/>
    <s v="21"/>
    <x v="11"/>
    <x v="1"/>
    <x v="822"/>
    <x v="822"/>
    <n v="0"/>
    <s v="+1 (718) 461-3002"/>
    <x v="15"/>
    <x v="0"/>
    <s v="No"/>
    <x v="1"/>
    <s v="E-M-2.5"/>
    <x v="0"/>
    <n v="3.4787499999999998"/>
    <n v="5"/>
    <n v="2.5"/>
    <n v="31.624999999999996"/>
    <x v="196"/>
    <n v="17.393749999999997"/>
    <n v="11"/>
  </r>
  <r>
    <s v="IIZ-24416-212"/>
    <d v="2021-05-31T00:00:00"/>
    <s v="31"/>
    <x v="5"/>
    <x v="1"/>
    <x v="823"/>
    <x v="823"/>
    <s v="bcargenow@geocities.jp"/>
    <s v="+1 (253) 509-6510"/>
    <x v="208"/>
    <x v="0"/>
    <s v="Yes"/>
    <x v="0"/>
    <s v="R-D-0.5"/>
    <x v="2"/>
    <n v="0.32219999999999993"/>
    <n v="6"/>
    <n v="0.5"/>
    <n v="5.3699999999999992"/>
    <x v="111"/>
    <n v="1.9331999999999996"/>
    <n v="5.9999999999999991"/>
  </r>
  <r>
    <s v="AWP-11469-510"/>
    <d v="2020-04-11T00:00:00"/>
    <s v="11"/>
    <x v="8"/>
    <x v="3"/>
    <x v="824"/>
    <x v="824"/>
    <s v="rsticklerox@printfriendly.com"/>
    <s v="+44 (830) 367-6129"/>
    <x v="38"/>
    <x v="2"/>
    <s v="No"/>
    <x v="1"/>
    <s v="E-D-1"/>
    <x v="2"/>
    <n v="1.3365"/>
    <n v="2"/>
    <n v="1"/>
    <n v="12.15"/>
    <x v="76"/>
    <n v="2.673"/>
    <n v="11"/>
  </r>
  <r>
    <s v="KXA-27983-918"/>
    <d v="2020-09-15T00:00:00"/>
    <s v="15"/>
    <x v="0"/>
    <x v="3"/>
    <x v="825"/>
    <x v="825"/>
    <n v="0"/>
    <s v="+1 (269) 398-0766"/>
    <x v="359"/>
    <x v="0"/>
    <s v="No"/>
    <x v="0"/>
    <s v="R-L-0.5"/>
    <x v="1"/>
    <n v="0.43019999999999992"/>
    <n v="5"/>
    <n v="0.5"/>
    <n v="7.169999999999999"/>
    <x v="66"/>
    <n v="2.1509999999999998"/>
    <n v="6.0000000000000009"/>
  </r>
  <r>
    <s v="VKQ-39009-292"/>
    <d v="2021-11-23T00:00:00"/>
    <s v="23"/>
    <x v="11"/>
    <x v="1"/>
    <x v="822"/>
    <x v="822"/>
    <n v="0"/>
    <s v="+1 (718) 461-3002"/>
    <x v="15"/>
    <x v="0"/>
    <s v="No"/>
    <x v="3"/>
    <s v="L-M-1"/>
    <x v="0"/>
    <n v="1.8915000000000002"/>
    <n v="5"/>
    <n v="1"/>
    <n v="14.55"/>
    <x v="45"/>
    <n v="9.4575000000000014"/>
    <n v="13.000000000000004"/>
  </r>
  <r>
    <s v="PDB-98743-282"/>
    <d v="2022-01-23T00:00:00"/>
    <s v="23"/>
    <x v="4"/>
    <x v="2"/>
    <x v="826"/>
    <x v="826"/>
    <n v="0"/>
    <s v="+353 (239) 716-2717"/>
    <x v="360"/>
    <x v="1"/>
    <s v="No"/>
    <x v="3"/>
    <s v="L-L-1"/>
    <x v="1"/>
    <n v="2.0605000000000002"/>
    <n v="3"/>
    <n v="1"/>
    <n v="15.85"/>
    <x v="46"/>
    <n v="6.1815000000000007"/>
    <n v="13.000000000000004"/>
  </r>
  <r>
    <s v="SXW-34014-556"/>
    <d v="2021-01-27T00:00:00"/>
    <s v="27"/>
    <x v="4"/>
    <x v="1"/>
    <x v="827"/>
    <x v="827"/>
    <s v="djevonp1@ibm.com"/>
    <s v="+1 (832) 733-7027"/>
    <x v="13"/>
    <x v="0"/>
    <s v="Yes"/>
    <x v="0"/>
    <s v="R-L-0.2"/>
    <x v="1"/>
    <n v="0.21509999999999996"/>
    <n v="1"/>
    <n v="0.2"/>
    <n v="3.5849999999999995"/>
    <x v="60"/>
    <n v="0.21509999999999996"/>
    <n v="6"/>
  </r>
  <r>
    <s v="QOJ-38788-727"/>
    <d v="2019-06-24T00:00:00"/>
    <s v="24"/>
    <x v="1"/>
    <x v="0"/>
    <x v="828"/>
    <x v="828"/>
    <s v="hrannerp2@omniture.com"/>
    <s v="+1 (513) 635-0251"/>
    <x v="159"/>
    <x v="0"/>
    <s v="No"/>
    <x v="1"/>
    <s v="E-M-2.5"/>
    <x v="0"/>
    <n v="3.4787499999999998"/>
    <n v="5"/>
    <n v="2.5"/>
    <n v="31.624999999999996"/>
    <x v="196"/>
    <n v="17.393749999999997"/>
    <n v="11"/>
  </r>
  <r>
    <s v="TGF-38649-658"/>
    <d v="2020-03-15T00:00:00"/>
    <s v="15"/>
    <x v="6"/>
    <x v="3"/>
    <x v="829"/>
    <x v="829"/>
    <s v="bimriep3@addtoany.com"/>
    <s v="+1 (559) 761-5288"/>
    <x v="74"/>
    <x v="0"/>
    <s v="No"/>
    <x v="3"/>
    <s v="L-M-0.5"/>
    <x v="0"/>
    <n v="1.1349"/>
    <n v="2"/>
    <n v="0.5"/>
    <n v="8.73"/>
    <x v="92"/>
    <n v="2.2698"/>
    <n v="13"/>
  </r>
  <r>
    <s v="EAI-25194-209"/>
    <d v="2021-09-24T00:00:00"/>
    <s v="24"/>
    <x v="0"/>
    <x v="1"/>
    <x v="830"/>
    <x v="830"/>
    <s v="dsopperp4@eventbrite.com"/>
    <s v="+1 (612) 870-1604"/>
    <x v="50"/>
    <x v="0"/>
    <s v="No"/>
    <x v="2"/>
    <s v="A-L-2.5"/>
    <x v="1"/>
    <n v="2.6806499999999995"/>
    <n v="5"/>
    <n v="2.5"/>
    <n v="29.784999999999997"/>
    <x v="74"/>
    <n v="13.403249999999998"/>
    <n v="9"/>
  </r>
  <r>
    <s v="IJK-34441-720"/>
    <d v="2019-04-05T00:00:00"/>
    <s v="05"/>
    <x v="8"/>
    <x v="0"/>
    <x v="831"/>
    <x v="831"/>
    <n v="0"/>
    <s v="+1 (915) 776-4578"/>
    <x v="87"/>
    <x v="0"/>
    <s v="Yes"/>
    <x v="2"/>
    <s v="A-M-0.5"/>
    <x v="0"/>
    <n v="0.60749999999999993"/>
    <n v="6"/>
    <n v="0.5"/>
    <n v="6.75"/>
    <x v="61"/>
    <n v="3.6449999999999996"/>
    <n v="8.9999999999999982"/>
  </r>
  <r>
    <s v="ZMC-00336-619"/>
    <d v="2022-01-27T00:00:00"/>
    <s v="27"/>
    <x v="4"/>
    <x v="2"/>
    <x v="832"/>
    <x v="832"/>
    <s v="lledgleyp6@de.vu"/>
    <s v="+1 (515) 261-2295"/>
    <x v="111"/>
    <x v="0"/>
    <s v="Yes"/>
    <x v="2"/>
    <s v="A-M-0.5"/>
    <x v="0"/>
    <n v="0.60749999999999993"/>
    <n v="4"/>
    <n v="0.5"/>
    <n v="6.75"/>
    <x v="25"/>
    <n v="2.4299999999999997"/>
    <n v="8.9999999999999982"/>
  </r>
  <r>
    <s v="UPX-54529-618"/>
    <d v="2021-09-10T00:00:00"/>
    <s v="10"/>
    <x v="0"/>
    <x v="1"/>
    <x v="833"/>
    <x v="833"/>
    <s v="tmenaryp7@phoca.cz"/>
    <s v="+1 (971) 467-6353"/>
    <x v="12"/>
    <x v="0"/>
    <s v="No"/>
    <x v="3"/>
    <s v="L-D-1"/>
    <x v="2"/>
    <n v="1.6835"/>
    <n v="3"/>
    <n v="1"/>
    <n v="12.95"/>
    <x v="5"/>
    <n v="5.0504999999999995"/>
    <n v="13"/>
  </r>
  <r>
    <s v="DLX-01059-899"/>
    <d v="2020-01-06T00:00:00"/>
    <s v="06"/>
    <x v="4"/>
    <x v="3"/>
    <x v="834"/>
    <x v="834"/>
    <s v="gciccottip8@so-net.ne.jp"/>
    <s v="+1 (832) 392-5010"/>
    <x v="13"/>
    <x v="0"/>
    <s v="No"/>
    <x v="0"/>
    <s v="R-L-1"/>
    <x v="1"/>
    <n v="0.71699999999999997"/>
    <n v="5"/>
    <n v="1"/>
    <n v="11.95"/>
    <x v="143"/>
    <n v="3.585"/>
    <n v="6"/>
  </r>
  <r>
    <s v="MEK-85120-243"/>
    <d v="2022-03-15T00:00:00"/>
    <s v="15"/>
    <x v="6"/>
    <x v="2"/>
    <x v="835"/>
    <x v="835"/>
    <n v="0"/>
    <s v="+1 (919) 456-9860"/>
    <x v="285"/>
    <x v="0"/>
    <s v="No"/>
    <x v="0"/>
    <s v="R-L-0.2"/>
    <x v="1"/>
    <n v="0.21509999999999996"/>
    <n v="3"/>
    <n v="0.2"/>
    <n v="3.5849999999999995"/>
    <x v="127"/>
    <n v="0.64529999999999987"/>
    <n v="5.9999999999999991"/>
  </r>
  <r>
    <s v="NFI-37188-246"/>
    <d v="2021-09-08T00:00:00"/>
    <s v="08"/>
    <x v="0"/>
    <x v="1"/>
    <x v="836"/>
    <x v="836"/>
    <s v="wjallinpa@pcworld.com"/>
    <s v="+1 (617) 201-1702"/>
    <x v="35"/>
    <x v="0"/>
    <s v="No"/>
    <x v="2"/>
    <s v="A-D-2.5"/>
    <x v="2"/>
    <n v="2.0596499999999995"/>
    <n v="4"/>
    <n v="2.5"/>
    <n v="22.884999999999998"/>
    <x v="21"/>
    <n v="8.2385999999999981"/>
    <n v="8.9999999999999982"/>
  </r>
  <r>
    <s v="BXH-62195-013"/>
    <d v="2021-11-11T00:00:00"/>
    <s v="11"/>
    <x v="11"/>
    <x v="1"/>
    <x v="837"/>
    <x v="837"/>
    <s v="mbogeypb@thetimes.co.uk"/>
    <s v="+1 (202) 479-4238"/>
    <x v="41"/>
    <x v="0"/>
    <s v="Yes"/>
    <x v="2"/>
    <s v="A-M-1"/>
    <x v="0"/>
    <n v="1.0125"/>
    <n v="4"/>
    <n v="1"/>
    <n v="11.25"/>
    <x v="157"/>
    <n v="4.05"/>
    <n v="9"/>
  </r>
  <r>
    <s v="YLK-78851-470"/>
    <d v="2019-09-18T00:00:00"/>
    <s v="18"/>
    <x v="0"/>
    <x v="0"/>
    <x v="838"/>
    <x v="838"/>
    <n v="0"/>
    <s v="+1 (518) 905-1184"/>
    <x v="140"/>
    <x v="0"/>
    <s v="Yes"/>
    <x v="0"/>
    <s v="R-M-2.5"/>
    <x v="0"/>
    <n v="1.3730999999999998"/>
    <n v="6"/>
    <n v="2.5"/>
    <n v="22.884999999999998"/>
    <x v="170"/>
    <n v="8.2385999999999981"/>
    <n v="5.9999999999999982"/>
  </r>
  <r>
    <s v="DXY-76225-633"/>
    <d v="2021-07-29T00:00:00"/>
    <s v="29"/>
    <x v="2"/>
    <x v="1"/>
    <x v="839"/>
    <x v="839"/>
    <s v="mcobbledickpd@ucsd.edu"/>
    <s v="+1 (520) 567-8210"/>
    <x v="31"/>
    <x v="0"/>
    <s v="No"/>
    <x v="2"/>
    <s v="A-M-0.5"/>
    <x v="0"/>
    <n v="0.60749999999999993"/>
    <n v="1"/>
    <n v="0.5"/>
    <n v="6.75"/>
    <x v="52"/>
    <n v="0.60749999999999993"/>
    <n v="8.9999999999999982"/>
  </r>
  <r>
    <s v="UHP-24614-199"/>
    <d v="2022-03-20T00:00:00"/>
    <s v="20"/>
    <x v="6"/>
    <x v="2"/>
    <x v="840"/>
    <x v="840"/>
    <s v="alewrype@whitehouse.gov"/>
    <s v="+1 (334) 368-9435"/>
    <x v="124"/>
    <x v="0"/>
    <s v="No"/>
    <x v="2"/>
    <s v="A-M-1"/>
    <x v="0"/>
    <n v="1.0125"/>
    <n v="4"/>
    <n v="1"/>
    <n v="11.25"/>
    <x v="157"/>
    <n v="4.05"/>
    <n v="9"/>
  </r>
  <r>
    <s v="HBY-35655-049"/>
    <d v="2020-05-04T00:00:00"/>
    <s v="04"/>
    <x v="5"/>
    <x v="3"/>
    <x v="841"/>
    <x v="841"/>
    <s v="ihesselpf@ox.ac.uk"/>
    <s v="+1 (907) 873-3538"/>
    <x v="361"/>
    <x v="0"/>
    <s v="Yes"/>
    <x v="1"/>
    <s v="E-D-2.5"/>
    <x v="2"/>
    <n v="3.07395"/>
    <n v="3"/>
    <n v="2.5"/>
    <n v="27.945"/>
    <x v="171"/>
    <n v="9.2218499999999999"/>
    <n v="10.999999999999998"/>
  </r>
  <r>
    <s v="DCE-22886-861"/>
    <d v="2021-04-05T00:00:00"/>
    <s v="05"/>
    <x v="8"/>
    <x v="1"/>
    <x v="842"/>
    <x v="842"/>
    <n v="0"/>
    <n v="0"/>
    <x v="244"/>
    <x v="1"/>
    <s v="Yes"/>
    <x v="1"/>
    <s v="E-D-0.2"/>
    <x v="2"/>
    <n v="0.40095000000000003"/>
    <n v="1"/>
    <n v="0.2"/>
    <n v="3.645"/>
    <x v="186"/>
    <n v="0.40095000000000003"/>
    <n v="11"/>
  </r>
  <r>
    <s v="QTG-93823-843"/>
    <d v="2022-01-12T00:00:00"/>
    <s v="12"/>
    <x v="4"/>
    <x v="2"/>
    <x v="843"/>
    <x v="843"/>
    <s v="csorrellph@amazon.com"/>
    <s v="+44 (160) 225-1993"/>
    <x v="184"/>
    <x v="2"/>
    <s v="No"/>
    <x v="2"/>
    <s v="A-M-0.5"/>
    <x v="0"/>
    <n v="0.60749999999999993"/>
    <n v="1"/>
    <n v="0.5"/>
    <n v="6.75"/>
    <x v="52"/>
    <n v="0.60749999999999993"/>
    <n v="8.9999999999999982"/>
  </r>
  <r>
    <s v="QTG-93823-843"/>
    <d v="2022-01-12T00:00:00"/>
    <s v="12"/>
    <x v="4"/>
    <x v="2"/>
    <x v="843"/>
    <x v="843"/>
    <s v="csorrellph@amazon.com"/>
    <s v="+44 (160) 225-1993"/>
    <x v="184"/>
    <x v="2"/>
    <s v="No"/>
    <x v="1"/>
    <s v="E-D-0.5"/>
    <x v="2"/>
    <n v="0.80190000000000006"/>
    <n v="3"/>
    <n v="0.5"/>
    <n v="7.29"/>
    <x v="6"/>
    <n v="2.4057000000000004"/>
    <n v="11.000000000000002"/>
  </r>
  <r>
    <s v="WFT-16178-396"/>
    <d v="2020-12-16T00:00:00"/>
    <s v="16"/>
    <x v="9"/>
    <x v="3"/>
    <x v="844"/>
    <x v="844"/>
    <s v="qheavysidepj@unc.edu"/>
    <s v="+1 (859) 572-4305"/>
    <x v="193"/>
    <x v="0"/>
    <s v="Yes"/>
    <x v="0"/>
    <s v="R-D-0.2"/>
    <x v="2"/>
    <n v="0.16109999999999997"/>
    <n v="5"/>
    <n v="0.2"/>
    <n v="2.6849999999999996"/>
    <x v="148"/>
    <n v="0.80549999999999988"/>
    <n v="6.0000000000000009"/>
  </r>
  <r>
    <s v="ERC-54560-934"/>
    <d v="2022-05-30T00:00:00"/>
    <s v="30"/>
    <x v="5"/>
    <x v="2"/>
    <x v="845"/>
    <x v="845"/>
    <s v="hreuvenpk@whitehouse.gov"/>
    <s v="+1 (616) 851-0525"/>
    <x v="16"/>
    <x v="0"/>
    <s v="No"/>
    <x v="0"/>
    <s v="R-D-2.5"/>
    <x v="2"/>
    <n v="1.2350999999999999"/>
    <n v="6"/>
    <n v="2.5"/>
    <n v="20.584999999999997"/>
    <x v="99"/>
    <n v="7.4105999999999987"/>
    <n v="5.9999999999999991"/>
  </r>
  <r>
    <s v="RUK-78200-416"/>
    <d v="2021-11-09T00:00:00"/>
    <s v="09"/>
    <x v="11"/>
    <x v="1"/>
    <x v="846"/>
    <x v="846"/>
    <s v="mattwoolpl@nba.com"/>
    <s v="+1 (515) 821-3701"/>
    <x v="111"/>
    <x v="0"/>
    <s v="No"/>
    <x v="3"/>
    <s v="L-D-0.2"/>
    <x v="2"/>
    <n v="0.50505"/>
    <n v="2"/>
    <n v="0.2"/>
    <n v="3.8849999999999998"/>
    <x v="41"/>
    <n v="1.0101"/>
    <n v="13"/>
  </r>
  <r>
    <s v="KHK-13105-388"/>
    <d v="2022-04-08T00:00:00"/>
    <s v="08"/>
    <x v="8"/>
    <x v="2"/>
    <x v="847"/>
    <x v="847"/>
    <n v="0"/>
    <n v="0"/>
    <x v="325"/>
    <x v="0"/>
    <s v="Yes"/>
    <x v="2"/>
    <s v="A-M-1"/>
    <x v="0"/>
    <n v="1.0125"/>
    <n v="6"/>
    <n v="1"/>
    <n v="11.25"/>
    <x v="173"/>
    <n v="6.0749999999999993"/>
    <n v="8.9999999999999982"/>
  </r>
  <r>
    <s v="NJR-03699-189"/>
    <d v="2019-10-08T00:00:00"/>
    <s v="08"/>
    <x v="7"/>
    <x v="0"/>
    <x v="848"/>
    <x v="848"/>
    <s v="gwynespn@dagondesign.com"/>
    <s v="+1 (512) 118-8603"/>
    <x v="79"/>
    <x v="0"/>
    <s v="No"/>
    <x v="1"/>
    <s v="E-D-2.5"/>
    <x v="2"/>
    <n v="3.07395"/>
    <n v="1"/>
    <n v="2.5"/>
    <n v="27.945"/>
    <x v="140"/>
    <n v="3.07395"/>
    <n v="11"/>
  </r>
  <r>
    <s v="PJV-20427-019"/>
    <d v="2021-09-12T00:00:00"/>
    <s v="12"/>
    <x v="0"/>
    <x v="1"/>
    <x v="849"/>
    <x v="849"/>
    <s v="cmaccourtpo@amazon.com"/>
    <n v="0"/>
    <x v="327"/>
    <x v="0"/>
    <s v="No"/>
    <x v="2"/>
    <s v="A-L-2.5"/>
    <x v="1"/>
    <n v="2.6806499999999995"/>
    <n v="3"/>
    <n v="2.5"/>
    <n v="29.784999999999997"/>
    <x v="49"/>
    <n v="8.0419499999999982"/>
    <n v="8.9999999999999982"/>
  </r>
  <r>
    <s v="UGK-07613-982"/>
    <d v="2022-07-28T00:00:00"/>
    <s v="28"/>
    <x v="2"/>
    <x v="2"/>
    <x v="822"/>
    <x v="822"/>
    <n v="0"/>
    <s v="+1 (718) 461-3002"/>
    <x v="15"/>
    <x v="0"/>
    <s v="No"/>
    <x v="2"/>
    <s v="A-M-0.5"/>
    <x v="0"/>
    <n v="0.60749999999999993"/>
    <n v="3"/>
    <n v="0.5"/>
    <n v="6.75"/>
    <x v="16"/>
    <n v="1.8224999999999998"/>
    <n v="8.9999999999999982"/>
  </r>
  <r>
    <s v="OLA-68289-577"/>
    <d v="2020-06-30T00:00:00"/>
    <s v="30"/>
    <x v="1"/>
    <x v="3"/>
    <x v="850"/>
    <x v="850"/>
    <s v="ewilsonepq@eepurl.com"/>
    <s v="+1 (202) 969-6382"/>
    <x v="41"/>
    <x v="0"/>
    <s v="Yes"/>
    <x v="2"/>
    <s v="A-M-0.5"/>
    <x v="0"/>
    <n v="0.60749999999999993"/>
    <n v="5"/>
    <n v="0.5"/>
    <n v="6.75"/>
    <x v="65"/>
    <n v="3.0374999999999996"/>
    <n v="8.9999999999999982"/>
  </r>
  <r>
    <s v="TNR-84447-052"/>
    <d v="2019-01-09T00:00:00"/>
    <s v="09"/>
    <x v="4"/>
    <x v="0"/>
    <x v="851"/>
    <x v="851"/>
    <s v="dduffiepr@time.com"/>
    <s v="+1 (971) 936-3214"/>
    <x v="12"/>
    <x v="0"/>
    <s v="No"/>
    <x v="1"/>
    <s v="E-D-2.5"/>
    <x v="2"/>
    <n v="3.07395"/>
    <n v="4"/>
    <n v="2.5"/>
    <n v="27.945"/>
    <x v="150"/>
    <n v="12.2958"/>
    <n v="11"/>
  </r>
  <r>
    <s v="FBZ-64200-586"/>
    <d v="2022-07-12T00:00:00"/>
    <s v="12"/>
    <x v="2"/>
    <x v="2"/>
    <x v="852"/>
    <x v="852"/>
    <s v="mmatiasekps@ucoz.ru"/>
    <n v="0"/>
    <x v="15"/>
    <x v="0"/>
    <s v="Yes"/>
    <x v="1"/>
    <s v="E-M-2.5"/>
    <x v="0"/>
    <n v="3.4787499999999998"/>
    <n v="2"/>
    <n v="2.5"/>
    <n v="31.624999999999996"/>
    <x v="40"/>
    <n v="6.9574999999999996"/>
    <n v="11"/>
  </r>
  <r>
    <s v="OBN-66334-505"/>
    <d v="2020-11-30T00:00:00"/>
    <s v="30"/>
    <x v="11"/>
    <x v="3"/>
    <x v="853"/>
    <x v="853"/>
    <s v="jcamillopt@shinystat.com"/>
    <s v="+1 (202) 572-0994"/>
    <x v="41"/>
    <x v="0"/>
    <s v="Yes"/>
    <x v="1"/>
    <s v="E-L-0.2"/>
    <x v="1"/>
    <n v="0.49004999999999999"/>
    <n v="2"/>
    <n v="0.2"/>
    <n v="4.4550000000000001"/>
    <x v="161"/>
    <n v="0.98009999999999997"/>
    <n v="11"/>
  </r>
  <r>
    <s v="NXM-89323-646"/>
    <d v="2019-03-22T00:00:00"/>
    <s v="22"/>
    <x v="6"/>
    <x v="0"/>
    <x v="854"/>
    <x v="854"/>
    <s v="kphilbrickpu@cdc.gov"/>
    <n v="0"/>
    <x v="41"/>
    <x v="0"/>
    <s v="Yes"/>
    <x v="1"/>
    <s v="E-D-1"/>
    <x v="2"/>
    <n v="1.3365"/>
    <n v="1"/>
    <n v="1"/>
    <n v="12.15"/>
    <x v="87"/>
    <n v="1.3365"/>
    <n v="11"/>
  </r>
  <r>
    <s v="NHI-23264-055"/>
    <d v="2022-02-15T00:00:00"/>
    <s v="15"/>
    <x v="10"/>
    <x v="2"/>
    <x v="855"/>
    <x v="855"/>
    <n v="0"/>
    <n v="0"/>
    <x v="311"/>
    <x v="0"/>
    <s v="Yes"/>
    <x v="2"/>
    <s v="A-D-0.5"/>
    <x v="2"/>
    <n v="0.5373"/>
    <n v="4"/>
    <n v="0.5"/>
    <n v="5.97"/>
    <x v="86"/>
    <n v="2.1492"/>
    <n v="9.0000000000000018"/>
  </r>
  <r>
    <s v="EQH-53569-934"/>
    <d v="2020-10-13T00:00:00"/>
    <s v="13"/>
    <x v="7"/>
    <x v="3"/>
    <x v="856"/>
    <x v="856"/>
    <s v="bsillispw@istockphoto.com"/>
    <s v="+1 (305) 267-4961"/>
    <x v="218"/>
    <x v="0"/>
    <s v="No"/>
    <x v="1"/>
    <s v="E-M-1"/>
    <x v="0"/>
    <n v="1.5125"/>
    <n v="4"/>
    <n v="1"/>
    <n v="13.75"/>
    <x v="193"/>
    <n v="6.05"/>
    <n v="11"/>
  </r>
  <r>
    <s v="XKK-06692-189"/>
    <d v="2021-12-27T00:00:00"/>
    <s v="27"/>
    <x v="9"/>
    <x v="1"/>
    <x v="857"/>
    <x v="857"/>
    <n v="0"/>
    <s v="+1 (405) 369-5173"/>
    <x v="101"/>
    <x v="0"/>
    <s v="Yes"/>
    <x v="0"/>
    <s v="R-D-1"/>
    <x v="2"/>
    <n v="0.53699999999999992"/>
    <n v="3"/>
    <n v="1"/>
    <n v="8.9499999999999993"/>
    <x v="166"/>
    <n v="1.6109999999999998"/>
    <n v="6"/>
  </r>
  <r>
    <s v="BYP-16005-016"/>
    <d v="2021-08-01T00:00:00"/>
    <s v="01"/>
    <x v="3"/>
    <x v="1"/>
    <x v="858"/>
    <x v="858"/>
    <s v="rcuttspy@techcrunch.com"/>
    <s v="+1 (815) 758-8653"/>
    <x v="356"/>
    <x v="0"/>
    <s v="No"/>
    <x v="0"/>
    <s v="R-M-2.5"/>
    <x v="0"/>
    <n v="1.3730999999999998"/>
    <n v="5"/>
    <n v="2.5"/>
    <n v="22.884999999999998"/>
    <x v="15"/>
    <n v="6.865499999999999"/>
    <n v="6"/>
  </r>
  <r>
    <s v="LWS-13938-905"/>
    <d v="2020-11-18T00:00:00"/>
    <s v="18"/>
    <x v="11"/>
    <x v="3"/>
    <x v="859"/>
    <x v="859"/>
    <s v="mdelvespz@nature.com"/>
    <s v="+1 (334) 881-9178"/>
    <x v="124"/>
    <x v="0"/>
    <s v="Yes"/>
    <x v="2"/>
    <s v="A-M-2.5"/>
    <x v="0"/>
    <n v="2.3287499999999994"/>
    <n v="6"/>
    <n v="2.5"/>
    <n v="25.874999999999996"/>
    <x v="71"/>
    <n v="13.972499999999997"/>
    <n v="9"/>
  </r>
  <r>
    <s v="OLH-95722-362"/>
    <d v="2021-10-24T00:00:00"/>
    <s v="24"/>
    <x v="7"/>
    <x v="1"/>
    <x v="860"/>
    <x v="860"/>
    <s v="dgrittonq0@nydailynews.com"/>
    <s v="+1 (626) 968-5148"/>
    <x v="148"/>
    <x v="0"/>
    <s v="Yes"/>
    <x v="3"/>
    <s v="L-D-0.5"/>
    <x v="2"/>
    <n v="1.0101"/>
    <n v="3"/>
    <n v="0.5"/>
    <n v="7.77"/>
    <x v="102"/>
    <n v="3.0303"/>
    <n v="13"/>
  </r>
  <r>
    <s v="OLH-95722-362"/>
    <d v="2021-10-24T00:00:00"/>
    <s v="24"/>
    <x v="7"/>
    <x v="1"/>
    <x v="860"/>
    <x v="860"/>
    <s v="dgrittonq0@nydailynews.com"/>
    <s v="+1 (626) 968-5148"/>
    <x v="148"/>
    <x v="0"/>
    <s v="Yes"/>
    <x v="0"/>
    <s v="R-M-2.5"/>
    <x v="0"/>
    <n v="1.3730999999999998"/>
    <n v="4"/>
    <n v="2.5"/>
    <n v="22.884999999999998"/>
    <x v="21"/>
    <n v="5.4923999999999991"/>
    <n v="6"/>
  </r>
  <r>
    <s v="KCW-50949-318"/>
    <d v="2019-12-30T00:00:00"/>
    <s v="30"/>
    <x v="9"/>
    <x v="0"/>
    <x v="861"/>
    <x v="861"/>
    <s v="dgutq2@umich.edu"/>
    <s v="+1 (281) 648-9915"/>
    <x v="13"/>
    <x v="0"/>
    <s v="Yes"/>
    <x v="1"/>
    <s v="E-L-1"/>
    <x v="1"/>
    <n v="1.6335"/>
    <n v="5"/>
    <n v="1"/>
    <n v="14.85"/>
    <x v="159"/>
    <n v="8.1675000000000004"/>
    <n v="11"/>
  </r>
  <r>
    <s v="JGZ-16947-591"/>
    <d v="2021-02-02T00:00:00"/>
    <s v="02"/>
    <x v="10"/>
    <x v="1"/>
    <x v="862"/>
    <x v="862"/>
    <s v="wpummeryq3@topsy.com"/>
    <s v="+1 (231) 416-9594"/>
    <x v="362"/>
    <x v="0"/>
    <s v="No"/>
    <x v="3"/>
    <s v="L-L-0.2"/>
    <x v="1"/>
    <n v="0.61814999999999998"/>
    <n v="6"/>
    <n v="0.2"/>
    <n v="4.7549999999999999"/>
    <x v="32"/>
    <n v="3.7088999999999999"/>
    <n v="12.999999999999998"/>
  </r>
  <r>
    <s v="LXS-63326-144"/>
    <d v="2021-05-16T00:00:00"/>
    <s v="16"/>
    <x v="5"/>
    <x v="1"/>
    <x v="863"/>
    <x v="863"/>
    <s v="gsiudaq4@nytimes.com"/>
    <s v="+1 (202) 315-8135"/>
    <x v="41"/>
    <x v="0"/>
    <s v="Yes"/>
    <x v="0"/>
    <s v="R-L-0.5"/>
    <x v="1"/>
    <n v="0.43019999999999992"/>
    <n v="2"/>
    <n v="0.5"/>
    <n v="7.169999999999999"/>
    <x v="79"/>
    <n v="0.86039999999999983"/>
    <n v="6"/>
  </r>
  <r>
    <s v="CZG-86544-655"/>
    <d v="2022-04-23T00:00:00"/>
    <s v="23"/>
    <x v="8"/>
    <x v="2"/>
    <x v="864"/>
    <x v="864"/>
    <s v="hcrowneq5@wufoo.com"/>
    <s v="+353 (476) 525-5512"/>
    <x v="363"/>
    <x v="1"/>
    <s v="Yes"/>
    <x v="2"/>
    <s v="A-L-0.5"/>
    <x v="1"/>
    <n v="0.69929999999999992"/>
    <n v="2"/>
    <n v="0.5"/>
    <n v="7.77"/>
    <x v="42"/>
    <n v="1.3985999999999998"/>
    <n v="9"/>
  </r>
  <r>
    <s v="WFV-88138-247"/>
    <d v="2021-09-25T00:00:00"/>
    <s v="25"/>
    <x v="0"/>
    <x v="1"/>
    <x v="865"/>
    <x v="865"/>
    <s v="vpawseyq6@tiny.cc"/>
    <s v="+1 (478) 568-4944"/>
    <x v="126"/>
    <x v="0"/>
    <s v="No"/>
    <x v="0"/>
    <s v="R-L-1"/>
    <x v="1"/>
    <n v="0.71699999999999997"/>
    <n v="3"/>
    <n v="1"/>
    <n v="11.95"/>
    <x v="66"/>
    <n v="2.1509999999999998"/>
    <n v="6.0000000000000009"/>
  </r>
  <r>
    <s v="RFG-28227-288"/>
    <d v="2022-06-07T00:00:00"/>
    <s v="07"/>
    <x v="1"/>
    <x v="2"/>
    <x v="866"/>
    <x v="866"/>
    <s v="awaterhouseq7@istockphoto.com"/>
    <s v="+1 (318) 129-0806"/>
    <x v="212"/>
    <x v="0"/>
    <s v="No"/>
    <x v="2"/>
    <s v="A-L-0.5"/>
    <x v="1"/>
    <n v="0.69929999999999992"/>
    <n v="6"/>
    <n v="0.5"/>
    <n v="7.77"/>
    <x v="162"/>
    <n v="4.1957999999999993"/>
    <n v="9"/>
  </r>
  <r>
    <s v="QAK-77286-758"/>
    <d v="2020-08-11T00:00:00"/>
    <s v="11"/>
    <x v="3"/>
    <x v="3"/>
    <x v="867"/>
    <x v="867"/>
    <s v="fhaughianq8@1688.com"/>
    <s v="+1 (253) 974-5538"/>
    <x v="174"/>
    <x v="0"/>
    <s v="No"/>
    <x v="0"/>
    <s v="R-L-0.5"/>
    <x v="1"/>
    <n v="0.43019999999999992"/>
    <n v="5"/>
    <n v="0.5"/>
    <n v="7.169999999999999"/>
    <x v="66"/>
    <n v="2.1509999999999998"/>
    <n v="6.0000000000000009"/>
  </r>
  <r>
    <s v="CZD-56716-840"/>
    <d v="2019-02-28T00:00:00"/>
    <s v="28"/>
    <x v="10"/>
    <x v="0"/>
    <x v="868"/>
    <x v="868"/>
    <n v="0"/>
    <s v="+1 (915) 920-9318"/>
    <x v="87"/>
    <x v="0"/>
    <s v="No"/>
    <x v="3"/>
    <s v="L-D-2.5"/>
    <x v="2"/>
    <n v="3.8720499999999998"/>
    <n v="4"/>
    <n v="2.5"/>
    <n v="29.784999999999997"/>
    <x v="129"/>
    <n v="15.488199999999999"/>
    <n v="13"/>
  </r>
  <r>
    <s v="UBI-59229-277"/>
    <d v="2019-09-11T00:00:00"/>
    <s v="11"/>
    <x v="0"/>
    <x v="0"/>
    <x v="869"/>
    <x v="869"/>
    <n v="0"/>
    <s v="+1 (205) 866-7629"/>
    <x v="38"/>
    <x v="0"/>
    <s v="No"/>
    <x v="3"/>
    <s v="L-D-0.5"/>
    <x v="2"/>
    <n v="1.0101"/>
    <n v="3"/>
    <n v="0.5"/>
    <n v="7.77"/>
    <x v="102"/>
    <n v="3.0303"/>
    <n v="13"/>
  </r>
  <r>
    <s v="WJJ-37489-898"/>
    <d v="2021-04-08T00:00:00"/>
    <s v="08"/>
    <x v="8"/>
    <x v="1"/>
    <x v="870"/>
    <x v="870"/>
    <s v="rfaltinqb@topsy.com"/>
    <n v="0"/>
    <x v="105"/>
    <x v="1"/>
    <s v="No"/>
    <x v="2"/>
    <s v="A-M-1"/>
    <x v="0"/>
    <n v="1.0125"/>
    <n v="1"/>
    <n v="1"/>
    <n v="11.25"/>
    <x v="23"/>
    <n v="1.0125"/>
    <n v="9"/>
  </r>
  <r>
    <s v="ORX-57454-917"/>
    <d v="2021-09-06T00:00:00"/>
    <s v="06"/>
    <x v="0"/>
    <x v="1"/>
    <x v="871"/>
    <x v="871"/>
    <s v="gcheekeqc@sitemeter.com"/>
    <s v="+44 (677) 694-1404"/>
    <x v="282"/>
    <x v="2"/>
    <s v="Yes"/>
    <x v="1"/>
    <s v="E-D-2.5"/>
    <x v="2"/>
    <n v="3.07395"/>
    <n v="3"/>
    <n v="2.5"/>
    <n v="27.945"/>
    <x v="171"/>
    <n v="9.2218499999999999"/>
    <n v="10.999999999999998"/>
  </r>
  <r>
    <s v="GRB-68838-629"/>
    <d v="2021-09-10T00:00:00"/>
    <s v="10"/>
    <x v="0"/>
    <x v="1"/>
    <x v="872"/>
    <x v="872"/>
    <s v="grattqd@phpbb.com"/>
    <s v="+353 (878) 618-9723"/>
    <x v="364"/>
    <x v="1"/>
    <s v="No"/>
    <x v="0"/>
    <s v="R-L-2.5"/>
    <x v="1"/>
    <n v="1.6490999999999998"/>
    <n v="4"/>
    <n v="2.5"/>
    <n v="27.484999999999996"/>
    <x v="108"/>
    <n v="6.5963999999999992"/>
    <n v="6.0000000000000009"/>
  </r>
  <r>
    <s v="SHT-04865-419"/>
    <d v="2022-05-22T00:00:00"/>
    <s v="22"/>
    <x v="5"/>
    <x v="2"/>
    <x v="873"/>
    <x v="873"/>
    <n v="0"/>
    <s v="+1 (302) 159-1841"/>
    <x v="325"/>
    <x v="0"/>
    <s v="Yes"/>
    <x v="0"/>
    <s v="R-L-0.2"/>
    <x v="1"/>
    <n v="0.21509999999999996"/>
    <n v="4"/>
    <n v="0.2"/>
    <n v="3.5849999999999995"/>
    <x v="79"/>
    <n v="0.86039999999999983"/>
    <n v="6"/>
  </r>
  <r>
    <s v="UQI-28177-865"/>
    <d v="2020-09-18T00:00:00"/>
    <s v="18"/>
    <x v="0"/>
    <x v="3"/>
    <x v="874"/>
    <x v="874"/>
    <s v="ieberleinqf@hc360.com"/>
    <s v="+1 (717) 323-3451"/>
    <x v="225"/>
    <x v="0"/>
    <s v="No"/>
    <x v="0"/>
    <s v="R-L-0.2"/>
    <x v="1"/>
    <n v="0.21509999999999996"/>
    <n v="6"/>
    <n v="0.2"/>
    <n v="3.5849999999999995"/>
    <x v="137"/>
    <n v="1.2905999999999997"/>
    <n v="5.9999999999999991"/>
  </r>
  <r>
    <s v="OIB-13664-879"/>
    <d v="2021-08-31T00:00:00"/>
    <s v="31"/>
    <x v="3"/>
    <x v="1"/>
    <x v="875"/>
    <x v="875"/>
    <s v="jdrengqg@uiuc.edu"/>
    <s v="+353 (350) 974-1489"/>
    <x v="363"/>
    <x v="1"/>
    <s v="Yes"/>
    <x v="2"/>
    <s v="A-M-1"/>
    <x v="0"/>
    <n v="1.0125"/>
    <n v="2"/>
    <n v="1"/>
    <n v="11.25"/>
    <x v="122"/>
    <n v="2.0249999999999999"/>
    <n v="9"/>
  </r>
  <r>
    <s v="PJS-30996-485"/>
    <d v="2022-01-21T00:00:00"/>
    <s v="21"/>
    <x v="4"/>
    <x v="2"/>
    <x v="857"/>
    <x v="857"/>
    <n v="0"/>
    <s v="+1 (405) 369-5173"/>
    <x v="101"/>
    <x v="0"/>
    <s v="Yes"/>
    <x v="2"/>
    <s v="A-L-0.2"/>
    <x v="1"/>
    <n v="0.34964999999999996"/>
    <n v="1"/>
    <n v="0.2"/>
    <n v="3.8849999999999998"/>
    <x v="84"/>
    <n v="0.34964999999999996"/>
    <n v="9"/>
  </r>
  <r>
    <s v="HEL-86709-449"/>
    <d v="2022-06-10T00:00:00"/>
    <s v="10"/>
    <x v="1"/>
    <x v="2"/>
    <x v="857"/>
    <x v="857"/>
    <n v="0"/>
    <s v="+1 (405) 369-5173"/>
    <x v="101"/>
    <x v="0"/>
    <s v="Yes"/>
    <x v="1"/>
    <s v="E-D-2.5"/>
    <x v="2"/>
    <n v="3.07395"/>
    <n v="1"/>
    <n v="2.5"/>
    <n v="27.945"/>
    <x v="140"/>
    <n v="3.07395"/>
    <n v="11"/>
  </r>
  <r>
    <s v="NCH-55389-562"/>
    <d v="2019-04-27T00:00:00"/>
    <s v="27"/>
    <x v="8"/>
    <x v="0"/>
    <x v="857"/>
    <x v="857"/>
    <n v="0"/>
    <s v="+1 (405) 369-5173"/>
    <x v="101"/>
    <x v="0"/>
    <s v="Yes"/>
    <x v="1"/>
    <s v="E-L-2.5"/>
    <x v="1"/>
    <n v="3.7570499999999996"/>
    <n v="5"/>
    <n v="2.5"/>
    <n v="34.154999999999994"/>
    <x v="11"/>
    <n v="18.785249999999998"/>
    <n v="11"/>
  </r>
  <r>
    <s v="NCH-55389-562"/>
    <d v="2019-04-27T00:00:00"/>
    <s v="27"/>
    <x v="8"/>
    <x v="0"/>
    <x v="857"/>
    <x v="857"/>
    <n v="0"/>
    <s v="+1 (405) 369-5173"/>
    <x v="101"/>
    <x v="0"/>
    <s v="Yes"/>
    <x v="0"/>
    <s v="R-L-2.5"/>
    <x v="1"/>
    <n v="1.6490999999999998"/>
    <n v="2"/>
    <n v="2.5"/>
    <n v="27.484999999999996"/>
    <x v="4"/>
    <n v="3.2981999999999996"/>
    <n v="6.0000000000000009"/>
  </r>
  <r>
    <s v="NCH-55389-562"/>
    <d v="2019-04-27T00:00:00"/>
    <s v="27"/>
    <x v="8"/>
    <x v="0"/>
    <x v="857"/>
    <x v="857"/>
    <n v="0"/>
    <s v="+1 (405) 369-5173"/>
    <x v="101"/>
    <x v="0"/>
    <s v="Yes"/>
    <x v="1"/>
    <s v="E-L-1"/>
    <x v="1"/>
    <n v="1.6335"/>
    <n v="1"/>
    <n v="1"/>
    <n v="14.85"/>
    <x v="151"/>
    <n v="1.6335"/>
    <n v="11"/>
  </r>
  <r>
    <s v="NCH-55389-562"/>
    <d v="2019-04-27T00:00:00"/>
    <s v="27"/>
    <x v="8"/>
    <x v="0"/>
    <x v="857"/>
    <x v="857"/>
    <n v="0"/>
    <s v="+1 (405) 369-5173"/>
    <x v="101"/>
    <x v="0"/>
    <s v="Yes"/>
    <x v="2"/>
    <s v="A-L-0.2"/>
    <x v="1"/>
    <n v="0.34964999999999996"/>
    <n v="2"/>
    <n v="0.2"/>
    <n v="3.8849999999999998"/>
    <x v="41"/>
    <n v="0.69929999999999992"/>
    <n v="9"/>
  </r>
  <r>
    <s v="GUG-45603-775"/>
    <d v="2022-02-06T00:00:00"/>
    <s v="06"/>
    <x v="10"/>
    <x v="2"/>
    <x v="876"/>
    <x v="876"/>
    <s v="rstrathernqn@devhub.com"/>
    <n v="0"/>
    <x v="28"/>
    <x v="0"/>
    <s v="Yes"/>
    <x v="3"/>
    <s v="L-L-0.2"/>
    <x v="1"/>
    <n v="0.61814999999999998"/>
    <n v="5"/>
    <n v="0.2"/>
    <n v="4.7549999999999999"/>
    <x v="29"/>
    <n v="3.0907499999999999"/>
    <n v="13"/>
  </r>
  <r>
    <s v="KJB-98240-098"/>
    <d v="2022-01-30T00:00:00"/>
    <s v="30"/>
    <x v="4"/>
    <x v="2"/>
    <x v="877"/>
    <x v="877"/>
    <s v="cmiguelqo@exblog.jp"/>
    <s v="+1 (240) 449-8992"/>
    <x v="365"/>
    <x v="0"/>
    <s v="Yes"/>
    <x v="3"/>
    <s v="L-L-1"/>
    <x v="1"/>
    <n v="2.0605000000000002"/>
    <n v="5"/>
    <n v="1"/>
    <n v="15.85"/>
    <x v="180"/>
    <n v="10.302500000000002"/>
    <n v="13.000000000000004"/>
  </r>
  <r>
    <s v="JMS-48374-462"/>
    <d v="2020-11-23T00:00:00"/>
    <s v="23"/>
    <x v="11"/>
    <x v="3"/>
    <x v="878"/>
    <x v="878"/>
    <n v="0"/>
    <s v="+1 (518) 618-9919"/>
    <x v="140"/>
    <x v="0"/>
    <s v="Yes"/>
    <x v="2"/>
    <s v="A-D-2.5"/>
    <x v="2"/>
    <n v="2.0596499999999995"/>
    <n v="2"/>
    <n v="2.5"/>
    <n v="22.884999999999998"/>
    <x v="135"/>
    <n v="4.1192999999999991"/>
    <n v="8.9999999999999982"/>
  </r>
  <r>
    <s v="YIT-15877-117"/>
    <d v="2022-04-13T00:00:00"/>
    <s v="13"/>
    <x v="8"/>
    <x v="2"/>
    <x v="879"/>
    <x v="879"/>
    <s v="mrocksqq@exblog.jp"/>
    <s v="+353 (731) 124-0228"/>
    <x v="366"/>
    <x v="1"/>
    <s v="Yes"/>
    <x v="0"/>
    <s v="R-D-1"/>
    <x v="2"/>
    <n v="0.53699999999999992"/>
    <n v="1"/>
    <n v="1"/>
    <n v="8.9499999999999993"/>
    <x v="192"/>
    <n v="0.53699999999999992"/>
    <n v="6"/>
  </r>
  <r>
    <s v="YVK-82679-655"/>
    <d v="2021-01-07T00:00:00"/>
    <s v="07"/>
    <x v="4"/>
    <x v="1"/>
    <x v="880"/>
    <x v="880"/>
    <s v="yburrellsqr@vinaora.com"/>
    <s v="+1 (859) 101-4742"/>
    <x v="193"/>
    <x v="0"/>
    <s v="Yes"/>
    <x v="0"/>
    <s v="R-M-0.5"/>
    <x v="0"/>
    <n v="0.35819999999999996"/>
    <n v="4"/>
    <n v="0.5"/>
    <n v="5.97"/>
    <x v="86"/>
    <n v="1.4327999999999999"/>
    <n v="6"/>
  </r>
  <r>
    <s v="TYH-81940-054"/>
    <d v="2020-02-04T00:00:00"/>
    <s v="04"/>
    <x v="10"/>
    <x v="3"/>
    <x v="881"/>
    <x v="881"/>
    <s v="cgoodrumqs@goodreads.com"/>
    <s v="+1 (619) 944-5888"/>
    <x v="236"/>
    <x v="0"/>
    <s v="No"/>
    <x v="1"/>
    <s v="E-L-0.2"/>
    <x v="1"/>
    <n v="0.49004999999999999"/>
    <n v="5"/>
    <n v="0.2"/>
    <n v="4.4550000000000001"/>
    <x v="110"/>
    <n v="2.45025"/>
    <n v="11.000000000000002"/>
  </r>
  <r>
    <s v="HTY-30660-254"/>
    <d v="2019-09-16T00:00:00"/>
    <s v="16"/>
    <x v="0"/>
    <x v="0"/>
    <x v="882"/>
    <x v="882"/>
    <s v="jjefferysqt@blog.com"/>
    <n v="0"/>
    <x v="6"/>
    <x v="0"/>
    <s v="Yes"/>
    <x v="0"/>
    <s v="R-M-1"/>
    <x v="0"/>
    <n v="0.59699999999999998"/>
    <n v="3"/>
    <n v="1"/>
    <n v="9.9499999999999993"/>
    <x v="44"/>
    <n v="1.7909999999999999"/>
    <n v="6.0000000000000009"/>
  </r>
  <r>
    <s v="GPW-43956-761"/>
    <d v="2019-01-26T00:00:00"/>
    <s v="26"/>
    <x v="4"/>
    <x v="0"/>
    <x v="883"/>
    <x v="883"/>
    <s v="bwardellqu@adobe.com"/>
    <s v="+1 (347) 311-2289"/>
    <x v="130"/>
    <x v="0"/>
    <s v="Yes"/>
    <x v="1"/>
    <s v="E-L-0.5"/>
    <x v="1"/>
    <n v="0.98009999999999997"/>
    <n v="6"/>
    <n v="0.5"/>
    <n v="8.91"/>
    <x v="119"/>
    <n v="5.8805999999999994"/>
    <n v="10.999999999999998"/>
  </r>
  <r>
    <s v="DWY-56352-412"/>
    <d v="2021-02-19T00:00:00"/>
    <s v="19"/>
    <x v="10"/>
    <x v="1"/>
    <x v="884"/>
    <x v="884"/>
    <s v="zwalisiakqv@ucsd.edu"/>
    <s v="+353 (848) 172-8155"/>
    <x v="367"/>
    <x v="1"/>
    <s v="Yes"/>
    <x v="0"/>
    <s v="R-D-0.2"/>
    <x v="2"/>
    <n v="0.16109999999999997"/>
    <n v="1"/>
    <n v="0.2"/>
    <n v="2.6849999999999996"/>
    <x v="97"/>
    <n v="0.16109999999999997"/>
    <n v="6"/>
  </r>
  <r>
    <s v="PUH-55647-976"/>
    <d v="2022-03-22T00:00:00"/>
    <s v="22"/>
    <x v="6"/>
    <x v="2"/>
    <x v="885"/>
    <x v="885"/>
    <s v="wleopoldqw@blogspot.com"/>
    <s v="+1 (352) 173-9191"/>
    <x v="368"/>
    <x v="0"/>
    <s v="No"/>
    <x v="0"/>
    <s v="R-M-0.2"/>
    <x v="0"/>
    <n v="0.17909999999999998"/>
    <n v="2"/>
    <n v="0.2"/>
    <n v="2.9849999999999999"/>
    <x v="9"/>
    <n v="0.35819999999999996"/>
    <n v="6"/>
  </r>
  <r>
    <s v="DTB-71371-705"/>
    <d v="2019-07-03T00:00:00"/>
    <s v="03"/>
    <x v="2"/>
    <x v="0"/>
    <x v="886"/>
    <x v="886"/>
    <s v="cshaldersqx@cisco.com"/>
    <s v="+1 (305) 787-2810"/>
    <x v="120"/>
    <x v="0"/>
    <s v="Yes"/>
    <x v="3"/>
    <s v="L-D-1"/>
    <x v="2"/>
    <n v="1.6835"/>
    <n v="1"/>
    <n v="1"/>
    <n v="12.95"/>
    <x v="2"/>
    <n v="1.6835"/>
    <n v="13"/>
  </r>
  <r>
    <s v="ZDC-64769-740"/>
    <d v="2019-09-21T00:00:00"/>
    <s v="21"/>
    <x v="0"/>
    <x v="0"/>
    <x v="887"/>
    <x v="887"/>
    <n v="0"/>
    <s v="+1 (865) 959-4075"/>
    <x v="279"/>
    <x v="0"/>
    <s v="No"/>
    <x v="1"/>
    <s v="E-M-0.5"/>
    <x v="0"/>
    <n v="0.90749999999999997"/>
    <n v="1"/>
    <n v="0.5"/>
    <n v="8.25"/>
    <x v="112"/>
    <n v="0.90749999999999997"/>
    <n v="11"/>
  </r>
  <r>
    <s v="TED-81959-419"/>
    <d v="2019-08-26T00:00:00"/>
    <s v="26"/>
    <x v="3"/>
    <x v="0"/>
    <x v="888"/>
    <x v="888"/>
    <s v="nfurberqz@jugem.jp"/>
    <s v="+1 (817) 813-2784"/>
    <x v="57"/>
    <x v="0"/>
    <s v="No"/>
    <x v="2"/>
    <s v="A-L-2.5"/>
    <x v="1"/>
    <n v="2.6806499999999995"/>
    <n v="5"/>
    <n v="2.5"/>
    <n v="29.784999999999997"/>
    <x v="74"/>
    <n v="13.403249999999998"/>
    <n v="9"/>
  </r>
  <r>
    <s v="FDO-25756-141"/>
    <d v="2021-08-03T00:00:00"/>
    <s v="03"/>
    <x v="3"/>
    <x v="1"/>
    <x v="889"/>
    <x v="889"/>
    <n v="0"/>
    <s v="+353 (706) 448-6304"/>
    <x v="324"/>
    <x v="1"/>
    <s v="Yes"/>
    <x v="2"/>
    <s v="A-L-2.5"/>
    <x v="1"/>
    <n v="2.6806499999999995"/>
    <n v="3"/>
    <n v="2.5"/>
    <n v="29.784999999999997"/>
    <x v="49"/>
    <n v="8.0419499999999982"/>
    <n v="8.9999999999999982"/>
  </r>
  <r>
    <s v="HKN-31467-517"/>
    <d v="2021-10-24T00:00:00"/>
    <s v="24"/>
    <x v="7"/>
    <x v="1"/>
    <x v="890"/>
    <x v="890"/>
    <s v="ckeaver1@ucoz.com"/>
    <s v="+1 (850) 410-9647"/>
    <x v="48"/>
    <x v="0"/>
    <s v="No"/>
    <x v="3"/>
    <s v="L-M-1"/>
    <x v="0"/>
    <n v="1.8915000000000002"/>
    <n v="6"/>
    <n v="1"/>
    <n v="14.55"/>
    <x v="75"/>
    <n v="11.349"/>
    <n v="12.999999999999998"/>
  </r>
  <r>
    <s v="POF-29666-012"/>
    <d v="2019-04-01T00:00:00"/>
    <s v="01"/>
    <x v="8"/>
    <x v="0"/>
    <x v="891"/>
    <x v="891"/>
    <s v="sroseboroughr2@virginia.edu"/>
    <s v="+1 (253) 735-5179"/>
    <x v="174"/>
    <x v="0"/>
    <s v="Yes"/>
    <x v="0"/>
    <s v="R-D-0.5"/>
    <x v="2"/>
    <n v="0.32219999999999993"/>
    <n v="1"/>
    <n v="0.5"/>
    <n v="5.3699999999999992"/>
    <x v="147"/>
    <n v="0.32219999999999993"/>
    <n v="6"/>
  </r>
  <r>
    <s v="IRX-59256-644"/>
    <d v="2021-12-08T00:00:00"/>
    <s v="08"/>
    <x v="9"/>
    <x v="1"/>
    <x v="892"/>
    <x v="892"/>
    <s v="ckingwellr3@squarespace.com"/>
    <s v="+353 (182) 469-0985"/>
    <x v="369"/>
    <x v="1"/>
    <s v="Yes"/>
    <x v="2"/>
    <s v="A-D-0.2"/>
    <x v="2"/>
    <n v="0.26865"/>
    <n v="3"/>
    <n v="0.2"/>
    <n v="2.9849999999999999"/>
    <x v="169"/>
    <n v="0.80594999999999994"/>
    <n v="9"/>
  </r>
  <r>
    <s v="LTN-89139-350"/>
    <d v="2019-06-27T00:00:00"/>
    <s v="27"/>
    <x v="1"/>
    <x v="0"/>
    <x v="893"/>
    <x v="893"/>
    <s v="kcantor4@gmpg.org"/>
    <s v="+1 (260) 735-9621"/>
    <x v="51"/>
    <x v="0"/>
    <s v="Yes"/>
    <x v="0"/>
    <s v="R-L-2.5"/>
    <x v="1"/>
    <n v="1.6490999999999998"/>
    <n v="5"/>
    <n v="2.5"/>
    <n v="27.484999999999996"/>
    <x v="187"/>
    <n v="8.2454999999999998"/>
    <n v="6.0000000000000009"/>
  </r>
  <r>
    <s v="TXF-79780-017"/>
    <d v="2020-07-14T00:00:00"/>
    <s v="14"/>
    <x v="2"/>
    <x v="3"/>
    <x v="894"/>
    <x v="894"/>
    <s v="mblakemorer5@nsw.gov.au"/>
    <s v="+1 (806) 227-6812"/>
    <x v="279"/>
    <x v="0"/>
    <s v="No"/>
    <x v="0"/>
    <s v="R-L-1"/>
    <x v="1"/>
    <n v="0.71699999999999997"/>
    <n v="5"/>
    <n v="1"/>
    <n v="11.95"/>
    <x v="143"/>
    <n v="3.585"/>
    <n v="6"/>
  </r>
  <r>
    <s v="ALM-80762-974"/>
    <d v="2020-03-23T00:00:00"/>
    <s v="23"/>
    <x v="6"/>
    <x v="3"/>
    <x v="890"/>
    <x v="890"/>
    <s v="ckeaver1@ucoz.com"/>
    <s v="+1 (850) 410-9647"/>
    <x v="48"/>
    <x v="0"/>
    <s v="No"/>
    <x v="2"/>
    <s v="A-L-0.5"/>
    <x v="1"/>
    <n v="0.69929999999999992"/>
    <n v="3"/>
    <n v="0.5"/>
    <n v="7.77"/>
    <x v="102"/>
    <n v="2.0978999999999997"/>
    <n v="9"/>
  </r>
  <r>
    <s v="NXF-15738-707"/>
    <d v="2020-01-26T00:00:00"/>
    <s v="26"/>
    <x v="4"/>
    <x v="3"/>
    <x v="895"/>
    <x v="895"/>
    <n v="0"/>
    <s v="+1 (301) 396-9701"/>
    <x v="370"/>
    <x v="0"/>
    <s v="No"/>
    <x v="0"/>
    <s v="R-D-0.5"/>
    <x v="2"/>
    <n v="0.32219999999999993"/>
    <n v="2"/>
    <n v="0.5"/>
    <n v="5.3699999999999992"/>
    <x v="175"/>
    <n v="0.64439999999999986"/>
    <n v="6"/>
  </r>
  <r>
    <s v="MVV-19034-198"/>
    <d v="2020-05-31T00:00:00"/>
    <s v="31"/>
    <x v="5"/>
    <x v="3"/>
    <x v="896"/>
    <x v="896"/>
    <n v="0"/>
    <s v="+1 (608) 138-8374"/>
    <x v="238"/>
    <x v="0"/>
    <s v="Yes"/>
    <x v="1"/>
    <s v="E-D-2.5"/>
    <x v="2"/>
    <n v="3.07395"/>
    <n v="6"/>
    <n v="2.5"/>
    <n v="27.945"/>
    <x v="164"/>
    <n v="18.4437"/>
    <n v="10.999999999999998"/>
  </r>
  <r>
    <s v="KUX-19632-830"/>
    <d v="2021-07-20T00:00:00"/>
    <s v="20"/>
    <x v="2"/>
    <x v="1"/>
    <x v="897"/>
    <x v="897"/>
    <s v="cbernardotr9@wix.com"/>
    <s v="+1 (936) 783-5732"/>
    <x v="371"/>
    <x v="0"/>
    <s v="Yes"/>
    <x v="1"/>
    <s v="E-D-0.2"/>
    <x v="2"/>
    <n v="0.40095000000000003"/>
    <n v="6"/>
    <n v="0.2"/>
    <n v="3.645"/>
    <x v="6"/>
    <n v="2.4057000000000004"/>
    <n v="11.000000000000002"/>
  </r>
  <r>
    <s v="SNZ-44595-152"/>
    <d v="2022-08-12T00:00:00"/>
    <s v="12"/>
    <x v="3"/>
    <x v="2"/>
    <x v="898"/>
    <x v="898"/>
    <s v="kkemeryra@t.co"/>
    <s v="+1 (817) 407-3513"/>
    <x v="177"/>
    <x v="0"/>
    <s v="Yes"/>
    <x v="0"/>
    <s v="R-L-1"/>
    <x v="1"/>
    <n v="0.71699999999999997"/>
    <n v="2"/>
    <n v="1"/>
    <n v="11.95"/>
    <x v="178"/>
    <n v="1.4339999999999999"/>
    <n v="6"/>
  </r>
  <r>
    <s v="GQA-37241-629"/>
    <d v="2020-01-01T00:00:00"/>
    <s v="01"/>
    <x v="4"/>
    <x v="3"/>
    <x v="899"/>
    <x v="899"/>
    <s v="fparlotrb@forbes.com"/>
    <s v="+1 (614) 706-1246"/>
    <x v="61"/>
    <x v="0"/>
    <s v="Yes"/>
    <x v="2"/>
    <s v="A-M-0.2"/>
    <x v="0"/>
    <n v="0.30374999999999996"/>
    <n v="2"/>
    <n v="0.2"/>
    <n v="3.375"/>
    <x v="52"/>
    <n v="0.60749999999999993"/>
    <n v="8.9999999999999982"/>
  </r>
  <r>
    <s v="WVV-79948-067"/>
    <d v="2021-01-18T00:00:00"/>
    <s v="18"/>
    <x v="4"/>
    <x v="1"/>
    <x v="900"/>
    <x v="900"/>
    <s v="rcheakrc@tripadvisor.com"/>
    <n v="0"/>
    <x v="372"/>
    <x v="1"/>
    <s v="Yes"/>
    <x v="1"/>
    <s v="E-M-2.5"/>
    <x v="0"/>
    <n v="3.4787499999999998"/>
    <n v="1"/>
    <n v="2.5"/>
    <n v="31.624999999999996"/>
    <x v="176"/>
    <n v="3.4787499999999998"/>
    <n v="11"/>
  </r>
  <r>
    <s v="LHX-81117-166"/>
    <d v="2021-12-31T00:00:00"/>
    <s v="31"/>
    <x v="9"/>
    <x v="1"/>
    <x v="901"/>
    <x v="901"/>
    <s v="kogeneayrd@utexas.edu"/>
    <s v="+1 (303) 637-0326"/>
    <x v="24"/>
    <x v="0"/>
    <s v="No"/>
    <x v="0"/>
    <s v="R-L-1"/>
    <x v="1"/>
    <n v="0.71699999999999997"/>
    <n v="4"/>
    <n v="1"/>
    <n v="11.95"/>
    <x v="62"/>
    <n v="2.8679999999999999"/>
    <n v="6"/>
  </r>
  <r>
    <s v="GCD-75444-320"/>
    <d v="2020-05-04T00:00:00"/>
    <s v="04"/>
    <x v="5"/>
    <x v="3"/>
    <x v="902"/>
    <x v="902"/>
    <s v="cayrere@symantec.com"/>
    <s v="+1 (386) 573-2575"/>
    <x v="373"/>
    <x v="0"/>
    <s v="No"/>
    <x v="3"/>
    <s v="L-M-2.5"/>
    <x v="0"/>
    <n v="4.3504499999999995"/>
    <n v="1"/>
    <n v="2.5"/>
    <n v="33.464999999999996"/>
    <x v="116"/>
    <n v="4.3504499999999995"/>
    <n v="13"/>
  </r>
  <r>
    <s v="SGA-30059-217"/>
    <d v="2021-02-20T00:00:00"/>
    <s v="20"/>
    <x v="10"/>
    <x v="1"/>
    <x v="903"/>
    <x v="903"/>
    <s v="lkynetonrf@macromedia.com"/>
    <s v="+44 (618) 634-9365"/>
    <x v="258"/>
    <x v="2"/>
    <s v="Yes"/>
    <x v="2"/>
    <s v="A-D-0.5"/>
    <x v="2"/>
    <n v="0.5373"/>
    <n v="5"/>
    <n v="0.5"/>
    <n v="5.97"/>
    <x v="44"/>
    <n v="2.6865000000000001"/>
    <n v="9.0000000000000018"/>
  </r>
  <r>
    <s v="GNL-98714-885"/>
    <d v="2020-03-07T00:00:00"/>
    <s v="07"/>
    <x v="6"/>
    <x v="3"/>
    <x v="904"/>
    <x v="904"/>
    <n v="0"/>
    <s v="+44 (123) 755-7484"/>
    <x v="374"/>
    <x v="2"/>
    <s v="Yes"/>
    <x v="0"/>
    <s v="R-M-1"/>
    <x v="0"/>
    <n v="0.59699999999999998"/>
    <n v="3"/>
    <n v="1"/>
    <n v="9.9499999999999993"/>
    <x v="44"/>
    <n v="1.7909999999999999"/>
    <n v="6.0000000000000009"/>
  </r>
  <r>
    <s v="OQA-93249-841"/>
    <d v="2019-04-05T00:00:00"/>
    <s v="05"/>
    <x v="8"/>
    <x v="0"/>
    <x v="905"/>
    <x v="905"/>
    <n v="0"/>
    <s v="+1 (636) 143-8338"/>
    <x v="10"/>
    <x v="0"/>
    <s v="Yes"/>
    <x v="2"/>
    <s v="A-M-2.5"/>
    <x v="0"/>
    <n v="2.3287499999999994"/>
    <n v="6"/>
    <n v="2.5"/>
    <n v="25.874999999999996"/>
    <x v="71"/>
    <n v="13.972499999999997"/>
    <n v="9"/>
  </r>
  <r>
    <s v="DUV-12075-132"/>
    <d v="2022-06-06T00:00:00"/>
    <s v="06"/>
    <x v="1"/>
    <x v="2"/>
    <x v="906"/>
    <x v="906"/>
    <n v="0"/>
    <s v="+1 (479) 204-9111"/>
    <x v="321"/>
    <x v="0"/>
    <s v="No"/>
    <x v="1"/>
    <s v="E-D-0.2"/>
    <x v="2"/>
    <n v="0.40095000000000003"/>
    <n v="5"/>
    <n v="0.2"/>
    <n v="3.645"/>
    <x v="94"/>
    <n v="2.00475"/>
    <n v="10.999999999999998"/>
  </r>
  <r>
    <s v="DUV-12075-132"/>
    <d v="2022-06-06T00:00:00"/>
    <s v="06"/>
    <x v="1"/>
    <x v="2"/>
    <x v="906"/>
    <x v="906"/>
    <n v="0"/>
    <s v="+1 (479) 204-9111"/>
    <x v="321"/>
    <x v="0"/>
    <s v="No"/>
    <x v="3"/>
    <s v="L-D-0.5"/>
    <x v="2"/>
    <n v="1.0101"/>
    <n v="2"/>
    <n v="0.5"/>
    <n v="7.77"/>
    <x v="42"/>
    <n v="2.0202"/>
    <n v="13"/>
  </r>
  <r>
    <s v="KPO-24942-184"/>
    <d v="2021-03-21T00:00:00"/>
    <s v="21"/>
    <x v="6"/>
    <x v="1"/>
    <x v="907"/>
    <x v="907"/>
    <n v="0"/>
    <s v="+353 (252) 896-2096"/>
    <x v="248"/>
    <x v="1"/>
    <s v="No"/>
    <x v="3"/>
    <s v="L-L-2.5"/>
    <x v="1"/>
    <n v="4.7391499999999995"/>
    <n v="3"/>
    <n v="2.5"/>
    <n v="36.454999999999998"/>
    <x v="63"/>
    <n v="14.217449999999999"/>
    <n v="13"/>
  </r>
  <r>
    <s v="SRJ-79353-838"/>
    <d v="2021-12-19T00:00:00"/>
    <s v="19"/>
    <x v="9"/>
    <x v="1"/>
    <x v="908"/>
    <x v="908"/>
    <n v="0"/>
    <s v="+1 (215) 872-6809"/>
    <x v="11"/>
    <x v="0"/>
    <s v="No"/>
    <x v="2"/>
    <s v="A-L-1"/>
    <x v="1"/>
    <n v="1.1655"/>
    <n v="6"/>
    <n v="1"/>
    <n v="12.95"/>
    <x v="17"/>
    <n v="6.9930000000000003"/>
    <n v="9.0000000000000018"/>
  </r>
  <r>
    <s v="XBV-40336-071"/>
    <d v="2021-02-17T00:00:00"/>
    <s v="17"/>
    <x v="10"/>
    <x v="1"/>
    <x v="909"/>
    <x v="909"/>
    <n v="0"/>
    <s v="+353 (693) 290-4775"/>
    <x v="243"/>
    <x v="1"/>
    <s v="No"/>
    <x v="2"/>
    <s v="A-D-0.2"/>
    <x v="2"/>
    <n v="0.26865"/>
    <n v="3"/>
    <n v="0.2"/>
    <n v="2.9849999999999999"/>
    <x v="169"/>
    <n v="0.80594999999999994"/>
    <n v="9"/>
  </r>
  <r>
    <s v="RLM-96511-467"/>
    <d v="2020-01-06T00:00:00"/>
    <s v="06"/>
    <x v="4"/>
    <x v="3"/>
    <x v="910"/>
    <x v="910"/>
    <s v="jtewelsonrn@samsung.com"/>
    <s v="+1 (469) 573-8379"/>
    <x v="68"/>
    <x v="0"/>
    <s v="No"/>
    <x v="0"/>
    <s v="R-L-2.5"/>
    <x v="1"/>
    <n v="1.6490999999999998"/>
    <n v="1"/>
    <n v="2.5"/>
    <n v="27.484999999999996"/>
    <x v="142"/>
    <n v="1.6490999999999998"/>
    <n v="6.0000000000000009"/>
  </r>
  <r>
    <s v="AEZ-13242-456"/>
    <d v="2022-05-04T00:00:00"/>
    <s v="04"/>
    <x v="5"/>
    <x v="2"/>
    <x v="906"/>
    <x v="906"/>
    <n v="0"/>
    <s v="+1 (479) 204-9111"/>
    <x v="321"/>
    <x v="0"/>
    <s v="No"/>
    <x v="0"/>
    <s v="R-M-0.5"/>
    <x v="0"/>
    <n v="0.35819999999999996"/>
    <n v="5"/>
    <n v="0.5"/>
    <n v="5.97"/>
    <x v="44"/>
    <n v="1.7909999999999999"/>
    <n v="6.0000000000000009"/>
  </r>
  <r>
    <s v="UME-75640-698"/>
    <d v="2019-10-11T00:00:00"/>
    <s v="11"/>
    <x v="7"/>
    <x v="0"/>
    <x v="906"/>
    <x v="906"/>
    <n v="0"/>
    <s v="+1 (479) 204-9111"/>
    <x v="321"/>
    <x v="0"/>
    <s v="No"/>
    <x v="2"/>
    <s v="A-M-0.5"/>
    <x v="0"/>
    <n v="0.60749999999999993"/>
    <n v="4"/>
    <n v="0.5"/>
    <n v="6.75"/>
    <x v="25"/>
    <n v="2.4299999999999997"/>
    <n v="8.9999999999999982"/>
  </r>
  <r>
    <s v="GJC-66474-557"/>
    <d v="2021-08-03T00:00:00"/>
    <s v="03"/>
    <x v="3"/>
    <x v="1"/>
    <x v="911"/>
    <x v="911"/>
    <s v="njennyrq@bigcartel.com"/>
    <s v="+1 (562) 679-4750"/>
    <x v="127"/>
    <x v="0"/>
    <s v="No"/>
    <x v="2"/>
    <s v="A-D-1"/>
    <x v="2"/>
    <n v="0.89549999999999985"/>
    <n v="1"/>
    <n v="1"/>
    <n v="9.9499999999999993"/>
    <x v="138"/>
    <n v="0.89549999999999985"/>
    <n v="9"/>
  </r>
  <r>
    <s v="IRV-20769-219"/>
    <d v="2020-10-15T00:00:00"/>
    <s v="15"/>
    <x v="7"/>
    <x v="3"/>
    <x v="912"/>
    <x v="912"/>
    <n v="0"/>
    <s v="+44 (810) 927-9266"/>
    <x v="282"/>
    <x v="2"/>
    <s v="Yes"/>
    <x v="1"/>
    <s v="E-M-0.2"/>
    <x v="0"/>
    <n v="0.45374999999999999"/>
    <n v="3"/>
    <n v="0.2"/>
    <n v="4.125"/>
    <x v="24"/>
    <n v="1.3612500000000001"/>
    <n v="11"/>
  </r>
  <r>
    <m/>
    <m/>
    <m/>
    <x v="12"/>
    <x v="4"/>
    <x v="913"/>
    <x v="913"/>
    <m/>
    <m/>
    <x v="375"/>
    <x v="3"/>
    <m/>
    <x v="4"/>
    <m/>
    <x v="3"/>
    <m/>
    <m/>
    <m/>
    <m/>
    <x v="197"/>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distribution based on city" cacheId="0"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5">
  <location ref="U30:V43" firstHeaderRow="1" firstDataRow="1" firstDataCol="1"/>
  <pivotFields count="22">
    <pivotField showAll="0"/>
    <pivotField showAll="0"/>
    <pivotField showAll="0"/>
    <pivotField showAll="0"/>
    <pivotField showAll="0">
      <items count="6">
        <item h="1" x="0"/>
        <item h="1" x="3"/>
        <item h="1" x="1"/>
        <item x="2"/>
        <item h="1" x="4"/>
        <item t="default"/>
      </items>
    </pivotField>
    <pivotField dataField="1" showAll="0"/>
    <pivotField showAll="0"/>
    <pivotField showAll="0"/>
    <pivotField showAll="0"/>
    <pivotField axis="axisRow" showAll="0" measureFilter="1">
      <items count="377">
        <item x="72"/>
        <item x="199"/>
        <item x="140"/>
        <item x="347"/>
        <item x="117"/>
        <item x="237"/>
        <item x="311"/>
        <item x="279"/>
        <item x="219"/>
        <item x="92"/>
        <item x="338"/>
        <item x="113"/>
        <item x="249"/>
        <item x="228"/>
        <item x="114"/>
        <item x="284"/>
        <item x="161"/>
        <item x="24"/>
        <item x="79"/>
        <item x="248"/>
        <item x="102"/>
        <item x="318"/>
        <item x="146"/>
        <item x="330"/>
        <item x="157"/>
        <item x="302"/>
        <item x="297"/>
        <item x="104"/>
        <item x="247"/>
        <item x="295"/>
        <item x="246"/>
        <item x="266"/>
        <item x="360"/>
        <item x="232"/>
        <item x="192"/>
        <item x="278"/>
        <item x="163"/>
        <item x="359"/>
        <item x="317"/>
        <item x="75"/>
        <item x="197"/>
        <item x="242"/>
        <item x="332"/>
        <item x="38"/>
        <item x="109"/>
        <item x="213"/>
        <item x="367"/>
        <item x="35"/>
        <item x="183"/>
        <item x="276"/>
        <item x="205"/>
        <item x="310"/>
        <item x="250"/>
        <item x="37"/>
        <item x="130"/>
        <item x="73"/>
        <item x="372"/>
        <item x="58"/>
        <item x="14"/>
        <item x="272"/>
        <item x="186"/>
        <item x="301"/>
        <item x="107"/>
        <item x="121"/>
        <item x="181"/>
        <item x="118"/>
        <item x="221"/>
        <item x="364"/>
        <item x="296"/>
        <item x="358"/>
        <item x="303"/>
        <item x="169"/>
        <item x="81"/>
        <item x="27"/>
        <item x="63"/>
        <item x="131"/>
        <item x="217"/>
        <item x="115"/>
        <item x="89"/>
        <item x="160"/>
        <item x="54"/>
        <item x="231"/>
        <item x="206"/>
        <item x="2"/>
        <item x="159"/>
        <item x="120"/>
        <item x="265"/>
        <item x="328"/>
        <item x="22"/>
        <item x="305"/>
        <item x="71"/>
        <item x="182"/>
        <item x="61"/>
        <item x="82"/>
        <item x="371"/>
        <item x="260"/>
        <item x="78"/>
        <item x="191"/>
        <item x="122"/>
        <item x="366"/>
        <item x="43"/>
        <item x="280"/>
        <item x="68"/>
        <item x="189"/>
        <item x="4"/>
        <item x="373"/>
        <item x="288"/>
        <item x="177"/>
        <item x="29"/>
        <item x="111"/>
        <item x="135"/>
        <item x="96"/>
        <item x="202"/>
        <item x="69"/>
        <item x="162"/>
        <item x="319"/>
        <item x="209"/>
        <item x="285"/>
        <item x="158"/>
        <item x="123"/>
        <item x="252"/>
        <item x="194"/>
        <item x="84"/>
        <item x="154"/>
        <item x="87"/>
        <item x="19"/>
        <item x="173"/>
        <item x="98"/>
        <item x="361"/>
        <item x="97"/>
        <item x="251"/>
        <item x="144"/>
        <item x="308"/>
        <item x="256"/>
        <item x="298"/>
        <item x="42"/>
        <item x="214"/>
        <item x="321"/>
        <item x="51"/>
        <item x="57"/>
        <item x="345"/>
        <item x="74"/>
        <item x="368"/>
        <item x="326"/>
        <item x="132"/>
        <item x="331"/>
        <item x="307"/>
        <item x="25"/>
        <item x="16"/>
        <item x="116"/>
        <item x="353"/>
        <item x="365"/>
        <item x="281"/>
        <item x="312"/>
        <item x="225"/>
        <item x="33"/>
        <item x="152"/>
        <item x="264"/>
        <item x="352"/>
        <item x="103"/>
        <item x="13"/>
        <item x="90"/>
        <item x="289"/>
        <item x="99"/>
        <item x="283"/>
        <item x="333"/>
        <item x="207"/>
        <item x="151"/>
        <item x="222"/>
        <item x="240"/>
        <item x="314"/>
        <item x="168"/>
        <item x="128"/>
        <item x="336"/>
        <item x="77"/>
        <item x="241"/>
        <item x="165"/>
        <item x="5"/>
        <item x="91"/>
        <item x="59"/>
        <item x="44"/>
        <item x="187"/>
        <item x="261"/>
        <item x="149"/>
        <item x="175"/>
        <item x="355"/>
        <item x="257"/>
        <item x="203"/>
        <item x="235"/>
        <item x="269"/>
        <item x="133"/>
        <item x="344"/>
        <item x="198"/>
        <item x="227"/>
        <item x="150"/>
        <item x="85"/>
        <item x="193"/>
        <item x="195"/>
        <item x="65"/>
        <item x="28"/>
        <item x="335"/>
        <item x="60"/>
        <item x="282"/>
        <item x="323"/>
        <item x="245"/>
        <item x="239"/>
        <item x="6"/>
        <item x="286"/>
        <item x="185"/>
        <item x="143"/>
        <item x="271"/>
        <item x="324"/>
        <item x="188"/>
        <item x="126"/>
        <item x="238"/>
        <item x="337"/>
        <item x="290"/>
        <item x="277"/>
        <item x="270"/>
        <item x="139"/>
        <item x="294"/>
        <item x="137"/>
        <item x="342"/>
        <item x="218"/>
        <item x="190"/>
        <item x="292"/>
        <item x="67"/>
        <item x="9"/>
        <item x="262"/>
        <item x="166"/>
        <item x="30"/>
        <item x="351"/>
        <item x="354"/>
        <item x="244"/>
        <item x="334"/>
        <item x="124"/>
        <item x="343"/>
        <item x="66"/>
        <item x="357"/>
        <item x="306"/>
        <item x="362"/>
        <item x="275"/>
        <item x="53"/>
        <item x="93"/>
        <item x="322"/>
        <item x="136"/>
        <item x="233"/>
        <item x="226"/>
        <item x="341"/>
        <item x="32"/>
        <item x="15"/>
        <item x="55"/>
        <item x="164"/>
        <item x="62"/>
        <item x="95"/>
        <item x="176"/>
        <item x="40"/>
        <item x="80"/>
        <item x="184"/>
        <item x="112"/>
        <item x="70"/>
        <item x="220"/>
        <item x="34"/>
        <item x="101"/>
        <item x="339"/>
        <item x="349"/>
        <item x="106"/>
        <item x="327"/>
        <item x="148"/>
        <item x="0"/>
        <item x="48"/>
        <item x="20"/>
        <item x="11"/>
        <item x="167"/>
        <item x="291"/>
        <item x="171"/>
        <item x="348"/>
        <item x="88"/>
        <item x="129"/>
        <item x="12"/>
        <item x="105"/>
        <item x="229"/>
        <item x="108"/>
        <item x="17"/>
        <item x="119"/>
        <item x="179"/>
        <item x="369"/>
        <item x="23"/>
        <item x="76"/>
        <item x="216"/>
        <item x="8"/>
        <item x="110"/>
        <item x="36"/>
        <item x="356"/>
        <item x="215"/>
        <item x="155"/>
        <item x="253"/>
        <item x="254"/>
        <item x="267"/>
        <item x="10"/>
        <item x="50"/>
        <item x="350"/>
        <item x="363"/>
        <item x="147"/>
        <item x="299"/>
        <item x="1"/>
        <item x="39"/>
        <item x="236"/>
        <item x="204"/>
        <item x="7"/>
        <item x="255"/>
        <item x="201"/>
        <item x="100"/>
        <item x="346"/>
        <item x="268"/>
        <item x="3"/>
        <item x="258"/>
        <item x="208"/>
        <item x="293"/>
        <item x="180"/>
        <item x="153"/>
        <item x="172"/>
        <item x="212"/>
        <item x="370"/>
        <item x="125"/>
        <item x="141"/>
        <item x="64"/>
        <item x="94"/>
        <item x="142"/>
        <item x="287"/>
        <item x="83"/>
        <item x="329"/>
        <item x="304"/>
        <item x="224"/>
        <item x="170"/>
        <item x="309"/>
        <item x="174"/>
        <item x="315"/>
        <item x="47"/>
        <item x="300"/>
        <item x="45"/>
        <item x="210"/>
        <item x="21"/>
        <item x="46"/>
        <item x="259"/>
        <item x="31"/>
        <item x="178"/>
        <item x="223"/>
        <item x="134"/>
        <item x="86"/>
        <item x="340"/>
        <item x="211"/>
        <item x="26"/>
        <item x="234"/>
        <item x="18"/>
        <item x="56"/>
        <item x="263"/>
        <item x="273"/>
        <item x="138"/>
        <item x="41"/>
        <item x="243"/>
        <item x="196"/>
        <item x="200"/>
        <item x="230"/>
        <item x="127"/>
        <item x="145"/>
        <item x="313"/>
        <item x="156"/>
        <item x="325"/>
        <item x="274"/>
        <item x="374"/>
        <item x="52"/>
        <item x="316"/>
        <item x="320"/>
        <item x="49"/>
        <item x="375"/>
        <item t="default"/>
      </items>
    </pivotField>
    <pivotField showAll="0"/>
    <pivotField showAll="0"/>
    <pivotField showAll="0">
      <items count="6">
        <item h="1" x="2"/>
        <item h="1" x="1"/>
        <item h="1" x="3"/>
        <item x="0"/>
        <item h="1" x="4"/>
        <item t="default"/>
      </items>
    </pivotField>
    <pivotField showAll="0"/>
    <pivotField showAll="0">
      <items count="5">
        <item h="1" x="2"/>
        <item h="1" x="1"/>
        <item x="0"/>
        <item h="1" x="3"/>
        <item t="default"/>
      </items>
    </pivotField>
    <pivotField showAll="0"/>
    <pivotField showAll="0"/>
    <pivotField showAll="0"/>
    <pivotField showAll="0"/>
    <pivotField showAll="0"/>
    <pivotField showAll="0"/>
    <pivotField showAll="0"/>
  </pivotFields>
  <rowFields count="1">
    <field x="9"/>
  </rowFields>
  <rowItems count="13">
    <i>
      <x/>
    </i>
    <i>
      <x v="10"/>
    </i>
    <i>
      <x v="135"/>
    </i>
    <i>
      <x v="137"/>
    </i>
    <i>
      <x v="142"/>
    </i>
    <i>
      <x v="194"/>
    </i>
    <i>
      <x v="235"/>
    </i>
    <i>
      <x v="236"/>
    </i>
    <i>
      <x v="272"/>
    </i>
    <i>
      <x v="290"/>
    </i>
    <i>
      <x v="292"/>
    </i>
    <i>
      <x v="340"/>
    </i>
    <i t="grand">
      <x/>
    </i>
  </rowItems>
  <colItems count="1">
    <i/>
  </colItems>
  <dataFields count="1">
    <dataField name="Count of Customer ID" fld="5" subtotal="count" baseField="0" baseItem="0"/>
  </dataFields>
  <pivotTableStyleInfo name="PivotStyleLight16" showRowHeaders="1" showColHeaders="1" showRowStripes="0" showColStripes="0" showLastColumn="1"/>
  <filters count="1">
    <filter fld="9"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year sales" cacheId="0"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37">
  <location ref="A97:C100" firstHeaderRow="1" firstDataRow="2" firstDataCol="1"/>
  <pivotFields count="22">
    <pivotField showAll="0"/>
    <pivotField showAll="0"/>
    <pivotField showAll="0"/>
    <pivotField showAll="0"/>
    <pivotField axis="axisCol" showAll="0">
      <items count="6">
        <item h="1" x="0"/>
        <item h="1" x="3"/>
        <item h="1" x="1"/>
        <item x="2"/>
        <item h="1" x="4"/>
        <item t="default"/>
      </items>
    </pivotField>
    <pivotField showAll="0"/>
    <pivotField showAll="0"/>
    <pivotField showAll="0"/>
    <pivotField showAll="0"/>
    <pivotField showAll="0"/>
    <pivotField showAll="0"/>
    <pivotField showAll="0"/>
    <pivotField axis="axisRow" showAll="0">
      <items count="6">
        <item h="1" x="2"/>
        <item h="1" x="1"/>
        <item h="1" x="3"/>
        <item x="0"/>
        <item h="1" x="4"/>
        <item t="default"/>
      </items>
    </pivotField>
    <pivotField showAll="0"/>
    <pivotField showAll="0">
      <items count="5">
        <item h="1" x="2"/>
        <item h="1" x="1"/>
        <item x="0"/>
        <item h="1" x="3"/>
        <item t="default"/>
      </items>
    </pivotField>
    <pivotField showAll="0"/>
    <pivotField showAll="0"/>
    <pivotField showAll="0"/>
    <pivotField showAll="0"/>
    <pivotField dataField="1" showAll="0"/>
    <pivotField showAll="0"/>
    <pivotField showAll="0"/>
  </pivotFields>
  <rowFields count="1">
    <field x="12"/>
  </rowFields>
  <rowItems count="2">
    <i>
      <x v="3"/>
    </i>
    <i t="grand">
      <x/>
    </i>
  </rowItems>
  <colFields count="1">
    <field x="4"/>
  </colFields>
  <colItems count="2">
    <i>
      <x v="3"/>
    </i>
    <i t="grand">
      <x/>
    </i>
  </colItems>
  <dataFields count="1">
    <dataField name="Sum of Sales" fld="19" baseField="0" baseItem="0"/>
  </dataFields>
  <chartFormats count="10">
    <chartFormat chart="0" format="0" series="1">
      <pivotArea type="data" outline="0" fieldPosition="0">
        <references count="2">
          <reference field="4294967294" count="1" selected="0">
            <x v="0"/>
          </reference>
          <reference field="4" count="1" selected="0">
            <x v="0"/>
          </reference>
        </references>
      </pivotArea>
    </chartFormat>
    <chartFormat chart="0" format="1" series="1">
      <pivotArea type="data" outline="0" fieldPosition="0">
        <references count="2">
          <reference field="4294967294" count="1" selected="0">
            <x v="0"/>
          </reference>
          <reference field="4" count="1" selected="0">
            <x v="1"/>
          </reference>
        </references>
      </pivotArea>
    </chartFormat>
    <chartFormat chart="0" format="2" series="1">
      <pivotArea type="data" outline="0" fieldPosition="0">
        <references count="2">
          <reference field="4294967294" count="1" selected="0">
            <x v="0"/>
          </reference>
          <reference field="4" count="1" selected="0">
            <x v="2"/>
          </reference>
        </references>
      </pivotArea>
    </chartFormat>
    <chartFormat chart="0" format="3" series="1">
      <pivotArea type="data" outline="0" fieldPosition="0">
        <references count="2">
          <reference field="4294967294" count="1" selected="0">
            <x v="0"/>
          </reference>
          <reference field="4" count="1" selected="0">
            <x v="3"/>
          </reference>
        </references>
      </pivotArea>
    </chartFormat>
    <chartFormat chart="23" format="7" series="1">
      <pivotArea type="data" outline="0" fieldPosition="0">
        <references count="2">
          <reference field="4294967294" count="1" selected="0">
            <x v="0"/>
          </reference>
          <reference field="4" count="1" selected="0">
            <x v="0"/>
          </reference>
        </references>
      </pivotArea>
    </chartFormat>
    <chartFormat chart="23" format="8" series="1">
      <pivotArea type="data" outline="0" fieldPosition="0">
        <references count="2">
          <reference field="4294967294" count="1" selected="0">
            <x v="0"/>
          </reference>
          <reference field="4" count="1" selected="0">
            <x v="1"/>
          </reference>
        </references>
      </pivotArea>
    </chartFormat>
    <chartFormat chart="23" format="9" series="1">
      <pivotArea type="data" outline="0" fieldPosition="0">
        <references count="2">
          <reference field="4294967294" count="1" selected="0">
            <x v="0"/>
          </reference>
          <reference field="4" count="1" selected="0">
            <x v="2"/>
          </reference>
        </references>
      </pivotArea>
    </chartFormat>
    <chartFormat chart="23" format="10" series="1">
      <pivotArea type="data" outline="0" fieldPosition="0">
        <references count="2">
          <reference field="4294967294" count="1" selected="0">
            <x v="0"/>
          </reference>
          <reference field="4" count="1" selected="0">
            <x v="3"/>
          </reference>
        </references>
      </pivotArea>
    </chartFormat>
    <chartFormat chart="23" format="11" series="1">
      <pivotArea type="data" outline="0" fieldPosition="0">
        <references count="2">
          <reference field="4294967294" count="1" selected="0">
            <x v="0"/>
          </reference>
          <reference field="4" count="1" selected="0">
            <x v="4"/>
          </reference>
        </references>
      </pivotArea>
    </chartFormat>
    <chartFormat chart="0" format="4" series="1">
      <pivotArea type="data" outline="0" fieldPosition="0">
        <references count="2">
          <reference field="4294967294" count="1" selected="0">
            <x v="0"/>
          </reference>
          <reference field="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top 5 customers " cacheId="0"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7">
  <location ref="Q46:R47" firstHeaderRow="1" firstDataRow="1" firstDataCol="1"/>
  <pivotFields count="22">
    <pivotField showAll="0"/>
    <pivotField showAll="0"/>
    <pivotField showAll="0"/>
    <pivotField showAll="0"/>
    <pivotField showAll="0"/>
    <pivotField showAll="0"/>
    <pivotField axis="axisRow" showAll="0">
      <items count="915">
        <item h="1" x="344"/>
        <item h="1" x="521"/>
        <item h="1" x="37"/>
        <item h="1" x="129"/>
        <item h="1" x="170"/>
        <item h="1" x="904"/>
        <item h="1" x="776"/>
        <item h="1" x="394"/>
        <item h="1" x="84"/>
        <item h="1" x="432"/>
        <item h="1" x="763"/>
        <item h="1" x="720"/>
        <item h="1" x="27"/>
        <item h="1" x="186"/>
        <item h="1" x="624"/>
        <item h="1" x="425"/>
        <item h="1" x="294"/>
        <item h="1" x="438"/>
        <item h="1" x="747"/>
        <item h="1" x="439"/>
        <item h="1" x="149"/>
        <item h="1" x="799"/>
        <item h="1" x="466"/>
        <item h="1" x="201"/>
        <item h="1" x="677"/>
        <item h="1" x="67"/>
        <item h="1" x="552"/>
        <item h="1" x="180"/>
        <item h="1" x="745"/>
        <item h="1" x="600"/>
        <item h="1" x="0"/>
        <item h="1" x="658"/>
        <item h="1" x="396"/>
        <item h="1" x="711"/>
        <item h="1" x="428"/>
        <item h="1" x="637"/>
        <item h="1" x="322"/>
        <item h="1" x="74"/>
        <item h="1" x="497"/>
        <item h="1" x="265"/>
        <item h="1" x="210"/>
        <item h="1" x="561"/>
        <item h="1" x="673"/>
        <item h="1" x="363"/>
        <item h="1" x="562"/>
        <item h="1" x="59"/>
        <item h="1" x="174"/>
        <item h="1" x="625"/>
        <item h="1" x="19"/>
        <item h="1" x="392"/>
        <item h="1" x="57"/>
        <item h="1" x="433"/>
        <item h="1" x="608"/>
        <item h="1" x="171"/>
        <item h="1" x="195"/>
        <item h="1" x="366"/>
        <item h="1" x="419"/>
        <item h="1" x="840"/>
        <item h="1" x="247"/>
        <item h="1" x="429"/>
        <item h="1" x="48"/>
        <item h="1" x="42"/>
        <item h="1" x="595"/>
        <item h="1" x="282"/>
        <item h="1" x="701"/>
        <item h="1" x="417"/>
        <item h="1" x="354"/>
        <item h="1" x="177"/>
        <item h="1" x="92"/>
        <item h="1" x="523"/>
        <item h="1" x="379"/>
        <item h="1" x="866"/>
        <item h="1" x="17"/>
        <item h="1" x="554"/>
        <item h="1" x="66"/>
        <item h="1" x="18"/>
        <item h="1" x="678"/>
        <item h="1" x="541"/>
        <item h="1" x="856"/>
        <item h="1" x="252"/>
        <item h="1" x="644"/>
        <item h="1" x="650"/>
        <item h="1" x="162"/>
        <item h="1" x="307"/>
        <item h="1" x="823"/>
        <item h="1" x="753"/>
        <item h="1" x="783"/>
        <item h="1" x="883"/>
        <item h="1" x="629"/>
        <item h="1" x="454"/>
        <item h="1" x="797"/>
        <item h="1" x="80"/>
        <item h="1" x="212"/>
        <item h="1" x="60"/>
        <item h="1" x="376"/>
        <item h="1" x="585"/>
        <item h="1" x="287"/>
        <item h="1" x="829"/>
        <item h="1" x="573"/>
        <item h="1" x="483"/>
        <item h="1" x="724"/>
        <item h="1" x="3"/>
        <item h="1" x="217"/>
        <item h="1" x="507"/>
        <item h="1" x="564"/>
        <item h="1" x="142"/>
        <item h="1" x="104"/>
        <item h="1" x="121"/>
        <item h="1" x="560"/>
        <item h="1" x="498"/>
        <item h="1" x="816"/>
        <item h="1" x="126"/>
        <item h="1" x="550"/>
        <item h="1" x="456"/>
        <item h="1" x="809"/>
        <item h="1" x="207"/>
        <item h="1" x="835"/>
        <item h="1" x="705"/>
        <item h="1" x="122"/>
        <item h="1" x="431"/>
        <item h="1" x="738"/>
        <item h="1" x="132"/>
        <item h="1" x="96"/>
        <item h="1" x="694"/>
        <item h="1" x="519"/>
        <item h="1" x="857"/>
        <item h="1" x="748"/>
        <item h="1" x="807"/>
        <item h="1" x="391"/>
        <item h="1" x="110"/>
        <item h="1" x="76"/>
        <item h="1" x="178"/>
        <item h="1" x="268"/>
        <item h="1" x="578"/>
        <item h="1" x="754"/>
        <item h="1" x="739"/>
        <item h="1" x="716"/>
        <item h="1" x="472"/>
        <item h="1" x="220"/>
        <item h="1" x="680"/>
        <item h="1" x="426"/>
        <item h="1" x="107"/>
        <item h="1" x="535"/>
        <item h="1" x="473"/>
        <item h="1" x="584"/>
        <item h="1" x="340"/>
        <item h="1" x="275"/>
        <item h="1" x="321"/>
        <item h="1" x="909"/>
        <item h="1" x="790"/>
        <item h="1" x="615"/>
        <item h="1" x="597"/>
        <item h="1" x="818"/>
        <item h="1" x="474"/>
        <item h="1" x="849"/>
        <item h="1" x="877"/>
        <item h="1" x="746"/>
        <item h="1" x="405"/>
        <item h="1" x="479"/>
        <item h="1" x="463"/>
        <item h="1" x="847"/>
        <item h="1" x="622"/>
        <item h="1" x="204"/>
        <item h="1" x="890"/>
        <item h="1" x="596"/>
        <item h="1" x="742"/>
        <item h="1" x="886"/>
        <item h="1" x="409"/>
        <item h="1" x="897"/>
        <item h="1" x="843"/>
        <item h="1" x="721"/>
        <item h="1" x="225"/>
        <item h="1" x="2"/>
        <item h="1" x="262"/>
        <item h="1" x="21"/>
        <item h="1" x="702"/>
        <item h="1" x="478"/>
        <item h="1" x="514"/>
        <item h="1" x="154"/>
        <item h="1" x="525"/>
        <item h="1" x="902"/>
        <item h="1" x="286"/>
        <item h="1" x="802"/>
        <item h="1" x="892"/>
        <item h="1" x="314"/>
        <item h="1" x="881"/>
        <item h="1" x="73"/>
        <item h="1" x="239"/>
        <item h="1" x="241"/>
        <item h="1" x="224"/>
        <item h="1" x="539"/>
        <item h="1" x="71"/>
        <item h="1" x="749"/>
        <item h="1" x="235"/>
        <item h="1" x="216"/>
        <item h="1" x="193"/>
        <item h="1" x="808"/>
        <item h="1" x="112"/>
        <item h="1" x="572"/>
        <item h="1" x="310"/>
        <item h="1" x="345"/>
        <item h="1" x="348"/>
        <item h="1" x="529"/>
        <item h="1" x="759"/>
        <item h="1" x="54"/>
        <item h="1" x="610"/>
        <item h="1" x="346"/>
        <item h="1" x="290"/>
        <item h="1" x="591"/>
        <item h="1" x="221"/>
        <item h="1" x="668"/>
        <item h="1" x="22"/>
        <item h="1" x="461"/>
        <item h="1" x="277"/>
        <item h="1" x="197"/>
        <item h="1" x="435"/>
        <item h="1" x="707"/>
        <item h="1" x="700"/>
        <item h="1" x="543"/>
        <item h="1" x="548"/>
        <item h="1" x="831"/>
        <item h="1" x="661"/>
        <item h="1" x="740"/>
        <item h="1" x="285"/>
        <item h="1" x="825"/>
        <item h="1" x="444"/>
        <item h="1" x="640"/>
        <item h="1" x="775"/>
        <item h="1" x="134"/>
        <item h="1" x="812"/>
        <item h="1" x="326"/>
        <item h="1" x="861"/>
        <item h="1" x="231"/>
        <item h="1" x="896"/>
        <item h="1" x="593"/>
        <item h="1" x="240"/>
        <item h="1" x="631"/>
        <item h="1" x="822"/>
        <item h="1" x="669"/>
        <item h="1" x="907"/>
        <item h="1" x="786"/>
        <item h="1" x="860"/>
        <item h="1" x="223"/>
        <item h="1" x="236"/>
        <item h="1" x="469"/>
        <item h="1" x="575"/>
        <item h="1" x="434"/>
        <item h="1" x="304"/>
        <item h="1" x="889"/>
        <item h="1" x="634"/>
        <item h="1" x="114"/>
        <item h="1" x="606"/>
        <item h="1" x="851"/>
        <item h="1" x="505"/>
        <item h="1" x="272"/>
        <item h="1" x="520"/>
        <item h="1" x="526"/>
        <item h="1" x="556"/>
        <item h="1" x="303"/>
        <item h="1" x="41"/>
        <item h="1" x="256"/>
        <item h="1" x="490"/>
        <item h="1" x="647"/>
        <item h="1" x="258"/>
        <item h="1" x="712"/>
        <item h="1" x="830"/>
        <item h="1" x="278"/>
        <item h="1" x="33"/>
        <item h="1" x="698"/>
        <item h="1" x="594"/>
        <item h="1" x="152"/>
        <item h="1" x="827"/>
        <item h="1" x="9"/>
        <item h="1" x="95"/>
        <item h="1" x="583"/>
        <item h="1" x="279"/>
        <item h="1" x="869"/>
        <item h="1" x="778"/>
        <item h="1" x="485"/>
        <item h="1" x="228"/>
        <item h="1" x="638"/>
        <item h="1" x="527"/>
        <item h="1" x="356"/>
        <item h="1" x="81"/>
        <item h="1" x="313"/>
        <item h="1" x="128"/>
        <item h="1" x="209"/>
        <item h="1" x="86"/>
        <item h="1" x="524"/>
        <item h="1" x="164"/>
        <item h="1" x="555"/>
        <item h="1" x="198"/>
        <item h="1" x="97"/>
        <item h="1" x="167"/>
        <item h="1" x="183"/>
        <item h="1" x="260"/>
        <item h="1" x="317"/>
        <item h="1" x="333"/>
        <item h="1" x="756"/>
        <item h="1" x="289"/>
        <item h="1" x="484"/>
        <item h="1" x="328"/>
        <item h="1" x="165"/>
        <item h="1" x="755"/>
        <item h="1" x="291"/>
        <item h="1" x="120"/>
        <item h="1" x="850"/>
        <item h="1" x="125"/>
        <item h="1" x="30"/>
        <item h="1" x="899"/>
        <item h="1" x="867"/>
        <item h="1" x="446"/>
        <item h="1" x="579"/>
        <item h="1" x="58"/>
        <item h="1" x="381"/>
        <item h="1" x="460"/>
        <item h="1" x="337"/>
        <item h="1" x="159"/>
        <item h="1" x="690"/>
        <item h="1" x="614"/>
        <item h="1" x="697"/>
        <item h="1" x="8"/>
        <item h="1" x="146"/>
        <item h="1" x="800"/>
        <item h="1" x="370"/>
        <item h="1" x="878"/>
        <item h="1" x="264"/>
        <item h="1" x="306"/>
        <item h="1" x="696"/>
        <item h="1" x="635"/>
        <item h="1" x="452"/>
        <item h="1" x="770"/>
        <item h="1" x="194"/>
        <item h="1" x="410"/>
        <item h="1" x="385"/>
        <item h="1" x="222"/>
        <item h="1" x="621"/>
        <item h="1" x="300"/>
        <item h="1" x="547"/>
        <item h="1" x="301"/>
        <item h="1" x="375"/>
        <item h="1" x="616"/>
        <item h="1" x="28"/>
        <item h="1" x="445"/>
        <item h="1" x="581"/>
        <item h="1" x="666"/>
        <item h="1" x="63"/>
        <item h="1" x="109"/>
        <item h="1" x="863"/>
        <item h="1" x="230"/>
        <item h="1" x="139"/>
        <item h="1" x="153"/>
        <item h="1" x="138"/>
        <item h="1" x="598"/>
        <item h="1" x="659"/>
        <item h="1" x="383"/>
        <item h="1" x="467"/>
        <item h="1" x="676"/>
        <item h="1" x="871"/>
        <item h="1" x="202"/>
        <item h="1" x="848"/>
        <item h="1" x="736"/>
        <item h="1" x="349"/>
        <item h="1" x="722"/>
        <item h="1" x="371"/>
        <item h="1" x="662"/>
        <item h="1" x="443"/>
        <item h="1" x="510"/>
        <item h="1" x="792"/>
        <item h="1" x="388"/>
        <item h="1" x="368"/>
        <item h="1" x="731"/>
        <item h="1" x="145"/>
        <item h="1" x="735"/>
        <item h="1" x="565"/>
        <item h="1" x="259"/>
        <item h="1" x="834"/>
        <item h="1" x="6"/>
        <item h="1" x="872"/>
        <item h="1" x="845"/>
        <item h="1" x="576"/>
        <item h="1" x="828"/>
        <item h="1" x="77"/>
        <item h="1" x="85"/>
        <item h="1" x="382"/>
        <item h="1" x="462"/>
        <item h="1" x="842"/>
        <item h="1" x="47"/>
        <item h="1" x="384"/>
        <item h="1" x="723"/>
        <item h="1" x="517"/>
        <item h="1" x="62"/>
        <item h="1" x="692"/>
        <item h="1" x="618"/>
        <item h="1" x="471"/>
        <item h="1" x="503"/>
        <item h="1" x="765"/>
        <item h="1" x="813"/>
        <item h="1" x="442"/>
        <item h="1" x="864"/>
        <item h="1" x="528"/>
        <item h="1" x="619"/>
        <item h="1" x="905"/>
        <item h="1" x="665"/>
        <item h="1" x="143"/>
        <item h="1" x="117"/>
        <item h="1" x="496"/>
        <item h="1" x="764"/>
        <item h="1" x="308"/>
        <item h="1" x="688"/>
        <item h="1" x="34"/>
        <item h="1" x="762"/>
        <item h="1" x="502"/>
        <item h="1" x="200"/>
        <item h="1" x="90"/>
        <item h="1" x="874"/>
        <item h="1" x="108"/>
        <item h="1" x="372"/>
        <item h="1" x="45"/>
        <item h="1" x="569"/>
        <item h="1" x="20"/>
        <item h="1" x="611"/>
        <item h="1" x="242"/>
        <item h="1" x="487"/>
        <item h="1" x="173"/>
        <item h="1" x="766"/>
        <item h="1" x="101"/>
        <item h="1" x="274"/>
        <item h="1" x="841"/>
        <item h="1" x="44"/>
        <item h="1" x="365"/>
        <item h="1" x="806"/>
        <item h="1" x="140"/>
        <item h="1" x="522"/>
        <item h="1" x="675"/>
        <item h="1" x="868"/>
        <item h="1" x="1"/>
        <item h="1" x="741"/>
        <item h="1" x="715"/>
        <item h="1" x="605"/>
        <item h="1" x="773"/>
        <item h="1" x="288"/>
        <item h="1" x="353"/>
        <item h="1" x="803"/>
        <item h="1" x="853"/>
        <item h="1" x="679"/>
        <item h="1" x="253"/>
        <item h="1" x="895"/>
        <item h="1" x="245"/>
        <item h="1" x="734"/>
        <item h="1" x="79"/>
        <item h="1" x="781"/>
        <item h="1" x="910"/>
        <item h="1" x="68"/>
        <item h="1" x="545"/>
        <item h="1" x="587"/>
        <item h="1" x="630"/>
        <item h="1" x="729"/>
        <item h="1" x="612"/>
        <item h="1" x="35"/>
        <item h="1" x="544"/>
        <item h="1" x="875"/>
        <item h="1" x="636"/>
        <item h="1" x="787"/>
        <item h="1" x="144"/>
        <item h="1" x="330"/>
        <item h="1" x="882"/>
        <item h="1" x="641"/>
        <item h="1" x="873"/>
        <item h="1" x="687"/>
        <item h="1" x="557"/>
        <item h="1" x="648"/>
        <item h="1" x="327"/>
        <item h="1" x="351"/>
        <item h="1" x="714"/>
        <item h="1" x="133"/>
        <item h="1" x="437"/>
        <item h="1" x="893"/>
        <item h="1" x="725"/>
        <item h="1" x="338"/>
        <item h="1" x="854"/>
        <item h="1" x="682"/>
        <item h="1" x="761"/>
        <item h="1" x="150"/>
        <item h="1" x="480"/>
        <item h="1" x="263"/>
        <item h="1" x="46"/>
        <item h="1" x="728"/>
        <item h="1" x="168"/>
        <item h="1" x="743"/>
        <item h="1" x="450"/>
        <item h="1" x="280"/>
        <item h="1" x="457"/>
        <item h="1" x="190"/>
        <item h="1" x="515"/>
        <item h="1" x="269"/>
        <item h="1" x="208"/>
        <item h="1" x="633"/>
        <item h="1" x="815"/>
        <item h="1" x="549"/>
        <item h="1" x="499"/>
        <item h="1" x="898"/>
        <item h="1" x="182"/>
        <item h="1" x="69"/>
        <item h="1" x="810"/>
        <item h="1" x="387"/>
        <item h="1" x="415"/>
        <item h="1" x="453"/>
        <item h="1" x="769"/>
        <item h="1" x="412"/>
        <item h="1" x="744"/>
        <item h="1" x="901"/>
        <item h="1" x="494"/>
        <item h="1" x="551"/>
        <item h="1" x="213"/>
        <item h="1" x="546"/>
        <item h="1" x="398"/>
        <item h="1" x="719"/>
        <item h="1" x="281"/>
        <item h="1" x="440"/>
        <item h="1" x="627"/>
        <item h="1" x="559"/>
        <item h="1" x="832"/>
        <item h="1" x="176"/>
        <item h="1" x="617"/>
        <item h="1" x="343"/>
        <item h="1" x="237"/>
        <item h="1" x="488"/>
        <item h="1" x="403"/>
        <item h="1" x="751"/>
        <item h="1" x="767"/>
        <item h="1" x="205"/>
        <item h="1" x="360"/>
        <item h="1" x="378"/>
        <item h="1" x="137"/>
        <item h="1" x="151"/>
        <item h="1" x="674"/>
        <item h="1" x="324"/>
        <item h="1" x="229"/>
        <item h="1" x="99"/>
        <item h="1" x="811"/>
        <item h="1" x="582"/>
        <item h="1" x="571"/>
        <item h="1" x="567"/>
        <item h="1" x="309"/>
        <item h="1" x="411"/>
        <item h="1" x="13"/>
        <item h="1" x="500"/>
        <item h="1" x="699"/>
        <item h="1" x="36"/>
        <item h="1" x="903"/>
        <item h="1" x="380"/>
        <item h="1" x="72"/>
        <item h="1" x="127"/>
        <item h="1" x="83"/>
        <item h="1" x="319"/>
        <item h="1" x="730"/>
        <item h="1" x="653"/>
        <item h="1" x="232"/>
        <item h="1" x="757"/>
        <item h="1" x="267"/>
        <item h="1" x="784"/>
        <item h="1" x="683"/>
        <item h="1" x="894"/>
        <item h="1" x="512"/>
        <item h="1" x="179"/>
        <item h="1" x="481"/>
        <item h="1" x="590"/>
        <item h="1" x="530"/>
        <item h="1" x="113"/>
        <item h="1" x="362"/>
        <item h="1" x="329"/>
        <item h="1" x="855"/>
        <item h="1" x="509"/>
        <item h="1" x="465"/>
        <item h="1" x="737"/>
        <item h="1" x="397"/>
        <item h="1" x="246"/>
        <item h="1" x="908"/>
        <item h="1" x="798"/>
        <item h="1" x="906"/>
        <item h="1" x="331"/>
        <item h="1" x="103"/>
        <item h="1" x="464"/>
        <item h="1" x="580"/>
        <item h="1" x="184"/>
        <item h="1" x="592"/>
        <item h="1" x="271"/>
        <item h="1" x="708"/>
        <item h="1" x="357"/>
        <item h="1" x="814"/>
        <item h="1" x="752"/>
        <item h="1" x="601"/>
        <item h="1" x="270"/>
        <item h="1" x="852"/>
        <item h="1" x="38"/>
        <item h="1" x="602"/>
        <item h="1" x="793"/>
        <item h="1" x="70"/>
        <item h="1" x="296"/>
        <item h="1" x="710"/>
        <item h="1" x="691"/>
        <item h="1" x="400"/>
        <item h="1" x="5"/>
        <item h="1" x="234"/>
        <item h="1" x="733"/>
        <item h="1" x="106"/>
        <item h="1" x="839"/>
        <item h="1" x="859"/>
        <item h="1" x="276"/>
        <item h="1" x="623"/>
        <item h="1" x="155"/>
        <item h="1" x="837"/>
        <item h="1" x="399"/>
        <item h="1" x="196"/>
        <item h="1" x="14"/>
        <item h="1" x="161"/>
        <item h="1" x="772"/>
        <item h="1" x="846"/>
        <item h="1" x="795"/>
        <item h="1" x="421"/>
        <item h="1" x="251"/>
        <item h="1" x="244"/>
        <item h="1" x="175"/>
        <item h="1" x="779"/>
        <item h="1" x="408"/>
        <item h="1" x="879"/>
        <item h="1" x="451"/>
        <item h="1" x="26"/>
        <item h="1" x="111"/>
        <item h="1" x="199"/>
        <item h="1" x="777"/>
        <item h="1" x="249"/>
        <item h="1" x="642"/>
        <item h="1" x="768"/>
        <item h="1" x="422"/>
        <item h="1" x="266"/>
        <item h="1" x="492"/>
        <item h="1" x="447"/>
        <item h="1" x="297"/>
        <item h="1" x="61"/>
        <item h="1" x="681"/>
        <item h="1" x="475"/>
        <item h="1" x="645"/>
        <item h="1" x="518"/>
        <item h="1" x="293"/>
        <item h="1" x="185"/>
        <item h="1" x="373"/>
        <item h="1" x="574"/>
        <item h="1" x="191"/>
        <item h="1" x="586"/>
        <item h="1" x="393"/>
        <item h="1" x="404"/>
        <item h="1" x="508"/>
        <item h="1" x="358"/>
        <item h="1" x="94"/>
        <item h="1" x="336"/>
        <item h="1" x="626"/>
        <item h="1" x="667"/>
        <item h="1" x="651"/>
        <item h="1" x="911"/>
        <item h="1" x="664"/>
        <item h="1" x="613"/>
        <item h="1" x="211"/>
        <item h="1" x="320"/>
        <item h="1" x="726"/>
        <item h="1" x="791"/>
        <item h="1" x="56"/>
        <item h="1" x="888"/>
        <item h="1" x="88"/>
        <item h="1" x="760"/>
        <item h="1" x="166"/>
        <item h="1" x="39"/>
        <item h="1" x="163"/>
        <item h="1" x="804"/>
        <item h="1" x="192"/>
        <item h="1" x="449"/>
        <item h="1" x="643"/>
        <item h="1" x="406"/>
        <item h="1" x="123"/>
        <item h="1" x="136"/>
        <item h="1" x="124"/>
        <item h="1" x="16"/>
        <item h="1" x="55"/>
        <item h="1" x="292"/>
        <item h="1" x="339"/>
        <item h="1" x="261"/>
        <item h="1" x="12"/>
        <item h="1" x="819"/>
        <item h="1" x="390"/>
        <item h="1" x="838"/>
        <item h="1" x="147"/>
        <item h="1" x="100"/>
        <item h="1" x="782"/>
        <item h="1" x="284"/>
        <item h="1" x="470"/>
        <item h="1" x="40"/>
        <item h="1" x="553"/>
        <item h="1" x="801"/>
        <item h="1" x="181"/>
        <item h="1" x="532"/>
        <item h="1" x="476"/>
        <item h="1" x="214"/>
        <item h="1" x="355"/>
        <item h="1" x="418"/>
        <item h="1" x="98"/>
        <item h="1" x="311"/>
        <item h="1" x="844"/>
        <item h="1" x="141"/>
        <item h="1" x="568"/>
        <item h="1" x="796"/>
        <item h="1" x="706"/>
        <item h="1" x="118"/>
        <item h="1" x="900"/>
        <item h="1" x="491"/>
        <item h="1" x="367"/>
        <item h="1" x="430"/>
        <item h="1" x="820"/>
        <item h="1" x="414"/>
        <item h="1" x="43"/>
        <item h="1" x="493"/>
        <item h="1" x="858"/>
        <item h="1" x="516"/>
        <item h="1" x="323"/>
        <item h="1" x="789"/>
        <item h="1" x="684"/>
        <item h="1" x="531"/>
        <item h="1" x="389"/>
        <item h="1" x="534"/>
        <item h="1" x="203"/>
        <item h="1" x="423"/>
        <item h="1" x="663"/>
        <item h="1" x="713"/>
        <item h="1" x="599"/>
        <item h="1" x="15"/>
        <item h="1" x="876"/>
        <item h="1" x="436"/>
        <item h="1" x="538"/>
        <item h="1" x="870"/>
        <item h="1" x="670"/>
        <item h="1" x="130"/>
        <item h="1" x="671"/>
        <item h="1" x="402"/>
        <item h="1" x="7"/>
        <item h="1" x="427"/>
        <item h="1" x="771"/>
        <item h="1" x="794"/>
        <item h="1" x="10"/>
        <item h="1" x="238"/>
        <item h="1" x="639"/>
        <item h="1" x="441"/>
        <item h="1" x="51"/>
        <item h="1" x="93"/>
        <item h="1" x="87"/>
        <item h="1" x="504"/>
        <item h="1" x="536"/>
        <item h="1" x="374"/>
        <item h="1" x="91"/>
        <item h="1" x="824"/>
        <item h="1" x="657"/>
        <item h="1" x="891"/>
        <item h="1" x="49"/>
        <item h="1" x="219"/>
        <item h="1" x="686"/>
        <item h="1" x="704"/>
        <item h="1" x="341"/>
        <item h="1" x="189"/>
        <item h="1" x="148"/>
        <item h="1" x="817"/>
        <item h="1" x="455"/>
        <item h="1" x="23"/>
        <item h="1" x="655"/>
        <item h="1" x="672"/>
        <item h="1" x="298"/>
        <item h="1" x="160"/>
        <item h="1" x="64"/>
        <item h="1" x="821"/>
        <item h="1" x="887"/>
        <item h="1" x="703"/>
        <item h="1" x="105"/>
        <item h="1" x="566"/>
        <item h="1" x="4"/>
        <item h="1" x="649"/>
        <item h="1" x="788"/>
        <item h="1" x="652"/>
        <item h="1" x="325"/>
        <item h="1" x="75"/>
        <item h="1" x="156"/>
        <item h="1" x="609"/>
        <item h="1" x="361"/>
        <item h="1" x="65"/>
        <item h="1" x="226"/>
        <item h="1" x="537"/>
        <item h="1" x="513"/>
        <item h="1" x="656"/>
        <item h="1" x="727"/>
        <item h="1" x="250"/>
        <item h="1" x="750"/>
        <item h="1" x="342"/>
        <item h="1" x="32"/>
        <item h="1" x="420"/>
        <item h="1" x="695"/>
        <item h="1" x="215"/>
        <item h="1" x="826"/>
        <item h="1" x="785"/>
        <item h="1" x="459"/>
        <item h="1" x="302"/>
        <item h="1" x="364"/>
        <item h="1" x="780"/>
        <item h="1" x="295"/>
        <item h="1" x="424"/>
        <item h="1" x="115"/>
        <item h="1" x="53"/>
        <item h="1" x="158"/>
        <item h="1" x="448"/>
        <item h="1" x="489"/>
        <item h="1" x="654"/>
        <item h="1" x="116"/>
        <item h="1" x="709"/>
        <item h="1" x="603"/>
        <item h="1" x="187"/>
        <item h="1" x="157"/>
        <item h="1" x="227"/>
        <item h="1" x="243"/>
        <item h="1" x="377"/>
        <item h="1" x="833"/>
        <item h="1" x="257"/>
        <item h="1" x="689"/>
        <item h="1" x="563"/>
        <item h="1" x="11"/>
        <item h="1" x="315"/>
        <item h="1" x="347"/>
        <item h="1" x="620"/>
        <item h="1" x="102"/>
        <item h="1" x="685"/>
        <item h="1" x="758"/>
        <item h="1" x="299"/>
        <item h="1" x="50"/>
        <item h="1" x="413"/>
        <item h="1" x="628"/>
        <item h="1" x="25"/>
        <item h="1" x="169"/>
        <item h="1" x="477"/>
        <item h="1" x="119"/>
        <item h="1" x="495"/>
        <item h="1" x="218"/>
        <item h="1" x="334"/>
        <item h="1" x="82"/>
        <item h="1" x="172"/>
        <item h="1" x="283"/>
        <item h="1" x="305"/>
        <item h="1" x="774"/>
        <item h="1" x="588"/>
        <item h="1" x="533"/>
        <item h="1" x="717"/>
        <item h="1" x="29"/>
        <item x="458"/>
        <item h="1" x="607"/>
        <item h="1" x="542"/>
        <item h="1" x="131"/>
        <item h="1" x="188"/>
        <item h="1" x="352"/>
        <item h="1" x="482"/>
        <item h="1" x="511"/>
        <item h="1" x="718"/>
        <item h="1" x="865"/>
        <item h="1" x="89"/>
        <item h="1" x="912"/>
        <item h="1" x="693"/>
        <item h="1" x="273"/>
        <item h="1" x="248"/>
        <item h="1" x="359"/>
        <item h="1" x="24"/>
        <item h="1" x="312"/>
        <item h="1" x="646"/>
        <item h="1" x="416"/>
        <item h="1" x="468"/>
        <item h="1" x="577"/>
        <item h="1" x="206"/>
        <item h="1" x="558"/>
        <item h="1" x="255"/>
        <item h="1" x="386"/>
        <item h="1" x="350"/>
        <item h="1" x="486"/>
        <item h="1" x="318"/>
        <item h="1" x="506"/>
        <item h="1" x="885"/>
        <item h="1" x="52"/>
        <item h="1" x="407"/>
        <item h="1" x="660"/>
        <item h="1" x="332"/>
        <item h="1" x="862"/>
        <item h="1" x="632"/>
        <item h="1" x="836"/>
        <item h="1" x="135"/>
        <item h="1" x="570"/>
        <item h="1" x="401"/>
        <item h="1" x="604"/>
        <item h="1" x="732"/>
        <item h="1" x="316"/>
        <item h="1" x="369"/>
        <item h="1" x="589"/>
        <item h="1" x="395"/>
        <item h="1" x="335"/>
        <item h="1" x="880"/>
        <item h="1" x="78"/>
        <item h="1" x="254"/>
        <item h="1" x="233"/>
        <item h="1" x="805"/>
        <item h="1" x="501"/>
        <item h="1" x="884"/>
        <item h="1" x="540"/>
        <item h="1" x="31"/>
        <item h="1" x="913"/>
        <item t="default"/>
      </items>
    </pivotField>
    <pivotField showAll="0"/>
    <pivotField showAll="0"/>
    <pivotField showAll="0"/>
    <pivotField showAll="0"/>
    <pivotField showAll="0"/>
    <pivotField showAll="0">
      <items count="6">
        <item h="1" x="2"/>
        <item h="1" x="1"/>
        <item h="1" x="3"/>
        <item x="0"/>
        <item h="1" x="4"/>
        <item t="default"/>
      </items>
    </pivotField>
    <pivotField showAll="0"/>
    <pivotField showAll="0">
      <items count="5">
        <item h="1" x="2"/>
        <item h="1" x="1"/>
        <item x="0"/>
        <item h="1" x="3"/>
        <item t="default"/>
      </items>
    </pivotField>
    <pivotField showAll="0"/>
    <pivotField dataField="1" showAll="0"/>
    <pivotField showAll="0"/>
    <pivotField showAll="0"/>
    <pivotField showAll="0"/>
    <pivotField showAll="0"/>
    <pivotField showAll="0"/>
  </pivotFields>
  <rowFields count="1">
    <field x="6"/>
  </rowFields>
  <rowItems count="1">
    <i t="grand">
      <x/>
    </i>
  </rowItems>
  <colItems count="1">
    <i/>
  </colItems>
  <dataFields count="1">
    <dataField name="Sum of Quantity" fld="1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20">
  <location ref="A38:B40" firstHeaderRow="1" firstDataRow="1" firstDataCol="1"/>
  <pivotFields count="22">
    <pivotField showAll="0"/>
    <pivotField showAll="0"/>
    <pivotField showAll="0"/>
    <pivotField showAll="0"/>
    <pivotField showAll="0">
      <items count="6">
        <item h="1" x="0"/>
        <item h="1" x="3"/>
        <item h="1" x="1"/>
        <item x="2"/>
        <item h="1" x="4"/>
        <item t="default"/>
      </items>
    </pivotField>
    <pivotField showAll="0"/>
    <pivotField showAll="0"/>
    <pivotField showAll="0"/>
    <pivotField showAll="0"/>
    <pivotField showAll="0"/>
    <pivotField showAll="0"/>
    <pivotField showAll="0"/>
    <pivotField showAll="0">
      <items count="6">
        <item h="1" x="2"/>
        <item h="1" x="1"/>
        <item h="1" x="3"/>
        <item x="0"/>
        <item h="1" x="4"/>
        <item t="default"/>
      </items>
    </pivotField>
    <pivotField showAll="0"/>
    <pivotField axis="axisRow" showAll="0">
      <items count="5">
        <item h="1" x="2"/>
        <item h="1" x="1"/>
        <item x="0"/>
        <item h="1" x="3"/>
        <item t="default"/>
      </items>
    </pivotField>
    <pivotField showAll="0"/>
    <pivotField showAll="0"/>
    <pivotField showAll="0"/>
    <pivotField showAll="0"/>
    <pivotField dataField="1" showAll="0"/>
    <pivotField showAll="0"/>
    <pivotField showAll="0"/>
  </pivotFields>
  <rowFields count="1">
    <field x="14"/>
  </rowFields>
  <rowItems count="2">
    <i>
      <x v="2"/>
    </i>
    <i t="grand">
      <x/>
    </i>
  </rowItems>
  <colItems count="1">
    <i/>
  </colItems>
  <dataFields count="1">
    <dataField name="Sum of Sales" fld="19" baseField="0" baseItem="0"/>
  </dataFields>
  <chartFormats count="4">
    <chartFormat chart="6" format="0" series="1">
      <pivotArea type="data" outline="0" fieldPosition="0">
        <references count="1">
          <reference field="4294967294" count="1" selected="0">
            <x v="0"/>
          </reference>
        </references>
      </pivotArea>
    </chartFormat>
    <chartFormat chart="6" format="4">
      <pivotArea type="data" outline="0" fieldPosition="0">
        <references count="2">
          <reference field="4294967294" count="1" selected="0">
            <x v="0"/>
          </reference>
          <reference field="14" count="1" selected="0">
            <x v="0"/>
          </reference>
        </references>
      </pivotArea>
    </chartFormat>
    <chartFormat chart="6" format="5">
      <pivotArea type="data" outline="0" fieldPosition="0">
        <references count="2">
          <reference field="4294967294" count="1" selected="0">
            <x v="0"/>
          </reference>
          <reference field="14" count="1" selected="0">
            <x v="1"/>
          </reference>
        </references>
      </pivotArea>
    </chartFormat>
    <chartFormat chart="6" format="6">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name="monthly walk ins" cacheId="0"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15">
  <location ref="A70:B79" firstHeaderRow="1" firstDataRow="1" firstDataCol="1"/>
  <pivotFields count="22">
    <pivotField showAll="0"/>
    <pivotField showAll="0"/>
    <pivotField showAll="0"/>
    <pivotField axis="axisRow" showAll="0">
      <items count="14">
        <item x="4"/>
        <item x="10"/>
        <item x="6"/>
        <item x="8"/>
        <item x="5"/>
        <item x="1"/>
        <item x="2"/>
        <item x="3"/>
        <item x="0"/>
        <item x="7"/>
        <item x="11"/>
        <item x="9"/>
        <item h="1" x="12"/>
        <item t="default"/>
      </items>
    </pivotField>
    <pivotField showAll="0">
      <items count="6">
        <item h="1" x="0"/>
        <item h="1" x="3"/>
        <item h="1" x="1"/>
        <item x="2"/>
        <item h="1" x="4"/>
        <item t="default"/>
      </items>
    </pivotField>
    <pivotField showAll="0"/>
    <pivotField dataField="1" showAll="0"/>
    <pivotField showAll="0"/>
    <pivotField showAll="0"/>
    <pivotField showAll="0"/>
    <pivotField showAll="0"/>
    <pivotField showAll="0"/>
    <pivotField showAll="0">
      <items count="6">
        <item h="1" x="2"/>
        <item h="1" x="1"/>
        <item h="1" x="3"/>
        <item x="0"/>
        <item h="1" x="4"/>
        <item t="default"/>
      </items>
    </pivotField>
    <pivotField showAll="0"/>
    <pivotField showAll="0">
      <items count="5">
        <item h="1" x="2"/>
        <item h="1" x="1"/>
        <item x="0"/>
        <item h="1" x="3"/>
        <item t="default"/>
      </items>
    </pivotField>
    <pivotField showAll="0"/>
    <pivotField showAll="0"/>
    <pivotField showAll="0"/>
    <pivotField showAll="0"/>
    <pivotField showAll="0"/>
    <pivotField showAll="0"/>
    <pivotField showAll="0"/>
  </pivotFields>
  <rowFields count="1">
    <field x="3"/>
  </rowFields>
  <rowItems count="9">
    <i>
      <x/>
    </i>
    <i>
      <x v="1"/>
    </i>
    <i>
      <x v="2"/>
    </i>
    <i>
      <x v="3"/>
    </i>
    <i>
      <x v="4"/>
    </i>
    <i>
      <x v="5"/>
    </i>
    <i>
      <x v="6"/>
    </i>
    <i>
      <x v="7"/>
    </i>
    <i t="grand">
      <x/>
    </i>
  </rowItems>
  <colItems count="1">
    <i/>
  </colItems>
  <dataFields count="1">
    <dataField name="Count of Customer Name" fld="6" subtotal="count" baseField="0" baseItem="0"/>
  </dataFields>
  <chartFormats count="4">
    <chartFormat chart="1"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name="customer distribution" cacheId="0"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5">
  <location ref="D21:E24" firstHeaderRow="1" firstDataRow="1" firstDataCol="1"/>
  <pivotFields count="22">
    <pivotField showAll="0"/>
    <pivotField showAll="0"/>
    <pivotField showAll="0"/>
    <pivotField showAll="0"/>
    <pivotField showAll="0">
      <items count="6">
        <item h="1" x="0"/>
        <item h="1" x="3"/>
        <item h="1" x="1"/>
        <item x="2"/>
        <item h="1" x="4"/>
        <item t="default"/>
      </items>
    </pivotField>
    <pivotField dataField="1" showAll="0">
      <items count="915">
        <item x="635"/>
        <item x="158"/>
        <item x="579"/>
        <item x="94"/>
        <item x="775"/>
        <item x="869"/>
        <item x="25"/>
        <item x="195"/>
        <item x="901"/>
        <item x="134"/>
        <item x="667"/>
        <item x="175"/>
        <item x="58"/>
        <item x="858"/>
        <item x="748"/>
        <item x="189"/>
        <item x="716"/>
        <item x="574"/>
        <item x="378"/>
        <item x="201"/>
        <item x="511"/>
        <item x="125"/>
        <item x="640"/>
        <item x="18"/>
        <item x="264"/>
        <item x="123"/>
        <item x="6"/>
        <item x="405"/>
        <item x="905"/>
        <item x="445"/>
        <item x="38"/>
        <item x="874"/>
        <item x="140"/>
        <item x="53"/>
        <item x="236"/>
        <item x="233"/>
        <item x="50"/>
        <item x="875"/>
        <item x="164"/>
        <item x="619"/>
        <item x="539"/>
        <item x="52"/>
        <item x="213"/>
        <item x="486"/>
        <item x="898"/>
        <item x="491"/>
        <item x="301"/>
        <item x="449"/>
        <item x="459"/>
        <item x="835"/>
        <item x="885"/>
        <item x="39"/>
        <item x="371"/>
        <item x="155"/>
        <item x="463"/>
        <item x="101"/>
        <item x="323"/>
        <item x="812"/>
        <item x="105"/>
        <item x="503"/>
        <item x="22"/>
        <item x="893"/>
        <item x="241"/>
        <item x="250"/>
        <item x="130"/>
        <item x="761"/>
        <item x="752"/>
        <item x="414"/>
        <item x="36"/>
        <item x="228"/>
        <item x="899"/>
        <item x="706"/>
        <item x="360"/>
        <item x="33"/>
        <item x="319"/>
        <item x="131"/>
        <item x="187"/>
        <item x="93"/>
        <item x="234"/>
        <item x="789"/>
        <item x="719"/>
        <item x="103"/>
        <item x="568"/>
        <item x="679"/>
        <item x="279"/>
        <item x="883"/>
        <item x="556"/>
        <item x="448"/>
        <item x="49"/>
        <item x="434"/>
        <item x="441"/>
        <item x="506"/>
        <item x="541"/>
        <item x="205"/>
        <item x="484"/>
        <item x="682"/>
        <item x="544"/>
        <item x="796"/>
        <item x="367"/>
        <item x="651"/>
        <item x="218"/>
        <item x="209"/>
        <item x="699"/>
        <item x="769"/>
        <item x="376"/>
        <item x="845"/>
        <item x="70"/>
        <item x="601"/>
        <item x="145"/>
        <item x="242"/>
        <item x="714"/>
        <item x="139"/>
        <item x="254"/>
        <item x="225"/>
        <item x="754"/>
        <item x="314"/>
        <item x="390"/>
        <item x="771"/>
        <item x="513"/>
        <item x="776"/>
        <item x="572"/>
        <item x="92"/>
        <item x="849"/>
        <item x="641"/>
        <item x="545"/>
        <item x="208"/>
        <item x="87"/>
        <item x="32"/>
        <item x="454"/>
        <item x="63"/>
        <item x="401"/>
        <item x="26"/>
        <item x="59"/>
        <item x="862"/>
        <item x="383"/>
        <item x="227"/>
        <item x="564"/>
        <item x="576"/>
        <item x="571"/>
        <item x="470"/>
        <item x="872"/>
        <item x="147"/>
        <item x="67"/>
        <item x="100"/>
        <item x="868"/>
        <item x="739"/>
        <item x="790"/>
        <item x="43"/>
        <item x="424"/>
        <item x="630"/>
        <item x="379"/>
        <item x="395"/>
        <item x="257"/>
        <item x="828"/>
        <item x="421"/>
        <item x="285"/>
        <item x="795"/>
        <item x="347"/>
        <item x="185"/>
        <item x="361"/>
        <item x="570"/>
        <item x="583"/>
        <item x="85"/>
        <item x="150"/>
        <item x="808"/>
        <item x="270"/>
        <item x="0"/>
        <item x="680"/>
        <item x="559"/>
        <item x="772"/>
        <item x="488"/>
        <item x="622"/>
        <item x="519"/>
        <item x="385"/>
        <item x="648"/>
        <item x="581"/>
        <item x="289"/>
        <item x="119"/>
        <item x="386"/>
        <item x="709"/>
        <item x="741"/>
        <item x="520"/>
        <item x="563"/>
        <item x="304"/>
        <item x="801"/>
        <item x="650"/>
        <item x="174"/>
        <item x="832"/>
        <item x="803"/>
        <item x="109"/>
        <item x="674"/>
        <item x="566"/>
        <item x="807"/>
        <item x="232"/>
        <item x="720"/>
        <item x="1"/>
        <item x="5"/>
        <item x="652"/>
        <item x="276"/>
        <item x="35"/>
        <item x="731"/>
        <item x="806"/>
        <item x="632"/>
        <item x="403"/>
        <item x="357"/>
        <item x="48"/>
        <item x="436"/>
        <item x="102"/>
        <item x="287"/>
        <item x="788"/>
        <item x="467"/>
        <item x="490"/>
        <item x="537"/>
        <item x="331"/>
        <item x="489"/>
        <item x="603"/>
        <item x="426"/>
        <item x="425"/>
        <item x="215"/>
        <item x="142"/>
        <item x="2"/>
        <item x="767"/>
        <item x="21"/>
        <item x="562"/>
        <item x="879"/>
        <item x="688"/>
        <item x="442"/>
        <item x="596"/>
        <item x="190"/>
        <item x="30"/>
        <item x="514"/>
        <item x="671"/>
        <item x="696"/>
        <item x="685"/>
        <item x="614"/>
        <item x="13"/>
        <item x="643"/>
        <item x="251"/>
        <item x="785"/>
        <item x="469"/>
        <item x="51"/>
        <item x="246"/>
        <item x="74"/>
        <item x="532"/>
        <item x="637"/>
        <item x="694"/>
        <item x="47"/>
        <item x="300"/>
        <item x="438"/>
        <item x="200"/>
        <item x="446"/>
        <item x="691"/>
        <item x="525"/>
        <item x="888"/>
        <item x="258"/>
        <item x="613"/>
        <item x="745"/>
        <item x="678"/>
        <item x="854"/>
        <item x="165"/>
        <item x="819"/>
        <item x="427"/>
        <item x="69"/>
        <item x="895"/>
        <item x="177"/>
        <item x="364"/>
        <item x="89"/>
        <item x="587"/>
        <item x="569"/>
        <item x="567"/>
        <item x="735"/>
        <item x="732"/>
        <item x="336"/>
        <item x="611"/>
        <item x="354"/>
        <item x="600"/>
        <item x="78"/>
        <item x="84"/>
        <item x="256"/>
        <item x="538"/>
        <item x="718"/>
        <item x="79"/>
        <item x="340"/>
        <item x="870"/>
        <item x="721"/>
        <item x="499"/>
        <item x="349"/>
        <item x="498"/>
        <item x="529"/>
        <item x="786"/>
        <item x="219"/>
        <item x="245"/>
        <item x="339"/>
        <item x="399"/>
        <item x="178"/>
        <item x="605"/>
        <item x="802"/>
        <item x="221"/>
        <item x="60"/>
        <item x="455"/>
        <item x="282"/>
        <item x="717"/>
        <item x="844"/>
        <item x="97"/>
        <item x="10"/>
        <item x="647"/>
        <item x="851"/>
        <item x="380"/>
        <item x="821"/>
        <item x="243"/>
        <item x="592"/>
        <item x="657"/>
        <item x="867"/>
        <item x="586"/>
        <item x="199"/>
        <item x="666"/>
        <item x="332"/>
        <item x="863"/>
        <item x="321"/>
        <item x="374"/>
        <item x="42"/>
        <item x="846"/>
        <item x="684"/>
        <item x="248"/>
        <item x="440"/>
        <item x="259"/>
        <item x="417"/>
        <item x="318"/>
        <item x="284"/>
        <item x="351"/>
        <item x="298"/>
        <item x="117"/>
        <item x="291"/>
        <item x="293"/>
        <item x="188"/>
        <item x="19"/>
        <item x="783"/>
        <item x="452"/>
        <item x="202"/>
        <item x="909"/>
        <item x="159"/>
        <item x="535"/>
        <item x="167"/>
        <item x="763"/>
        <item x="138"/>
        <item x="28"/>
        <item x="83"/>
        <item x="627"/>
        <item x="645"/>
        <item x="11"/>
        <item x="557"/>
        <item x="604"/>
        <item x="482"/>
        <item x="534"/>
        <item x="135"/>
        <item x="137"/>
        <item x="591"/>
        <item x="618"/>
        <item x="850"/>
        <item x="608"/>
        <item x="833"/>
        <item x="746"/>
        <item x="703"/>
        <item x="747"/>
        <item x="88"/>
        <item x="876"/>
        <item x="693"/>
        <item x="774"/>
        <item x="565"/>
        <item x="226"/>
        <item x="553"/>
        <item x="762"/>
        <item x="362"/>
        <item x="428"/>
        <item x="62"/>
        <item x="910"/>
        <item x="163"/>
        <item x="528"/>
        <item x="306"/>
        <item x="711"/>
        <item x="356"/>
        <item x="479"/>
        <item x="255"/>
        <item x="391"/>
        <item x="698"/>
        <item x="372"/>
        <item x="830"/>
        <item x="335"/>
        <item x="330"/>
        <item x="855"/>
        <item x="373"/>
        <item x="316"/>
        <item x="29"/>
        <item x="45"/>
        <item x="95"/>
        <item x="278"/>
        <item x="595"/>
        <item x="269"/>
        <item x="847"/>
        <item x="697"/>
        <item x="584"/>
        <item x="634"/>
        <item x="238"/>
        <item x="377"/>
        <item x="610"/>
        <item x="843"/>
        <item x="891"/>
        <item x="456"/>
        <item x="662"/>
        <item x="727"/>
        <item x="784"/>
        <item x="625"/>
        <item x="398"/>
        <item x="121"/>
        <item x="295"/>
        <item x="112"/>
        <item x="206"/>
        <item x="664"/>
        <item x="223"/>
        <item x="453"/>
        <item x="400"/>
        <item x="781"/>
        <item x="355"/>
        <item x="886"/>
        <item x="860"/>
        <item x="497"/>
        <item x="384"/>
        <item x="352"/>
        <item x="220"/>
        <item x="737"/>
        <item x="252"/>
        <item x="23"/>
        <item x="9"/>
        <item x="773"/>
        <item x="476"/>
        <item x="621"/>
        <item x="107"/>
        <item x="271"/>
        <item x="878"/>
        <item x="675"/>
        <item x="34"/>
        <item x="419"/>
        <item x="432"/>
        <item x="24"/>
        <item x="461"/>
        <item x="757"/>
        <item x="413"/>
        <item x="668"/>
        <item x="738"/>
        <item x="815"/>
        <item x="902"/>
        <item x="27"/>
        <item x="162"/>
        <item x="265"/>
        <item x="725"/>
        <item x="852"/>
        <item x="547"/>
        <item x="826"/>
        <item x="154"/>
        <item x="778"/>
        <item x="588"/>
        <item x="740"/>
        <item x="602"/>
        <item x="861"/>
        <item x="633"/>
        <item x="268"/>
        <item x="296"/>
        <item x="247"/>
        <item x="620"/>
        <item x="478"/>
        <item x="402"/>
        <item x="487"/>
        <item x="856"/>
        <item x="249"/>
        <item x="756"/>
        <item x="262"/>
        <item x="550"/>
        <item x="388"/>
        <item x="758"/>
        <item x="797"/>
        <item x="543"/>
        <item x="299"/>
        <item x="194"/>
        <item x="689"/>
        <item x="460"/>
        <item x="40"/>
        <item x="813"/>
        <item x="760"/>
        <item x="73"/>
        <item x="118"/>
        <item x="172"/>
        <item x="397"/>
        <item x="686"/>
        <item x="897"/>
        <item x="884"/>
        <item x="468"/>
        <item x="594"/>
        <item x="615"/>
        <item x="99"/>
        <item x="677"/>
        <item x="363"/>
        <item x="842"/>
        <item x="151"/>
        <item x="702"/>
        <item x="607"/>
        <item x="715"/>
        <item x="211"/>
        <item x="266"/>
        <item x="670"/>
        <item x="143"/>
        <item x="889"/>
        <item x="261"/>
        <item x="16"/>
        <item x="822"/>
        <item x="505"/>
        <item x="676"/>
        <item x="522"/>
        <item x="654"/>
        <item x="294"/>
        <item x="838"/>
        <item x="126"/>
        <item x="54"/>
        <item x="274"/>
        <item x="447"/>
        <item x="410"/>
        <item x="240"/>
        <item x="350"/>
        <item x="530"/>
        <item x="342"/>
        <item x="516"/>
        <item x="338"/>
        <item x="156"/>
        <item x="346"/>
        <item x="146"/>
        <item x="368"/>
        <item x="779"/>
        <item x="280"/>
        <item x="764"/>
        <item x="418"/>
        <item x="665"/>
        <item x="462"/>
        <item x="585"/>
        <item x="136"/>
        <item x="420"/>
        <item x="344"/>
        <item x="366"/>
        <item x="7"/>
        <item x="728"/>
        <item x="370"/>
        <item x="628"/>
        <item x="646"/>
        <item x="113"/>
        <item x="345"/>
        <item x="517"/>
        <item x="111"/>
        <item x="15"/>
        <item x="429"/>
        <item x="548"/>
        <item x="906"/>
        <item x="290"/>
        <item x="157"/>
        <item x="315"/>
        <item x="799"/>
        <item x="275"/>
        <item x="281"/>
        <item x="72"/>
        <item x="736"/>
        <item x="730"/>
        <item x="865"/>
        <item x="626"/>
        <item x="106"/>
        <item x="303"/>
        <item x="90"/>
        <item x="308"/>
        <item x="334"/>
        <item x="472"/>
        <item x="524"/>
        <item x="337"/>
        <item x="599"/>
        <item x="273"/>
        <item x="184"/>
        <item x="672"/>
        <item x="501"/>
        <item x="589"/>
        <item x="911"/>
        <item x="656"/>
        <item x="4"/>
        <item x="56"/>
        <item x="810"/>
        <item x="798"/>
        <item x="176"/>
        <item x="900"/>
        <item x="483"/>
        <item x="551"/>
        <item x="267"/>
        <item x="464"/>
        <item x="108"/>
        <item x="704"/>
        <item x="649"/>
        <item x="186"/>
        <item x="170"/>
        <item x="493"/>
        <item x="183"/>
        <item x="272"/>
        <item x="423"/>
        <item x="710"/>
        <item x="466"/>
        <item x="393"/>
        <item x="658"/>
        <item x="496"/>
        <item x="829"/>
        <item x="814"/>
        <item x="840"/>
        <item x="415"/>
        <item x="128"/>
        <item x="780"/>
        <item x="132"/>
        <item x="408"/>
        <item x="866"/>
        <item x="359"/>
        <item x="81"/>
        <item x="451"/>
        <item x="133"/>
        <item x="787"/>
        <item x="841"/>
        <item x="873"/>
        <item x="881"/>
        <item x="695"/>
        <item x="659"/>
        <item x="864"/>
        <item x="358"/>
        <item x="310"/>
        <item x="65"/>
        <item x="561"/>
        <item x="197"/>
        <item x="57"/>
        <item x="64"/>
        <item x="554"/>
        <item x="526"/>
        <item x="288"/>
        <item x="320"/>
        <item x="907"/>
        <item x="409"/>
        <item x="759"/>
        <item x="477"/>
        <item x="653"/>
        <item x="578"/>
        <item x="416"/>
        <item x="598"/>
        <item x="435"/>
        <item x="597"/>
        <item x="433"/>
        <item x="521"/>
        <item x="422"/>
        <item x="387"/>
        <item x="149"/>
        <item x="624"/>
        <item x="204"/>
        <item x="723"/>
        <item x="766"/>
        <item x="495"/>
        <item x="37"/>
        <item x="502"/>
        <item x="457"/>
        <item x="148"/>
        <item x="507"/>
        <item x="381"/>
        <item x="500"/>
        <item x="573"/>
        <item x="116"/>
        <item x="286"/>
        <item x="348"/>
        <item x="582"/>
        <item x="834"/>
        <item x="777"/>
        <item x="542"/>
        <item x="749"/>
        <item x="644"/>
        <item x="375"/>
        <item x="722"/>
        <item x="144"/>
        <item x="169"/>
        <item x="66"/>
        <item x="823"/>
        <item x="510"/>
        <item x="871"/>
        <item x="8"/>
        <item x="407"/>
        <item x="181"/>
        <item x="700"/>
        <item x="46"/>
        <item x="481"/>
        <item x="75"/>
        <item x="253"/>
        <item x="17"/>
        <item x="824"/>
        <item x="313"/>
        <item x="687"/>
        <item x="324"/>
        <item x="912"/>
        <item x="705"/>
        <item x="811"/>
        <item x="793"/>
        <item x="412"/>
        <item x="61"/>
        <item x="518"/>
        <item x="431"/>
        <item x="31"/>
        <item x="669"/>
        <item x="877"/>
        <item x="692"/>
        <item x="908"/>
        <item x="369"/>
        <item x="244"/>
        <item x="792"/>
        <item x="443"/>
        <item x="325"/>
        <item x="744"/>
        <item x="473"/>
        <item x="612"/>
        <item x="216"/>
        <item x="231"/>
        <item x="260"/>
        <item x="55"/>
        <item x="887"/>
        <item x="305"/>
        <item x="444"/>
        <item x="661"/>
        <item x="239"/>
        <item x="198"/>
        <item x="173"/>
        <item x="207"/>
        <item x="734"/>
        <item x="465"/>
        <item x="575"/>
        <item x="765"/>
        <item x="68"/>
        <item x="353"/>
        <item x="312"/>
        <item x="80"/>
        <item x="76"/>
        <item x="91"/>
        <item x="122"/>
        <item x="809"/>
        <item x="552"/>
        <item x="329"/>
        <item x="512"/>
        <item x="475"/>
        <item x="326"/>
        <item x="179"/>
        <item x="297"/>
        <item x="755"/>
        <item x="492"/>
        <item x="904"/>
        <item x="322"/>
        <item x="708"/>
        <item x="882"/>
        <item x="110"/>
        <item x="343"/>
        <item x="224"/>
        <item x="890"/>
        <item x="804"/>
        <item x="753"/>
        <item x="292"/>
        <item x="196"/>
        <item x="214"/>
        <item x="235"/>
        <item x="903"/>
        <item x="480"/>
        <item x="533"/>
        <item x="623"/>
        <item x="673"/>
        <item x="817"/>
        <item x="193"/>
        <item x="41"/>
        <item x="590"/>
        <item x="171"/>
        <item x="794"/>
        <item x="333"/>
        <item x="733"/>
        <item x="365"/>
        <item x="71"/>
        <item x="161"/>
        <item x="168"/>
        <item x="3"/>
        <item x="857"/>
        <item x="515"/>
        <item x="382"/>
        <item x="853"/>
        <item x="283"/>
        <item x="182"/>
        <item x="124"/>
        <item x="743"/>
        <item x="96"/>
        <item x="504"/>
        <item x="683"/>
        <item x="791"/>
        <item x="82"/>
        <item x="546"/>
        <item x="404"/>
        <item x="609"/>
        <item x="115"/>
        <item x="712"/>
        <item x="770"/>
        <item x="394"/>
        <item x="782"/>
        <item x="141"/>
        <item x="839"/>
        <item x="120"/>
        <item x="540"/>
        <item x="212"/>
        <item x="217"/>
        <item x="411"/>
        <item x="180"/>
        <item x="86"/>
        <item x="836"/>
        <item x="713"/>
        <item x="655"/>
        <item x="222"/>
        <item x="114"/>
        <item x="509"/>
        <item x="629"/>
        <item x="191"/>
        <item x="751"/>
        <item x="98"/>
        <item x="127"/>
        <item x="681"/>
        <item x="439"/>
        <item x="859"/>
        <item x="690"/>
        <item x="560"/>
        <item x="805"/>
        <item x="523"/>
        <item x="210"/>
        <item x="558"/>
        <item x="458"/>
        <item x="129"/>
        <item x="317"/>
        <item x="820"/>
        <item x="44"/>
        <item x="536"/>
        <item x="707"/>
        <item x="77"/>
        <item x="701"/>
        <item x="816"/>
        <item x="166"/>
        <item x="527"/>
        <item x="894"/>
        <item x="639"/>
        <item x="389"/>
        <item x="485"/>
        <item x="549"/>
        <item x="471"/>
        <item x="104"/>
        <item x="508"/>
        <item x="450"/>
        <item x="392"/>
        <item x="406"/>
        <item x="229"/>
        <item x="606"/>
        <item x="818"/>
        <item x="192"/>
        <item x="663"/>
        <item x="341"/>
        <item x="617"/>
        <item x="636"/>
        <item x="577"/>
        <item x="328"/>
        <item x="837"/>
        <item x="160"/>
        <item x="311"/>
        <item x="848"/>
        <item x="880"/>
        <item x="638"/>
        <item x="20"/>
        <item x="494"/>
        <item x="12"/>
        <item x="825"/>
        <item x="263"/>
        <item x="580"/>
        <item x="768"/>
        <item x="892"/>
        <item x="302"/>
        <item x="750"/>
        <item x="153"/>
        <item x="642"/>
        <item x="729"/>
        <item x="309"/>
        <item x="800"/>
        <item x="616"/>
        <item x="230"/>
        <item x="831"/>
        <item x="307"/>
        <item x="660"/>
        <item x="152"/>
        <item x="742"/>
        <item x="631"/>
        <item x="896"/>
        <item x="593"/>
        <item x="203"/>
        <item x="726"/>
        <item x="474"/>
        <item x="724"/>
        <item x="396"/>
        <item x="827"/>
        <item x="327"/>
        <item x="277"/>
        <item x="237"/>
        <item x="14"/>
        <item x="437"/>
        <item x="430"/>
        <item x="531"/>
        <item x="555"/>
        <item x="913"/>
        <item t="default"/>
      </items>
    </pivotField>
    <pivotField showAll="0"/>
    <pivotField showAll="0"/>
    <pivotField showAll="0"/>
    <pivotField showAll="0"/>
    <pivotField axis="axisRow" showAll="0">
      <items count="5">
        <item x="1"/>
        <item x="2"/>
        <item x="0"/>
        <item h="1" x="3"/>
        <item t="default"/>
      </items>
    </pivotField>
    <pivotField showAll="0"/>
    <pivotField showAll="0">
      <items count="6">
        <item h="1" x="2"/>
        <item h="1" x="1"/>
        <item h="1" x="3"/>
        <item x="0"/>
        <item h="1" x="4"/>
        <item t="default"/>
      </items>
    </pivotField>
    <pivotField showAll="0"/>
    <pivotField showAll="0">
      <items count="5">
        <item h="1" x="2"/>
        <item h="1" x="1"/>
        <item x="0"/>
        <item h="1" x="3"/>
        <item t="default"/>
      </items>
    </pivotField>
    <pivotField showAll="0"/>
    <pivotField showAll="0"/>
    <pivotField showAll="0"/>
    <pivotField showAll="0"/>
    <pivotField showAll="0"/>
    <pivotField showAll="0"/>
    <pivotField showAll="0"/>
  </pivotFields>
  <rowFields count="1">
    <field x="10"/>
  </rowFields>
  <rowItems count="3">
    <i>
      <x/>
    </i>
    <i>
      <x v="2"/>
    </i>
    <i t="grand">
      <x/>
    </i>
  </rowItems>
  <colItems count="1">
    <i/>
  </colItems>
  <dataFields count="1">
    <dataField name="Count of Customer ID" fld="5" subtotal="count" baseField="0" baseItem="0"/>
  </dataField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0" count="1" selected="0">
            <x v="0"/>
          </reference>
        </references>
      </pivotArea>
    </chartFormat>
    <chartFormat chart="0" format="2">
      <pivotArea type="data" outline="0" fieldPosition="0">
        <references count="2">
          <reference field="4294967294" count="1" selected="0">
            <x v="0"/>
          </reference>
          <reference field="10" count="1" selected="0">
            <x v="1"/>
          </reference>
        </references>
      </pivotArea>
    </chartFormat>
    <chartFormat chart="0" format="3">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name="montly coffee performances" cacheId="0"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19">
  <location ref="D53:F63" firstHeaderRow="1" firstDataRow="2" firstDataCol="1"/>
  <pivotFields count="22">
    <pivotField showAll="0"/>
    <pivotField showAll="0"/>
    <pivotField showAll="0"/>
    <pivotField axis="axisRow" showAll="0">
      <items count="14">
        <item x="4"/>
        <item x="10"/>
        <item x="6"/>
        <item x="8"/>
        <item x="5"/>
        <item x="1"/>
        <item x="2"/>
        <item x="3"/>
        <item x="0"/>
        <item x="7"/>
        <item x="11"/>
        <item x="9"/>
        <item h="1" x="12"/>
        <item t="default"/>
      </items>
    </pivotField>
    <pivotField showAll="0">
      <items count="6">
        <item h="1" x="0"/>
        <item h="1" x="3"/>
        <item h="1" x="1"/>
        <item x="2"/>
        <item h="1" x="4"/>
        <item t="default"/>
      </items>
    </pivotField>
    <pivotField showAll="0"/>
    <pivotField showAll="0"/>
    <pivotField showAll="0"/>
    <pivotField showAll="0"/>
    <pivotField showAll="0"/>
    <pivotField showAll="0"/>
    <pivotField showAll="0"/>
    <pivotField axis="axisCol" showAll="0">
      <items count="6">
        <item h="1" x="2"/>
        <item h="1" x="1"/>
        <item h="1" x="3"/>
        <item x="0"/>
        <item h="1" x="4"/>
        <item t="default"/>
      </items>
    </pivotField>
    <pivotField showAll="0"/>
    <pivotField showAll="0">
      <items count="5">
        <item h="1" x="2"/>
        <item h="1" x="1"/>
        <item x="0"/>
        <item h="1" x="3"/>
        <item t="default"/>
      </items>
    </pivotField>
    <pivotField showAll="0"/>
    <pivotField showAll="0"/>
    <pivotField showAll="0"/>
    <pivotField showAll="0"/>
    <pivotField dataField="1" showAll="0"/>
    <pivotField showAll="0"/>
    <pivotField showAll="0"/>
  </pivotFields>
  <rowFields count="1">
    <field x="3"/>
  </rowFields>
  <rowItems count="9">
    <i>
      <x/>
    </i>
    <i>
      <x v="1"/>
    </i>
    <i>
      <x v="2"/>
    </i>
    <i>
      <x v="3"/>
    </i>
    <i>
      <x v="4"/>
    </i>
    <i>
      <x v="5"/>
    </i>
    <i>
      <x v="6"/>
    </i>
    <i>
      <x v="7"/>
    </i>
    <i t="grand">
      <x/>
    </i>
  </rowItems>
  <colFields count="1">
    <field x="12"/>
  </colFields>
  <colItems count="2">
    <i>
      <x v="3"/>
    </i>
    <i t="grand">
      <x/>
    </i>
  </colItems>
  <dataFields count="1">
    <dataField name="Sum of Sales" fld="19" baseField="0" baseItem="0"/>
  </dataFields>
  <chartFormats count="12">
    <chartFormat chart="0" format="4" series="1">
      <pivotArea type="data" outline="0" fieldPosition="0">
        <references count="1">
          <reference field="12" count="1" selected="0">
            <x v="0"/>
          </reference>
        </references>
      </pivotArea>
    </chartFormat>
    <chartFormat chart="0" format="5" series="1">
      <pivotArea type="data" outline="0" fieldPosition="0">
        <references count="1">
          <reference field="12" count="1" selected="0">
            <x v="1"/>
          </reference>
        </references>
      </pivotArea>
    </chartFormat>
    <chartFormat chart="0" format="6" series="1">
      <pivotArea type="data" outline="0" fieldPosition="0">
        <references count="1">
          <reference field="12" count="1" selected="0">
            <x v="2"/>
          </reference>
        </references>
      </pivotArea>
    </chartFormat>
    <chartFormat chart="0" format="7" series="1">
      <pivotArea type="data" outline="0" fieldPosition="0">
        <references count="1">
          <reference field="12" count="1" selected="0">
            <x v="3"/>
          </reference>
        </references>
      </pivotArea>
    </chartFormat>
    <chartFormat chart="0" format="8" series="1">
      <pivotArea type="data" outline="0" fieldPosition="0">
        <references count="2">
          <reference field="4294967294" count="1" selected="0">
            <x v="0"/>
          </reference>
          <reference field="12" count="1" selected="0">
            <x v="1"/>
          </reference>
        </references>
      </pivotArea>
    </chartFormat>
    <chartFormat chart="0" format="9" series="1">
      <pivotArea type="data" outline="0" fieldPosition="0">
        <references count="2">
          <reference field="4294967294" count="1" selected="0">
            <x v="0"/>
          </reference>
          <reference field="12" count="1" selected="0">
            <x v="2"/>
          </reference>
        </references>
      </pivotArea>
    </chartFormat>
    <chartFormat chart="0" format="10" series="1">
      <pivotArea type="data" outline="0" fieldPosition="0">
        <references count="2">
          <reference field="4294967294" count="1" selected="0">
            <x v="0"/>
          </reference>
          <reference field="12" count="1" selected="0">
            <x v="3"/>
          </reference>
        </references>
      </pivotArea>
    </chartFormat>
    <chartFormat chart="0" format="11" series="1">
      <pivotArea type="data" outline="0" fieldPosition="0">
        <references count="2">
          <reference field="4294967294" count="1" selected="0">
            <x v="0"/>
          </reference>
          <reference field="12" count="1" selected="0">
            <x v="0"/>
          </reference>
        </references>
      </pivotArea>
    </chartFormat>
    <chartFormat chart="14" format="16" series="1">
      <pivotArea type="data" outline="0" fieldPosition="0">
        <references count="2">
          <reference field="4294967294" count="1" selected="0">
            <x v="0"/>
          </reference>
          <reference field="12" count="1" selected="0">
            <x v="0"/>
          </reference>
        </references>
      </pivotArea>
    </chartFormat>
    <chartFormat chart="14" format="17" series="1">
      <pivotArea type="data" outline="0" fieldPosition="0">
        <references count="2">
          <reference field="4294967294" count="1" selected="0">
            <x v="0"/>
          </reference>
          <reference field="12" count="1" selected="0">
            <x v="1"/>
          </reference>
        </references>
      </pivotArea>
    </chartFormat>
    <chartFormat chart="14" format="18" series="1">
      <pivotArea type="data" outline="0" fieldPosition="0">
        <references count="2">
          <reference field="4294967294" count="1" selected="0">
            <x v="0"/>
          </reference>
          <reference field="12" count="1" selected="0">
            <x v="2"/>
          </reference>
        </references>
      </pivotArea>
    </chartFormat>
    <chartFormat chart="14" format="19" series="1">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name="cities sales" cacheId="0"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23">
  <location ref="A133:B146" firstHeaderRow="1" firstDataRow="1" firstDataCol="1"/>
  <pivotFields count="22">
    <pivotField showAll="0"/>
    <pivotField showAll="0"/>
    <pivotField showAll="0"/>
    <pivotField showAll="0"/>
    <pivotField showAll="0">
      <items count="6">
        <item h="1" x="0"/>
        <item h="1" x="3"/>
        <item h="1" x="1"/>
        <item x="2"/>
        <item h="1" x="4"/>
        <item t="default"/>
      </items>
    </pivotField>
    <pivotField showAll="0"/>
    <pivotField showAll="0"/>
    <pivotField showAll="0"/>
    <pivotField showAll="0"/>
    <pivotField axis="axisRow" showAll="0" measureFilter="1">
      <items count="377">
        <item x="72"/>
        <item x="199"/>
        <item x="140"/>
        <item x="347"/>
        <item x="117"/>
        <item x="237"/>
        <item x="311"/>
        <item x="279"/>
        <item x="219"/>
        <item x="92"/>
        <item x="338"/>
        <item x="113"/>
        <item x="249"/>
        <item x="228"/>
        <item x="114"/>
        <item x="284"/>
        <item x="161"/>
        <item x="24"/>
        <item x="79"/>
        <item x="248"/>
        <item x="102"/>
        <item x="318"/>
        <item x="146"/>
        <item x="330"/>
        <item x="157"/>
        <item x="302"/>
        <item x="297"/>
        <item x="104"/>
        <item x="247"/>
        <item x="295"/>
        <item x="246"/>
        <item x="266"/>
        <item x="360"/>
        <item x="232"/>
        <item x="192"/>
        <item x="278"/>
        <item x="163"/>
        <item x="359"/>
        <item x="317"/>
        <item x="75"/>
        <item x="197"/>
        <item x="242"/>
        <item x="332"/>
        <item x="38"/>
        <item x="109"/>
        <item x="213"/>
        <item x="367"/>
        <item x="35"/>
        <item x="183"/>
        <item x="276"/>
        <item x="205"/>
        <item x="310"/>
        <item x="250"/>
        <item x="37"/>
        <item x="130"/>
        <item x="73"/>
        <item x="372"/>
        <item x="58"/>
        <item x="14"/>
        <item x="272"/>
        <item x="186"/>
        <item x="301"/>
        <item x="107"/>
        <item x="121"/>
        <item x="181"/>
        <item x="118"/>
        <item x="221"/>
        <item x="364"/>
        <item x="296"/>
        <item x="358"/>
        <item x="303"/>
        <item x="169"/>
        <item x="81"/>
        <item x="27"/>
        <item x="63"/>
        <item x="131"/>
        <item x="217"/>
        <item x="115"/>
        <item x="89"/>
        <item x="160"/>
        <item x="54"/>
        <item x="231"/>
        <item x="206"/>
        <item x="2"/>
        <item x="159"/>
        <item x="120"/>
        <item x="265"/>
        <item x="328"/>
        <item x="22"/>
        <item x="305"/>
        <item x="71"/>
        <item x="182"/>
        <item x="61"/>
        <item x="82"/>
        <item x="371"/>
        <item x="260"/>
        <item x="78"/>
        <item x="191"/>
        <item x="122"/>
        <item x="366"/>
        <item x="43"/>
        <item x="280"/>
        <item x="68"/>
        <item x="189"/>
        <item x="4"/>
        <item x="373"/>
        <item x="288"/>
        <item x="177"/>
        <item x="29"/>
        <item x="111"/>
        <item x="135"/>
        <item x="96"/>
        <item x="202"/>
        <item x="69"/>
        <item x="162"/>
        <item x="319"/>
        <item x="209"/>
        <item x="285"/>
        <item x="158"/>
        <item x="123"/>
        <item x="252"/>
        <item x="194"/>
        <item x="84"/>
        <item x="154"/>
        <item x="87"/>
        <item x="19"/>
        <item x="173"/>
        <item x="98"/>
        <item x="361"/>
        <item x="97"/>
        <item x="251"/>
        <item x="144"/>
        <item x="308"/>
        <item x="256"/>
        <item x="298"/>
        <item x="42"/>
        <item x="214"/>
        <item x="321"/>
        <item x="51"/>
        <item x="57"/>
        <item x="345"/>
        <item x="74"/>
        <item x="368"/>
        <item x="326"/>
        <item x="132"/>
        <item x="331"/>
        <item x="307"/>
        <item x="25"/>
        <item x="16"/>
        <item x="116"/>
        <item x="353"/>
        <item x="365"/>
        <item x="281"/>
        <item x="312"/>
        <item x="225"/>
        <item x="33"/>
        <item x="152"/>
        <item x="264"/>
        <item x="352"/>
        <item x="103"/>
        <item x="13"/>
        <item x="90"/>
        <item x="289"/>
        <item x="99"/>
        <item x="283"/>
        <item x="333"/>
        <item x="207"/>
        <item x="151"/>
        <item x="222"/>
        <item x="240"/>
        <item x="314"/>
        <item x="168"/>
        <item x="128"/>
        <item x="336"/>
        <item x="77"/>
        <item x="241"/>
        <item x="165"/>
        <item x="5"/>
        <item x="91"/>
        <item x="59"/>
        <item x="44"/>
        <item x="187"/>
        <item x="261"/>
        <item x="149"/>
        <item x="175"/>
        <item x="355"/>
        <item x="257"/>
        <item x="203"/>
        <item x="235"/>
        <item x="269"/>
        <item x="133"/>
        <item x="344"/>
        <item x="198"/>
        <item x="227"/>
        <item x="150"/>
        <item x="85"/>
        <item x="193"/>
        <item x="195"/>
        <item x="65"/>
        <item x="28"/>
        <item x="335"/>
        <item x="60"/>
        <item x="282"/>
        <item x="323"/>
        <item x="245"/>
        <item x="239"/>
        <item x="6"/>
        <item x="286"/>
        <item x="185"/>
        <item x="143"/>
        <item x="271"/>
        <item x="324"/>
        <item x="188"/>
        <item x="126"/>
        <item x="238"/>
        <item x="337"/>
        <item x="290"/>
        <item x="277"/>
        <item x="270"/>
        <item x="139"/>
        <item x="294"/>
        <item x="137"/>
        <item x="342"/>
        <item x="218"/>
        <item x="190"/>
        <item x="292"/>
        <item x="67"/>
        <item x="9"/>
        <item x="262"/>
        <item x="166"/>
        <item x="30"/>
        <item x="351"/>
        <item x="354"/>
        <item x="244"/>
        <item x="334"/>
        <item x="124"/>
        <item x="343"/>
        <item x="66"/>
        <item x="357"/>
        <item x="306"/>
        <item x="362"/>
        <item x="275"/>
        <item x="53"/>
        <item x="93"/>
        <item x="322"/>
        <item x="136"/>
        <item x="233"/>
        <item x="226"/>
        <item x="341"/>
        <item x="32"/>
        <item x="15"/>
        <item x="55"/>
        <item x="164"/>
        <item x="62"/>
        <item x="95"/>
        <item x="176"/>
        <item x="40"/>
        <item x="80"/>
        <item x="184"/>
        <item x="112"/>
        <item x="70"/>
        <item x="220"/>
        <item x="34"/>
        <item x="101"/>
        <item x="339"/>
        <item x="349"/>
        <item x="106"/>
        <item x="327"/>
        <item x="148"/>
        <item x="0"/>
        <item x="48"/>
        <item x="20"/>
        <item x="11"/>
        <item x="167"/>
        <item x="291"/>
        <item x="171"/>
        <item x="348"/>
        <item x="88"/>
        <item x="129"/>
        <item x="12"/>
        <item x="105"/>
        <item x="229"/>
        <item x="108"/>
        <item x="17"/>
        <item x="119"/>
        <item x="179"/>
        <item x="369"/>
        <item x="23"/>
        <item x="76"/>
        <item x="216"/>
        <item x="8"/>
        <item x="110"/>
        <item x="36"/>
        <item x="356"/>
        <item x="215"/>
        <item x="155"/>
        <item x="253"/>
        <item x="254"/>
        <item x="267"/>
        <item x="10"/>
        <item x="50"/>
        <item x="350"/>
        <item x="363"/>
        <item x="147"/>
        <item x="299"/>
        <item x="1"/>
        <item x="39"/>
        <item x="236"/>
        <item x="204"/>
        <item x="7"/>
        <item x="255"/>
        <item x="201"/>
        <item x="100"/>
        <item x="346"/>
        <item x="268"/>
        <item x="3"/>
        <item x="258"/>
        <item x="208"/>
        <item x="293"/>
        <item x="180"/>
        <item x="153"/>
        <item x="172"/>
        <item x="212"/>
        <item x="370"/>
        <item x="125"/>
        <item x="141"/>
        <item x="64"/>
        <item x="94"/>
        <item x="142"/>
        <item x="287"/>
        <item x="83"/>
        <item x="329"/>
        <item x="304"/>
        <item x="224"/>
        <item x="170"/>
        <item x="309"/>
        <item x="174"/>
        <item x="315"/>
        <item x="47"/>
        <item x="300"/>
        <item x="45"/>
        <item x="210"/>
        <item x="21"/>
        <item x="46"/>
        <item x="259"/>
        <item x="31"/>
        <item x="178"/>
        <item x="223"/>
        <item x="134"/>
        <item x="86"/>
        <item x="340"/>
        <item x="211"/>
        <item x="26"/>
        <item x="234"/>
        <item x="18"/>
        <item x="56"/>
        <item x="263"/>
        <item x="273"/>
        <item x="138"/>
        <item x="41"/>
        <item x="243"/>
        <item x="196"/>
        <item x="200"/>
        <item x="230"/>
        <item x="127"/>
        <item x="145"/>
        <item x="313"/>
        <item x="156"/>
        <item x="325"/>
        <item x="274"/>
        <item x="374"/>
        <item x="52"/>
        <item x="316"/>
        <item x="320"/>
        <item x="49"/>
        <item x="375"/>
        <item t="default"/>
      </items>
    </pivotField>
    <pivotField showAll="0"/>
    <pivotField showAll="0"/>
    <pivotField showAll="0">
      <items count="6">
        <item h="1" x="2"/>
        <item h="1" x="1"/>
        <item h="1" x="3"/>
        <item x="0"/>
        <item h="1" x="4"/>
        <item t="default"/>
      </items>
    </pivotField>
    <pivotField showAll="0"/>
    <pivotField showAll="0">
      <items count="5">
        <item h="1" x="2"/>
        <item h="1" x="1"/>
        <item x="0"/>
        <item h="1" x="3"/>
        <item t="default"/>
      </items>
    </pivotField>
    <pivotField showAll="0"/>
    <pivotField showAll="0"/>
    <pivotField showAll="0"/>
    <pivotField showAll="0"/>
    <pivotField dataField="1" showAll="0">
      <items count="199">
        <item x="97"/>
        <item x="55"/>
        <item x="60"/>
        <item x="186"/>
        <item x="84"/>
        <item x="83"/>
        <item x="189"/>
        <item x="115"/>
        <item x="7"/>
        <item x="147"/>
        <item x="9"/>
        <item x="52"/>
        <item x="53"/>
        <item x="35"/>
        <item x="41"/>
        <item x="36"/>
        <item x="112"/>
        <item x="31"/>
        <item x="161"/>
        <item x="192"/>
        <item x="169"/>
        <item x="54"/>
        <item x="138"/>
        <item x="175"/>
        <item x="127"/>
        <item x="47"/>
        <item x="23"/>
        <item x="14"/>
        <item x="22"/>
        <item x="87"/>
        <item x="24"/>
        <item x="2"/>
        <item x="73"/>
        <item x="77"/>
        <item x="148"/>
        <item x="72"/>
        <item x="154"/>
        <item x="181"/>
        <item x="79"/>
        <item x="78"/>
        <item x="20"/>
        <item x="151"/>
        <item x="128"/>
        <item x="42"/>
        <item x="80"/>
        <item x="103"/>
        <item x="38"/>
        <item x="19"/>
        <item x="92"/>
        <item x="58"/>
        <item x="105"/>
        <item x="8"/>
        <item x="131"/>
        <item x="94"/>
        <item x="81"/>
        <item x="117"/>
        <item x="0"/>
        <item x="16"/>
        <item x="123"/>
        <item x="132"/>
        <item x="155"/>
        <item x="137"/>
        <item x="26"/>
        <item x="6"/>
        <item x="110"/>
        <item x="122"/>
        <item x="156"/>
        <item x="102"/>
        <item x="29"/>
        <item x="86"/>
        <item x="178"/>
        <item x="76"/>
        <item x="167"/>
        <item x="145"/>
        <item x="109"/>
        <item x="50"/>
        <item x="149"/>
        <item x="51"/>
        <item x="166"/>
        <item x="25"/>
        <item x="142"/>
        <item x="3"/>
        <item x="140"/>
        <item x="32"/>
        <item x="139"/>
        <item x="194"/>
        <item x="104"/>
        <item x="195"/>
        <item x="91"/>
        <item x="44"/>
        <item x="113"/>
        <item x="176"/>
        <item x="124"/>
        <item x="111"/>
        <item x="101"/>
        <item x="116"/>
        <item x="65"/>
        <item x="107"/>
        <item x="190"/>
        <item x="70"/>
        <item x="191"/>
        <item x="27"/>
        <item x="66"/>
        <item x="114"/>
        <item x="133"/>
        <item x="82"/>
        <item x="5"/>
        <item x="10"/>
        <item x="61"/>
        <item x="13"/>
        <item x="1"/>
        <item x="163"/>
        <item x="34"/>
        <item x="160"/>
        <item x="69"/>
        <item x="153"/>
        <item x="157"/>
        <item x="135"/>
        <item x="162"/>
        <item x="46"/>
        <item x="62"/>
        <item x="90"/>
        <item x="168"/>
        <item x="12"/>
        <item x="95"/>
        <item x="67"/>
        <item x="28"/>
        <item x="119"/>
        <item x="59"/>
        <item x="4"/>
        <item x="193"/>
        <item x="158"/>
        <item x="126"/>
        <item x="30"/>
        <item x="125"/>
        <item x="48"/>
        <item x="120"/>
        <item x="33"/>
        <item x="143"/>
        <item x="184"/>
        <item x="98"/>
        <item x="40"/>
        <item x="165"/>
        <item x="188"/>
        <item x="174"/>
        <item x="173"/>
        <item x="93"/>
        <item x="96"/>
        <item x="85"/>
        <item x="144"/>
        <item x="45"/>
        <item x="118"/>
        <item x="37"/>
        <item x="159"/>
        <item x="57"/>
        <item x="17"/>
        <item x="180"/>
        <item x="18"/>
        <item x="185"/>
        <item x="121"/>
        <item x="171"/>
        <item x="75"/>
        <item x="146"/>
        <item x="49"/>
        <item x="21"/>
        <item x="88"/>
        <item x="179"/>
        <item x="64"/>
        <item x="89"/>
        <item x="182"/>
        <item x="68"/>
        <item x="63"/>
        <item x="108"/>
        <item x="150"/>
        <item x="15"/>
        <item x="129"/>
        <item x="99"/>
        <item x="177"/>
        <item x="130"/>
        <item x="136"/>
        <item x="56"/>
        <item x="170"/>
        <item x="187"/>
        <item x="141"/>
        <item x="43"/>
        <item x="74"/>
        <item x="71"/>
        <item x="196"/>
        <item x="183"/>
        <item x="164"/>
        <item x="11"/>
        <item x="39"/>
        <item x="134"/>
        <item x="152"/>
        <item x="172"/>
        <item x="106"/>
        <item x="100"/>
        <item x="197"/>
        <item t="default"/>
      </items>
    </pivotField>
    <pivotField showAll="0"/>
    <pivotField showAll="0"/>
  </pivotFields>
  <rowFields count="1">
    <field x="9"/>
  </rowFields>
  <rowItems count="13">
    <i>
      <x/>
    </i>
    <i>
      <x v="10"/>
    </i>
    <i>
      <x v="135"/>
    </i>
    <i>
      <x v="137"/>
    </i>
    <i>
      <x v="142"/>
    </i>
    <i>
      <x v="194"/>
    </i>
    <i>
      <x v="235"/>
    </i>
    <i>
      <x v="236"/>
    </i>
    <i>
      <x v="272"/>
    </i>
    <i>
      <x v="290"/>
    </i>
    <i>
      <x v="292"/>
    </i>
    <i>
      <x v="340"/>
    </i>
    <i t="grand">
      <x/>
    </i>
  </rowItems>
  <colItems count="1">
    <i/>
  </colItems>
  <dataFields count="1">
    <dataField name="Sum of Sales" fld="19"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9" count="1" selected="0">
            <x v="250"/>
          </reference>
        </references>
      </pivotArea>
    </chartFormat>
    <chartFormat chart="0" format="2">
      <pivotArea type="data" outline="0" fieldPosition="0">
        <references count="2">
          <reference field="4294967294" count="1" selected="0">
            <x v="0"/>
          </reference>
          <reference field="9" count="1" selected="0">
            <x v="139"/>
          </reference>
        </references>
      </pivotArea>
    </chartFormat>
    <chartFormat chart="21" format="5" series="1">
      <pivotArea type="data" outline="0" fieldPosition="0">
        <references count="1">
          <reference field="4294967294" count="1" selected="0">
            <x v="0"/>
          </reference>
        </references>
      </pivotArea>
    </chartFormat>
    <chartFormat chart="22" format="6" series="1">
      <pivotArea type="data" outline="0" fieldPosition="0">
        <references count="1">
          <reference field="4294967294" count="1" selected="0">
            <x v="0"/>
          </reference>
        </references>
      </pivotArea>
    </chartFormat>
    <chartFormat chart="15"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15" filterVal="1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location ref="A112:A113" firstHeaderRow="1" firstDataRow="1" firstDataCol="0"/>
  <pivotFields count="22">
    <pivotField showAll="0"/>
    <pivotField showAll="0"/>
    <pivotField showAll="0"/>
    <pivotField showAll="0"/>
    <pivotField showAll="0"/>
    <pivotField showAll="0"/>
    <pivotField showAll="0"/>
    <pivotField showAll="0"/>
    <pivotField showAll="0"/>
    <pivotField showAll="0"/>
    <pivotField showAll="0"/>
    <pivotField showAll="0"/>
    <pivotField showAll="0">
      <items count="6">
        <item h="1" x="2"/>
        <item h="1" x="1"/>
        <item h="1" x="3"/>
        <item x="0"/>
        <item h="1" x="4"/>
        <item t="default"/>
      </items>
    </pivotField>
    <pivotField showAll="0"/>
    <pivotField showAll="0">
      <items count="5">
        <item h="1" x="2"/>
        <item h="1" x="1"/>
        <item x="0"/>
        <item h="1" x="3"/>
        <item t="default"/>
      </items>
    </pivotField>
    <pivotField showAll="0"/>
    <pivotField showAll="0"/>
    <pivotField showAll="0"/>
    <pivotField showAll="0"/>
    <pivotField showAll="0"/>
    <pivotField dataField="1" showAll="0"/>
    <pivotField showAll="0"/>
  </pivotFields>
  <rowItems count="1">
    <i/>
  </rowItems>
  <colItems count="1">
    <i/>
  </colItems>
  <dataFields count="1">
    <dataField name="Sum of Total profit" fld="2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location ref="B105:B106" firstHeaderRow="1" firstDataRow="1" firstDataCol="0"/>
  <pivotFields count="22">
    <pivotField showAll="0"/>
    <pivotField showAll="0"/>
    <pivotField showAll="0"/>
    <pivotField showAll="0"/>
    <pivotField showAll="0">
      <items count="6">
        <item h="1" x="0"/>
        <item h="1" x="3"/>
        <item h="1" x="1"/>
        <item x="2"/>
        <item h="1" x="4"/>
        <item t="default"/>
      </items>
    </pivotField>
    <pivotField dataField="1" showAll="0"/>
    <pivotField showAll="0"/>
    <pivotField showAll="0"/>
    <pivotField showAll="0"/>
    <pivotField showAll="0"/>
    <pivotField showAll="0"/>
    <pivotField showAll="0"/>
    <pivotField showAll="0">
      <items count="6">
        <item h="1" x="2"/>
        <item h="1" x="1"/>
        <item h="1" x="3"/>
        <item x="0"/>
        <item h="1" x="4"/>
        <item t="default"/>
      </items>
    </pivotField>
    <pivotField showAll="0"/>
    <pivotField showAll="0">
      <items count="5">
        <item h="1" x="2"/>
        <item h="1" x="1"/>
        <item x="0"/>
        <item h="1" x="3"/>
        <item t="default"/>
      </items>
    </pivotField>
    <pivotField showAll="0"/>
    <pivotField showAll="0"/>
    <pivotField showAll="0"/>
    <pivotField showAll="0"/>
    <pivotField showAll="0"/>
    <pivotField showAll="0"/>
    <pivotField showAll="0"/>
  </pivotFields>
  <rowItems count="1">
    <i/>
  </rowItems>
  <colItems count="1">
    <i/>
  </colItems>
  <dataFields count="1">
    <dataField name="Count of Customer ID" fld="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name="monthly prefomances" cacheId="0"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location ref="A53:B62" firstHeaderRow="1" firstDataRow="1" firstDataCol="1"/>
  <pivotFields count="22">
    <pivotField showAll="0"/>
    <pivotField showAll="0"/>
    <pivotField showAll="0"/>
    <pivotField axis="axisRow" showAll="0">
      <items count="14">
        <item x="4"/>
        <item x="10"/>
        <item x="6"/>
        <item x="8"/>
        <item x="5"/>
        <item x="1"/>
        <item x="2"/>
        <item x="3"/>
        <item x="0"/>
        <item x="7"/>
        <item x="11"/>
        <item x="9"/>
        <item h="1" x="12"/>
        <item t="default"/>
      </items>
    </pivotField>
    <pivotField showAll="0">
      <items count="6">
        <item h="1" x="0"/>
        <item h="1" x="3"/>
        <item h="1" x="1"/>
        <item x="2"/>
        <item h="1" x="4"/>
        <item t="default"/>
      </items>
    </pivotField>
    <pivotField showAll="0"/>
    <pivotField showAll="0"/>
    <pivotField showAll="0"/>
    <pivotField showAll="0"/>
    <pivotField showAll="0"/>
    <pivotField showAll="0"/>
    <pivotField showAll="0"/>
    <pivotField showAll="0">
      <items count="6">
        <item h="1" x="2"/>
        <item h="1" x="1"/>
        <item h="1" x="3"/>
        <item x="0"/>
        <item h="1" x="4"/>
        <item t="default"/>
      </items>
    </pivotField>
    <pivotField showAll="0"/>
    <pivotField showAll="0">
      <items count="5">
        <item h="1" x="2"/>
        <item h="1" x="1"/>
        <item x="0"/>
        <item h="1" x="3"/>
        <item t="default"/>
      </items>
    </pivotField>
    <pivotField showAll="0"/>
    <pivotField showAll="0"/>
    <pivotField showAll="0"/>
    <pivotField showAll="0"/>
    <pivotField dataField="1" showAll="0"/>
    <pivotField showAll="0"/>
    <pivotField showAll="0"/>
  </pivotFields>
  <rowFields count="1">
    <field x="3"/>
  </rowFields>
  <rowItems count="9">
    <i>
      <x/>
    </i>
    <i>
      <x v="1"/>
    </i>
    <i>
      <x v="2"/>
    </i>
    <i>
      <x v="3"/>
    </i>
    <i>
      <x v="4"/>
    </i>
    <i>
      <x v="5"/>
    </i>
    <i>
      <x v="6"/>
    </i>
    <i>
      <x v="7"/>
    </i>
    <i t="grand">
      <x/>
    </i>
  </rowItems>
  <colItems count="1">
    <i/>
  </colItems>
  <dataFields count="1">
    <dataField name="Sum of Sales" fld="1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name="customer evolved in year" cacheId="0"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location ref="A46:B48" firstHeaderRow="1" firstDataRow="1" firstDataCol="1"/>
  <pivotFields count="22">
    <pivotField showAll="0"/>
    <pivotField showAll="0"/>
    <pivotField showAll="0"/>
    <pivotField showAll="0"/>
    <pivotField axis="axisRow" showAll="0">
      <items count="6">
        <item h="1" x="0"/>
        <item h="1" x="3"/>
        <item h="1" x="1"/>
        <item x="2"/>
        <item h="1" x="4"/>
        <item t="default"/>
      </items>
    </pivotField>
    <pivotField dataField="1" showAll="0">
      <items count="915">
        <item x="635"/>
        <item x="158"/>
        <item x="579"/>
        <item x="94"/>
        <item x="775"/>
        <item x="869"/>
        <item x="25"/>
        <item x="195"/>
        <item x="901"/>
        <item x="134"/>
        <item x="667"/>
        <item x="175"/>
        <item x="58"/>
        <item x="858"/>
        <item x="748"/>
        <item x="189"/>
        <item x="716"/>
        <item x="574"/>
        <item x="378"/>
        <item x="201"/>
        <item x="511"/>
        <item x="125"/>
        <item x="640"/>
        <item x="18"/>
        <item x="264"/>
        <item x="123"/>
        <item x="6"/>
        <item x="405"/>
        <item x="905"/>
        <item x="445"/>
        <item x="38"/>
        <item x="874"/>
        <item x="140"/>
        <item x="53"/>
        <item x="236"/>
        <item x="233"/>
        <item x="50"/>
        <item x="875"/>
        <item x="164"/>
        <item x="619"/>
        <item x="539"/>
        <item x="52"/>
        <item x="213"/>
        <item x="486"/>
        <item x="898"/>
        <item x="491"/>
        <item x="301"/>
        <item x="449"/>
        <item x="459"/>
        <item x="835"/>
        <item x="885"/>
        <item x="39"/>
        <item x="371"/>
        <item x="155"/>
        <item x="463"/>
        <item x="101"/>
        <item x="323"/>
        <item x="812"/>
        <item x="105"/>
        <item x="503"/>
        <item x="22"/>
        <item x="893"/>
        <item x="241"/>
        <item x="250"/>
        <item x="130"/>
        <item x="761"/>
        <item x="752"/>
        <item x="414"/>
        <item x="36"/>
        <item x="228"/>
        <item x="899"/>
        <item x="706"/>
        <item x="360"/>
        <item x="33"/>
        <item x="319"/>
        <item x="131"/>
        <item x="187"/>
        <item x="93"/>
        <item x="234"/>
        <item x="789"/>
        <item x="719"/>
        <item x="103"/>
        <item x="568"/>
        <item x="679"/>
        <item x="279"/>
        <item x="883"/>
        <item x="556"/>
        <item x="448"/>
        <item x="49"/>
        <item x="434"/>
        <item x="441"/>
        <item x="506"/>
        <item x="541"/>
        <item x="205"/>
        <item x="484"/>
        <item x="682"/>
        <item x="544"/>
        <item x="796"/>
        <item x="367"/>
        <item x="651"/>
        <item x="218"/>
        <item x="209"/>
        <item x="699"/>
        <item x="769"/>
        <item x="376"/>
        <item x="845"/>
        <item x="70"/>
        <item x="601"/>
        <item x="145"/>
        <item x="242"/>
        <item x="714"/>
        <item x="139"/>
        <item x="254"/>
        <item x="225"/>
        <item x="754"/>
        <item x="314"/>
        <item x="390"/>
        <item x="771"/>
        <item x="513"/>
        <item x="776"/>
        <item x="572"/>
        <item x="92"/>
        <item x="849"/>
        <item x="641"/>
        <item x="545"/>
        <item x="208"/>
        <item x="87"/>
        <item x="32"/>
        <item x="454"/>
        <item x="63"/>
        <item x="401"/>
        <item x="26"/>
        <item x="59"/>
        <item x="862"/>
        <item x="383"/>
        <item x="227"/>
        <item x="564"/>
        <item x="576"/>
        <item x="571"/>
        <item x="470"/>
        <item x="872"/>
        <item x="147"/>
        <item x="67"/>
        <item x="100"/>
        <item x="868"/>
        <item x="739"/>
        <item x="790"/>
        <item x="43"/>
        <item x="424"/>
        <item x="630"/>
        <item x="379"/>
        <item x="395"/>
        <item x="257"/>
        <item x="828"/>
        <item x="421"/>
        <item x="285"/>
        <item x="795"/>
        <item x="347"/>
        <item x="185"/>
        <item x="361"/>
        <item x="570"/>
        <item x="583"/>
        <item x="85"/>
        <item x="150"/>
        <item x="808"/>
        <item x="270"/>
        <item x="0"/>
        <item x="680"/>
        <item x="559"/>
        <item x="772"/>
        <item x="488"/>
        <item x="622"/>
        <item x="519"/>
        <item x="385"/>
        <item x="648"/>
        <item x="581"/>
        <item x="289"/>
        <item x="119"/>
        <item x="386"/>
        <item x="709"/>
        <item x="741"/>
        <item x="520"/>
        <item x="563"/>
        <item x="304"/>
        <item x="801"/>
        <item x="650"/>
        <item x="174"/>
        <item x="832"/>
        <item x="803"/>
        <item x="109"/>
        <item x="674"/>
        <item x="566"/>
        <item x="807"/>
        <item x="232"/>
        <item x="720"/>
        <item x="1"/>
        <item x="5"/>
        <item x="652"/>
        <item x="276"/>
        <item x="35"/>
        <item x="731"/>
        <item x="806"/>
        <item x="632"/>
        <item x="403"/>
        <item x="357"/>
        <item x="48"/>
        <item x="436"/>
        <item x="102"/>
        <item x="287"/>
        <item x="788"/>
        <item x="467"/>
        <item x="490"/>
        <item x="537"/>
        <item x="331"/>
        <item x="489"/>
        <item x="603"/>
        <item x="426"/>
        <item x="425"/>
        <item x="215"/>
        <item x="142"/>
        <item x="2"/>
        <item x="767"/>
        <item x="21"/>
        <item x="562"/>
        <item x="879"/>
        <item x="688"/>
        <item x="442"/>
        <item x="596"/>
        <item x="190"/>
        <item x="30"/>
        <item x="514"/>
        <item x="671"/>
        <item x="696"/>
        <item x="685"/>
        <item x="614"/>
        <item x="13"/>
        <item x="643"/>
        <item x="251"/>
        <item x="785"/>
        <item x="469"/>
        <item x="51"/>
        <item x="246"/>
        <item x="74"/>
        <item x="532"/>
        <item x="637"/>
        <item x="694"/>
        <item x="47"/>
        <item x="300"/>
        <item x="438"/>
        <item x="200"/>
        <item x="446"/>
        <item x="691"/>
        <item x="525"/>
        <item x="888"/>
        <item x="258"/>
        <item x="613"/>
        <item x="745"/>
        <item x="678"/>
        <item x="854"/>
        <item x="165"/>
        <item x="819"/>
        <item x="427"/>
        <item x="69"/>
        <item x="895"/>
        <item x="177"/>
        <item x="364"/>
        <item x="89"/>
        <item x="587"/>
        <item x="569"/>
        <item x="567"/>
        <item x="735"/>
        <item x="732"/>
        <item x="336"/>
        <item x="611"/>
        <item x="354"/>
        <item x="600"/>
        <item x="78"/>
        <item x="84"/>
        <item x="256"/>
        <item x="538"/>
        <item x="718"/>
        <item x="79"/>
        <item x="340"/>
        <item x="870"/>
        <item x="721"/>
        <item x="499"/>
        <item x="349"/>
        <item x="498"/>
        <item x="529"/>
        <item x="786"/>
        <item x="219"/>
        <item x="245"/>
        <item x="339"/>
        <item x="399"/>
        <item x="178"/>
        <item x="605"/>
        <item x="802"/>
        <item x="221"/>
        <item x="60"/>
        <item x="455"/>
        <item x="282"/>
        <item x="717"/>
        <item x="844"/>
        <item x="97"/>
        <item x="10"/>
        <item x="647"/>
        <item x="851"/>
        <item x="380"/>
        <item x="821"/>
        <item x="243"/>
        <item x="592"/>
        <item x="657"/>
        <item x="867"/>
        <item x="586"/>
        <item x="199"/>
        <item x="666"/>
        <item x="332"/>
        <item x="863"/>
        <item x="321"/>
        <item x="374"/>
        <item x="42"/>
        <item x="846"/>
        <item x="684"/>
        <item x="248"/>
        <item x="440"/>
        <item x="259"/>
        <item x="417"/>
        <item x="318"/>
        <item x="284"/>
        <item x="351"/>
        <item x="298"/>
        <item x="117"/>
        <item x="291"/>
        <item x="293"/>
        <item x="188"/>
        <item x="19"/>
        <item x="783"/>
        <item x="452"/>
        <item x="202"/>
        <item x="909"/>
        <item x="159"/>
        <item x="535"/>
        <item x="167"/>
        <item x="763"/>
        <item x="138"/>
        <item x="28"/>
        <item x="83"/>
        <item x="627"/>
        <item x="645"/>
        <item x="11"/>
        <item x="557"/>
        <item x="604"/>
        <item x="482"/>
        <item x="534"/>
        <item x="135"/>
        <item x="137"/>
        <item x="591"/>
        <item x="618"/>
        <item x="850"/>
        <item x="608"/>
        <item x="833"/>
        <item x="746"/>
        <item x="703"/>
        <item x="747"/>
        <item x="88"/>
        <item x="876"/>
        <item x="693"/>
        <item x="774"/>
        <item x="565"/>
        <item x="226"/>
        <item x="553"/>
        <item x="762"/>
        <item x="362"/>
        <item x="428"/>
        <item x="62"/>
        <item x="910"/>
        <item x="163"/>
        <item x="528"/>
        <item x="306"/>
        <item x="711"/>
        <item x="356"/>
        <item x="479"/>
        <item x="255"/>
        <item x="391"/>
        <item x="698"/>
        <item x="372"/>
        <item x="830"/>
        <item x="335"/>
        <item x="330"/>
        <item x="855"/>
        <item x="373"/>
        <item x="316"/>
        <item x="29"/>
        <item x="45"/>
        <item x="95"/>
        <item x="278"/>
        <item x="595"/>
        <item x="269"/>
        <item x="847"/>
        <item x="697"/>
        <item x="584"/>
        <item x="634"/>
        <item x="238"/>
        <item x="377"/>
        <item x="610"/>
        <item x="843"/>
        <item x="891"/>
        <item x="456"/>
        <item x="662"/>
        <item x="727"/>
        <item x="784"/>
        <item x="625"/>
        <item x="398"/>
        <item x="121"/>
        <item x="295"/>
        <item x="112"/>
        <item x="206"/>
        <item x="664"/>
        <item x="223"/>
        <item x="453"/>
        <item x="400"/>
        <item x="781"/>
        <item x="355"/>
        <item x="886"/>
        <item x="860"/>
        <item x="497"/>
        <item x="384"/>
        <item x="352"/>
        <item x="220"/>
        <item x="737"/>
        <item x="252"/>
        <item x="23"/>
        <item x="9"/>
        <item x="773"/>
        <item x="476"/>
        <item x="621"/>
        <item x="107"/>
        <item x="271"/>
        <item x="878"/>
        <item x="675"/>
        <item x="34"/>
        <item x="419"/>
        <item x="432"/>
        <item x="24"/>
        <item x="461"/>
        <item x="757"/>
        <item x="413"/>
        <item x="668"/>
        <item x="738"/>
        <item x="815"/>
        <item x="902"/>
        <item x="27"/>
        <item x="162"/>
        <item x="265"/>
        <item x="725"/>
        <item x="852"/>
        <item x="547"/>
        <item x="826"/>
        <item x="154"/>
        <item x="778"/>
        <item x="588"/>
        <item x="740"/>
        <item x="602"/>
        <item x="861"/>
        <item x="633"/>
        <item x="268"/>
        <item x="296"/>
        <item x="247"/>
        <item x="620"/>
        <item x="478"/>
        <item x="402"/>
        <item x="487"/>
        <item x="856"/>
        <item x="249"/>
        <item x="756"/>
        <item x="262"/>
        <item x="550"/>
        <item x="388"/>
        <item x="758"/>
        <item x="797"/>
        <item x="543"/>
        <item x="299"/>
        <item x="194"/>
        <item x="689"/>
        <item x="460"/>
        <item x="40"/>
        <item x="813"/>
        <item x="760"/>
        <item x="73"/>
        <item x="118"/>
        <item x="172"/>
        <item x="397"/>
        <item x="686"/>
        <item x="897"/>
        <item x="884"/>
        <item x="468"/>
        <item x="594"/>
        <item x="615"/>
        <item x="99"/>
        <item x="677"/>
        <item x="363"/>
        <item x="842"/>
        <item x="151"/>
        <item x="702"/>
        <item x="607"/>
        <item x="715"/>
        <item x="211"/>
        <item x="266"/>
        <item x="670"/>
        <item x="143"/>
        <item x="889"/>
        <item x="261"/>
        <item x="16"/>
        <item x="822"/>
        <item x="505"/>
        <item x="676"/>
        <item x="522"/>
        <item x="654"/>
        <item x="294"/>
        <item x="838"/>
        <item x="126"/>
        <item x="54"/>
        <item x="274"/>
        <item x="447"/>
        <item x="410"/>
        <item x="240"/>
        <item x="350"/>
        <item x="530"/>
        <item x="342"/>
        <item x="516"/>
        <item x="338"/>
        <item x="156"/>
        <item x="346"/>
        <item x="146"/>
        <item x="368"/>
        <item x="779"/>
        <item x="280"/>
        <item x="764"/>
        <item x="418"/>
        <item x="665"/>
        <item x="462"/>
        <item x="585"/>
        <item x="136"/>
        <item x="420"/>
        <item x="344"/>
        <item x="366"/>
        <item x="7"/>
        <item x="728"/>
        <item x="370"/>
        <item x="628"/>
        <item x="646"/>
        <item x="113"/>
        <item x="345"/>
        <item x="517"/>
        <item x="111"/>
        <item x="15"/>
        <item x="429"/>
        <item x="548"/>
        <item x="906"/>
        <item x="290"/>
        <item x="157"/>
        <item x="315"/>
        <item x="799"/>
        <item x="275"/>
        <item x="281"/>
        <item x="72"/>
        <item x="736"/>
        <item x="730"/>
        <item x="865"/>
        <item x="626"/>
        <item x="106"/>
        <item x="303"/>
        <item x="90"/>
        <item x="308"/>
        <item x="334"/>
        <item x="472"/>
        <item x="524"/>
        <item x="337"/>
        <item x="599"/>
        <item x="273"/>
        <item x="184"/>
        <item x="672"/>
        <item x="501"/>
        <item x="589"/>
        <item x="911"/>
        <item x="656"/>
        <item x="4"/>
        <item x="56"/>
        <item x="810"/>
        <item x="798"/>
        <item x="176"/>
        <item x="900"/>
        <item x="483"/>
        <item x="551"/>
        <item x="267"/>
        <item x="464"/>
        <item x="108"/>
        <item x="704"/>
        <item x="649"/>
        <item x="186"/>
        <item x="170"/>
        <item x="493"/>
        <item x="183"/>
        <item x="272"/>
        <item x="423"/>
        <item x="710"/>
        <item x="466"/>
        <item x="393"/>
        <item x="658"/>
        <item x="496"/>
        <item x="829"/>
        <item x="814"/>
        <item x="840"/>
        <item x="415"/>
        <item x="128"/>
        <item x="780"/>
        <item x="132"/>
        <item x="408"/>
        <item x="866"/>
        <item x="359"/>
        <item x="81"/>
        <item x="451"/>
        <item x="133"/>
        <item x="787"/>
        <item x="841"/>
        <item x="873"/>
        <item x="881"/>
        <item x="695"/>
        <item x="659"/>
        <item x="864"/>
        <item x="358"/>
        <item x="310"/>
        <item x="65"/>
        <item x="561"/>
        <item x="197"/>
        <item x="57"/>
        <item x="64"/>
        <item x="554"/>
        <item x="526"/>
        <item x="288"/>
        <item x="320"/>
        <item x="907"/>
        <item x="409"/>
        <item x="759"/>
        <item x="477"/>
        <item x="653"/>
        <item x="578"/>
        <item x="416"/>
        <item x="598"/>
        <item x="435"/>
        <item x="597"/>
        <item x="433"/>
        <item x="521"/>
        <item x="422"/>
        <item x="387"/>
        <item x="149"/>
        <item x="624"/>
        <item x="204"/>
        <item x="723"/>
        <item x="766"/>
        <item x="495"/>
        <item x="37"/>
        <item x="502"/>
        <item x="457"/>
        <item x="148"/>
        <item x="507"/>
        <item x="381"/>
        <item x="500"/>
        <item x="573"/>
        <item x="116"/>
        <item x="286"/>
        <item x="348"/>
        <item x="582"/>
        <item x="834"/>
        <item x="777"/>
        <item x="542"/>
        <item x="749"/>
        <item x="644"/>
        <item x="375"/>
        <item x="722"/>
        <item x="144"/>
        <item x="169"/>
        <item x="66"/>
        <item x="823"/>
        <item x="510"/>
        <item x="871"/>
        <item x="8"/>
        <item x="407"/>
        <item x="181"/>
        <item x="700"/>
        <item x="46"/>
        <item x="481"/>
        <item x="75"/>
        <item x="253"/>
        <item x="17"/>
        <item x="824"/>
        <item x="313"/>
        <item x="687"/>
        <item x="324"/>
        <item x="912"/>
        <item x="705"/>
        <item x="811"/>
        <item x="793"/>
        <item x="412"/>
        <item x="61"/>
        <item x="518"/>
        <item x="431"/>
        <item x="31"/>
        <item x="669"/>
        <item x="877"/>
        <item x="692"/>
        <item x="908"/>
        <item x="369"/>
        <item x="244"/>
        <item x="792"/>
        <item x="443"/>
        <item x="325"/>
        <item x="744"/>
        <item x="473"/>
        <item x="612"/>
        <item x="216"/>
        <item x="231"/>
        <item x="260"/>
        <item x="55"/>
        <item x="887"/>
        <item x="305"/>
        <item x="444"/>
        <item x="661"/>
        <item x="239"/>
        <item x="198"/>
        <item x="173"/>
        <item x="207"/>
        <item x="734"/>
        <item x="465"/>
        <item x="575"/>
        <item x="765"/>
        <item x="68"/>
        <item x="353"/>
        <item x="312"/>
        <item x="80"/>
        <item x="76"/>
        <item x="91"/>
        <item x="122"/>
        <item x="809"/>
        <item x="552"/>
        <item x="329"/>
        <item x="512"/>
        <item x="475"/>
        <item x="326"/>
        <item x="179"/>
        <item x="297"/>
        <item x="755"/>
        <item x="492"/>
        <item x="904"/>
        <item x="322"/>
        <item x="708"/>
        <item x="882"/>
        <item x="110"/>
        <item x="343"/>
        <item x="224"/>
        <item x="890"/>
        <item x="804"/>
        <item x="753"/>
        <item x="292"/>
        <item x="196"/>
        <item x="214"/>
        <item x="235"/>
        <item x="903"/>
        <item x="480"/>
        <item x="533"/>
        <item x="623"/>
        <item x="673"/>
        <item x="817"/>
        <item x="193"/>
        <item x="41"/>
        <item x="590"/>
        <item x="171"/>
        <item x="794"/>
        <item x="333"/>
        <item x="733"/>
        <item x="365"/>
        <item x="71"/>
        <item x="161"/>
        <item x="168"/>
        <item x="3"/>
        <item x="857"/>
        <item x="515"/>
        <item x="382"/>
        <item x="853"/>
        <item x="283"/>
        <item x="182"/>
        <item x="124"/>
        <item x="743"/>
        <item x="96"/>
        <item x="504"/>
        <item x="683"/>
        <item x="791"/>
        <item x="82"/>
        <item x="546"/>
        <item x="404"/>
        <item x="609"/>
        <item x="115"/>
        <item x="712"/>
        <item x="770"/>
        <item x="394"/>
        <item x="782"/>
        <item x="141"/>
        <item x="839"/>
        <item x="120"/>
        <item x="540"/>
        <item x="212"/>
        <item x="217"/>
        <item x="411"/>
        <item x="180"/>
        <item x="86"/>
        <item x="836"/>
        <item x="713"/>
        <item x="655"/>
        <item x="222"/>
        <item x="114"/>
        <item x="509"/>
        <item x="629"/>
        <item x="191"/>
        <item x="751"/>
        <item x="98"/>
        <item x="127"/>
        <item x="681"/>
        <item x="439"/>
        <item x="859"/>
        <item x="690"/>
        <item x="560"/>
        <item x="805"/>
        <item x="523"/>
        <item x="210"/>
        <item x="558"/>
        <item x="458"/>
        <item x="129"/>
        <item x="317"/>
        <item x="820"/>
        <item x="44"/>
        <item x="536"/>
        <item x="707"/>
        <item x="77"/>
        <item x="701"/>
        <item x="816"/>
        <item x="166"/>
        <item x="527"/>
        <item x="894"/>
        <item x="639"/>
        <item x="389"/>
        <item x="485"/>
        <item x="549"/>
        <item x="471"/>
        <item x="104"/>
        <item x="508"/>
        <item x="450"/>
        <item x="392"/>
        <item x="406"/>
        <item x="229"/>
        <item x="606"/>
        <item x="818"/>
        <item x="192"/>
        <item x="663"/>
        <item x="341"/>
        <item x="617"/>
        <item x="636"/>
        <item x="577"/>
        <item x="328"/>
        <item x="837"/>
        <item x="160"/>
        <item x="311"/>
        <item x="848"/>
        <item x="880"/>
        <item x="638"/>
        <item x="20"/>
        <item x="494"/>
        <item x="12"/>
        <item x="825"/>
        <item x="263"/>
        <item x="580"/>
        <item x="768"/>
        <item x="892"/>
        <item x="302"/>
        <item x="750"/>
        <item x="153"/>
        <item x="642"/>
        <item x="729"/>
        <item x="309"/>
        <item x="800"/>
        <item x="616"/>
        <item x="230"/>
        <item x="831"/>
        <item x="307"/>
        <item x="660"/>
        <item x="152"/>
        <item x="742"/>
        <item x="631"/>
        <item x="896"/>
        <item x="593"/>
        <item x="203"/>
        <item x="726"/>
        <item x="474"/>
        <item x="724"/>
        <item x="396"/>
        <item x="827"/>
        <item x="327"/>
        <item x="277"/>
        <item x="237"/>
        <item x="14"/>
        <item x="437"/>
        <item x="430"/>
        <item x="531"/>
        <item x="555"/>
        <item x="913"/>
        <item t="default"/>
      </items>
    </pivotField>
    <pivotField showAll="0"/>
    <pivotField showAll="0"/>
    <pivotField showAll="0"/>
    <pivotField showAll="0"/>
    <pivotField showAll="0"/>
    <pivotField showAll="0"/>
    <pivotField showAll="0">
      <items count="6">
        <item h="1" x="2"/>
        <item h="1" x="1"/>
        <item h="1" x="3"/>
        <item x="0"/>
        <item h="1" x="4"/>
        <item t="default"/>
      </items>
    </pivotField>
    <pivotField showAll="0"/>
    <pivotField showAll="0">
      <items count="5">
        <item h="1" x="2"/>
        <item h="1" x="1"/>
        <item x="0"/>
        <item h="1" x="3"/>
        <item t="default"/>
      </items>
    </pivotField>
    <pivotField showAll="0"/>
    <pivotField showAll="0"/>
    <pivotField showAll="0"/>
    <pivotField showAll="0"/>
    <pivotField showAll="0"/>
    <pivotField showAll="0"/>
    <pivotField showAll="0"/>
  </pivotFields>
  <rowFields count="1">
    <field x="4"/>
  </rowFields>
  <rowItems count="2">
    <i>
      <x v="3"/>
    </i>
    <i t="grand">
      <x/>
    </i>
  </rowItems>
  <colItems count="1">
    <i/>
  </colItems>
  <dataFields count="1">
    <dataField name="Count of Customer ID" fld="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name="sale varys" cacheId="0"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11">
  <location ref="A13:C17" firstHeaderRow="1" firstDataRow="2" firstDataCol="1"/>
  <pivotFields count="22">
    <pivotField showAll="0"/>
    <pivotField showAll="0"/>
    <pivotField showAll="0"/>
    <pivotField showAll="0"/>
    <pivotField axis="axisCol" showAll="0">
      <items count="6">
        <item h="1" x="0"/>
        <item h="1" x="3"/>
        <item h="1" x="1"/>
        <item x="2"/>
        <item h="1" x="4"/>
        <item t="default"/>
      </items>
    </pivotField>
    <pivotField showAll="0"/>
    <pivotField showAll="0"/>
    <pivotField showAll="0"/>
    <pivotField showAll="0"/>
    <pivotField showAll="0"/>
    <pivotField axis="axisRow" showAll="0">
      <items count="5">
        <item x="1"/>
        <item x="2"/>
        <item x="0"/>
        <item x="3"/>
        <item t="default"/>
      </items>
    </pivotField>
    <pivotField showAll="0"/>
    <pivotField showAll="0">
      <items count="6">
        <item h="1" x="2"/>
        <item h="1" x="1"/>
        <item h="1" x="3"/>
        <item x="0"/>
        <item h="1" x="4"/>
        <item t="default"/>
      </items>
    </pivotField>
    <pivotField showAll="0"/>
    <pivotField showAll="0">
      <items count="5">
        <item h="1" x="2"/>
        <item h="1" x="1"/>
        <item x="0"/>
        <item h="1" x="3"/>
        <item t="default"/>
      </items>
    </pivotField>
    <pivotField showAll="0"/>
    <pivotField showAll="0"/>
    <pivotField showAll="0"/>
    <pivotField showAll="0"/>
    <pivotField dataField="1" showAll="0">
      <items count="199">
        <item x="97"/>
        <item x="55"/>
        <item x="60"/>
        <item x="186"/>
        <item x="84"/>
        <item x="83"/>
        <item x="189"/>
        <item x="115"/>
        <item x="7"/>
        <item x="147"/>
        <item x="9"/>
        <item x="52"/>
        <item x="53"/>
        <item x="35"/>
        <item x="41"/>
        <item x="36"/>
        <item x="112"/>
        <item x="31"/>
        <item x="161"/>
        <item x="192"/>
        <item x="169"/>
        <item x="54"/>
        <item x="138"/>
        <item x="175"/>
        <item x="127"/>
        <item x="47"/>
        <item x="23"/>
        <item x="14"/>
        <item x="22"/>
        <item x="87"/>
        <item x="24"/>
        <item x="2"/>
        <item x="73"/>
        <item x="77"/>
        <item x="148"/>
        <item x="72"/>
        <item x="154"/>
        <item x="181"/>
        <item x="79"/>
        <item x="78"/>
        <item x="20"/>
        <item x="151"/>
        <item x="128"/>
        <item x="42"/>
        <item x="80"/>
        <item x="103"/>
        <item x="38"/>
        <item x="19"/>
        <item x="92"/>
        <item x="58"/>
        <item x="105"/>
        <item x="8"/>
        <item x="131"/>
        <item x="94"/>
        <item x="81"/>
        <item x="117"/>
        <item x="0"/>
        <item x="16"/>
        <item x="123"/>
        <item x="132"/>
        <item x="155"/>
        <item x="137"/>
        <item x="26"/>
        <item x="6"/>
        <item x="110"/>
        <item x="122"/>
        <item x="156"/>
        <item x="102"/>
        <item x="29"/>
        <item x="86"/>
        <item x="178"/>
        <item x="76"/>
        <item x="167"/>
        <item x="145"/>
        <item x="109"/>
        <item x="50"/>
        <item x="149"/>
        <item x="51"/>
        <item x="166"/>
        <item x="25"/>
        <item x="142"/>
        <item x="3"/>
        <item x="140"/>
        <item x="32"/>
        <item x="139"/>
        <item x="194"/>
        <item x="104"/>
        <item x="195"/>
        <item x="91"/>
        <item x="44"/>
        <item x="113"/>
        <item x="176"/>
        <item x="124"/>
        <item x="111"/>
        <item x="101"/>
        <item x="116"/>
        <item x="65"/>
        <item x="107"/>
        <item x="190"/>
        <item x="70"/>
        <item x="191"/>
        <item x="27"/>
        <item x="66"/>
        <item x="114"/>
        <item x="133"/>
        <item x="82"/>
        <item x="5"/>
        <item x="10"/>
        <item x="61"/>
        <item x="13"/>
        <item x="1"/>
        <item x="163"/>
        <item x="34"/>
        <item x="160"/>
        <item x="69"/>
        <item x="153"/>
        <item x="157"/>
        <item x="135"/>
        <item x="162"/>
        <item x="46"/>
        <item x="62"/>
        <item x="90"/>
        <item x="168"/>
        <item x="12"/>
        <item x="95"/>
        <item x="67"/>
        <item x="28"/>
        <item x="119"/>
        <item x="59"/>
        <item x="4"/>
        <item x="193"/>
        <item x="158"/>
        <item x="126"/>
        <item x="30"/>
        <item x="125"/>
        <item x="48"/>
        <item x="120"/>
        <item x="33"/>
        <item x="143"/>
        <item x="184"/>
        <item x="98"/>
        <item x="40"/>
        <item x="165"/>
        <item x="188"/>
        <item x="174"/>
        <item x="173"/>
        <item x="93"/>
        <item x="96"/>
        <item x="85"/>
        <item x="144"/>
        <item x="45"/>
        <item x="118"/>
        <item x="37"/>
        <item x="159"/>
        <item x="57"/>
        <item x="17"/>
        <item x="180"/>
        <item x="18"/>
        <item x="185"/>
        <item x="121"/>
        <item x="171"/>
        <item x="75"/>
        <item x="146"/>
        <item x="49"/>
        <item x="21"/>
        <item x="88"/>
        <item x="179"/>
        <item x="64"/>
        <item x="89"/>
        <item x="182"/>
        <item x="68"/>
        <item x="63"/>
        <item x="108"/>
        <item x="150"/>
        <item x="15"/>
        <item x="129"/>
        <item x="99"/>
        <item x="177"/>
        <item x="130"/>
        <item x="136"/>
        <item x="56"/>
        <item x="170"/>
        <item x="187"/>
        <item x="141"/>
        <item x="43"/>
        <item x="74"/>
        <item x="71"/>
        <item x="196"/>
        <item x="183"/>
        <item x="164"/>
        <item x="11"/>
        <item x="39"/>
        <item x="134"/>
        <item x="152"/>
        <item x="172"/>
        <item x="106"/>
        <item x="100"/>
        <item x="197"/>
        <item t="default"/>
      </items>
    </pivotField>
    <pivotField showAll="0"/>
    <pivotField showAll="0"/>
  </pivotFields>
  <rowFields count="1">
    <field x="10"/>
  </rowFields>
  <rowItems count="3">
    <i>
      <x/>
    </i>
    <i>
      <x v="2"/>
    </i>
    <i t="grand">
      <x/>
    </i>
  </rowItems>
  <colFields count="1">
    <field x="4"/>
  </colFields>
  <colItems count="2">
    <i>
      <x v="3"/>
    </i>
    <i t="grand">
      <x/>
    </i>
  </colItems>
  <dataFields count="1">
    <dataField name="Sum of Sales" fld="19" baseField="0" baseItem="0"/>
  </dataFields>
  <chartFormats count="5">
    <chartFormat chart="0" format="0" series="1">
      <pivotArea type="data" outline="0" fieldPosition="0">
        <references count="2">
          <reference field="4294967294" count="1" selected="0">
            <x v="0"/>
          </reference>
          <reference field="4" count="1" selected="0">
            <x v="0"/>
          </reference>
        </references>
      </pivotArea>
    </chartFormat>
    <chartFormat chart="0" format="1" series="1">
      <pivotArea type="data" outline="0" fieldPosition="0">
        <references count="2">
          <reference field="4294967294" count="1" selected="0">
            <x v="0"/>
          </reference>
          <reference field="4" count="1" selected="0">
            <x v="1"/>
          </reference>
        </references>
      </pivotArea>
    </chartFormat>
    <chartFormat chart="0" format="2" series="1">
      <pivotArea type="data" outline="0" fieldPosition="0">
        <references count="2">
          <reference field="4294967294" count="1" selected="0">
            <x v="0"/>
          </reference>
          <reference field="4" count="1" selected="0">
            <x v="2"/>
          </reference>
        </references>
      </pivotArea>
    </chartFormat>
    <chartFormat chart="0" format="3" series="1">
      <pivotArea type="data" outline="0" fieldPosition="0">
        <references count="2">
          <reference field="4294967294" count="1" selected="0">
            <x v="0"/>
          </reference>
          <reference field="4" count="1" selected="0">
            <x v="3"/>
          </reference>
        </references>
      </pivotArea>
    </chartFormat>
    <chartFormat chart="0" format="4" series="1">
      <pivotArea type="data" outline="0" fieldPosition="0">
        <references count="2">
          <reference field="4294967294" count="1" selected="0">
            <x v="0"/>
          </reference>
          <reference field="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location ref="E121:E122" firstHeaderRow="1" firstDataRow="1" firstDataCol="0"/>
  <pivotFields count="22">
    <pivotField showAll="0"/>
    <pivotField showAll="0"/>
    <pivotField showAll="0"/>
    <pivotField showAll="0"/>
    <pivotField showAll="0">
      <items count="6">
        <item h="1" x="0"/>
        <item h="1" x="3"/>
        <item h="1" x="1"/>
        <item x="2"/>
        <item h="1" x="4"/>
        <item t="default"/>
      </items>
    </pivotField>
    <pivotField showAll="0"/>
    <pivotField showAll="0"/>
    <pivotField showAll="0"/>
    <pivotField showAll="0"/>
    <pivotField showAll="0"/>
    <pivotField showAll="0"/>
    <pivotField showAll="0"/>
    <pivotField showAll="0">
      <items count="6">
        <item h="1" x="2"/>
        <item h="1" x="1"/>
        <item h="1" x="3"/>
        <item x="0"/>
        <item h="1" x="4"/>
        <item t="default"/>
      </items>
    </pivotField>
    <pivotField showAll="0"/>
    <pivotField showAll="0">
      <items count="5">
        <item h="1" x="2"/>
        <item h="1" x="1"/>
        <item x="0"/>
        <item h="1" x="3"/>
        <item t="default"/>
      </items>
    </pivotField>
    <pivotField showAll="0"/>
    <pivotField dataField="1" showAll="0"/>
    <pivotField showAll="0"/>
    <pivotField showAll="0"/>
    <pivotField showAll="0"/>
    <pivotField showAll="0"/>
    <pivotField showAll="0"/>
  </pivotFields>
  <rowItems count="1">
    <i/>
  </rowItems>
  <colItems count="1">
    <i/>
  </colItems>
  <dataFields count="1">
    <dataField name="Sum of Quantity" fld="1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name="yearly sales of coffee type and roast type" cacheId="0"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location ref="D76:F80" firstHeaderRow="1" firstDataRow="2" firstDataCol="1"/>
  <pivotFields count="22">
    <pivotField showAll="0"/>
    <pivotField showAll="0"/>
    <pivotField showAll="0"/>
    <pivotField showAll="0"/>
    <pivotField axis="axisCol" showAll="0">
      <items count="6">
        <item h="1" x="0"/>
        <item h="1" x="3"/>
        <item h="1" x="1"/>
        <item x="2"/>
        <item h="1" x="4"/>
        <item t="default"/>
      </items>
    </pivotField>
    <pivotField showAll="0"/>
    <pivotField showAll="0"/>
    <pivotField showAll="0"/>
    <pivotField showAll="0"/>
    <pivotField showAll="0"/>
    <pivotField showAll="0"/>
    <pivotField showAll="0"/>
    <pivotField axis="axisRow" showAll="0">
      <items count="6">
        <item h="1" x="2"/>
        <item h="1" x="1"/>
        <item h="1" x="3"/>
        <item x="0"/>
        <item h="1" x="4"/>
        <item t="default"/>
      </items>
    </pivotField>
    <pivotField showAll="0"/>
    <pivotField axis="axisRow" showAll="0">
      <items count="5">
        <item h="1" x="2"/>
        <item h="1" x="1"/>
        <item x="0"/>
        <item h="1" x="3"/>
        <item t="default"/>
      </items>
    </pivotField>
    <pivotField showAll="0"/>
    <pivotField showAll="0"/>
    <pivotField showAll="0"/>
    <pivotField showAll="0"/>
    <pivotField dataField="1" showAll="0"/>
    <pivotField showAll="0"/>
    <pivotField showAll="0"/>
  </pivotFields>
  <rowFields count="2">
    <field x="12"/>
    <field x="14"/>
  </rowFields>
  <rowItems count="3">
    <i>
      <x v="3"/>
    </i>
    <i r="1">
      <x v="2"/>
    </i>
    <i t="grand">
      <x/>
    </i>
  </rowItems>
  <colFields count="1">
    <field x="4"/>
  </colFields>
  <colItems count="2">
    <i>
      <x v="3"/>
    </i>
    <i t="grand">
      <x/>
    </i>
  </colItems>
  <dataFields count="1">
    <dataField name="Sum of Sales" fld="1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name="overall year sales" cacheId="0"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16">
  <location ref="D69:E74" firstHeaderRow="1" firstDataRow="1" firstDataCol="1"/>
  <pivotFields count="22">
    <pivotField showAll="0"/>
    <pivotField showAll="0"/>
    <pivotField showAll="0"/>
    <pivotField showAll="0"/>
    <pivotField axis="axisRow" showAll="0">
      <items count="6">
        <item x="0"/>
        <item x="3"/>
        <item x="1"/>
        <item x="2"/>
        <item h="1" x="4"/>
        <item t="default"/>
      </items>
    </pivotField>
    <pivotField showAll="0"/>
    <pivotField showAll="0"/>
    <pivotField showAll="0"/>
    <pivotField showAll="0"/>
    <pivotField showAll="0"/>
    <pivotField showAll="0"/>
    <pivotField showAll="0"/>
    <pivotField showAll="0">
      <items count="6">
        <item h="1" x="2"/>
        <item h="1" x="1"/>
        <item h="1" x="3"/>
        <item x="0"/>
        <item h="1" x="4"/>
        <item t="default"/>
      </items>
    </pivotField>
    <pivotField showAll="0"/>
    <pivotField showAll="0">
      <items count="5">
        <item h="1" x="2"/>
        <item h="1" x="1"/>
        <item x="0"/>
        <item h="1" x="3"/>
        <item t="default"/>
      </items>
    </pivotField>
    <pivotField showAll="0"/>
    <pivotField showAll="0"/>
    <pivotField showAll="0"/>
    <pivotField showAll="0"/>
    <pivotField dataField="1" showAll="0"/>
    <pivotField showAll="0"/>
    <pivotField showAll="0"/>
  </pivotFields>
  <rowFields count="1">
    <field x="4"/>
  </rowFields>
  <rowItems count="5">
    <i>
      <x/>
    </i>
    <i>
      <x v="1"/>
    </i>
    <i>
      <x v="2"/>
    </i>
    <i>
      <x v="3"/>
    </i>
    <i t="grand">
      <x/>
    </i>
  </rowItems>
  <colItems count="1">
    <i/>
  </colItems>
  <dataFields count="1">
    <dataField name="Sum of Sales" fld="1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year" sourceName="year">
  <pivotTables>
    <pivotTable tabId="10" name="cities sales"/>
    <pivotTable tabId="10" name="customer distribution"/>
    <pivotTable tabId="10" name="customer evolved in year"/>
    <pivotTable tabId="10" name="monthly prefomances"/>
    <pivotTable tabId="10" name="monthly walk ins"/>
    <pivotTable tabId="10" name="montly coffee performances"/>
    <pivotTable tabId="10" name="sale varys"/>
    <pivotTable tabId="10" name="year sales"/>
    <pivotTable tabId="10" name="yearly sales of coffee type and roast type"/>
    <pivotTable tabId="10" name="distribution based on city"/>
    <pivotTable tabId="10" name="PivotTable2"/>
    <pivotTable tabId="10" name="PivotTable4"/>
    <pivotTable tabId="10" name="PivotTable5"/>
  </pivotTables>
  <data>
    <tabular pivotCacheId="586670578">
      <items count="5">
        <i x="0"/>
        <i x="3"/>
        <i x="1"/>
        <i x="2" s="1"/>
        <i x="4"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offee_type1" sourceName="Coffee type">
  <pivotTables>
    <pivotTable tabId="10" name="year sales"/>
    <pivotTable tabId="10" name="cities sales"/>
    <pivotTable tabId="10" name="customer distribution"/>
    <pivotTable tabId="10" name="customer evolved in year"/>
    <pivotTable tabId="10" name="distribution based on city"/>
    <pivotTable tabId="10" name="monthly prefomances"/>
    <pivotTable tabId="10" name="monthly walk ins"/>
    <pivotTable tabId="10" name="montly coffee performances"/>
    <pivotTable tabId="10" name="overall year sales"/>
    <pivotTable tabId="10" name="PivotTable4"/>
    <pivotTable tabId="10" name="sale varys"/>
    <pivotTable tabId="10" name="top 5 customers "/>
    <pivotTable tabId="10" name="yearly sales of coffee type and roast type"/>
    <pivotTable tabId="10" name="PivotTable1"/>
    <pivotTable tabId="10" name="PivotTable2"/>
    <pivotTable tabId="10" name="PivotTable5"/>
  </pivotTables>
  <data>
    <tabular pivotCacheId="586670578">
      <items count="5">
        <i x="2"/>
        <i x="1"/>
        <i x="3"/>
        <i x="0" s="1"/>
        <i x="4"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Roast_type1" sourceName="Roast type">
  <pivotTables>
    <pivotTable tabId="10" name="year sales"/>
    <pivotTable tabId="10" name="cities sales"/>
    <pivotTable tabId="10" name="customer distribution"/>
    <pivotTable tabId="10" name="customer evolved in year"/>
    <pivotTable tabId="10" name="distribution based on city"/>
    <pivotTable tabId="10" name="monthly prefomances"/>
    <pivotTable tabId="10" name="monthly walk ins"/>
    <pivotTable tabId="10" name="montly coffee performances"/>
    <pivotTable tabId="10" name="overall year sales"/>
    <pivotTable tabId="10" name="PivotTable4"/>
    <pivotTable tabId="10" name="sale varys"/>
    <pivotTable tabId="10" name="top 5 customers "/>
    <pivotTable tabId="10" name="yearly sales of coffee type and roast type"/>
    <pivotTable tabId="10" name="PivotTable1"/>
    <pivotTable tabId="10" name="PivotTable2"/>
    <pivotTable tabId="10" name="PivotTable5"/>
  </pivotTables>
  <data>
    <tabular pivotCacheId="586670578">
      <items count="4">
        <i x="2"/>
        <i x="1"/>
        <i x="0" s="1"/>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year" cache="Slicer_year" caption="year" rowHeight="241300"/>
  <slicer name="year 1" cache="Slicer_year" caption="year" showCaption="0" rowHeight="241300"/>
  <slicer name="Coffee type 1" cache="Slicer_Coffee_type1" caption="Coffee type" showCaption="0" rowHeight="241300"/>
  <slicer name="Roast type 1" cache="Slicer_Roast_type1" caption="Roast type" showCaption="0" rowHeight="241300"/>
  <slicer name="Roast type" cache="Slicer_Roast_type1" caption="Roast type"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year 2" cache="Slicer_year" caption="Year" style="SlicerStyleLight4" rowHeight="241300"/>
  <slicer name="Coffee type 2" cache="Slicer_Coffee_type1" caption="Coffee type" style="SlicerStyleLight4" rowHeight="241300"/>
  <slicer name="Roast type 2" cache="Slicer_Roast_type1" caption="Roast type" style="SlicerStyleLight4"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drawing" Target="../drawings/drawing1.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3:V146"/>
  <sheetViews>
    <sheetView topLeftCell="A103" workbookViewId="0">
      <selection activeCell="A10" sqref="A10"/>
    </sheetView>
  </sheetViews>
  <sheetFormatPr defaultRowHeight="15" x14ac:dyDescent="0.25"/>
  <cols>
    <col min="1" max="1" width="13.140625" customWidth="1"/>
    <col min="2" max="2" width="12.140625" customWidth="1"/>
    <col min="3" max="3" width="11.28515625" customWidth="1"/>
    <col min="4" max="4" width="13.140625" customWidth="1"/>
    <col min="5" max="5" width="15.42578125" customWidth="1"/>
    <col min="6" max="6" width="11.28515625" customWidth="1"/>
    <col min="7" max="7" width="9" customWidth="1"/>
    <col min="8" max="8" width="8" customWidth="1"/>
    <col min="9" max="9" width="11.28515625" customWidth="1"/>
    <col min="10" max="10" width="11.28515625" bestFit="1" customWidth="1"/>
    <col min="11" max="11" width="9" bestFit="1" customWidth="1"/>
    <col min="12" max="12" width="12.28515625" bestFit="1" customWidth="1"/>
    <col min="13" max="13" width="9.7109375" bestFit="1" customWidth="1"/>
    <col min="14" max="15" width="9" bestFit="1" customWidth="1"/>
    <col min="16" max="16" width="12.7109375" bestFit="1" customWidth="1"/>
    <col min="17" max="17" width="13.140625" customWidth="1"/>
    <col min="18" max="18" width="15.42578125" bestFit="1" customWidth="1"/>
    <col min="19" max="19" width="9" bestFit="1" customWidth="1"/>
    <col min="20" max="20" width="13.140625" bestFit="1" customWidth="1"/>
    <col min="21" max="21" width="15" customWidth="1"/>
    <col min="22" max="22" width="20.140625" bestFit="1" customWidth="1"/>
    <col min="23" max="23" width="11.28515625" bestFit="1" customWidth="1"/>
    <col min="24" max="24" width="15" bestFit="1" customWidth="1"/>
    <col min="25" max="25" width="14.7109375" bestFit="1" customWidth="1"/>
    <col min="26" max="27" width="15.28515625" bestFit="1" customWidth="1"/>
    <col min="28" max="29" width="15.140625" bestFit="1" customWidth="1"/>
    <col min="30" max="30" width="14.28515625" bestFit="1" customWidth="1"/>
    <col min="31" max="31" width="14.7109375" bestFit="1" customWidth="1"/>
    <col min="32" max="33" width="14.85546875" bestFit="1" customWidth="1"/>
    <col min="34" max="34" width="15.85546875" bestFit="1" customWidth="1"/>
    <col min="35" max="35" width="14.140625" bestFit="1" customWidth="1"/>
    <col min="36" max="36" width="14.7109375" bestFit="1" customWidth="1"/>
    <col min="37" max="37" width="15.42578125" bestFit="1" customWidth="1"/>
    <col min="38" max="38" width="15.140625" bestFit="1" customWidth="1"/>
    <col min="39" max="39" width="15" bestFit="1" customWidth="1"/>
    <col min="40" max="40" width="14.28515625" bestFit="1" customWidth="1"/>
    <col min="41" max="41" width="14.7109375" bestFit="1" customWidth="1"/>
    <col min="42" max="42" width="14.85546875" bestFit="1" customWidth="1"/>
    <col min="43" max="43" width="15" bestFit="1" customWidth="1"/>
    <col min="44" max="44" width="14.42578125" bestFit="1" customWidth="1"/>
    <col min="45" max="45" width="15.7109375" bestFit="1" customWidth="1"/>
    <col min="46" max="46" width="15.140625" bestFit="1" customWidth="1"/>
    <col min="47" max="47" width="15" bestFit="1" customWidth="1"/>
    <col min="48" max="48" width="14.28515625" bestFit="1" customWidth="1"/>
    <col min="49" max="49" width="15.140625" bestFit="1" customWidth="1"/>
    <col min="50" max="50" width="14.28515625" bestFit="1" customWidth="1"/>
    <col min="51" max="51" width="15.28515625" bestFit="1" customWidth="1"/>
    <col min="52" max="52" width="14.140625" bestFit="1" customWidth="1"/>
    <col min="53" max="53" width="15.28515625" bestFit="1" customWidth="1"/>
    <col min="54" max="54" width="15" bestFit="1" customWidth="1"/>
    <col min="55" max="55" width="15.140625" bestFit="1" customWidth="1"/>
    <col min="56" max="56" width="14.85546875" bestFit="1" customWidth="1"/>
    <col min="57" max="57" width="15.28515625" bestFit="1" customWidth="1"/>
    <col min="58" max="58" width="14.28515625" bestFit="1" customWidth="1"/>
    <col min="59" max="59" width="14.85546875" bestFit="1" customWidth="1"/>
    <col min="60" max="61" width="14.7109375" bestFit="1" customWidth="1"/>
    <col min="62" max="62" width="15.140625" bestFit="1" customWidth="1"/>
    <col min="63" max="64" width="14.7109375" bestFit="1" customWidth="1"/>
    <col min="65" max="65" width="15.28515625" bestFit="1" customWidth="1"/>
    <col min="66" max="66" width="15.42578125" bestFit="1" customWidth="1"/>
    <col min="67" max="67" width="14.85546875" bestFit="1" customWidth="1"/>
    <col min="68" max="68" width="15.85546875" bestFit="1" customWidth="1"/>
    <col min="69" max="69" width="13.85546875" bestFit="1" customWidth="1"/>
    <col min="70" max="70" width="14.5703125" bestFit="1" customWidth="1"/>
    <col min="71" max="71" width="15.28515625" bestFit="1" customWidth="1"/>
    <col min="72" max="72" width="15.85546875" bestFit="1" customWidth="1"/>
    <col min="73" max="73" width="14.5703125" bestFit="1" customWidth="1"/>
    <col min="74" max="74" width="15.140625" bestFit="1" customWidth="1"/>
    <col min="75" max="75" width="14.7109375" bestFit="1" customWidth="1"/>
    <col min="76" max="76" width="14.42578125" bestFit="1" customWidth="1"/>
    <col min="77" max="77" width="15.42578125" bestFit="1" customWidth="1"/>
    <col min="78" max="78" width="14.140625" bestFit="1" customWidth="1"/>
    <col min="79" max="79" width="14.7109375" bestFit="1" customWidth="1"/>
    <col min="80" max="80" width="14.85546875" bestFit="1" customWidth="1"/>
    <col min="81" max="81" width="15.42578125" bestFit="1" customWidth="1"/>
    <col min="82" max="82" width="15.28515625" bestFit="1" customWidth="1"/>
    <col min="83" max="83" width="15.140625" bestFit="1" customWidth="1"/>
    <col min="84" max="84" width="14.140625" bestFit="1" customWidth="1"/>
    <col min="85" max="85" width="14.42578125" bestFit="1" customWidth="1"/>
    <col min="86" max="86" width="15.42578125" bestFit="1" customWidth="1"/>
    <col min="87" max="87" width="14.7109375" bestFit="1" customWidth="1"/>
    <col min="88" max="88" width="14.85546875" bestFit="1" customWidth="1"/>
    <col min="89" max="89" width="15.28515625" bestFit="1" customWidth="1"/>
    <col min="90" max="90" width="15.5703125" bestFit="1" customWidth="1"/>
    <col min="91" max="91" width="14.28515625" bestFit="1" customWidth="1"/>
    <col min="92" max="92" width="14.85546875" bestFit="1" customWidth="1"/>
    <col min="93" max="93" width="14.42578125" bestFit="1" customWidth="1"/>
    <col min="94" max="94" width="15.42578125" bestFit="1" customWidth="1"/>
    <col min="95" max="95" width="14.85546875" bestFit="1" customWidth="1"/>
    <col min="96" max="96" width="15.140625" bestFit="1" customWidth="1"/>
    <col min="97" max="97" width="14.85546875" bestFit="1" customWidth="1"/>
    <col min="98" max="99" width="14.42578125" bestFit="1" customWidth="1"/>
    <col min="100" max="100" width="15.140625" bestFit="1" customWidth="1"/>
    <col min="101" max="101" width="14.5703125" bestFit="1" customWidth="1"/>
    <col min="102" max="102" width="14.28515625" bestFit="1" customWidth="1"/>
    <col min="103" max="103" width="15.28515625" bestFit="1" customWidth="1"/>
    <col min="104" max="104" width="15" bestFit="1" customWidth="1"/>
    <col min="105" max="105" width="15.140625" bestFit="1" customWidth="1"/>
    <col min="106" max="106" width="15" bestFit="1" customWidth="1"/>
    <col min="107" max="107" width="14.42578125" bestFit="1" customWidth="1"/>
    <col min="108" max="108" width="14.85546875" bestFit="1" customWidth="1"/>
    <col min="109" max="109" width="15" bestFit="1" customWidth="1"/>
    <col min="110" max="110" width="15.140625" bestFit="1" customWidth="1"/>
    <col min="111" max="111" width="15" bestFit="1" customWidth="1"/>
    <col min="112" max="112" width="16.42578125" bestFit="1" customWidth="1"/>
    <col min="113" max="114" width="15.42578125" bestFit="1" customWidth="1"/>
    <col min="115" max="115" width="15.28515625" bestFit="1" customWidth="1"/>
    <col min="116" max="116" width="15.42578125" bestFit="1" customWidth="1"/>
    <col min="117" max="117" width="14.28515625" bestFit="1" customWidth="1"/>
    <col min="118" max="118" width="15.140625" bestFit="1" customWidth="1"/>
    <col min="119" max="122" width="15" bestFit="1" customWidth="1"/>
    <col min="123" max="123" width="14" bestFit="1" customWidth="1"/>
    <col min="124" max="124" width="15.140625" bestFit="1" customWidth="1"/>
    <col min="125" max="125" width="15" bestFit="1" customWidth="1"/>
    <col min="126" max="126" width="14.85546875" bestFit="1" customWidth="1"/>
    <col min="127" max="127" width="16" bestFit="1" customWidth="1"/>
    <col min="128" max="128" width="15.5703125" bestFit="1" customWidth="1"/>
    <col min="129" max="129" width="14.85546875" bestFit="1" customWidth="1"/>
    <col min="130" max="130" width="15.7109375" bestFit="1" customWidth="1"/>
    <col min="131" max="131" width="14" bestFit="1" customWidth="1"/>
    <col min="132" max="132" width="14.5703125" bestFit="1" customWidth="1"/>
    <col min="133" max="133" width="14.28515625" bestFit="1" customWidth="1"/>
    <col min="134" max="134" width="15" bestFit="1" customWidth="1"/>
    <col min="135" max="135" width="14.7109375" bestFit="1" customWidth="1"/>
    <col min="136" max="136" width="15.140625" bestFit="1" customWidth="1"/>
    <col min="137" max="137" width="14.7109375" bestFit="1" customWidth="1"/>
    <col min="138" max="138" width="14.42578125" bestFit="1" customWidth="1"/>
    <col min="139" max="139" width="15" bestFit="1" customWidth="1"/>
    <col min="140" max="140" width="14.85546875" bestFit="1" customWidth="1"/>
    <col min="141" max="141" width="15" bestFit="1" customWidth="1"/>
    <col min="142" max="142" width="14.85546875" bestFit="1" customWidth="1"/>
    <col min="143" max="143" width="14.5703125" bestFit="1" customWidth="1"/>
    <col min="144" max="144" width="15.42578125" bestFit="1" customWidth="1"/>
    <col min="145" max="145" width="15" bestFit="1" customWidth="1"/>
    <col min="146" max="146" width="14.7109375" bestFit="1" customWidth="1"/>
    <col min="147" max="147" width="15" bestFit="1" customWidth="1"/>
    <col min="148" max="148" width="15.42578125" bestFit="1" customWidth="1"/>
    <col min="149" max="149" width="15.140625" bestFit="1" customWidth="1"/>
    <col min="150" max="151" width="14.5703125" bestFit="1" customWidth="1"/>
    <col min="152" max="152" width="15.140625" bestFit="1" customWidth="1"/>
    <col min="153" max="154" width="15" bestFit="1" customWidth="1"/>
    <col min="155" max="155" width="14.5703125" bestFit="1" customWidth="1"/>
    <col min="156" max="156" width="15" bestFit="1" customWidth="1"/>
    <col min="157" max="158" width="14.7109375" bestFit="1" customWidth="1"/>
    <col min="159" max="159" width="15.140625" bestFit="1" customWidth="1"/>
    <col min="160" max="160" width="14.42578125" bestFit="1" customWidth="1"/>
    <col min="161" max="161" width="15.5703125" bestFit="1" customWidth="1"/>
    <col min="162" max="163" width="14.7109375" bestFit="1" customWidth="1"/>
    <col min="164" max="164" width="14.85546875" bestFit="1" customWidth="1"/>
    <col min="165" max="166" width="14.5703125" bestFit="1" customWidth="1"/>
    <col min="167" max="167" width="14.85546875" bestFit="1" customWidth="1"/>
    <col min="168" max="168" width="14.42578125" bestFit="1" customWidth="1"/>
    <col min="169" max="169" width="15.140625" bestFit="1" customWidth="1"/>
    <col min="170" max="170" width="14.85546875" bestFit="1" customWidth="1"/>
    <col min="171" max="171" width="15.7109375" bestFit="1" customWidth="1"/>
    <col min="172" max="172" width="14.85546875" bestFit="1" customWidth="1"/>
    <col min="173" max="173" width="14.5703125" bestFit="1" customWidth="1"/>
    <col min="174" max="174" width="15.28515625" bestFit="1" customWidth="1"/>
    <col min="175" max="175" width="14.5703125" bestFit="1" customWidth="1"/>
    <col min="176" max="176" width="15.85546875" bestFit="1" customWidth="1"/>
    <col min="177" max="177" width="15.5703125" bestFit="1" customWidth="1"/>
    <col min="178" max="178" width="15.140625" bestFit="1" customWidth="1"/>
    <col min="179" max="180" width="14.5703125" bestFit="1" customWidth="1"/>
    <col min="181" max="181" width="14.85546875" bestFit="1" customWidth="1"/>
    <col min="182" max="182" width="14.7109375" bestFit="1" customWidth="1"/>
    <col min="183" max="183" width="15" bestFit="1" customWidth="1"/>
    <col min="184" max="184" width="15.7109375" bestFit="1" customWidth="1"/>
    <col min="185" max="185" width="15.140625" bestFit="1" customWidth="1"/>
    <col min="186" max="186" width="14.7109375" bestFit="1" customWidth="1"/>
    <col min="187" max="187" width="14.85546875" bestFit="1" customWidth="1"/>
    <col min="188" max="188" width="15.5703125" bestFit="1" customWidth="1"/>
    <col min="189" max="189" width="15.85546875" bestFit="1" customWidth="1"/>
    <col min="190" max="190" width="14.85546875" bestFit="1" customWidth="1"/>
    <col min="191" max="191" width="15.5703125" bestFit="1" customWidth="1"/>
    <col min="192" max="192" width="15" bestFit="1" customWidth="1"/>
    <col min="193" max="193" width="15.28515625" bestFit="1" customWidth="1"/>
    <col min="194" max="194" width="14.7109375" bestFit="1" customWidth="1"/>
    <col min="195" max="195" width="15.5703125" bestFit="1" customWidth="1"/>
    <col min="196" max="197" width="14.85546875" bestFit="1" customWidth="1"/>
    <col min="198" max="198" width="15" bestFit="1" customWidth="1"/>
    <col min="199" max="199" width="14.7109375" bestFit="1" customWidth="1"/>
    <col min="200" max="200" width="14.85546875" bestFit="1" customWidth="1"/>
    <col min="201" max="201" width="14.7109375" bestFit="1" customWidth="1"/>
    <col min="202" max="202" width="15" bestFit="1" customWidth="1"/>
    <col min="203" max="204" width="14.7109375" bestFit="1" customWidth="1"/>
    <col min="205" max="205" width="15" bestFit="1" customWidth="1"/>
    <col min="206" max="206" width="15.140625" bestFit="1" customWidth="1"/>
    <col min="207" max="207" width="14.85546875" bestFit="1" customWidth="1"/>
    <col min="208" max="208" width="15.5703125" bestFit="1" customWidth="1"/>
    <col min="209" max="209" width="15" bestFit="1" customWidth="1"/>
    <col min="210" max="210" width="14.7109375" bestFit="1" customWidth="1"/>
    <col min="211" max="211" width="14.5703125" bestFit="1" customWidth="1"/>
    <col min="212" max="212" width="14.85546875" bestFit="1" customWidth="1"/>
    <col min="213" max="213" width="15.140625" bestFit="1" customWidth="1"/>
    <col min="214" max="214" width="15" bestFit="1" customWidth="1"/>
    <col min="215" max="215" width="14.7109375" bestFit="1" customWidth="1"/>
    <col min="216" max="216" width="15.140625" bestFit="1" customWidth="1"/>
    <col min="217" max="217" width="14.85546875" bestFit="1" customWidth="1"/>
    <col min="218" max="218" width="15" bestFit="1" customWidth="1"/>
    <col min="219" max="220" width="14.85546875" bestFit="1" customWidth="1"/>
    <col min="221" max="221" width="14.42578125" bestFit="1" customWidth="1"/>
    <col min="222" max="222" width="15" bestFit="1" customWidth="1"/>
    <col min="223" max="223" width="15.42578125" bestFit="1" customWidth="1"/>
    <col min="224" max="224" width="15.140625" bestFit="1" customWidth="1"/>
    <col min="225" max="225" width="15.42578125" bestFit="1" customWidth="1"/>
    <col min="226" max="227" width="15.85546875" bestFit="1" customWidth="1"/>
    <col min="228" max="228" width="15.140625" bestFit="1" customWidth="1"/>
    <col min="229" max="229" width="15" bestFit="1" customWidth="1"/>
    <col min="230" max="230" width="14.85546875" bestFit="1" customWidth="1"/>
    <col min="231" max="231" width="14.5703125" bestFit="1" customWidth="1"/>
    <col min="232" max="232" width="14.85546875" bestFit="1" customWidth="1"/>
    <col min="233" max="233" width="15" bestFit="1" customWidth="1"/>
    <col min="234" max="234" width="15.140625" bestFit="1" customWidth="1"/>
    <col min="235" max="235" width="14.140625" bestFit="1" customWidth="1"/>
    <col min="236" max="237" width="14.85546875" bestFit="1" customWidth="1"/>
    <col min="238" max="238" width="15.140625" bestFit="1" customWidth="1"/>
    <col min="239" max="239" width="14.7109375" bestFit="1" customWidth="1"/>
    <col min="240" max="240" width="14.85546875" bestFit="1" customWidth="1"/>
    <col min="241" max="241" width="15.85546875" bestFit="1" customWidth="1"/>
    <col min="242" max="242" width="14.5703125" bestFit="1" customWidth="1"/>
    <col min="243" max="243" width="15.140625" bestFit="1" customWidth="1"/>
    <col min="244" max="244" width="14.85546875" bestFit="1" customWidth="1"/>
    <col min="245" max="245" width="15.28515625" bestFit="1" customWidth="1"/>
    <col min="246" max="246" width="14.140625" bestFit="1" customWidth="1"/>
    <col min="247" max="247" width="14.28515625" bestFit="1" customWidth="1"/>
    <col min="248" max="248" width="14.140625" bestFit="1" customWidth="1"/>
    <col min="249" max="250" width="15" bestFit="1" customWidth="1"/>
    <col min="251" max="253" width="14.85546875" bestFit="1" customWidth="1"/>
    <col min="254" max="254" width="14.7109375" bestFit="1" customWidth="1"/>
    <col min="255" max="255" width="14.5703125" bestFit="1" customWidth="1"/>
    <col min="256" max="256" width="15" bestFit="1" customWidth="1"/>
    <col min="257" max="257" width="14.7109375" bestFit="1" customWidth="1"/>
    <col min="258" max="258" width="14.85546875" bestFit="1" customWidth="1"/>
    <col min="259" max="259" width="15.7109375" bestFit="1" customWidth="1"/>
    <col min="260" max="260" width="15" bestFit="1" customWidth="1"/>
    <col min="261" max="261" width="14.28515625" bestFit="1" customWidth="1"/>
    <col min="262" max="262" width="15.28515625" bestFit="1" customWidth="1"/>
    <col min="263" max="263" width="14.85546875" bestFit="1" customWidth="1"/>
    <col min="264" max="264" width="15.7109375" bestFit="1" customWidth="1"/>
    <col min="265" max="265" width="15" bestFit="1" customWidth="1"/>
    <col min="266" max="266" width="15.28515625" bestFit="1" customWidth="1"/>
    <col min="267" max="267" width="15.140625" bestFit="1" customWidth="1"/>
    <col min="268" max="268" width="15" bestFit="1" customWidth="1"/>
    <col min="269" max="269" width="14.5703125" bestFit="1" customWidth="1"/>
    <col min="270" max="270" width="15.42578125" bestFit="1" customWidth="1"/>
    <col min="271" max="271" width="14.5703125" bestFit="1" customWidth="1"/>
    <col min="272" max="272" width="15.28515625" bestFit="1" customWidth="1"/>
    <col min="273" max="274" width="14.5703125" bestFit="1" customWidth="1"/>
    <col min="275" max="275" width="15.140625" bestFit="1" customWidth="1"/>
    <col min="276" max="276" width="15" bestFit="1" customWidth="1"/>
    <col min="277" max="277" width="15.140625" bestFit="1" customWidth="1"/>
    <col min="278" max="278" width="15" bestFit="1" customWidth="1"/>
    <col min="279" max="279" width="14.85546875" bestFit="1" customWidth="1"/>
    <col min="280" max="280" width="15.140625" bestFit="1" customWidth="1"/>
    <col min="281" max="281" width="14.85546875" bestFit="1" customWidth="1"/>
    <col min="282" max="282" width="15.42578125" bestFit="1" customWidth="1"/>
    <col min="283" max="284" width="14.85546875" bestFit="1" customWidth="1"/>
    <col min="285" max="285" width="14.42578125" bestFit="1" customWidth="1"/>
    <col min="286" max="286" width="15.42578125" bestFit="1" customWidth="1"/>
    <col min="287" max="287" width="14.7109375" bestFit="1" customWidth="1"/>
    <col min="288" max="288" width="15.140625" bestFit="1" customWidth="1"/>
    <col min="289" max="289" width="14.85546875" bestFit="1" customWidth="1"/>
    <col min="290" max="290" width="15.42578125" bestFit="1" customWidth="1"/>
    <col min="291" max="291" width="15.140625" bestFit="1" customWidth="1"/>
    <col min="292" max="292" width="14.7109375" bestFit="1" customWidth="1"/>
    <col min="293" max="293" width="14.28515625" bestFit="1" customWidth="1"/>
    <col min="294" max="294" width="14.42578125" bestFit="1" customWidth="1"/>
    <col min="295" max="295" width="15.42578125" bestFit="1" customWidth="1"/>
    <col min="296" max="296" width="14.7109375" bestFit="1" customWidth="1"/>
    <col min="297" max="297" width="14.28515625" bestFit="1" customWidth="1"/>
    <col min="298" max="298" width="15.140625" bestFit="1" customWidth="1"/>
    <col min="299" max="299" width="15" bestFit="1" customWidth="1"/>
    <col min="300" max="300" width="14.7109375" bestFit="1" customWidth="1"/>
    <col min="301" max="301" width="15.140625" bestFit="1" customWidth="1"/>
    <col min="302" max="302" width="16" bestFit="1" customWidth="1"/>
    <col min="303" max="303" width="15" bestFit="1" customWidth="1"/>
    <col min="304" max="304" width="14.85546875" bestFit="1" customWidth="1"/>
    <col min="305" max="305" width="15" bestFit="1" customWidth="1"/>
    <col min="306" max="306" width="15.140625" bestFit="1" customWidth="1"/>
    <col min="307" max="307" width="14.85546875" bestFit="1" customWidth="1"/>
    <col min="308" max="308" width="14.42578125" bestFit="1" customWidth="1"/>
    <col min="309" max="309" width="15.85546875" bestFit="1" customWidth="1"/>
    <col min="310" max="311" width="15.28515625" bestFit="1" customWidth="1"/>
    <col min="312" max="312" width="14.5703125" bestFit="1" customWidth="1"/>
    <col min="313" max="313" width="14.85546875" bestFit="1" customWidth="1"/>
    <col min="314" max="314" width="15.28515625" bestFit="1" customWidth="1"/>
    <col min="315" max="315" width="15" bestFit="1" customWidth="1"/>
    <col min="316" max="316" width="14.7109375" bestFit="1" customWidth="1"/>
    <col min="317" max="318" width="14.85546875" bestFit="1" customWidth="1"/>
    <col min="319" max="319" width="15" bestFit="1" customWidth="1"/>
    <col min="320" max="320" width="13.85546875" bestFit="1" customWidth="1"/>
    <col min="321" max="321" width="14.5703125" bestFit="1" customWidth="1"/>
    <col min="322" max="322" width="15" bestFit="1" customWidth="1"/>
    <col min="323" max="323" width="14.5703125" bestFit="1" customWidth="1"/>
    <col min="324" max="324" width="14.85546875" bestFit="1" customWidth="1"/>
    <col min="325" max="325" width="16" bestFit="1" customWidth="1"/>
    <col min="326" max="327" width="14.85546875" bestFit="1" customWidth="1"/>
    <col min="328" max="328" width="15.7109375" bestFit="1" customWidth="1"/>
    <col min="329" max="329" width="14.7109375" bestFit="1" customWidth="1"/>
    <col min="330" max="330" width="14.85546875" bestFit="1" customWidth="1"/>
    <col min="331" max="331" width="15.42578125" bestFit="1" customWidth="1"/>
    <col min="332" max="332" width="14.85546875" bestFit="1" customWidth="1"/>
    <col min="333" max="333" width="15.5703125" bestFit="1" customWidth="1"/>
    <col min="334" max="334" width="14" bestFit="1" customWidth="1"/>
    <col min="335" max="335" width="15.42578125" bestFit="1" customWidth="1"/>
    <col min="336" max="336" width="15.28515625" bestFit="1" customWidth="1"/>
    <col min="337" max="337" width="15.140625" bestFit="1" customWidth="1"/>
    <col min="338" max="338" width="15.42578125" bestFit="1" customWidth="1"/>
    <col min="339" max="339" width="15.28515625" bestFit="1" customWidth="1"/>
    <col min="340" max="340" width="15.140625" bestFit="1" customWidth="1"/>
    <col min="341" max="341" width="15.5703125" bestFit="1" customWidth="1"/>
    <col min="342" max="342" width="16.5703125" bestFit="1" customWidth="1"/>
    <col min="343" max="343" width="15.7109375" bestFit="1" customWidth="1"/>
    <col min="344" max="344" width="14.28515625" bestFit="1" customWidth="1"/>
    <col min="345" max="345" width="14.5703125" bestFit="1" customWidth="1"/>
    <col min="346" max="346" width="15.42578125" bestFit="1" customWidth="1"/>
    <col min="347" max="347" width="14.42578125" bestFit="1" customWidth="1"/>
    <col min="348" max="348" width="15.140625" bestFit="1" customWidth="1"/>
    <col min="349" max="349" width="14.5703125" bestFit="1" customWidth="1"/>
    <col min="350" max="350" width="14.42578125" bestFit="1" customWidth="1"/>
    <col min="351" max="351" width="15.85546875" bestFit="1" customWidth="1"/>
    <col min="352" max="352" width="15.42578125" bestFit="1" customWidth="1"/>
    <col min="353" max="353" width="15" bestFit="1" customWidth="1"/>
    <col min="354" max="354" width="14.7109375" bestFit="1" customWidth="1"/>
    <col min="355" max="355" width="14.85546875" bestFit="1" customWidth="1"/>
    <col min="356" max="356" width="15.140625" bestFit="1" customWidth="1"/>
    <col min="357" max="357" width="14.28515625" bestFit="1" customWidth="1"/>
    <col min="358" max="358" width="14.42578125" bestFit="1" customWidth="1"/>
    <col min="359" max="359" width="14.140625" bestFit="1" customWidth="1"/>
    <col min="360" max="360" width="15.28515625" bestFit="1" customWidth="1"/>
    <col min="361" max="361" width="15.140625" bestFit="1" customWidth="1"/>
    <col min="362" max="362" width="15.42578125" bestFit="1" customWidth="1"/>
    <col min="363" max="363" width="14.5703125" bestFit="1" customWidth="1"/>
    <col min="364" max="364" width="14.85546875" bestFit="1" customWidth="1"/>
    <col min="365" max="365" width="15.85546875" bestFit="1" customWidth="1"/>
    <col min="366" max="366" width="14.7109375" bestFit="1" customWidth="1"/>
    <col min="367" max="367" width="15.5703125" bestFit="1" customWidth="1"/>
    <col min="368" max="368" width="14.5703125" bestFit="1" customWidth="1"/>
    <col min="369" max="369" width="14.7109375" bestFit="1" customWidth="1"/>
    <col min="370" max="370" width="15.28515625" bestFit="1" customWidth="1"/>
    <col min="371" max="371" width="14.7109375" bestFit="1" customWidth="1"/>
    <col min="372" max="372" width="14.85546875" bestFit="1" customWidth="1"/>
    <col min="373" max="373" width="15.42578125" bestFit="1" customWidth="1"/>
    <col min="374" max="374" width="14.5703125" bestFit="1" customWidth="1"/>
    <col min="375" max="375" width="15.5703125" bestFit="1" customWidth="1"/>
    <col min="376" max="376" width="15" bestFit="1" customWidth="1"/>
    <col min="377" max="377" width="15.28515625" bestFit="1" customWidth="1"/>
    <col min="378" max="378" width="14.85546875" bestFit="1" customWidth="1"/>
    <col min="379" max="379" width="15.28515625" bestFit="1" customWidth="1"/>
    <col min="380" max="382" width="14.85546875" bestFit="1" customWidth="1"/>
    <col min="383" max="383" width="15.85546875" bestFit="1" customWidth="1"/>
    <col min="384" max="384" width="15.140625" bestFit="1" customWidth="1"/>
    <col min="385" max="385" width="15" bestFit="1" customWidth="1"/>
    <col min="386" max="386" width="15.28515625" bestFit="1" customWidth="1"/>
    <col min="387" max="387" width="14.5703125" bestFit="1" customWidth="1"/>
    <col min="388" max="388" width="15.5703125" bestFit="1" customWidth="1"/>
    <col min="389" max="389" width="16" bestFit="1" customWidth="1"/>
    <col min="390" max="390" width="15.28515625" bestFit="1" customWidth="1"/>
    <col min="391" max="391" width="15" bestFit="1" customWidth="1"/>
    <col min="392" max="392" width="15.28515625" bestFit="1" customWidth="1"/>
    <col min="393" max="393" width="14.85546875" bestFit="1" customWidth="1"/>
    <col min="394" max="394" width="15.7109375" bestFit="1" customWidth="1"/>
    <col min="395" max="395" width="14.85546875" bestFit="1" customWidth="1"/>
    <col min="396" max="396" width="15.5703125" bestFit="1" customWidth="1"/>
    <col min="397" max="397" width="14.85546875" bestFit="1" customWidth="1"/>
    <col min="398" max="398" width="16" bestFit="1" customWidth="1"/>
    <col min="399" max="399" width="15.28515625" bestFit="1" customWidth="1"/>
    <col min="400" max="400" width="15" bestFit="1" customWidth="1"/>
    <col min="401" max="401" width="14.85546875" bestFit="1" customWidth="1"/>
    <col min="402" max="402" width="14.140625" bestFit="1" customWidth="1"/>
    <col min="403" max="403" width="15.5703125" bestFit="1" customWidth="1"/>
    <col min="404" max="406" width="15.42578125" bestFit="1" customWidth="1"/>
    <col min="407" max="407" width="14.42578125" bestFit="1" customWidth="1"/>
    <col min="408" max="408" width="15.5703125" bestFit="1" customWidth="1"/>
    <col min="409" max="409" width="15.140625" bestFit="1" customWidth="1"/>
    <col min="410" max="410" width="14.140625" bestFit="1" customWidth="1"/>
    <col min="411" max="412" width="14.42578125" bestFit="1" customWidth="1"/>
    <col min="413" max="413" width="14.85546875" bestFit="1" customWidth="1"/>
    <col min="414" max="414" width="14.5703125" bestFit="1" customWidth="1"/>
    <col min="415" max="415" width="14.85546875" bestFit="1" customWidth="1"/>
    <col min="416" max="416" width="14.7109375" bestFit="1" customWidth="1"/>
    <col min="417" max="417" width="15" bestFit="1" customWidth="1"/>
    <col min="418" max="418" width="15.5703125" bestFit="1" customWidth="1"/>
    <col min="419" max="419" width="14.28515625" bestFit="1" customWidth="1"/>
    <col min="420" max="421" width="14.42578125" bestFit="1" customWidth="1"/>
    <col min="422" max="422" width="15.140625" bestFit="1" customWidth="1"/>
    <col min="423" max="423" width="14.42578125" bestFit="1" customWidth="1"/>
    <col min="424" max="425" width="14.85546875" bestFit="1" customWidth="1"/>
    <col min="426" max="426" width="15" bestFit="1" customWidth="1"/>
    <col min="427" max="427" width="14.5703125" bestFit="1" customWidth="1"/>
    <col min="428" max="428" width="14.85546875" bestFit="1" customWidth="1"/>
    <col min="429" max="429" width="15" bestFit="1" customWidth="1"/>
    <col min="430" max="430" width="14.85546875" bestFit="1" customWidth="1"/>
    <col min="431" max="431" width="14.5703125" bestFit="1" customWidth="1"/>
    <col min="432" max="432" width="15" bestFit="1" customWidth="1"/>
    <col min="433" max="433" width="15.140625" bestFit="1" customWidth="1"/>
    <col min="434" max="434" width="15" bestFit="1" customWidth="1"/>
    <col min="435" max="435" width="14.7109375" bestFit="1" customWidth="1"/>
    <col min="436" max="436" width="14.28515625" bestFit="1" customWidth="1"/>
    <col min="437" max="437" width="14.85546875" bestFit="1" customWidth="1"/>
    <col min="438" max="439" width="15" bestFit="1" customWidth="1"/>
    <col min="440" max="440" width="15.28515625" bestFit="1" customWidth="1"/>
    <col min="441" max="441" width="15.7109375" bestFit="1" customWidth="1"/>
    <col min="442" max="442" width="15.140625" bestFit="1" customWidth="1"/>
    <col min="443" max="443" width="14.140625" bestFit="1" customWidth="1"/>
    <col min="444" max="444" width="16" bestFit="1" customWidth="1"/>
    <col min="445" max="445" width="15" bestFit="1" customWidth="1"/>
    <col min="446" max="446" width="14.7109375" bestFit="1" customWidth="1"/>
    <col min="447" max="447" width="15.42578125" bestFit="1" customWidth="1"/>
    <col min="448" max="448" width="15" bestFit="1" customWidth="1"/>
    <col min="449" max="449" width="14.5703125" bestFit="1" customWidth="1"/>
    <col min="450" max="451" width="14.7109375" bestFit="1" customWidth="1"/>
    <col min="452" max="452" width="15.140625" bestFit="1" customWidth="1"/>
    <col min="453" max="453" width="15" bestFit="1" customWidth="1"/>
    <col min="454" max="454" width="15.5703125" bestFit="1" customWidth="1"/>
    <col min="455" max="455" width="14.85546875" bestFit="1" customWidth="1"/>
    <col min="456" max="456" width="14.7109375" bestFit="1" customWidth="1"/>
    <col min="457" max="457" width="15.140625" bestFit="1" customWidth="1"/>
    <col min="458" max="458" width="15.28515625" bestFit="1" customWidth="1"/>
    <col min="459" max="459" width="16" bestFit="1" customWidth="1"/>
    <col min="460" max="460" width="14.7109375" bestFit="1" customWidth="1"/>
    <col min="461" max="461" width="14.5703125" bestFit="1" customWidth="1"/>
    <col min="462" max="462" width="15.140625" bestFit="1" customWidth="1"/>
    <col min="463" max="463" width="15.85546875" bestFit="1" customWidth="1"/>
    <col min="464" max="464" width="14.85546875" bestFit="1" customWidth="1"/>
    <col min="465" max="465" width="14.28515625" bestFit="1" customWidth="1"/>
    <col min="466" max="466" width="14.85546875" bestFit="1" customWidth="1"/>
    <col min="467" max="467" width="15.28515625" bestFit="1" customWidth="1"/>
    <col min="468" max="468" width="14.42578125" bestFit="1" customWidth="1"/>
    <col min="469" max="469" width="15" bestFit="1" customWidth="1"/>
    <col min="470" max="470" width="16" bestFit="1" customWidth="1"/>
    <col min="471" max="471" width="14.7109375" bestFit="1" customWidth="1"/>
    <col min="472" max="472" width="14.5703125" bestFit="1" customWidth="1"/>
    <col min="473" max="473" width="14.140625" bestFit="1" customWidth="1"/>
    <col min="474" max="474" width="14.85546875" bestFit="1" customWidth="1"/>
    <col min="475" max="475" width="15.140625" bestFit="1" customWidth="1"/>
    <col min="476" max="476" width="14.7109375" bestFit="1" customWidth="1"/>
    <col min="477" max="477" width="14.42578125" bestFit="1" customWidth="1"/>
    <col min="478" max="478" width="14.28515625" bestFit="1" customWidth="1"/>
    <col min="479" max="479" width="14.7109375" bestFit="1" customWidth="1"/>
    <col min="480" max="480" width="15.140625" bestFit="1" customWidth="1"/>
    <col min="481" max="481" width="15" bestFit="1" customWidth="1"/>
    <col min="482" max="482" width="14.85546875" bestFit="1" customWidth="1"/>
    <col min="483" max="483" width="15" bestFit="1" customWidth="1"/>
    <col min="484" max="484" width="14.5703125" bestFit="1" customWidth="1"/>
    <col min="485" max="485" width="14.7109375" bestFit="1" customWidth="1"/>
    <col min="486" max="486" width="15.140625" bestFit="1" customWidth="1"/>
    <col min="487" max="487" width="14.85546875" bestFit="1" customWidth="1"/>
    <col min="488" max="488" width="14.7109375" bestFit="1" customWidth="1"/>
    <col min="489" max="489" width="15.85546875" bestFit="1" customWidth="1"/>
    <col min="490" max="490" width="15" bestFit="1" customWidth="1"/>
    <col min="491" max="491" width="14.7109375" bestFit="1" customWidth="1"/>
    <col min="492" max="492" width="15" bestFit="1" customWidth="1"/>
    <col min="493" max="493" width="14.7109375" bestFit="1" customWidth="1"/>
    <col min="494" max="494" width="15.28515625" bestFit="1" customWidth="1"/>
    <col min="495" max="495" width="14.85546875" bestFit="1" customWidth="1"/>
    <col min="496" max="496" width="15" bestFit="1" customWidth="1"/>
    <col min="497" max="497" width="14.42578125" bestFit="1" customWidth="1"/>
    <col min="498" max="498" width="15.140625" bestFit="1" customWidth="1"/>
    <col min="499" max="499" width="14.85546875" bestFit="1" customWidth="1"/>
    <col min="500" max="500" width="14.7109375" bestFit="1" customWidth="1"/>
    <col min="501" max="501" width="14.85546875" bestFit="1" customWidth="1"/>
    <col min="502" max="503" width="15.42578125" bestFit="1" customWidth="1"/>
    <col min="504" max="504" width="15.5703125" bestFit="1" customWidth="1"/>
    <col min="505" max="505" width="16" bestFit="1" customWidth="1"/>
    <col min="506" max="506" width="15.140625" bestFit="1" customWidth="1"/>
    <col min="507" max="507" width="14.42578125" bestFit="1" customWidth="1"/>
    <col min="508" max="508" width="15" bestFit="1" customWidth="1"/>
    <col min="509" max="509" width="15.140625" bestFit="1" customWidth="1"/>
    <col min="510" max="510" width="14.85546875" bestFit="1" customWidth="1"/>
    <col min="511" max="511" width="14.42578125" bestFit="1" customWidth="1"/>
    <col min="512" max="512" width="14.7109375" bestFit="1" customWidth="1"/>
    <col min="513" max="513" width="14.5703125" bestFit="1" customWidth="1"/>
    <col min="514" max="515" width="15" bestFit="1" customWidth="1"/>
    <col min="516" max="516" width="15.42578125" bestFit="1" customWidth="1"/>
    <col min="517" max="517" width="14.5703125" bestFit="1" customWidth="1"/>
    <col min="518" max="518" width="15" bestFit="1" customWidth="1"/>
    <col min="519" max="519" width="14.85546875" bestFit="1" customWidth="1"/>
    <col min="520" max="520" width="15.7109375" bestFit="1" customWidth="1"/>
    <col min="521" max="522" width="15.140625" bestFit="1" customWidth="1"/>
    <col min="523" max="523" width="15" bestFit="1" customWidth="1"/>
    <col min="524" max="524" width="15.140625" bestFit="1" customWidth="1"/>
    <col min="525" max="525" width="14.85546875" bestFit="1" customWidth="1"/>
    <col min="526" max="527" width="15" bestFit="1" customWidth="1"/>
    <col min="528" max="528" width="14.5703125" bestFit="1" customWidth="1"/>
    <col min="529" max="529" width="15.28515625" bestFit="1" customWidth="1"/>
    <col min="530" max="530" width="15" bestFit="1" customWidth="1"/>
    <col min="531" max="531" width="15.5703125" bestFit="1" customWidth="1"/>
    <col min="532" max="532" width="15.140625" bestFit="1" customWidth="1"/>
    <col min="533" max="533" width="15" bestFit="1" customWidth="1"/>
    <col min="534" max="534" width="14.5703125" bestFit="1" customWidth="1"/>
    <col min="535" max="535" width="14.85546875" bestFit="1" customWidth="1"/>
    <col min="536" max="536" width="16" bestFit="1" customWidth="1"/>
    <col min="537" max="537" width="15" bestFit="1" customWidth="1"/>
    <col min="538" max="538" width="14.42578125" bestFit="1" customWidth="1"/>
    <col min="539" max="539" width="14.5703125" bestFit="1" customWidth="1"/>
    <col min="540" max="540" width="15.28515625" bestFit="1" customWidth="1"/>
    <col min="541" max="541" width="14.85546875" bestFit="1" customWidth="1"/>
    <col min="542" max="542" width="14.7109375" bestFit="1" customWidth="1"/>
    <col min="543" max="544" width="15" bestFit="1" customWidth="1"/>
    <col min="545" max="545" width="14.140625" bestFit="1" customWidth="1"/>
    <col min="546" max="546" width="14.5703125" bestFit="1" customWidth="1"/>
    <col min="547" max="547" width="15.5703125" bestFit="1" customWidth="1"/>
    <col min="548" max="549" width="14.85546875" bestFit="1" customWidth="1"/>
    <col min="550" max="550" width="15.28515625" bestFit="1" customWidth="1"/>
    <col min="551" max="551" width="15" bestFit="1" customWidth="1"/>
    <col min="552" max="552" width="15.140625" bestFit="1" customWidth="1"/>
    <col min="553" max="553" width="14.85546875" bestFit="1" customWidth="1"/>
    <col min="554" max="554" width="15.42578125" bestFit="1" customWidth="1"/>
    <col min="555" max="555" width="14.7109375" bestFit="1" customWidth="1"/>
    <col min="556" max="556" width="14.85546875" bestFit="1" customWidth="1"/>
    <col min="557" max="557" width="15.85546875" bestFit="1" customWidth="1"/>
    <col min="558" max="558" width="14.140625" bestFit="1" customWidth="1"/>
    <col min="559" max="559" width="14.42578125" bestFit="1" customWidth="1"/>
    <col min="560" max="560" width="15.140625" bestFit="1" customWidth="1"/>
    <col min="561" max="561" width="14.85546875" bestFit="1" customWidth="1"/>
    <col min="562" max="562" width="15.85546875" bestFit="1" customWidth="1"/>
    <col min="563" max="563" width="14.85546875" bestFit="1" customWidth="1"/>
    <col min="564" max="564" width="13.7109375" bestFit="1" customWidth="1"/>
    <col min="565" max="565" width="15" bestFit="1" customWidth="1"/>
    <col min="566" max="566" width="15.28515625" bestFit="1" customWidth="1"/>
    <col min="567" max="567" width="15" bestFit="1" customWidth="1"/>
    <col min="568" max="569" width="14.85546875" bestFit="1" customWidth="1"/>
    <col min="570" max="571" width="15.28515625" bestFit="1" customWidth="1"/>
    <col min="572" max="572" width="14.5703125" bestFit="1" customWidth="1"/>
    <col min="573" max="573" width="15.140625" bestFit="1" customWidth="1"/>
    <col min="574" max="574" width="14.85546875" bestFit="1" customWidth="1"/>
    <col min="575" max="575" width="15" bestFit="1" customWidth="1"/>
    <col min="576" max="576" width="15.85546875" bestFit="1" customWidth="1"/>
    <col min="577" max="577" width="15.5703125" bestFit="1" customWidth="1"/>
    <col min="578" max="578" width="15.85546875" bestFit="1" customWidth="1"/>
    <col min="579" max="579" width="16.42578125" bestFit="1" customWidth="1"/>
    <col min="580" max="580" width="14.85546875" bestFit="1" customWidth="1"/>
    <col min="581" max="581" width="13.7109375" bestFit="1" customWidth="1"/>
    <col min="582" max="582" width="15.140625" bestFit="1" customWidth="1"/>
    <col min="583" max="583" width="15.42578125" bestFit="1" customWidth="1"/>
    <col min="584" max="584" width="14.7109375" bestFit="1" customWidth="1"/>
    <col min="585" max="585" width="14.5703125" bestFit="1" customWidth="1"/>
    <col min="586" max="586" width="14.7109375" bestFit="1" customWidth="1"/>
    <col min="587" max="587" width="15.7109375" bestFit="1" customWidth="1"/>
    <col min="588" max="588" width="15.85546875" bestFit="1" customWidth="1"/>
    <col min="589" max="589" width="15.5703125" bestFit="1" customWidth="1"/>
    <col min="590" max="590" width="15.140625" bestFit="1" customWidth="1"/>
    <col min="591" max="592" width="14.85546875" bestFit="1" customWidth="1"/>
    <col min="593" max="593" width="16" bestFit="1" customWidth="1"/>
    <col min="594" max="594" width="15.28515625" bestFit="1" customWidth="1"/>
    <col min="595" max="595" width="14.85546875" bestFit="1" customWidth="1"/>
    <col min="596" max="596" width="15.140625" bestFit="1" customWidth="1"/>
    <col min="597" max="597" width="14.5703125" bestFit="1" customWidth="1"/>
    <col min="598" max="598" width="15" bestFit="1" customWidth="1"/>
    <col min="599" max="600" width="14.85546875" bestFit="1" customWidth="1"/>
    <col min="601" max="601" width="15.42578125" bestFit="1" customWidth="1"/>
    <col min="602" max="602" width="14.85546875" bestFit="1" customWidth="1"/>
    <col min="603" max="603" width="15.42578125" bestFit="1" customWidth="1"/>
    <col min="604" max="605" width="15.140625" bestFit="1" customWidth="1"/>
    <col min="606" max="606" width="15.85546875" bestFit="1" customWidth="1"/>
    <col min="607" max="607" width="15.5703125" bestFit="1" customWidth="1"/>
    <col min="608" max="608" width="15.140625" bestFit="1" customWidth="1"/>
    <col min="609" max="609" width="14.7109375" bestFit="1" customWidth="1"/>
    <col min="610" max="611" width="14.85546875" bestFit="1" customWidth="1"/>
    <col min="612" max="612" width="14.28515625" bestFit="1" customWidth="1"/>
    <col min="613" max="613" width="14.85546875" bestFit="1" customWidth="1"/>
    <col min="614" max="614" width="15.28515625" bestFit="1" customWidth="1"/>
    <col min="615" max="615" width="15" bestFit="1" customWidth="1"/>
    <col min="616" max="616" width="14.5703125" bestFit="1" customWidth="1"/>
    <col min="617" max="617" width="15" bestFit="1" customWidth="1"/>
    <col min="618" max="618" width="15.28515625" bestFit="1" customWidth="1"/>
    <col min="619" max="619" width="14.5703125" bestFit="1" customWidth="1"/>
    <col min="620" max="620" width="15.28515625" bestFit="1" customWidth="1"/>
    <col min="621" max="621" width="14.42578125" bestFit="1" customWidth="1"/>
    <col min="622" max="624" width="15" bestFit="1" customWidth="1"/>
    <col min="625" max="625" width="15.5703125" bestFit="1" customWidth="1"/>
    <col min="626" max="626" width="14.5703125" bestFit="1" customWidth="1"/>
    <col min="627" max="627" width="15.85546875" bestFit="1" customWidth="1"/>
    <col min="628" max="629" width="15.140625" bestFit="1" customWidth="1"/>
    <col min="630" max="630" width="14.7109375" bestFit="1" customWidth="1"/>
    <col min="631" max="631" width="14.28515625" bestFit="1" customWidth="1"/>
    <col min="632" max="632" width="15.7109375" bestFit="1" customWidth="1"/>
    <col min="633" max="633" width="14.42578125" bestFit="1" customWidth="1"/>
    <col min="634" max="634" width="16" bestFit="1" customWidth="1"/>
    <col min="635" max="636" width="15" bestFit="1" customWidth="1"/>
    <col min="637" max="637" width="14.85546875" bestFit="1" customWidth="1"/>
    <col min="638" max="638" width="15" bestFit="1" customWidth="1"/>
    <col min="639" max="640" width="14.7109375" bestFit="1" customWidth="1"/>
    <col min="641" max="641" width="15.5703125" bestFit="1" customWidth="1"/>
    <col min="642" max="642" width="14.7109375" bestFit="1" customWidth="1"/>
    <col min="643" max="643" width="15" bestFit="1" customWidth="1"/>
    <col min="644" max="646" width="15.140625" bestFit="1" customWidth="1"/>
    <col min="647" max="647" width="15.28515625" bestFit="1" customWidth="1"/>
    <col min="648" max="648" width="15.42578125" bestFit="1" customWidth="1"/>
    <col min="649" max="649" width="14.28515625" bestFit="1" customWidth="1"/>
    <col min="650" max="650" width="15" bestFit="1" customWidth="1"/>
    <col min="651" max="651" width="14.7109375" bestFit="1" customWidth="1"/>
    <col min="652" max="652" width="14.85546875" bestFit="1" customWidth="1"/>
    <col min="653" max="653" width="15.140625" bestFit="1" customWidth="1"/>
    <col min="654" max="654" width="15" bestFit="1" customWidth="1"/>
    <col min="655" max="655" width="15.28515625" bestFit="1" customWidth="1"/>
    <col min="656" max="656" width="15" bestFit="1" customWidth="1"/>
    <col min="657" max="657" width="14.85546875" bestFit="1" customWidth="1"/>
    <col min="658" max="659" width="14.28515625" bestFit="1" customWidth="1"/>
    <col min="660" max="660" width="14.85546875" bestFit="1" customWidth="1"/>
    <col min="661" max="661" width="14.7109375" bestFit="1" customWidth="1"/>
    <col min="662" max="662" width="15.7109375" bestFit="1" customWidth="1"/>
    <col min="663" max="663" width="15" bestFit="1" customWidth="1"/>
    <col min="664" max="665" width="15.42578125" bestFit="1" customWidth="1"/>
    <col min="666" max="666" width="14.28515625" bestFit="1" customWidth="1"/>
    <col min="667" max="667" width="14.42578125" bestFit="1" customWidth="1"/>
    <col min="668" max="668" width="15.140625" bestFit="1" customWidth="1"/>
    <col min="669" max="669" width="14.7109375" bestFit="1" customWidth="1"/>
    <col min="670" max="670" width="15.7109375" bestFit="1" customWidth="1"/>
    <col min="671" max="671" width="14.5703125" bestFit="1" customWidth="1"/>
    <col min="672" max="672" width="15" bestFit="1" customWidth="1"/>
    <col min="673" max="673" width="15.5703125" bestFit="1" customWidth="1"/>
    <col min="674" max="674" width="15" bestFit="1" customWidth="1"/>
    <col min="675" max="675" width="15.140625" bestFit="1" customWidth="1"/>
    <col min="676" max="676" width="14.7109375" bestFit="1" customWidth="1"/>
    <col min="677" max="677" width="15" bestFit="1" customWidth="1"/>
    <col min="678" max="679" width="15.85546875" bestFit="1" customWidth="1"/>
    <col min="680" max="680" width="14.7109375" bestFit="1" customWidth="1"/>
    <col min="681" max="681" width="14.140625" bestFit="1" customWidth="1"/>
    <col min="682" max="682" width="14.85546875" bestFit="1" customWidth="1"/>
    <col min="683" max="683" width="14.5703125" bestFit="1" customWidth="1"/>
    <col min="684" max="685" width="15" bestFit="1" customWidth="1"/>
    <col min="686" max="686" width="14.5703125" bestFit="1" customWidth="1"/>
    <col min="687" max="687" width="14.28515625" bestFit="1" customWidth="1"/>
    <col min="688" max="688" width="14.5703125" bestFit="1" customWidth="1"/>
    <col min="689" max="689" width="14.85546875" bestFit="1" customWidth="1"/>
    <col min="690" max="690" width="14.7109375" bestFit="1" customWidth="1"/>
    <col min="691" max="691" width="15.42578125" bestFit="1" customWidth="1"/>
    <col min="692" max="692" width="14.7109375" bestFit="1" customWidth="1"/>
    <col min="693" max="693" width="15.28515625" bestFit="1" customWidth="1"/>
    <col min="694" max="694" width="13.7109375" bestFit="1" customWidth="1"/>
    <col min="695" max="695" width="14.28515625" bestFit="1" customWidth="1"/>
    <col min="696" max="696" width="14.7109375" bestFit="1" customWidth="1"/>
    <col min="697" max="697" width="15" bestFit="1" customWidth="1"/>
    <col min="698" max="699" width="14.85546875" bestFit="1" customWidth="1"/>
    <col min="700" max="700" width="15.28515625" bestFit="1" customWidth="1"/>
    <col min="701" max="701" width="15" bestFit="1" customWidth="1"/>
    <col min="702" max="702" width="14.28515625" bestFit="1" customWidth="1"/>
    <col min="703" max="703" width="15.28515625" bestFit="1" customWidth="1"/>
    <col min="704" max="704" width="15" bestFit="1" customWidth="1"/>
    <col min="705" max="705" width="14.42578125" bestFit="1" customWidth="1"/>
    <col min="706" max="706" width="14.5703125" bestFit="1" customWidth="1"/>
    <col min="707" max="707" width="15.140625" bestFit="1" customWidth="1"/>
    <col min="708" max="708" width="14.85546875" bestFit="1" customWidth="1"/>
    <col min="709" max="709" width="14.5703125" bestFit="1" customWidth="1"/>
    <col min="710" max="710" width="14.7109375" bestFit="1" customWidth="1"/>
    <col min="711" max="711" width="14.85546875" bestFit="1" customWidth="1"/>
    <col min="712" max="713" width="14.7109375" bestFit="1" customWidth="1"/>
    <col min="714" max="714" width="15.5703125" bestFit="1" customWidth="1"/>
    <col min="715" max="716" width="15" bestFit="1" customWidth="1"/>
    <col min="717" max="717" width="14.42578125" bestFit="1" customWidth="1"/>
    <col min="718" max="718" width="15.28515625" bestFit="1" customWidth="1"/>
    <col min="719" max="719" width="15.140625" bestFit="1" customWidth="1"/>
    <col min="720" max="720" width="14.42578125" bestFit="1" customWidth="1"/>
    <col min="721" max="721" width="15" bestFit="1" customWidth="1"/>
    <col min="722" max="722" width="13.85546875" bestFit="1" customWidth="1"/>
    <col min="723" max="723" width="14.5703125" bestFit="1" customWidth="1"/>
    <col min="724" max="724" width="15.140625" bestFit="1" customWidth="1"/>
    <col min="725" max="725" width="14.85546875" bestFit="1" customWidth="1"/>
    <col min="726" max="726" width="14.5703125" bestFit="1" customWidth="1"/>
    <col min="727" max="727" width="15.5703125" bestFit="1" customWidth="1"/>
    <col min="728" max="728" width="16.28515625" bestFit="1" customWidth="1"/>
    <col min="729" max="729" width="15" bestFit="1" customWidth="1"/>
    <col min="730" max="730" width="14.42578125" bestFit="1" customWidth="1"/>
    <col min="731" max="731" width="15.28515625" bestFit="1" customWidth="1"/>
    <col min="732" max="732" width="15.140625" bestFit="1" customWidth="1"/>
    <col min="733" max="733" width="16" bestFit="1" customWidth="1"/>
    <col min="734" max="734" width="14.85546875" bestFit="1" customWidth="1"/>
    <col min="735" max="735" width="14.5703125" bestFit="1" customWidth="1"/>
    <col min="736" max="736" width="14.7109375" bestFit="1" customWidth="1"/>
    <col min="737" max="737" width="14.5703125" bestFit="1" customWidth="1"/>
    <col min="738" max="738" width="15.5703125" bestFit="1" customWidth="1"/>
    <col min="739" max="739" width="15" bestFit="1" customWidth="1"/>
    <col min="740" max="740" width="14.85546875" bestFit="1" customWidth="1"/>
    <col min="741" max="741" width="14.5703125" bestFit="1" customWidth="1"/>
    <col min="742" max="742" width="15.85546875" bestFit="1" customWidth="1"/>
    <col min="743" max="743" width="15" bestFit="1" customWidth="1"/>
    <col min="744" max="744" width="15.140625" bestFit="1" customWidth="1"/>
    <col min="745" max="745" width="14.85546875" bestFit="1" customWidth="1"/>
    <col min="746" max="746" width="15" bestFit="1" customWidth="1"/>
    <col min="747" max="747" width="15.85546875" bestFit="1" customWidth="1"/>
    <col min="748" max="748" width="15" bestFit="1" customWidth="1"/>
    <col min="749" max="749" width="14.28515625" bestFit="1" customWidth="1"/>
    <col min="750" max="750" width="15.140625" bestFit="1" customWidth="1"/>
    <col min="751" max="751" width="14.140625" bestFit="1" customWidth="1"/>
    <col min="752" max="752" width="14.28515625" bestFit="1" customWidth="1"/>
    <col min="753" max="753" width="14.5703125" bestFit="1" customWidth="1"/>
    <col min="754" max="754" width="14.42578125" bestFit="1" customWidth="1"/>
    <col min="755" max="755" width="15.42578125" bestFit="1" customWidth="1"/>
    <col min="756" max="756" width="14.140625" bestFit="1" customWidth="1"/>
    <col min="757" max="757" width="15.42578125" bestFit="1" customWidth="1"/>
    <col min="758" max="758" width="14.85546875" bestFit="1" customWidth="1"/>
    <col min="759" max="759" width="14.28515625" bestFit="1" customWidth="1"/>
    <col min="760" max="760" width="14.7109375" bestFit="1" customWidth="1"/>
    <col min="761" max="761" width="14.85546875" bestFit="1" customWidth="1"/>
    <col min="762" max="762" width="15" bestFit="1" customWidth="1"/>
    <col min="763" max="763" width="14.5703125" bestFit="1" customWidth="1"/>
    <col min="764" max="764" width="15" bestFit="1" customWidth="1"/>
    <col min="765" max="765" width="14.42578125" bestFit="1" customWidth="1"/>
    <col min="766" max="766" width="15.140625" bestFit="1" customWidth="1"/>
    <col min="767" max="767" width="15.28515625" bestFit="1" customWidth="1"/>
    <col min="768" max="768" width="15" bestFit="1" customWidth="1"/>
    <col min="769" max="770" width="15.28515625" bestFit="1" customWidth="1"/>
    <col min="771" max="771" width="15.140625" bestFit="1" customWidth="1"/>
    <col min="772" max="772" width="15.28515625" bestFit="1" customWidth="1"/>
    <col min="773" max="773" width="14.7109375" bestFit="1" customWidth="1"/>
    <col min="774" max="774" width="15.7109375" bestFit="1" customWidth="1"/>
    <col min="775" max="776" width="14.85546875" bestFit="1" customWidth="1"/>
    <col min="777" max="777" width="15" bestFit="1" customWidth="1"/>
    <col min="778" max="778" width="15.28515625" bestFit="1" customWidth="1"/>
    <col min="779" max="779" width="14.85546875" bestFit="1" customWidth="1"/>
    <col min="780" max="780" width="15.28515625" bestFit="1" customWidth="1"/>
    <col min="781" max="781" width="15.7109375" bestFit="1" customWidth="1"/>
    <col min="782" max="782" width="14.85546875" bestFit="1" customWidth="1"/>
    <col min="783" max="783" width="15.7109375" bestFit="1" customWidth="1"/>
    <col min="784" max="784" width="14.7109375" bestFit="1" customWidth="1"/>
    <col min="785" max="785" width="14.85546875" bestFit="1" customWidth="1"/>
    <col min="786" max="786" width="14.7109375" bestFit="1" customWidth="1"/>
    <col min="787" max="788" width="15" bestFit="1" customWidth="1"/>
    <col min="789" max="789" width="14.85546875" bestFit="1" customWidth="1"/>
    <col min="790" max="790" width="15.140625" bestFit="1" customWidth="1"/>
    <col min="791" max="792" width="14.85546875" bestFit="1" customWidth="1"/>
    <col min="793" max="793" width="15.42578125" bestFit="1" customWidth="1"/>
    <col min="794" max="794" width="14.85546875" bestFit="1" customWidth="1"/>
    <col min="795" max="795" width="14.28515625" bestFit="1" customWidth="1"/>
    <col min="796" max="796" width="15.140625" bestFit="1" customWidth="1"/>
    <col min="797" max="797" width="14.85546875" bestFit="1" customWidth="1"/>
    <col min="798" max="798" width="15" bestFit="1" customWidth="1"/>
    <col min="799" max="799" width="14.7109375" bestFit="1" customWidth="1"/>
    <col min="800" max="800" width="14.28515625" bestFit="1" customWidth="1"/>
    <col min="801" max="801" width="15" bestFit="1" customWidth="1"/>
    <col min="802" max="802" width="15.28515625" bestFit="1" customWidth="1"/>
    <col min="803" max="803" width="15" bestFit="1" customWidth="1"/>
    <col min="804" max="804" width="16" bestFit="1" customWidth="1"/>
    <col min="805" max="805" width="14.85546875" bestFit="1" customWidth="1"/>
    <col min="806" max="806" width="15" bestFit="1" customWidth="1"/>
    <col min="807" max="807" width="15.7109375" bestFit="1" customWidth="1"/>
    <col min="808" max="808" width="14.5703125" bestFit="1" customWidth="1"/>
    <col min="809" max="809" width="15" bestFit="1" customWidth="1"/>
    <col min="810" max="810" width="14.7109375" bestFit="1" customWidth="1"/>
    <col min="811" max="811" width="15" bestFit="1" customWidth="1"/>
    <col min="812" max="812" width="15.7109375" bestFit="1" customWidth="1"/>
    <col min="813" max="813" width="15.28515625" bestFit="1" customWidth="1"/>
    <col min="814" max="815" width="14.85546875" bestFit="1" customWidth="1"/>
    <col min="816" max="816" width="15.140625" bestFit="1" customWidth="1"/>
    <col min="817" max="817" width="14.7109375" bestFit="1" customWidth="1"/>
    <col min="818" max="818" width="14.85546875" bestFit="1" customWidth="1"/>
    <col min="819" max="819" width="14.5703125" bestFit="1" customWidth="1"/>
    <col min="820" max="820" width="14.85546875" bestFit="1" customWidth="1"/>
    <col min="821" max="821" width="14.7109375" bestFit="1" customWidth="1"/>
    <col min="822" max="822" width="15.28515625" bestFit="1" customWidth="1"/>
    <col min="823" max="823" width="15.42578125" bestFit="1" customWidth="1"/>
    <col min="824" max="824" width="15.7109375" bestFit="1" customWidth="1"/>
    <col min="825" max="825" width="15" bestFit="1" customWidth="1"/>
    <col min="826" max="826" width="14.7109375" bestFit="1" customWidth="1"/>
    <col min="827" max="828" width="15.140625" bestFit="1" customWidth="1"/>
    <col min="829" max="829" width="14.85546875" bestFit="1" customWidth="1"/>
    <col min="830" max="830" width="14.7109375" bestFit="1" customWidth="1"/>
    <col min="831" max="831" width="14.85546875" bestFit="1" customWidth="1"/>
    <col min="832" max="832" width="14.42578125" bestFit="1" customWidth="1"/>
    <col min="833" max="833" width="14.5703125" bestFit="1" customWidth="1"/>
    <col min="834" max="834" width="14.7109375" bestFit="1" customWidth="1"/>
    <col min="835" max="835" width="15.28515625" bestFit="1" customWidth="1"/>
    <col min="836" max="836" width="15.140625" bestFit="1" customWidth="1"/>
    <col min="837" max="837" width="14.5703125" bestFit="1" customWidth="1"/>
    <col min="838" max="838" width="14.85546875" bestFit="1" customWidth="1"/>
    <col min="839" max="839" width="15.7109375" bestFit="1" customWidth="1"/>
    <col min="840" max="840" width="14.42578125" bestFit="1" customWidth="1"/>
    <col min="841" max="841" width="14.28515625" bestFit="1" customWidth="1"/>
    <col min="842" max="842" width="15.140625" bestFit="1" customWidth="1"/>
    <col min="843" max="843" width="14.5703125" bestFit="1" customWidth="1"/>
    <col min="844" max="844" width="14.85546875" bestFit="1" customWidth="1"/>
    <col min="845" max="845" width="13.85546875" bestFit="1" customWidth="1"/>
    <col min="846" max="846" width="15.42578125" bestFit="1" customWidth="1"/>
    <col min="847" max="847" width="15" bestFit="1" customWidth="1"/>
    <col min="848" max="848" width="14.28515625" bestFit="1" customWidth="1"/>
    <col min="849" max="850" width="14.85546875" bestFit="1" customWidth="1"/>
    <col min="851" max="851" width="14.42578125" bestFit="1" customWidth="1"/>
    <col min="852" max="852" width="15.140625" bestFit="1" customWidth="1"/>
    <col min="853" max="853" width="14.7109375" bestFit="1" customWidth="1"/>
    <col min="854" max="854" width="15.140625" bestFit="1" customWidth="1"/>
    <col min="855" max="855" width="14.7109375" bestFit="1" customWidth="1"/>
    <col min="856" max="856" width="14.85546875" bestFit="1" customWidth="1"/>
    <col min="857" max="857" width="15.140625" bestFit="1" customWidth="1"/>
    <col min="858" max="858" width="14.7109375" bestFit="1" customWidth="1"/>
    <col min="859" max="859" width="14.85546875" bestFit="1" customWidth="1"/>
    <col min="860" max="860" width="15" bestFit="1" customWidth="1"/>
    <col min="861" max="861" width="15.140625" bestFit="1" customWidth="1"/>
    <col min="862" max="862" width="15.85546875" bestFit="1" customWidth="1"/>
    <col min="863" max="863" width="16" bestFit="1" customWidth="1"/>
    <col min="864" max="864" width="14.85546875" bestFit="1" customWidth="1"/>
    <col min="865" max="865" width="14.42578125" bestFit="1" customWidth="1"/>
    <col min="866" max="866" width="15.85546875" bestFit="1" customWidth="1"/>
    <col min="867" max="867" width="15.7109375" bestFit="1" customWidth="1"/>
    <col min="868" max="868" width="14.42578125" bestFit="1" customWidth="1"/>
    <col min="869" max="869" width="13.85546875" bestFit="1" customWidth="1"/>
    <col min="870" max="871" width="15" bestFit="1" customWidth="1"/>
    <col min="872" max="872" width="14.42578125" bestFit="1" customWidth="1"/>
    <col min="873" max="874" width="15" bestFit="1" customWidth="1"/>
    <col min="875" max="876" width="15.28515625" bestFit="1" customWidth="1"/>
    <col min="877" max="877" width="14.5703125" bestFit="1" customWidth="1"/>
    <col min="878" max="878" width="15.28515625" bestFit="1" customWidth="1"/>
    <col min="879" max="879" width="14.42578125" bestFit="1" customWidth="1"/>
    <col min="880" max="880" width="15" bestFit="1" customWidth="1"/>
    <col min="881" max="881" width="15.140625" bestFit="1" customWidth="1"/>
    <col min="882" max="882" width="15" bestFit="1" customWidth="1"/>
    <col min="883" max="883" width="14.85546875" bestFit="1" customWidth="1"/>
    <col min="884" max="884" width="14.7109375" bestFit="1" customWidth="1"/>
    <col min="885" max="885" width="14.85546875" bestFit="1" customWidth="1"/>
    <col min="886" max="886" width="15" bestFit="1" customWidth="1"/>
    <col min="887" max="887" width="15.7109375" bestFit="1" customWidth="1"/>
    <col min="888" max="888" width="15.42578125" bestFit="1" customWidth="1"/>
    <col min="889" max="889" width="14.140625" bestFit="1" customWidth="1"/>
    <col min="890" max="890" width="14.5703125" bestFit="1" customWidth="1"/>
    <col min="891" max="891" width="15.140625" bestFit="1" customWidth="1"/>
    <col min="892" max="892" width="14.28515625" bestFit="1" customWidth="1"/>
    <col min="893" max="893" width="14.85546875" bestFit="1" customWidth="1"/>
    <col min="894" max="895" width="15.140625" bestFit="1" customWidth="1"/>
    <col min="896" max="896" width="15.7109375" bestFit="1" customWidth="1"/>
    <col min="897" max="897" width="14" bestFit="1" customWidth="1"/>
    <col min="898" max="898" width="14.7109375" bestFit="1" customWidth="1"/>
    <col min="899" max="899" width="14.140625" bestFit="1" customWidth="1"/>
    <col min="900" max="900" width="14.7109375" bestFit="1" customWidth="1"/>
    <col min="901" max="901" width="15.28515625" bestFit="1" customWidth="1"/>
    <col min="902" max="902" width="15.140625" bestFit="1" customWidth="1"/>
    <col min="903" max="903" width="14.5703125" bestFit="1" customWidth="1"/>
    <col min="904" max="904" width="15" bestFit="1" customWidth="1"/>
    <col min="905" max="905" width="14.7109375" bestFit="1" customWidth="1"/>
    <col min="906" max="906" width="14.42578125" bestFit="1" customWidth="1"/>
    <col min="907" max="907" width="15.140625" bestFit="1" customWidth="1"/>
    <col min="908" max="909" width="15.42578125" bestFit="1" customWidth="1"/>
    <col min="910" max="910" width="14.7109375" bestFit="1" customWidth="1"/>
    <col min="911" max="911" width="14.5703125" bestFit="1" customWidth="1"/>
    <col min="912" max="912" width="14.7109375" bestFit="1" customWidth="1"/>
    <col min="913" max="913" width="14.5703125" bestFit="1" customWidth="1"/>
    <col min="914" max="914" width="14.85546875" bestFit="1" customWidth="1"/>
    <col min="915" max="915" width="15.42578125" bestFit="1" customWidth="1"/>
    <col min="916" max="917" width="15.140625" bestFit="1" customWidth="1"/>
    <col min="918" max="918" width="7.28515625" bestFit="1" customWidth="1"/>
    <col min="919" max="919" width="11.28515625" bestFit="1" customWidth="1"/>
    <col min="920" max="928" width="15.85546875" bestFit="1" customWidth="1"/>
    <col min="929" max="929" width="19" bestFit="1" customWidth="1"/>
    <col min="930" max="931" width="10.28515625" bestFit="1" customWidth="1"/>
    <col min="932" max="932" width="13.42578125" bestFit="1" customWidth="1"/>
    <col min="933" max="933" width="9.140625" bestFit="1" customWidth="1"/>
    <col min="934" max="934" width="12.140625" bestFit="1" customWidth="1"/>
    <col min="935" max="936" width="9.28515625" bestFit="1" customWidth="1"/>
    <col min="937" max="937" width="12.28515625" bestFit="1" customWidth="1"/>
    <col min="938" max="939" width="10" bestFit="1" customWidth="1"/>
    <col min="940" max="940" width="13.140625" bestFit="1" customWidth="1"/>
    <col min="941" max="946" width="11.28515625" bestFit="1" customWidth="1"/>
    <col min="947" max="947" width="14.42578125" bestFit="1" customWidth="1"/>
    <col min="948" max="949" width="10.7109375" bestFit="1" customWidth="1"/>
    <col min="950" max="950" width="13.85546875" bestFit="1" customWidth="1"/>
    <col min="951" max="957" width="11.7109375" bestFit="1" customWidth="1"/>
    <col min="958" max="958" width="14.85546875" bestFit="1" customWidth="1"/>
    <col min="959" max="959" width="11.28515625" bestFit="1" customWidth="1"/>
    <col min="960" max="960" width="14.42578125" bestFit="1" customWidth="1"/>
    <col min="961" max="968" width="14" bestFit="1" customWidth="1"/>
    <col min="969" max="969" width="17.28515625" bestFit="1" customWidth="1"/>
    <col min="970" max="974" width="10.140625" bestFit="1" customWidth="1"/>
    <col min="975" max="975" width="13.28515625" bestFit="1" customWidth="1"/>
    <col min="976" max="979" width="12" bestFit="1" customWidth="1"/>
    <col min="980" max="980" width="15.140625" bestFit="1" customWidth="1"/>
    <col min="981" max="982" width="17.140625" bestFit="1" customWidth="1"/>
    <col min="983" max="983" width="20.28515625" bestFit="1" customWidth="1"/>
    <col min="984" max="984" width="16.5703125" bestFit="1" customWidth="1"/>
    <col min="985" max="985" width="19.7109375" bestFit="1" customWidth="1"/>
    <col min="986" max="986" width="17.85546875" bestFit="1" customWidth="1"/>
    <col min="987" max="987" width="21" bestFit="1" customWidth="1"/>
    <col min="988" max="988" width="14.5703125" bestFit="1" customWidth="1"/>
    <col min="989" max="989" width="17.85546875" bestFit="1" customWidth="1"/>
    <col min="990" max="996" width="10.42578125" bestFit="1" customWidth="1"/>
    <col min="997" max="997" width="13.5703125" bestFit="1" customWidth="1"/>
    <col min="998" max="999" width="11.5703125" bestFit="1" customWidth="1"/>
    <col min="1000" max="1000" width="14.7109375" bestFit="1" customWidth="1"/>
    <col min="1001" max="1002" width="9.7109375" bestFit="1" customWidth="1"/>
    <col min="1003" max="1003" width="12.7109375" bestFit="1" customWidth="1"/>
    <col min="1004" max="1004" width="8" bestFit="1" customWidth="1"/>
    <col min="1005" max="1005" width="11" bestFit="1" customWidth="1"/>
    <col min="1006" max="1008" width="13.85546875" bestFit="1" customWidth="1"/>
    <col min="1009" max="1009" width="17" bestFit="1" customWidth="1"/>
    <col min="1010" max="1011" width="8.7109375" bestFit="1" customWidth="1"/>
    <col min="1012" max="1012" width="11.7109375" bestFit="1" customWidth="1"/>
    <col min="1013" max="1013" width="9.42578125" bestFit="1" customWidth="1"/>
    <col min="1014" max="1014" width="12.42578125" bestFit="1" customWidth="1"/>
    <col min="1015" max="1015" width="10.7109375" bestFit="1" customWidth="1"/>
    <col min="1016" max="1016" width="13.85546875" bestFit="1" customWidth="1"/>
    <col min="1017" max="1017" width="10.85546875" bestFit="1" customWidth="1"/>
    <col min="1018" max="1018" width="14" bestFit="1" customWidth="1"/>
    <col min="1019" max="1021" width="7.42578125" bestFit="1" customWidth="1"/>
    <col min="1022" max="1022" width="10.42578125" bestFit="1" customWidth="1"/>
    <col min="1023" max="1023" width="9" bestFit="1" customWidth="1"/>
    <col min="1024" max="1024" width="12" bestFit="1" customWidth="1"/>
    <col min="1025" max="1031" width="11.7109375" bestFit="1" customWidth="1"/>
    <col min="1032" max="1032" width="14.85546875" bestFit="1" customWidth="1"/>
    <col min="1033" max="1035" width="10.5703125" bestFit="1" customWidth="1"/>
    <col min="1036" max="1036" width="13.7109375" bestFit="1" customWidth="1"/>
    <col min="1037" max="1042" width="11.7109375" bestFit="1" customWidth="1"/>
    <col min="1043" max="1043" width="14.85546875" bestFit="1" customWidth="1"/>
    <col min="1044" max="1045" width="10.7109375" bestFit="1" customWidth="1"/>
    <col min="1046" max="1046" width="13.85546875" bestFit="1" customWidth="1"/>
    <col min="1047" max="1047" width="13.140625" bestFit="1" customWidth="1"/>
    <col min="1048" max="1048" width="16.28515625" bestFit="1" customWidth="1"/>
    <col min="1049" max="1057" width="13.28515625" bestFit="1" customWidth="1"/>
    <col min="1058" max="1058" width="16.42578125" bestFit="1" customWidth="1"/>
    <col min="1059" max="1059" width="10.140625" bestFit="1" customWidth="1"/>
    <col min="1060" max="1060" width="13.28515625" bestFit="1" customWidth="1"/>
    <col min="1061" max="1061" width="16.85546875" bestFit="1" customWidth="1"/>
    <col min="1062" max="1062" width="20" bestFit="1" customWidth="1"/>
    <col min="1063" max="1063" width="12.85546875" bestFit="1" customWidth="1"/>
    <col min="1064" max="1064" width="16" bestFit="1" customWidth="1"/>
    <col min="1065" max="1074" width="12.28515625" bestFit="1" customWidth="1"/>
    <col min="1075" max="1075" width="15.42578125" bestFit="1" customWidth="1"/>
    <col min="1076" max="1079" width="11.5703125" bestFit="1" customWidth="1"/>
    <col min="1080" max="1080" width="14.7109375" bestFit="1" customWidth="1"/>
    <col min="1081" max="1081" width="9" bestFit="1" customWidth="1"/>
    <col min="1082" max="1082" width="12" bestFit="1" customWidth="1"/>
    <col min="1083" max="1084" width="8.5703125" bestFit="1" customWidth="1"/>
    <col min="1085" max="1085" width="11.5703125" bestFit="1" customWidth="1"/>
    <col min="1086" max="1089" width="14.42578125" bestFit="1" customWidth="1"/>
    <col min="1090" max="1090" width="17.7109375" bestFit="1" customWidth="1"/>
    <col min="1091" max="1092" width="12.7109375" bestFit="1" customWidth="1"/>
    <col min="1093" max="1093" width="15.85546875" bestFit="1" customWidth="1"/>
    <col min="1094" max="1094" width="13.5703125" bestFit="1" customWidth="1"/>
    <col min="1095" max="1095" width="16.7109375" bestFit="1" customWidth="1"/>
    <col min="1096" max="1097" width="16.42578125" bestFit="1" customWidth="1"/>
    <col min="1098" max="1098" width="19.5703125" bestFit="1" customWidth="1"/>
    <col min="1099" max="1102" width="11.5703125" bestFit="1" customWidth="1"/>
    <col min="1103" max="1103" width="14.7109375" bestFit="1" customWidth="1"/>
    <col min="1104" max="1112" width="14.5703125" bestFit="1" customWidth="1"/>
    <col min="1113" max="1113" width="17.85546875" bestFit="1" customWidth="1"/>
    <col min="1114" max="1119" width="10.28515625" bestFit="1" customWidth="1"/>
    <col min="1120" max="1120" width="13.42578125" bestFit="1" customWidth="1"/>
    <col min="1121" max="1121" width="12" bestFit="1" customWidth="1"/>
    <col min="1122" max="1122" width="15.140625" bestFit="1" customWidth="1"/>
    <col min="1123" max="1125" width="11.85546875" bestFit="1" customWidth="1"/>
    <col min="1126" max="1126" width="15" bestFit="1" customWidth="1"/>
    <col min="1127" max="1130" width="11.5703125" bestFit="1" customWidth="1"/>
    <col min="1131" max="1131" width="14.7109375" bestFit="1" customWidth="1"/>
    <col min="1132" max="1132" width="11.28515625" bestFit="1" customWidth="1"/>
    <col min="1133" max="1133" width="14.42578125" bestFit="1" customWidth="1"/>
    <col min="1134" max="1134" width="14" bestFit="1" customWidth="1"/>
    <col min="1135" max="1135" width="17.28515625" bestFit="1" customWidth="1"/>
    <col min="1136" max="1136" width="10.5703125" bestFit="1" customWidth="1"/>
    <col min="1137" max="1137" width="13.7109375" bestFit="1" customWidth="1"/>
    <col min="1138" max="1139" width="9" bestFit="1" customWidth="1"/>
    <col min="1140" max="1140" width="12" bestFit="1" customWidth="1"/>
    <col min="1141" max="1147" width="9.140625" bestFit="1" customWidth="1"/>
    <col min="1148" max="1148" width="12.140625" bestFit="1" customWidth="1"/>
    <col min="1149" max="1149" width="11.28515625" bestFit="1" customWidth="1"/>
    <col min="1150" max="1150" width="14.42578125" bestFit="1" customWidth="1"/>
    <col min="1151" max="1152" width="9.85546875" bestFit="1" customWidth="1"/>
    <col min="1153" max="1153" width="12.85546875" bestFit="1" customWidth="1"/>
    <col min="1154" max="1158" width="18.5703125" bestFit="1" customWidth="1"/>
    <col min="1159" max="1159" width="21.85546875" bestFit="1" customWidth="1"/>
    <col min="1160" max="1163" width="11" bestFit="1" customWidth="1"/>
    <col min="1164" max="1164" width="14.140625" bestFit="1" customWidth="1"/>
    <col min="1165" max="1172" width="12.7109375" bestFit="1" customWidth="1"/>
    <col min="1173" max="1173" width="15.85546875" bestFit="1" customWidth="1"/>
    <col min="1174" max="1174" width="13.85546875" bestFit="1" customWidth="1"/>
    <col min="1175" max="1175" width="17" bestFit="1" customWidth="1"/>
    <col min="1176" max="1178" width="8.5703125" bestFit="1" customWidth="1"/>
    <col min="1179" max="1179" width="11.5703125" bestFit="1" customWidth="1"/>
    <col min="1180" max="1182" width="13.5703125" bestFit="1" customWidth="1"/>
    <col min="1183" max="1183" width="16.7109375" bestFit="1" customWidth="1"/>
    <col min="1184" max="1188" width="12.5703125" bestFit="1" customWidth="1"/>
    <col min="1189" max="1189" width="15.7109375" bestFit="1" customWidth="1"/>
    <col min="1190" max="1191" width="11" bestFit="1" customWidth="1"/>
    <col min="1192" max="1192" width="14.140625" bestFit="1" customWidth="1"/>
    <col min="1193" max="1194" width="14.28515625" bestFit="1" customWidth="1"/>
    <col min="1195" max="1195" width="17.5703125" bestFit="1" customWidth="1"/>
    <col min="1196" max="1196" width="9.7109375" bestFit="1" customWidth="1"/>
    <col min="1197" max="1197" width="12.7109375" bestFit="1" customWidth="1"/>
    <col min="1198" max="1199" width="10.5703125" bestFit="1" customWidth="1"/>
    <col min="1200" max="1200" width="13.7109375" bestFit="1" customWidth="1"/>
    <col min="1201" max="1201" width="11.7109375" bestFit="1" customWidth="1"/>
    <col min="1202" max="1202" width="14.85546875" bestFit="1" customWidth="1"/>
    <col min="1203" max="1204" width="12" bestFit="1" customWidth="1"/>
    <col min="1205" max="1205" width="15.140625" bestFit="1" customWidth="1"/>
    <col min="1206" max="1206" width="8.7109375" bestFit="1" customWidth="1"/>
    <col min="1207" max="1207" width="11.7109375" bestFit="1" customWidth="1"/>
    <col min="1208" max="1208" width="10.5703125" bestFit="1" customWidth="1"/>
    <col min="1209" max="1209" width="13.7109375" bestFit="1" customWidth="1"/>
    <col min="1210" max="1210" width="10.5703125" bestFit="1" customWidth="1"/>
    <col min="1211" max="1211" width="13.7109375" bestFit="1" customWidth="1"/>
    <col min="1212" max="1214" width="9.5703125" bestFit="1" customWidth="1"/>
    <col min="1215" max="1215" width="12.5703125" bestFit="1" customWidth="1"/>
    <col min="1216" max="1216" width="9.85546875" bestFit="1" customWidth="1"/>
    <col min="1217" max="1217" width="12.85546875" bestFit="1" customWidth="1"/>
    <col min="1218" max="1223" width="8.7109375" bestFit="1" customWidth="1"/>
    <col min="1224" max="1224" width="11.7109375" bestFit="1" customWidth="1"/>
    <col min="1225" max="1226" width="9.140625" bestFit="1" customWidth="1"/>
    <col min="1227" max="1227" width="12.140625" bestFit="1" customWidth="1"/>
    <col min="1228" max="1236" width="9" bestFit="1" customWidth="1"/>
    <col min="1237" max="1237" width="12" bestFit="1" customWidth="1"/>
    <col min="1238" max="1241" width="9.28515625" bestFit="1" customWidth="1"/>
    <col min="1242" max="1242" width="12.28515625" bestFit="1" customWidth="1"/>
    <col min="1243" max="1244" width="8.42578125" bestFit="1" customWidth="1"/>
    <col min="1245" max="1245" width="11.42578125" bestFit="1" customWidth="1"/>
    <col min="1246" max="1246" width="9.85546875" bestFit="1" customWidth="1"/>
    <col min="1247" max="1247" width="12.85546875" bestFit="1" customWidth="1"/>
    <col min="1248" max="1248" width="13" bestFit="1" customWidth="1"/>
    <col min="1249" max="1249" width="16.140625" bestFit="1" customWidth="1"/>
    <col min="1250" max="1254" width="9" bestFit="1" customWidth="1"/>
    <col min="1255" max="1255" width="12" bestFit="1" customWidth="1"/>
    <col min="1256" max="1256" width="11.85546875" bestFit="1" customWidth="1"/>
    <col min="1257" max="1257" width="15" bestFit="1" customWidth="1"/>
    <col min="1258" max="1258" width="11.5703125" bestFit="1" customWidth="1"/>
    <col min="1259" max="1259" width="14.7109375" bestFit="1" customWidth="1"/>
    <col min="1260" max="1262" width="7.42578125" bestFit="1" customWidth="1"/>
    <col min="1263" max="1263" width="10.42578125" bestFit="1" customWidth="1"/>
    <col min="1264" max="1265" width="12.42578125" bestFit="1" customWidth="1"/>
    <col min="1266" max="1266" width="15.5703125" bestFit="1" customWidth="1"/>
    <col min="1267" max="1267" width="10.140625" bestFit="1" customWidth="1"/>
    <col min="1268" max="1268" width="13.28515625" bestFit="1" customWidth="1"/>
    <col min="1269" max="1271" width="7.28515625" bestFit="1" customWidth="1"/>
    <col min="1272" max="1272" width="10.28515625" bestFit="1" customWidth="1"/>
    <col min="1273" max="1278" width="8.42578125" bestFit="1" customWidth="1"/>
    <col min="1279" max="1279" width="11.42578125" bestFit="1" customWidth="1"/>
    <col min="1280" max="1280" width="14.28515625" bestFit="1" customWidth="1"/>
    <col min="1281" max="1281" width="17.5703125" bestFit="1" customWidth="1"/>
    <col min="1282" max="1283" width="12.28515625" bestFit="1" customWidth="1"/>
    <col min="1284" max="1284" width="15.42578125" bestFit="1" customWidth="1"/>
    <col min="1285" max="1285" width="9.140625" bestFit="1" customWidth="1"/>
    <col min="1286" max="1286" width="12.140625" bestFit="1" customWidth="1"/>
    <col min="1287" max="1291" width="9.7109375" bestFit="1" customWidth="1"/>
    <col min="1292" max="1292" width="12.7109375" bestFit="1" customWidth="1"/>
    <col min="1293" max="1293" width="7.85546875" bestFit="1" customWidth="1"/>
    <col min="1294" max="1294" width="10.85546875" bestFit="1" customWidth="1"/>
    <col min="1295" max="1296" width="9.5703125" bestFit="1" customWidth="1"/>
    <col min="1297" max="1297" width="12.5703125" bestFit="1" customWidth="1"/>
    <col min="1298" max="1322" width="13.5703125" bestFit="1" customWidth="1"/>
    <col min="1323" max="1323" width="16.7109375" bestFit="1" customWidth="1"/>
    <col min="1324" max="1325" width="15.85546875" bestFit="1" customWidth="1"/>
    <col min="1326" max="1326" width="19" bestFit="1" customWidth="1"/>
    <col min="1327" max="1327" width="15.5703125" bestFit="1" customWidth="1"/>
    <col min="1328" max="1328" width="18.7109375" bestFit="1" customWidth="1"/>
    <col min="1329" max="1329" width="18.28515625" bestFit="1" customWidth="1"/>
    <col min="1330" max="1330" width="21.5703125" bestFit="1" customWidth="1"/>
    <col min="1331" max="1333" width="12.28515625" bestFit="1" customWidth="1"/>
    <col min="1334" max="1334" width="15.42578125" bestFit="1" customWidth="1"/>
    <col min="1335" max="1339" width="10.42578125" bestFit="1" customWidth="1"/>
    <col min="1340" max="1340" width="13.5703125" bestFit="1" customWidth="1"/>
    <col min="1341" max="1342" width="11.140625" bestFit="1" customWidth="1"/>
    <col min="1343" max="1343" width="14.28515625" bestFit="1" customWidth="1"/>
    <col min="1344" max="1344" width="9.7109375" bestFit="1" customWidth="1"/>
    <col min="1345" max="1345" width="12.7109375" bestFit="1" customWidth="1"/>
    <col min="1346" max="1348" width="14.140625" bestFit="1" customWidth="1"/>
    <col min="1349" max="1349" width="17.42578125" bestFit="1" customWidth="1"/>
    <col min="1350" max="1352" width="13.42578125" bestFit="1" customWidth="1"/>
    <col min="1353" max="1353" width="16.5703125" bestFit="1" customWidth="1"/>
    <col min="1354" max="1354" width="15.28515625" bestFit="1" customWidth="1"/>
    <col min="1355" max="1355" width="18.42578125" bestFit="1" customWidth="1"/>
    <col min="1356" max="1356" width="8.42578125" bestFit="1" customWidth="1"/>
    <col min="1357" max="1357" width="11.42578125" bestFit="1" customWidth="1"/>
    <col min="1358" max="1359" width="10.85546875" bestFit="1" customWidth="1"/>
    <col min="1360" max="1360" width="14" bestFit="1" customWidth="1"/>
    <col min="1361" max="1361" width="10" bestFit="1" customWidth="1"/>
    <col min="1362" max="1362" width="13.140625" bestFit="1" customWidth="1"/>
    <col min="1363" max="1363" width="16.28515625" bestFit="1" customWidth="1"/>
    <col min="1364" max="1364" width="19.42578125" bestFit="1" customWidth="1"/>
    <col min="1365" max="1365" width="12.7109375" bestFit="1" customWidth="1"/>
    <col min="1366" max="1366" width="15.85546875" bestFit="1" customWidth="1"/>
    <col min="1367" max="1367" width="9.140625" bestFit="1" customWidth="1"/>
    <col min="1368" max="1368" width="12.140625" bestFit="1" customWidth="1"/>
    <col min="1369" max="1369" width="11.28515625" bestFit="1" customWidth="1"/>
    <col min="1370" max="1370" width="12.140625" bestFit="1" customWidth="1"/>
    <col min="1371" max="1371" width="15.42578125" bestFit="1" customWidth="1"/>
    <col min="1372" max="1372" width="12.140625" bestFit="1" customWidth="1"/>
    <col min="1373" max="1373" width="15.42578125" bestFit="1" customWidth="1"/>
    <col min="1374" max="1374" width="12.140625" bestFit="1" customWidth="1"/>
    <col min="1375" max="1375" width="15.42578125" bestFit="1" customWidth="1"/>
    <col min="1376" max="1376" width="12.140625" bestFit="1" customWidth="1"/>
    <col min="1377" max="1377" width="15.42578125" bestFit="1" customWidth="1"/>
    <col min="1378" max="1378" width="12.140625" bestFit="1" customWidth="1"/>
    <col min="1379" max="1379" width="15.42578125" bestFit="1" customWidth="1"/>
    <col min="1380" max="1380" width="17.28515625" bestFit="1" customWidth="1"/>
    <col min="1381" max="1381" width="20.42578125" bestFit="1" customWidth="1"/>
  </cols>
  <sheetData>
    <row r="13" spans="1:3" x14ac:dyDescent="0.25">
      <c r="A13" s="2" t="s">
        <v>6213</v>
      </c>
      <c r="B13" s="2" t="s">
        <v>6225</v>
      </c>
    </row>
    <row r="14" spans="1:3" x14ac:dyDescent="0.25">
      <c r="A14" s="2" t="s">
        <v>6211</v>
      </c>
      <c r="B14" t="s">
        <v>6224</v>
      </c>
      <c r="C14" t="s">
        <v>6212</v>
      </c>
    </row>
    <row r="15" spans="1:3" x14ac:dyDescent="0.25">
      <c r="A15" s="3" t="s">
        <v>1949</v>
      </c>
      <c r="B15" s="6">
        <v>91.539999999999992</v>
      </c>
      <c r="C15" s="6">
        <v>91.539999999999992</v>
      </c>
    </row>
    <row r="16" spans="1:3" x14ac:dyDescent="0.25">
      <c r="A16" s="3" t="s">
        <v>1941</v>
      </c>
      <c r="B16" s="6">
        <v>421.88</v>
      </c>
      <c r="C16" s="6">
        <v>421.88</v>
      </c>
    </row>
    <row r="17" spans="1:22" x14ac:dyDescent="0.25">
      <c r="A17" s="3" t="s">
        <v>6212</v>
      </c>
      <c r="B17" s="6">
        <v>513.41999999999996</v>
      </c>
      <c r="C17" s="6">
        <v>513.41999999999996</v>
      </c>
    </row>
    <row r="21" spans="1:22" x14ac:dyDescent="0.25">
      <c r="D21" s="2" t="s">
        <v>6211</v>
      </c>
      <c r="E21" t="s">
        <v>6226</v>
      </c>
    </row>
    <row r="22" spans="1:22" x14ac:dyDescent="0.25">
      <c r="D22" s="3" t="s">
        <v>1949</v>
      </c>
      <c r="E22" s="6">
        <v>2</v>
      </c>
    </row>
    <row r="23" spans="1:22" x14ac:dyDescent="0.25">
      <c r="D23" s="3" t="s">
        <v>1941</v>
      </c>
      <c r="E23" s="6">
        <v>11</v>
      </c>
    </row>
    <row r="24" spans="1:22" x14ac:dyDescent="0.25">
      <c r="D24" s="3" t="s">
        <v>6212</v>
      </c>
      <c r="E24" s="6">
        <v>13</v>
      </c>
    </row>
    <row r="30" spans="1:22" x14ac:dyDescent="0.25">
      <c r="U30" s="2" t="s">
        <v>6211</v>
      </c>
      <c r="V30" t="s">
        <v>6226</v>
      </c>
    </row>
    <row r="31" spans="1:22" x14ac:dyDescent="0.25">
      <c r="U31" s="3" t="s">
        <v>2345</v>
      </c>
      <c r="V31" s="6">
        <v>1</v>
      </c>
    </row>
    <row r="32" spans="1:22" x14ac:dyDescent="0.25">
      <c r="U32" s="3" t="s">
        <v>5337</v>
      </c>
      <c r="V32" s="6">
        <v>1</v>
      </c>
    </row>
    <row r="33" spans="1:22" x14ac:dyDescent="0.25">
      <c r="U33" s="3" t="s">
        <v>2191</v>
      </c>
      <c r="V33" s="6">
        <v>1</v>
      </c>
    </row>
    <row r="34" spans="1:22" x14ac:dyDescent="0.25">
      <c r="U34" s="3" t="s">
        <v>5028</v>
      </c>
      <c r="V34" s="6">
        <v>2</v>
      </c>
    </row>
    <row r="35" spans="1:22" x14ac:dyDescent="0.25">
      <c r="U35" s="3" t="s">
        <v>6063</v>
      </c>
      <c r="V35" s="6">
        <v>1</v>
      </c>
    </row>
    <row r="36" spans="1:22" x14ac:dyDescent="0.25">
      <c r="U36" s="3" t="s">
        <v>2957</v>
      </c>
      <c r="V36" s="6">
        <v>1</v>
      </c>
    </row>
    <row r="37" spans="1:22" x14ac:dyDescent="0.25">
      <c r="U37" s="3" t="s">
        <v>2744</v>
      </c>
      <c r="V37" s="6">
        <v>1</v>
      </c>
    </row>
    <row r="38" spans="1:22" x14ac:dyDescent="0.25">
      <c r="A38" s="2" t="s">
        <v>6211</v>
      </c>
      <c r="B38" t="s">
        <v>6213</v>
      </c>
      <c r="U38" s="3" t="s">
        <v>5406</v>
      </c>
      <c r="V38" s="6">
        <v>1</v>
      </c>
    </row>
    <row r="39" spans="1:22" x14ac:dyDescent="0.25">
      <c r="A39" s="3" t="s">
        <v>6201</v>
      </c>
      <c r="B39" s="6">
        <v>513.41999999999996</v>
      </c>
      <c r="U39" s="3" t="s">
        <v>2017</v>
      </c>
      <c r="V39" s="6">
        <v>1</v>
      </c>
    </row>
    <row r="40" spans="1:22" x14ac:dyDescent="0.25">
      <c r="A40" s="3" t="s">
        <v>6212</v>
      </c>
      <c r="B40" s="6">
        <v>513.41999999999996</v>
      </c>
      <c r="U40" s="3" t="s">
        <v>2004</v>
      </c>
      <c r="V40" s="6">
        <v>1</v>
      </c>
    </row>
    <row r="41" spans="1:22" x14ac:dyDescent="0.25">
      <c r="U41" s="3" t="s">
        <v>2163</v>
      </c>
      <c r="V41" s="6">
        <v>1</v>
      </c>
    </row>
    <row r="42" spans="1:22" x14ac:dyDescent="0.25">
      <c r="U42" s="3" t="s">
        <v>2211</v>
      </c>
      <c r="V42" s="6">
        <v>1</v>
      </c>
    </row>
    <row r="43" spans="1:22" x14ac:dyDescent="0.25">
      <c r="U43" s="3" t="s">
        <v>6212</v>
      </c>
      <c r="V43" s="6">
        <v>13</v>
      </c>
    </row>
    <row r="46" spans="1:22" x14ac:dyDescent="0.25">
      <c r="A46" s="2" t="s">
        <v>6211</v>
      </c>
      <c r="B46" t="s">
        <v>6226</v>
      </c>
      <c r="Q46" s="2" t="s">
        <v>6211</v>
      </c>
      <c r="R46" t="s">
        <v>6214</v>
      </c>
    </row>
    <row r="47" spans="1:22" x14ac:dyDescent="0.25">
      <c r="A47" s="3" t="s">
        <v>6224</v>
      </c>
      <c r="B47" s="6">
        <v>13</v>
      </c>
      <c r="Q47" s="3" t="s">
        <v>6212</v>
      </c>
      <c r="R47" s="6"/>
    </row>
    <row r="48" spans="1:22" x14ac:dyDescent="0.25">
      <c r="A48" s="3" t="s">
        <v>6212</v>
      </c>
      <c r="B48" s="6">
        <v>13</v>
      </c>
    </row>
    <row r="53" spans="1:6" x14ac:dyDescent="0.25">
      <c r="A53" s="2" t="s">
        <v>6211</v>
      </c>
      <c r="B53" t="s">
        <v>6213</v>
      </c>
      <c r="D53" s="2" t="s">
        <v>6213</v>
      </c>
      <c r="E53" s="2" t="s">
        <v>6225</v>
      </c>
    </row>
    <row r="54" spans="1:6" x14ac:dyDescent="0.25">
      <c r="A54" s="3" t="s">
        <v>6218</v>
      </c>
      <c r="B54" s="6">
        <v>45.769999999999996</v>
      </c>
      <c r="D54" s="2" t="s">
        <v>6211</v>
      </c>
      <c r="E54" t="s">
        <v>6197</v>
      </c>
      <c r="F54" t="s">
        <v>6212</v>
      </c>
    </row>
    <row r="55" spans="1:6" x14ac:dyDescent="0.25">
      <c r="A55" s="3" t="s">
        <v>6217</v>
      </c>
      <c r="B55" s="6">
        <v>17.91</v>
      </c>
      <c r="D55" s="3" t="s">
        <v>6218</v>
      </c>
      <c r="E55" s="6">
        <v>45.769999999999996</v>
      </c>
      <c r="F55" s="6">
        <v>45.769999999999996</v>
      </c>
    </row>
    <row r="56" spans="1:6" x14ac:dyDescent="0.25">
      <c r="A56" s="3" t="s">
        <v>6220</v>
      </c>
      <c r="B56" s="6">
        <v>5.97</v>
      </c>
      <c r="D56" s="3" t="s">
        <v>6217</v>
      </c>
      <c r="E56" s="6">
        <v>17.91</v>
      </c>
      <c r="F56" s="6">
        <v>17.91</v>
      </c>
    </row>
    <row r="57" spans="1:6" x14ac:dyDescent="0.25">
      <c r="A57" s="3" t="s">
        <v>6215</v>
      </c>
      <c r="B57" s="6">
        <v>59.699999999999996</v>
      </c>
      <c r="D57" s="3" t="s">
        <v>6220</v>
      </c>
      <c r="E57" s="6">
        <v>5.97</v>
      </c>
      <c r="F57" s="6">
        <v>5.97</v>
      </c>
    </row>
    <row r="58" spans="1:6" x14ac:dyDescent="0.25">
      <c r="A58" s="3" t="s">
        <v>6230</v>
      </c>
      <c r="B58" s="6">
        <v>29.849999999999998</v>
      </c>
      <c r="D58" s="3" t="s">
        <v>6215</v>
      </c>
      <c r="E58" s="6">
        <v>59.699999999999996</v>
      </c>
      <c r="F58" s="6">
        <v>59.699999999999996</v>
      </c>
    </row>
    <row r="59" spans="1:6" x14ac:dyDescent="0.25">
      <c r="A59" s="3" t="s">
        <v>6219</v>
      </c>
      <c r="B59" s="6">
        <v>211.93499999999997</v>
      </c>
      <c r="D59" s="3" t="s">
        <v>6230</v>
      </c>
      <c r="E59" s="6">
        <v>29.849999999999998</v>
      </c>
      <c r="F59" s="6">
        <v>29.849999999999998</v>
      </c>
    </row>
    <row r="60" spans="1:6" x14ac:dyDescent="0.25">
      <c r="A60" s="3" t="s">
        <v>6231</v>
      </c>
      <c r="B60" s="6">
        <v>127.35999999999999</v>
      </c>
      <c r="D60" s="3" t="s">
        <v>6219</v>
      </c>
      <c r="E60" s="6">
        <v>211.93499999999997</v>
      </c>
      <c r="F60" s="6">
        <v>211.93499999999997</v>
      </c>
    </row>
    <row r="61" spans="1:6" x14ac:dyDescent="0.25">
      <c r="A61" s="3" t="s">
        <v>6216</v>
      </c>
      <c r="B61" s="6">
        <v>14.924999999999999</v>
      </c>
      <c r="D61" s="3" t="s">
        <v>6231</v>
      </c>
      <c r="E61" s="6">
        <v>127.35999999999999</v>
      </c>
      <c r="F61" s="6">
        <v>127.35999999999999</v>
      </c>
    </row>
    <row r="62" spans="1:6" x14ac:dyDescent="0.25">
      <c r="A62" s="3" t="s">
        <v>6212</v>
      </c>
      <c r="B62" s="6">
        <v>513.41999999999996</v>
      </c>
      <c r="D62" s="3" t="s">
        <v>6216</v>
      </c>
      <c r="E62" s="6">
        <v>14.924999999999999</v>
      </c>
      <c r="F62" s="6">
        <v>14.924999999999999</v>
      </c>
    </row>
    <row r="63" spans="1:6" x14ac:dyDescent="0.25">
      <c r="D63" s="3" t="s">
        <v>6212</v>
      </c>
      <c r="E63" s="6">
        <v>513.41999999999996</v>
      </c>
      <c r="F63" s="6">
        <v>513.41999999999996</v>
      </c>
    </row>
    <row r="69" spans="1:6" x14ac:dyDescent="0.25">
      <c r="D69" s="2" t="s">
        <v>6211</v>
      </c>
      <c r="E69" t="s">
        <v>6213</v>
      </c>
    </row>
    <row r="70" spans="1:6" x14ac:dyDescent="0.25">
      <c r="A70" s="2" t="s">
        <v>6211</v>
      </c>
      <c r="B70" t="s">
        <v>6227</v>
      </c>
      <c r="D70" s="3" t="s">
        <v>6221</v>
      </c>
      <c r="E70" s="6">
        <v>772.12000000000012</v>
      </c>
    </row>
    <row r="71" spans="1:6" x14ac:dyDescent="0.25">
      <c r="A71" s="3" t="s">
        <v>6218</v>
      </c>
      <c r="B71" s="6">
        <v>1</v>
      </c>
      <c r="D71" s="3" t="s">
        <v>6222</v>
      </c>
      <c r="E71" s="6">
        <v>660.68000000000006</v>
      </c>
    </row>
    <row r="72" spans="1:6" x14ac:dyDescent="0.25">
      <c r="A72" s="3" t="s">
        <v>6217</v>
      </c>
      <c r="B72" s="6">
        <v>1</v>
      </c>
      <c r="D72" s="3" t="s">
        <v>6223</v>
      </c>
      <c r="E72" s="6">
        <v>691.52499999999998</v>
      </c>
    </row>
    <row r="73" spans="1:6" x14ac:dyDescent="0.25">
      <c r="A73" s="3" t="s">
        <v>6220</v>
      </c>
      <c r="B73" s="6">
        <v>1</v>
      </c>
      <c r="D73" s="3" t="s">
        <v>6224</v>
      </c>
      <c r="E73" s="6">
        <v>513.41999999999996</v>
      </c>
    </row>
    <row r="74" spans="1:6" x14ac:dyDescent="0.25">
      <c r="A74" s="3" t="s">
        <v>6215</v>
      </c>
      <c r="B74" s="6">
        <v>1</v>
      </c>
      <c r="D74" s="3" t="s">
        <v>6212</v>
      </c>
      <c r="E74" s="6">
        <v>2637.7450000000003</v>
      </c>
    </row>
    <row r="75" spans="1:6" x14ac:dyDescent="0.25">
      <c r="A75" s="3" t="s">
        <v>6230</v>
      </c>
      <c r="B75" s="6">
        <v>1</v>
      </c>
    </row>
    <row r="76" spans="1:6" x14ac:dyDescent="0.25">
      <c r="A76" s="3" t="s">
        <v>6219</v>
      </c>
      <c r="B76" s="6">
        <v>3</v>
      </c>
      <c r="D76" s="2" t="s">
        <v>6213</v>
      </c>
      <c r="E76" s="2" t="s">
        <v>6225</v>
      </c>
    </row>
    <row r="77" spans="1:6" x14ac:dyDescent="0.25">
      <c r="A77" s="3" t="s">
        <v>6231</v>
      </c>
      <c r="B77" s="6">
        <v>4</v>
      </c>
      <c r="D77" s="2" t="s">
        <v>6211</v>
      </c>
      <c r="E77" t="s">
        <v>6224</v>
      </c>
      <c r="F77" t="s">
        <v>6212</v>
      </c>
    </row>
    <row r="78" spans="1:6" x14ac:dyDescent="0.25">
      <c r="A78" s="3" t="s">
        <v>6216</v>
      </c>
      <c r="B78" s="6">
        <v>1</v>
      </c>
      <c r="D78" s="3" t="s">
        <v>6197</v>
      </c>
      <c r="E78" s="6">
        <v>513.41999999999996</v>
      </c>
      <c r="F78" s="6">
        <v>513.41999999999996</v>
      </c>
    </row>
    <row r="79" spans="1:6" x14ac:dyDescent="0.25">
      <c r="A79" s="3" t="s">
        <v>6212</v>
      </c>
      <c r="B79" s="6">
        <v>13</v>
      </c>
      <c r="D79" s="4" t="s">
        <v>6201</v>
      </c>
      <c r="E79" s="6">
        <v>513.41999999999996</v>
      </c>
      <c r="F79" s="6">
        <v>513.41999999999996</v>
      </c>
    </row>
    <row r="80" spans="1:6" x14ac:dyDescent="0.25">
      <c r="D80" s="3" t="s">
        <v>6212</v>
      </c>
      <c r="E80" s="6">
        <v>513.41999999999996</v>
      </c>
      <c r="F80" s="6">
        <v>513.41999999999996</v>
      </c>
    </row>
    <row r="97" spans="1:6" x14ac:dyDescent="0.25">
      <c r="A97" s="2" t="s">
        <v>6213</v>
      </c>
      <c r="B97" s="2" t="s">
        <v>6225</v>
      </c>
    </row>
    <row r="98" spans="1:6" x14ac:dyDescent="0.25">
      <c r="A98" s="2" t="s">
        <v>6211</v>
      </c>
      <c r="B98" t="s">
        <v>6224</v>
      </c>
      <c r="C98" t="s">
        <v>6212</v>
      </c>
    </row>
    <row r="99" spans="1:6" x14ac:dyDescent="0.25">
      <c r="A99" s="3" t="s">
        <v>6197</v>
      </c>
      <c r="B99" s="6">
        <v>513.41999999999996</v>
      </c>
      <c r="C99" s="6">
        <v>513.41999999999996</v>
      </c>
    </row>
    <row r="100" spans="1:6" x14ac:dyDescent="0.25">
      <c r="A100" s="3" t="s">
        <v>6212</v>
      </c>
      <c r="B100" s="6">
        <v>513.41999999999996</v>
      </c>
      <c r="C100" s="6">
        <v>513.41999999999996</v>
      </c>
    </row>
    <row r="105" spans="1:6" x14ac:dyDescent="0.25">
      <c r="B105" t="s">
        <v>6226</v>
      </c>
    </row>
    <row r="106" spans="1:6" x14ac:dyDescent="0.25">
      <c r="B106" s="6">
        <v>13</v>
      </c>
      <c r="C106">
        <f>GETPIVOTDATA("Customer ID",$B$105)</f>
        <v>13</v>
      </c>
    </row>
    <row r="109" spans="1:6" x14ac:dyDescent="0.25">
      <c r="F109" t="e">
        <f>GETPIVOTDATA("Sales",$D$108)</f>
        <v>#REF!</v>
      </c>
    </row>
    <row r="112" spans="1:6" x14ac:dyDescent="0.25">
      <c r="A112" t="s">
        <v>6229</v>
      </c>
    </row>
    <row r="113" spans="1:6" x14ac:dyDescent="0.25">
      <c r="A113" s="6">
        <v>158.26469999999995</v>
      </c>
    </row>
    <row r="116" spans="1:6" x14ac:dyDescent="0.25">
      <c r="A116">
        <f>GETPIVOTDATA("Total profit",$A$112)</f>
        <v>158.26469999999995</v>
      </c>
    </row>
    <row r="121" spans="1:6" x14ac:dyDescent="0.25">
      <c r="E121" t="s">
        <v>6214</v>
      </c>
    </row>
    <row r="122" spans="1:6" x14ac:dyDescent="0.25">
      <c r="E122" s="6">
        <v>49</v>
      </c>
      <c r="F122">
        <f>GETPIVOTDATA("Quantity",$E$121)</f>
        <v>49</v>
      </c>
    </row>
    <row r="133" spans="1:2" x14ac:dyDescent="0.25">
      <c r="A133" s="2" t="s">
        <v>6211</v>
      </c>
      <c r="B133" t="s">
        <v>6213</v>
      </c>
    </row>
    <row r="134" spans="1:2" x14ac:dyDescent="0.25">
      <c r="A134" s="3" t="s">
        <v>2345</v>
      </c>
      <c r="B134" s="6">
        <v>45.769999999999996</v>
      </c>
    </row>
    <row r="135" spans="1:2" x14ac:dyDescent="0.25">
      <c r="A135" s="3" t="s">
        <v>5337</v>
      </c>
      <c r="B135" s="6">
        <v>45.769999999999996</v>
      </c>
    </row>
    <row r="136" spans="1:2" x14ac:dyDescent="0.25">
      <c r="A136" s="3" t="s">
        <v>2191</v>
      </c>
      <c r="B136" s="6">
        <v>19.899999999999999</v>
      </c>
    </row>
    <row r="137" spans="1:2" x14ac:dyDescent="0.25">
      <c r="A137" s="3" t="s">
        <v>5028</v>
      </c>
      <c r="B137" s="6">
        <v>47.76</v>
      </c>
    </row>
    <row r="138" spans="1:2" x14ac:dyDescent="0.25">
      <c r="A138" s="3" t="s">
        <v>6063</v>
      </c>
      <c r="B138" s="6">
        <v>5.97</v>
      </c>
    </row>
    <row r="139" spans="1:2" x14ac:dyDescent="0.25">
      <c r="A139" s="3" t="s">
        <v>2957</v>
      </c>
      <c r="B139" s="6">
        <v>14.924999999999999</v>
      </c>
    </row>
    <row r="140" spans="1:2" x14ac:dyDescent="0.25">
      <c r="A140" s="3" t="s">
        <v>2744</v>
      </c>
      <c r="B140" s="6">
        <v>91.539999999999992</v>
      </c>
    </row>
    <row r="141" spans="1:2" x14ac:dyDescent="0.25">
      <c r="A141" s="3" t="s">
        <v>5406</v>
      </c>
      <c r="B141" s="6">
        <v>5.97</v>
      </c>
    </row>
    <row r="142" spans="1:2" x14ac:dyDescent="0.25">
      <c r="A142" s="3" t="s">
        <v>2017</v>
      </c>
      <c r="B142" s="6">
        <v>114.42499999999998</v>
      </c>
    </row>
    <row r="143" spans="1:2" x14ac:dyDescent="0.25">
      <c r="A143" s="3" t="s">
        <v>2004</v>
      </c>
      <c r="B143" s="6">
        <v>49.75</v>
      </c>
    </row>
    <row r="144" spans="1:2" x14ac:dyDescent="0.25">
      <c r="A144" s="3" t="s">
        <v>2163</v>
      </c>
      <c r="B144" s="6">
        <v>11.94</v>
      </c>
    </row>
    <row r="145" spans="1:2" x14ac:dyDescent="0.25">
      <c r="A145" s="3" t="s">
        <v>2211</v>
      </c>
      <c r="B145" s="6">
        <v>59.699999999999996</v>
      </c>
    </row>
    <row r="146" spans="1:2" x14ac:dyDescent="0.25">
      <c r="A146" s="3" t="s">
        <v>6212</v>
      </c>
      <c r="B146" s="6">
        <v>513.41999999999996</v>
      </c>
    </row>
  </sheetData>
  <pageMargins left="0.7" right="0.7" top="0.75" bottom="0.75" header="0.3" footer="0.3"/>
  <drawing r:id="rId17"/>
  <extLst>
    <ext xmlns:x14="http://schemas.microsoft.com/office/spreadsheetml/2009/9/main" uri="{A8765BA9-456A-4dab-B4F3-ACF838C121DE}">
      <x14:slicerList>
        <x14:slicer r:id="rId18"/>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8:DU8"/>
  <sheetViews>
    <sheetView showGridLines="0" tabSelected="1" zoomScale="98" zoomScaleNormal="98" workbookViewId="0">
      <selection activeCell="T4" sqref="T4"/>
    </sheetView>
  </sheetViews>
  <sheetFormatPr defaultRowHeight="15" x14ac:dyDescent="0.25"/>
  <cols>
    <col min="1" max="30" width="9.140625" style="5"/>
    <col min="31" max="84" width="9.140625" style="1"/>
    <col min="85" max="85" width="9.140625" style="1" customWidth="1"/>
    <col min="86" max="125" width="9.140625" style="1"/>
  </cols>
  <sheetData>
    <row r="8" spans="12:12" x14ac:dyDescent="0.25">
      <c r="L8" s="5" t="s">
        <v>6228</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1001"/>
  <sheetViews>
    <sheetView workbookViewId="0">
      <selection sqref="A1:V1048576"/>
    </sheetView>
  </sheetViews>
  <sheetFormatPr defaultRowHeight="15" x14ac:dyDescent="0.25"/>
  <cols>
    <col min="1" max="1" width="15.140625" bestFit="1" customWidth="1"/>
    <col min="2" max="2" width="12.140625" bestFit="1" customWidth="1"/>
    <col min="3" max="3" width="12.140625" customWidth="1"/>
    <col min="4" max="5" width="12.28515625" customWidth="1"/>
    <col min="6" max="6" width="15.85546875" bestFit="1" customWidth="1"/>
    <col min="7" max="7" width="15.85546875" customWidth="1"/>
    <col min="8" max="8" width="10.5703125" customWidth="1"/>
    <col min="9" max="9" width="11.7109375" customWidth="1"/>
    <col min="10" max="10" width="11.5703125" customWidth="1"/>
    <col min="11" max="11" width="10.85546875" customWidth="1"/>
    <col min="12" max="12" width="7.7109375" customWidth="1"/>
    <col min="13" max="13" width="9.7109375" customWidth="1"/>
    <col min="14" max="14" width="9.7109375" bestFit="1" customWidth="1"/>
    <col min="15" max="16" width="9.7109375" customWidth="1"/>
    <col min="17" max="17" width="8.140625" bestFit="1" customWidth="1"/>
    <col min="18" max="18" width="5.42578125" customWidth="1"/>
    <col min="19" max="19" width="8.85546875" bestFit="1" customWidth="1"/>
    <col min="20" max="20" width="7.42578125" bestFit="1" customWidth="1"/>
    <col min="22" max="22" width="13.140625" customWidth="1"/>
  </cols>
  <sheetData>
    <row r="1" spans="1:22" x14ac:dyDescent="0.25">
      <c r="A1" t="s">
        <v>1918</v>
      </c>
      <c r="B1" t="s">
        <v>1919</v>
      </c>
      <c r="C1" t="s">
        <v>6205</v>
      </c>
      <c r="D1" t="s">
        <v>6204</v>
      </c>
      <c r="E1" t="s">
        <v>6203</v>
      </c>
      <c r="F1" t="s">
        <v>1920</v>
      </c>
      <c r="G1" t="s">
        <v>1923</v>
      </c>
      <c r="H1" t="s">
        <v>1924</v>
      </c>
      <c r="I1" t="s">
        <v>6206</v>
      </c>
      <c r="J1" t="s">
        <v>1933</v>
      </c>
      <c r="K1" t="s">
        <v>1925</v>
      </c>
      <c r="L1" t="s">
        <v>1935</v>
      </c>
      <c r="M1" t="s">
        <v>6207</v>
      </c>
      <c r="N1" t="s">
        <v>1921</v>
      </c>
      <c r="O1" t="s">
        <v>6208</v>
      </c>
      <c r="P1" t="s">
        <v>6188</v>
      </c>
      <c r="Q1" t="s">
        <v>1922</v>
      </c>
      <c r="R1" t="s">
        <v>1928</v>
      </c>
      <c r="S1" t="s">
        <v>1929</v>
      </c>
      <c r="T1" t="s">
        <v>1930</v>
      </c>
      <c r="U1" t="s">
        <v>6209</v>
      </c>
      <c r="V1" t="s">
        <v>6210</v>
      </c>
    </row>
    <row r="2" spans="1:22" x14ac:dyDescent="0.25">
      <c r="A2" t="s">
        <v>0</v>
      </c>
      <c r="B2">
        <v>43713</v>
      </c>
      <c r="C2" t="str">
        <f>TEXT(B:B,"DD")</f>
        <v>05</v>
      </c>
      <c r="D2" t="str">
        <f t="shared" ref="D2:D65" si="0">TEXT(B:B,"MMMM")</f>
        <v>September</v>
      </c>
      <c r="E2" t="str">
        <f>TEXT(B:B,"yyyy")</f>
        <v>2019</v>
      </c>
      <c r="F2" t="s">
        <v>1</v>
      </c>
      <c r="G2" t="str">
        <f>VLOOKUP(F2,'Customers (2)'!A:I,2,0)</f>
        <v>Aloisia Allner</v>
      </c>
      <c r="H2" t="str">
        <f>VLOOKUP(F2,'Customers (2)'!A:I,3,0)</f>
        <v>aallner0@lulu.com</v>
      </c>
      <c r="I2" t="str">
        <f>VLOOKUP(F2,'Customers (2)'!A:I,4,0)</f>
        <v>+1 (862) 817-0124</v>
      </c>
      <c r="J2" t="str">
        <f>VLOOKUP(F2,'Customers (2)'!A:I,6,0)</f>
        <v>Paterson</v>
      </c>
      <c r="K2" t="str">
        <f>VLOOKUP(F2,'Customers (2)'!A:I,7,0)</f>
        <v>United States</v>
      </c>
      <c r="L2" t="str">
        <f>VLOOKUP(F2,'Customers (2)'!A:I,9,0)</f>
        <v>Yes</v>
      </c>
      <c r="M2" t="str">
        <f>VLOOKUP(N2,'Products (2)'!A:G,2,0)</f>
        <v>Robusta</v>
      </c>
      <c r="N2" t="s">
        <v>2</v>
      </c>
      <c r="O2" t="str">
        <f>VLOOKUP(N2,'Products (2)'!A:G,3,0)</f>
        <v>Medium</v>
      </c>
      <c r="P2">
        <f>VLOOKUP(N2,'Products (2)'!A:G,7,0)</f>
        <v>0.59699999999999998</v>
      </c>
      <c r="Q2">
        <v>2</v>
      </c>
      <c r="R2">
        <f>INDEX([1]products!$A$1:$G$49,MATCH([1]orders!$D2,[1]products!$A$1:$A$49,0),MATCH([1]orders!K$1,[1]products!$A$1:$G$1,0))</f>
        <v>1</v>
      </c>
      <c r="S2">
        <f>INDEX([1]products!$A$1:$G$49,MATCH([1]orders!$D2,[1]products!$A$1:$A$49,0),MATCH([1]orders!L$1,[1]products!$A$1:$G$1,0))</f>
        <v>9.9499999999999993</v>
      </c>
      <c r="T2">
        <f t="shared" ref="T2:T65" si="1">Q2*S2</f>
        <v>19.899999999999999</v>
      </c>
      <c r="U2">
        <f>Q2*P2</f>
        <v>1.194</v>
      </c>
      <c r="V2">
        <f>U2/T2*100</f>
        <v>6.0000000000000009</v>
      </c>
    </row>
    <row r="3" spans="1:22" x14ac:dyDescent="0.25">
      <c r="A3" t="s">
        <v>0</v>
      </c>
      <c r="B3">
        <v>43713</v>
      </c>
      <c r="C3" t="str">
        <f t="shared" ref="C3:C66" si="2">TEXT(B:B,"DD")</f>
        <v>05</v>
      </c>
      <c r="D3" t="str">
        <f t="shared" si="0"/>
        <v>September</v>
      </c>
      <c r="E3" t="str">
        <f t="shared" ref="E3:E66" si="3">TEXT(B:B,"yyyy")</f>
        <v>2019</v>
      </c>
      <c r="F3" t="s">
        <v>1</v>
      </c>
      <c r="G3" t="str">
        <f>VLOOKUP(F3,'Customers (2)'!A:I,2,0)</f>
        <v>Aloisia Allner</v>
      </c>
      <c r="H3" t="str">
        <f>VLOOKUP(F3,'Customers (2)'!A:I,3,0)</f>
        <v>aallner0@lulu.com</v>
      </c>
      <c r="I3" t="str">
        <f>VLOOKUP(F3,'Customers (2)'!A:I,4,0)</f>
        <v>+1 (862) 817-0124</v>
      </c>
      <c r="J3" t="str">
        <f>VLOOKUP(F3,'Customers (2)'!A:I,6,0)</f>
        <v>Paterson</v>
      </c>
      <c r="K3" t="str">
        <f>VLOOKUP(F3,'Customers (2)'!A:I,7,0)</f>
        <v>United States</v>
      </c>
      <c r="L3" t="str">
        <f>VLOOKUP(F3,'Customers (2)'!A:I,9,0)</f>
        <v>Yes</v>
      </c>
      <c r="M3" t="str">
        <f>VLOOKUP(N3,'Products (2)'!A:G,2,0)</f>
        <v>Excelsa</v>
      </c>
      <c r="N3" t="s">
        <v>3</v>
      </c>
      <c r="O3" t="str">
        <f>VLOOKUP(N3,'Products (2)'!A:G,3,0)</f>
        <v>Medium</v>
      </c>
      <c r="P3">
        <f>VLOOKUP(N3,'Products (2)'!A:G,7,0)</f>
        <v>0.90749999999999997</v>
      </c>
      <c r="Q3">
        <v>5</v>
      </c>
      <c r="R3">
        <f>INDEX([1]products!$A$1:$G$49,MATCH([1]orders!$D3,[1]products!$A$1:$A$49,0),MATCH([1]orders!K$1,[1]products!$A$1:$G$1,0))</f>
        <v>0.5</v>
      </c>
      <c r="S3">
        <f>INDEX([1]products!$A$1:$G$49,MATCH([1]orders!$D3,[1]products!$A$1:$A$49,0),MATCH([1]orders!L$1,[1]products!$A$1:$G$1,0))</f>
        <v>8.25</v>
      </c>
      <c r="T3">
        <f t="shared" si="1"/>
        <v>41.25</v>
      </c>
      <c r="U3">
        <f t="shared" ref="U3:U66" si="4">Q3*P3</f>
        <v>4.5374999999999996</v>
      </c>
      <c r="V3">
        <f t="shared" ref="V3:V66" si="5">U3/T3*100</f>
        <v>10.999999999999998</v>
      </c>
    </row>
    <row r="4" spans="1:22" x14ac:dyDescent="0.25">
      <c r="A4" t="s">
        <v>4</v>
      </c>
      <c r="B4">
        <v>44364</v>
      </c>
      <c r="C4" t="str">
        <f t="shared" si="2"/>
        <v>17</v>
      </c>
      <c r="D4" t="str">
        <f t="shared" si="0"/>
        <v>June</v>
      </c>
      <c r="E4" t="str">
        <f t="shared" si="3"/>
        <v>2021</v>
      </c>
      <c r="F4" t="s">
        <v>5</v>
      </c>
      <c r="G4" t="str">
        <f>VLOOKUP(F4,'Customers (2)'!A:I,2,0)</f>
        <v>Jami Redholes</v>
      </c>
      <c r="H4" t="str">
        <f>VLOOKUP(F4,'Customers (2)'!A:I,3,0)</f>
        <v>jredholes2@tmall.com</v>
      </c>
      <c r="I4" t="str">
        <f>VLOOKUP(F4,'Customers (2)'!A:I,4,0)</f>
        <v>+1 (210) 986-6806</v>
      </c>
      <c r="J4" t="str">
        <f>VLOOKUP(F4,'Customers (2)'!A:I,6,0)</f>
        <v>San Antonio</v>
      </c>
      <c r="K4" t="str">
        <f>VLOOKUP(F4,'Customers (2)'!A:I,7,0)</f>
        <v>United States</v>
      </c>
      <c r="L4" t="str">
        <f>VLOOKUP(F4,'Customers (2)'!A:I,9,0)</f>
        <v>Yes</v>
      </c>
      <c r="M4" t="str">
        <f>VLOOKUP(N4,'Products (2)'!A:G,2,0)</f>
        <v>Arabica</v>
      </c>
      <c r="N4" t="s">
        <v>6</v>
      </c>
      <c r="O4" t="str">
        <f>VLOOKUP(N4,'Products (2)'!A:G,3,0)</f>
        <v>Light</v>
      </c>
      <c r="P4">
        <f>VLOOKUP(N4,'Products (2)'!A:G,7,0)</f>
        <v>1.1655</v>
      </c>
      <c r="Q4">
        <v>1</v>
      </c>
      <c r="R4">
        <f>INDEX([1]products!$A$1:$G$49,MATCH([1]orders!$D4,[1]products!$A$1:$A$49,0),MATCH([1]orders!K$1,[1]products!$A$1:$G$1,0))</f>
        <v>1</v>
      </c>
      <c r="S4">
        <f>INDEX([1]products!$A$1:$G$49,MATCH([1]orders!$D4,[1]products!$A$1:$A$49,0),MATCH([1]orders!L$1,[1]products!$A$1:$G$1,0))</f>
        <v>12.95</v>
      </c>
      <c r="T4">
        <f t="shared" si="1"/>
        <v>12.95</v>
      </c>
      <c r="U4">
        <f t="shared" si="4"/>
        <v>1.1655</v>
      </c>
      <c r="V4">
        <f t="shared" si="5"/>
        <v>9</v>
      </c>
    </row>
    <row r="5" spans="1:22" x14ac:dyDescent="0.25">
      <c r="A5" t="s">
        <v>7</v>
      </c>
      <c r="B5">
        <v>44392</v>
      </c>
      <c r="C5" t="str">
        <f t="shared" si="2"/>
        <v>15</v>
      </c>
      <c r="D5" t="str">
        <f t="shared" si="0"/>
        <v>July</v>
      </c>
      <c r="E5" t="str">
        <f t="shared" si="3"/>
        <v>2021</v>
      </c>
      <c r="F5" t="s">
        <v>8</v>
      </c>
      <c r="G5" t="str">
        <f>VLOOKUP(F5,'Customers (2)'!A:I,2,0)</f>
        <v>Christoffer O' Shea</v>
      </c>
      <c r="H5">
        <f>VLOOKUP(F5,'Customers (2)'!A:I,3,0)</f>
        <v>0</v>
      </c>
      <c r="I5" t="str">
        <f>VLOOKUP(F5,'Customers (2)'!A:I,4,0)</f>
        <v>+353 (698) 362-9201</v>
      </c>
      <c r="J5" t="str">
        <f>VLOOKUP(F5,'Customers (2)'!A:I,6,0)</f>
        <v>Cill Airne</v>
      </c>
      <c r="K5" t="str">
        <f>VLOOKUP(F5,'Customers (2)'!A:I,7,0)</f>
        <v>Ireland</v>
      </c>
      <c r="L5" t="str">
        <f>VLOOKUP(F5,'Customers (2)'!A:I,9,0)</f>
        <v>No</v>
      </c>
      <c r="M5" t="str">
        <f>VLOOKUP(N5,'Products (2)'!A:G,2,0)</f>
        <v>Excelsa</v>
      </c>
      <c r="N5" t="s">
        <v>9</v>
      </c>
      <c r="O5" t="str">
        <f>VLOOKUP(N5,'Products (2)'!A:G,3,0)</f>
        <v>Medium</v>
      </c>
      <c r="P5">
        <f>VLOOKUP(N5,'Products (2)'!A:G,7,0)</f>
        <v>1.5125</v>
      </c>
      <c r="Q5">
        <v>2</v>
      </c>
      <c r="R5">
        <f>INDEX([1]products!$A$1:$G$49,MATCH([1]orders!$D5,[1]products!$A$1:$A$49,0),MATCH([1]orders!K$1,[1]products!$A$1:$G$1,0))</f>
        <v>1</v>
      </c>
      <c r="S5">
        <f>INDEX([1]products!$A$1:$G$49,MATCH([1]orders!$D5,[1]products!$A$1:$A$49,0),MATCH([1]orders!L$1,[1]products!$A$1:$G$1,0))</f>
        <v>13.75</v>
      </c>
      <c r="T5">
        <f t="shared" si="1"/>
        <v>27.5</v>
      </c>
      <c r="U5">
        <f t="shared" si="4"/>
        <v>3.0249999999999999</v>
      </c>
      <c r="V5">
        <f t="shared" si="5"/>
        <v>11</v>
      </c>
    </row>
    <row r="6" spans="1:22" x14ac:dyDescent="0.25">
      <c r="A6" t="s">
        <v>7</v>
      </c>
      <c r="B6">
        <v>44392</v>
      </c>
      <c r="C6" t="str">
        <f t="shared" si="2"/>
        <v>15</v>
      </c>
      <c r="D6" t="str">
        <f t="shared" si="0"/>
        <v>July</v>
      </c>
      <c r="E6" t="str">
        <f t="shared" si="3"/>
        <v>2021</v>
      </c>
      <c r="F6" t="s">
        <v>8</v>
      </c>
      <c r="G6" t="str">
        <f>VLOOKUP(F6,'Customers (2)'!A:I,2,0)</f>
        <v>Christoffer O' Shea</v>
      </c>
      <c r="H6">
        <f>VLOOKUP(F6,'Customers (2)'!A:I,3,0)</f>
        <v>0</v>
      </c>
      <c r="I6" t="str">
        <f>VLOOKUP(F6,'Customers (2)'!A:I,4,0)</f>
        <v>+353 (698) 362-9201</v>
      </c>
      <c r="J6" t="str">
        <f>VLOOKUP(F6,'Customers (2)'!A:I,6,0)</f>
        <v>Cill Airne</v>
      </c>
      <c r="K6" t="str">
        <f>VLOOKUP(F6,'Customers (2)'!A:I,7,0)</f>
        <v>Ireland</v>
      </c>
      <c r="L6" t="str">
        <f>VLOOKUP(F6,'Customers (2)'!A:I,9,0)</f>
        <v>No</v>
      </c>
      <c r="M6" t="str">
        <f>VLOOKUP(N6,'Products (2)'!A:G,2,0)</f>
        <v>Robusta</v>
      </c>
      <c r="N6" t="s">
        <v>10</v>
      </c>
      <c r="O6" t="str">
        <f>VLOOKUP(N6,'Products (2)'!A:G,3,0)</f>
        <v>Light</v>
      </c>
      <c r="P6">
        <f>VLOOKUP(N6,'Products (2)'!A:G,7,0)</f>
        <v>1.6490999999999998</v>
      </c>
      <c r="Q6">
        <v>2</v>
      </c>
      <c r="R6">
        <f>INDEX([1]products!$A$1:$G$49,MATCH([1]orders!$D6,[1]products!$A$1:$A$49,0),MATCH([1]orders!K$1,[1]products!$A$1:$G$1,0))</f>
        <v>2.5</v>
      </c>
      <c r="S6">
        <f>INDEX([1]products!$A$1:$G$49,MATCH([1]orders!$D6,[1]products!$A$1:$A$49,0),MATCH([1]orders!L$1,[1]products!$A$1:$G$1,0))</f>
        <v>27.484999999999996</v>
      </c>
      <c r="T6">
        <f t="shared" si="1"/>
        <v>54.969999999999992</v>
      </c>
      <c r="U6">
        <f t="shared" si="4"/>
        <v>3.2981999999999996</v>
      </c>
      <c r="V6">
        <f t="shared" si="5"/>
        <v>6.0000000000000009</v>
      </c>
    </row>
    <row r="7" spans="1:22" x14ac:dyDescent="0.25">
      <c r="A7" t="s">
        <v>11</v>
      </c>
      <c r="B7">
        <v>44412</v>
      </c>
      <c r="C7" t="str">
        <f t="shared" si="2"/>
        <v>04</v>
      </c>
      <c r="D7" t="str">
        <f t="shared" si="0"/>
        <v>August</v>
      </c>
      <c r="E7" t="str">
        <f t="shared" si="3"/>
        <v>2021</v>
      </c>
      <c r="F7" t="s">
        <v>12</v>
      </c>
      <c r="G7" t="str">
        <f>VLOOKUP(F7,'Customers (2)'!A:I,2,0)</f>
        <v>Beryle Cottier</v>
      </c>
      <c r="H7">
        <f>VLOOKUP(F7,'Customers (2)'!A:I,3,0)</f>
        <v>0</v>
      </c>
      <c r="I7" t="str">
        <f>VLOOKUP(F7,'Customers (2)'!A:I,4,0)</f>
        <v>+1 (570) 289-7473</v>
      </c>
      <c r="J7" t="str">
        <f>VLOOKUP(F7,'Customers (2)'!A:I,6,0)</f>
        <v>Scranton</v>
      </c>
      <c r="K7" t="str">
        <f>VLOOKUP(F7,'Customers (2)'!A:I,7,0)</f>
        <v>United States</v>
      </c>
      <c r="L7" t="str">
        <f>VLOOKUP(F7,'Customers (2)'!A:I,9,0)</f>
        <v>No</v>
      </c>
      <c r="M7" t="str">
        <f>VLOOKUP(N7,'Products (2)'!A:G,2,0)</f>
        <v>Liberica</v>
      </c>
      <c r="N7" t="s">
        <v>13</v>
      </c>
      <c r="O7" t="str">
        <f>VLOOKUP(N7,'Products (2)'!A:G,3,0)</f>
        <v>Dark</v>
      </c>
      <c r="P7">
        <f>VLOOKUP(N7,'Products (2)'!A:G,7,0)</f>
        <v>1.6835</v>
      </c>
      <c r="Q7">
        <v>3</v>
      </c>
      <c r="R7">
        <f>INDEX([1]products!$A$1:$G$49,MATCH([1]orders!$D7,[1]products!$A$1:$A$49,0),MATCH([1]orders!K$1,[1]products!$A$1:$G$1,0))</f>
        <v>1</v>
      </c>
      <c r="S7">
        <f>INDEX([1]products!$A$1:$G$49,MATCH([1]orders!$D7,[1]products!$A$1:$A$49,0),MATCH([1]orders!L$1,[1]products!$A$1:$G$1,0))</f>
        <v>12.95</v>
      </c>
      <c r="T7">
        <f t="shared" si="1"/>
        <v>38.849999999999994</v>
      </c>
      <c r="U7">
        <f t="shared" si="4"/>
        <v>5.0504999999999995</v>
      </c>
      <c r="V7">
        <f t="shared" si="5"/>
        <v>13</v>
      </c>
    </row>
    <row r="8" spans="1:22" x14ac:dyDescent="0.25">
      <c r="A8" t="s">
        <v>14</v>
      </c>
      <c r="B8">
        <v>44582</v>
      </c>
      <c r="C8" t="str">
        <f t="shared" si="2"/>
        <v>21</v>
      </c>
      <c r="D8" t="str">
        <f t="shared" si="0"/>
        <v>January</v>
      </c>
      <c r="E8" t="str">
        <f t="shared" si="3"/>
        <v>2022</v>
      </c>
      <c r="F8" t="s">
        <v>15</v>
      </c>
      <c r="G8" t="str">
        <f>VLOOKUP(F8,'Customers (2)'!A:I,2,0)</f>
        <v>Shaylynn Lobe</v>
      </c>
      <c r="H8" t="str">
        <f>VLOOKUP(F8,'Customers (2)'!A:I,3,0)</f>
        <v>slobe6@nifty.com</v>
      </c>
      <c r="I8" t="str">
        <f>VLOOKUP(F8,'Customers (2)'!A:I,4,0)</f>
        <v>+1 (937) 954-4541</v>
      </c>
      <c r="J8" t="str">
        <f>VLOOKUP(F8,'Customers (2)'!A:I,6,0)</f>
        <v>Dayton</v>
      </c>
      <c r="K8" t="str">
        <f>VLOOKUP(F8,'Customers (2)'!A:I,7,0)</f>
        <v>United States</v>
      </c>
      <c r="L8" t="str">
        <f>VLOOKUP(F8,'Customers (2)'!A:I,9,0)</f>
        <v>Yes</v>
      </c>
      <c r="M8" t="str">
        <f>VLOOKUP(N8,'Products (2)'!A:G,2,0)</f>
        <v>Excelsa</v>
      </c>
      <c r="N8" t="s">
        <v>16</v>
      </c>
      <c r="O8" t="str">
        <f>VLOOKUP(N8,'Products (2)'!A:G,3,0)</f>
        <v>Dark</v>
      </c>
      <c r="P8">
        <f>VLOOKUP(N8,'Products (2)'!A:G,7,0)</f>
        <v>0.80190000000000006</v>
      </c>
      <c r="Q8">
        <v>3</v>
      </c>
      <c r="R8">
        <f>INDEX([1]products!$A$1:$G$49,MATCH([1]orders!$D8,[1]products!$A$1:$A$49,0),MATCH([1]orders!K$1,[1]products!$A$1:$G$1,0))</f>
        <v>0.5</v>
      </c>
      <c r="S8">
        <f>INDEX([1]products!$A$1:$G$49,MATCH([1]orders!$D8,[1]products!$A$1:$A$49,0),MATCH([1]orders!L$1,[1]products!$A$1:$G$1,0))</f>
        <v>7.29</v>
      </c>
      <c r="T8">
        <f t="shared" si="1"/>
        <v>21.87</v>
      </c>
      <c r="U8">
        <f t="shared" si="4"/>
        <v>2.4057000000000004</v>
      </c>
      <c r="V8">
        <f t="shared" si="5"/>
        <v>11.000000000000002</v>
      </c>
    </row>
    <row r="9" spans="1:22" x14ac:dyDescent="0.25">
      <c r="A9" t="s">
        <v>17</v>
      </c>
      <c r="B9">
        <v>44701</v>
      </c>
      <c r="C9" t="str">
        <f t="shared" si="2"/>
        <v>20</v>
      </c>
      <c r="D9" t="str">
        <f t="shared" si="0"/>
        <v>May</v>
      </c>
      <c r="E9" t="str">
        <f t="shared" si="3"/>
        <v>2022</v>
      </c>
      <c r="F9" t="s">
        <v>18</v>
      </c>
      <c r="G9" t="str">
        <f>VLOOKUP(F9,'Customers (2)'!A:I,2,0)</f>
        <v>Melvin Wharfe</v>
      </c>
      <c r="H9">
        <f>VLOOKUP(F9,'Customers (2)'!A:I,3,0)</f>
        <v>0</v>
      </c>
      <c r="I9" t="str">
        <f>VLOOKUP(F9,'Customers (2)'!A:I,4,0)</f>
        <v>+353 (507) 574-3034</v>
      </c>
      <c r="J9" t="str">
        <f>VLOOKUP(F9,'Customers (2)'!A:I,6,0)</f>
        <v>Kill</v>
      </c>
      <c r="K9" t="str">
        <f>VLOOKUP(F9,'Customers (2)'!A:I,7,0)</f>
        <v>Ireland</v>
      </c>
      <c r="L9" t="str">
        <f>VLOOKUP(F9,'Customers (2)'!A:I,9,0)</f>
        <v>Yes</v>
      </c>
      <c r="M9" t="str">
        <f>VLOOKUP(N9,'Products (2)'!A:G,2,0)</f>
        <v>Liberica</v>
      </c>
      <c r="N9" t="s">
        <v>19</v>
      </c>
      <c r="O9" t="str">
        <f>VLOOKUP(N9,'Products (2)'!A:G,3,0)</f>
        <v>Light</v>
      </c>
      <c r="P9">
        <f>VLOOKUP(N9,'Products (2)'!A:G,7,0)</f>
        <v>0.61814999999999998</v>
      </c>
      <c r="Q9">
        <v>1</v>
      </c>
      <c r="R9">
        <f>INDEX([1]products!$A$1:$G$49,MATCH([1]orders!$D9,[1]products!$A$1:$A$49,0),MATCH([1]orders!K$1,[1]products!$A$1:$G$1,0))</f>
        <v>0.2</v>
      </c>
      <c r="S9">
        <f>INDEX([1]products!$A$1:$G$49,MATCH([1]orders!$D9,[1]products!$A$1:$A$49,0),MATCH([1]orders!L$1,[1]products!$A$1:$G$1,0))</f>
        <v>4.7549999999999999</v>
      </c>
      <c r="T9">
        <f t="shared" si="1"/>
        <v>4.7549999999999999</v>
      </c>
      <c r="U9">
        <f t="shared" si="4"/>
        <v>0.61814999999999998</v>
      </c>
      <c r="V9">
        <f t="shared" si="5"/>
        <v>13</v>
      </c>
    </row>
    <row r="10" spans="1:22" x14ac:dyDescent="0.25">
      <c r="A10" t="s">
        <v>20</v>
      </c>
      <c r="B10">
        <v>43467</v>
      </c>
      <c r="C10" t="str">
        <f t="shared" si="2"/>
        <v>02</v>
      </c>
      <c r="D10" t="str">
        <f t="shared" si="0"/>
        <v>January</v>
      </c>
      <c r="E10" t="str">
        <f t="shared" si="3"/>
        <v>2019</v>
      </c>
      <c r="F10" t="s">
        <v>21</v>
      </c>
      <c r="G10" t="str">
        <f>VLOOKUP(F10,'Customers (2)'!A:I,2,0)</f>
        <v>Guthrey Petracci</v>
      </c>
      <c r="H10" t="str">
        <f>VLOOKUP(F10,'Customers (2)'!A:I,3,0)</f>
        <v>gpetracci8@livejournal.com</v>
      </c>
      <c r="I10" t="str">
        <f>VLOOKUP(F10,'Customers (2)'!A:I,4,0)</f>
        <v>+1 (310) 868-1842</v>
      </c>
      <c r="J10" t="str">
        <f>VLOOKUP(F10,'Customers (2)'!A:I,6,0)</f>
        <v>Los Angeles</v>
      </c>
      <c r="K10" t="str">
        <f>VLOOKUP(F10,'Customers (2)'!A:I,7,0)</f>
        <v>United States</v>
      </c>
      <c r="L10" t="str">
        <f>VLOOKUP(F10,'Customers (2)'!A:I,9,0)</f>
        <v>No</v>
      </c>
      <c r="M10" t="str">
        <f>VLOOKUP(N10,'Products (2)'!A:G,2,0)</f>
        <v>Robusta</v>
      </c>
      <c r="N10" t="s">
        <v>22</v>
      </c>
      <c r="O10" t="str">
        <f>VLOOKUP(N10,'Products (2)'!A:G,3,0)</f>
        <v>Medium</v>
      </c>
      <c r="P10">
        <f>VLOOKUP(N10,'Products (2)'!A:G,7,0)</f>
        <v>0.35819999999999996</v>
      </c>
      <c r="Q10">
        <v>3</v>
      </c>
      <c r="R10">
        <f>INDEX([1]products!$A$1:$G$49,MATCH([1]orders!$D10,[1]products!$A$1:$A$49,0),MATCH([1]orders!K$1,[1]products!$A$1:$G$1,0))</f>
        <v>0.5</v>
      </c>
      <c r="S10">
        <f>INDEX([1]products!$A$1:$G$49,MATCH([1]orders!$D10,[1]products!$A$1:$A$49,0),MATCH([1]orders!L$1,[1]products!$A$1:$G$1,0))</f>
        <v>5.97</v>
      </c>
      <c r="T10">
        <f t="shared" si="1"/>
        <v>17.91</v>
      </c>
      <c r="U10">
        <f t="shared" si="4"/>
        <v>1.0745999999999998</v>
      </c>
      <c r="V10">
        <f t="shared" si="5"/>
        <v>5.9999999999999982</v>
      </c>
    </row>
    <row r="11" spans="1:22" x14ac:dyDescent="0.25">
      <c r="A11" t="s">
        <v>23</v>
      </c>
      <c r="B11">
        <v>43713</v>
      </c>
      <c r="C11" t="str">
        <f t="shared" si="2"/>
        <v>05</v>
      </c>
      <c r="D11" t="str">
        <f t="shared" si="0"/>
        <v>September</v>
      </c>
      <c r="E11" t="str">
        <f t="shared" si="3"/>
        <v>2019</v>
      </c>
      <c r="F11" t="s">
        <v>24</v>
      </c>
      <c r="G11" t="str">
        <f>VLOOKUP(F11,'Customers (2)'!A:I,2,0)</f>
        <v>Rodger Raven</v>
      </c>
      <c r="H11" t="str">
        <f>VLOOKUP(F11,'Customers (2)'!A:I,3,0)</f>
        <v>rraven9@ed.gov</v>
      </c>
      <c r="I11" t="str">
        <f>VLOOKUP(F11,'Customers (2)'!A:I,4,0)</f>
        <v>+1 (213) 263-0288</v>
      </c>
      <c r="J11" t="str">
        <f>VLOOKUP(F11,'Customers (2)'!A:I,6,0)</f>
        <v>Los Angeles</v>
      </c>
      <c r="K11" t="str">
        <f>VLOOKUP(F11,'Customers (2)'!A:I,7,0)</f>
        <v>United States</v>
      </c>
      <c r="L11" t="str">
        <f>VLOOKUP(F11,'Customers (2)'!A:I,9,0)</f>
        <v>No</v>
      </c>
      <c r="M11" t="str">
        <f>VLOOKUP(N11,'Products (2)'!A:G,2,0)</f>
        <v>Robusta</v>
      </c>
      <c r="N11" t="s">
        <v>22</v>
      </c>
      <c r="O11" t="str">
        <f>VLOOKUP(N11,'Products (2)'!A:G,3,0)</f>
        <v>Medium</v>
      </c>
      <c r="P11">
        <f>VLOOKUP(N11,'Products (2)'!A:G,7,0)</f>
        <v>0.35819999999999996</v>
      </c>
      <c r="Q11">
        <v>1</v>
      </c>
      <c r="R11">
        <f>INDEX([1]products!$A$1:$G$49,MATCH([1]orders!$D11,[1]products!$A$1:$A$49,0),MATCH([1]orders!K$1,[1]products!$A$1:$G$1,0))</f>
        <v>0.5</v>
      </c>
      <c r="S11">
        <f>INDEX([1]products!$A$1:$G$49,MATCH([1]orders!$D11,[1]products!$A$1:$A$49,0),MATCH([1]orders!L$1,[1]products!$A$1:$G$1,0))</f>
        <v>5.97</v>
      </c>
      <c r="T11">
        <f t="shared" si="1"/>
        <v>5.97</v>
      </c>
      <c r="U11">
        <f t="shared" si="4"/>
        <v>0.35819999999999996</v>
      </c>
      <c r="V11">
        <f t="shared" si="5"/>
        <v>6</v>
      </c>
    </row>
    <row r="12" spans="1:22" x14ac:dyDescent="0.25">
      <c r="A12" t="s">
        <v>25</v>
      </c>
      <c r="B12">
        <v>44263</v>
      </c>
      <c r="C12" t="str">
        <f t="shared" si="2"/>
        <v>08</v>
      </c>
      <c r="D12" t="str">
        <f t="shared" si="0"/>
        <v>March</v>
      </c>
      <c r="E12" t="str">
        <f t="shared" si="3"/>
        <v>2021</v>
      </c>
      <c r="F12" t="s">
        <v>26</v>
      </c>
      <c r="G12" t="str">
        <f>VLOOKUP(F12,'Customers (2)'!A:I,2,0)</f>
        <v>Ferrell Ferber</v>
      </c>
      <c r="H12" t="str">
        <f>VLOOKUP(F12,'Customers (2)'!A:I,3,0)</f>
        <v>fferbera@businesswire.com</v>
      </c>
      <c r="I12" t="str">
        <f>VLOOKUP(F12,'Customers (2)'!A:I,4,0)</f>
        <v>+1 (408) 383-5302</v>
      </c>
      <c r="J12" t="str">
        <f>VLOOKUP(F12,'Customers (2)'!A:I,6,0)</f>
        <v>San Jose</v>
      </c>
      <c r="K12" t="str">
        <f>VLOOKUP(F12,'Customers (2)'!A:I,7,0)</f>
        <v>United States</v>
      </c>
      <c r="L12" t="str">
        <f>VLOOKUP(F12,'Customers (2)'!A:I,9,0)</f>
        <v>No</v>
      </c>
      <c r="M12" t="str">
        <f>VLOOKUP(N12,'Products (2)'!A:G,2,0)</f>
        <v>Arabica</v>
      </c>
      <c r="N12" t="s">
        <v>27</v>
      </c>
      <c r="O12" t="str">
        <f>VLOOKUP(N12,'Products (2)'!A:G,3,0)</f>
        <v>Dark</v>
      </c>
      <c r="P12">
        <f>VLOOKUP(N12,'Products (2)'!A:G,7,0)</f>
        <v>0.89549999999999985</v>
      </c>
      <c r="Q12">
        <v>4</v>
      </c>
      <c r="R12">
        <f>INDEX([1]products!$A$1:$G$49,MATCH([1]orders!$D12,[1]products!$A$1:$A$49,0),MATCH([1]orders!K$1,[1]products!$A$1:$G$1,0))</f>
        <v>1</v>
      </c>
      <c r="S12">
        <f>INDEX([1]products!$A$1:$G$49,MATCH([1]orders!$D12,[1]products!$A$1:$A$49,0),MATCH([1]orders!L$1,[1]products!$A$1:$G$1,0))</f>
        <v>9.9499999999999993</v>
      </c>
      <c r="T12">
        <f t="shared" si="1"/>
        <v>39.799999999999997</v>
      </c>
      <c r="U12">
        <f t="shared" si="4"/>
        <v>3.5819999999999994</v>
      </c>
      <c r="V12">
        <f t="shared" si="5"/>
        <v>9</v>
      </c>
    </row>
    <row r="13" spans="1:22" x14ac:dyDescent="0.25">
      <c r="A13" t="s">
        <v>28</v>
      </c>
      <c r="B13">
        <v>44132</v>
      </c>
      <c r="C13" t="str">
        <f t="shared" si="2"/>
        <v>28</v>
      </c>
      <c r="D13" t="str">
        <f t="shared" si="0"/>
        <v>October</v>
      </c>
      <c r="E13" t="str">
        <f t="shared" si="3"/>
        <v>2020</v>
      </c>
      <c r="F13" t="s">
        <v>29</v>
      </c>
      <c r="G13" t="str">
        <f>VLOOKUP(F13,'Customers (2)'!A:I,2,0)</f>
        <v>Duky Phizackerly</v>
      </c>
      <c r="H13" t="str">
        <f>VLOOKUP(F13,'Customers (2)'!A:I,3,0)</f>
        <v>dphizackerlyb@utexas.edu</v>
      </c>
      <c r="I13" t="str">
        <f>VLOOKUP(F13,'Customers (2)'!A:I,4,0)</f>
        <v>+1 (408) 533-6012</v>
      </c>
      <c r="J13" t="str">
        <f>VLOOKUP(F13,'Customers (2)'!A:I,6,0)</f>
        <v>San Jose</v>
      </c>
      <c r="K13" t="str">
        <f>VLOOKUP(F13,'Customers (2)'!A:I,7,0)</f>
        <v>United States</v>
      </c>
      <c r="L13" t="str">
        <f>VLOOKUP(F13,'Customers (2)'!A:I,9,0)</f>
        <v>Yes</v>
      </c>
      <c r="M13" t="str">
        <f>VLOOKUP(N13,'Products (2)'!A:G,2,0)</f>
        <v>Excelsa</v>
      </c>
      <c r="N13" t="s">
        <v>30</v>
      </c>
      <c r="O13" t="str">
        <f>VLOOKUP(N13,'Products (2)'!A:G,3,0)</f>
        <v>Light</v>
      </c>
      <c r="P13">
        <f>VLOOKUP(N13,'Products (2)'!A:G,7,0)</f>
        <v>3.7570499999999996</v>
      </c>
      <c r="Q13">
        <v>5</v>
      </c>
      <c r="R13">
        <f>INDEX([1]products!$A$1:$G$49,MATCH([1]orders!$D13,[1]products!$A$1:$A$49,0),MATCH([1]orders!K$1,[1]products!$A$1:$G$1,0))</f>
        <v>2.5</v>
      </c>
      <c r="S13">
        <f>INDEX([1]products!$A$1:$G$49,MATCH([1]orders!$D13,[1]products!$A$1:$A$49,0),MATCH([1]orders!L$1,[1]products!$A$1:$G$1,0))</f>
        <v>34.154999999999994</v>
      </c>
      <c r="T13">
        <f t="shared" si="1"/>
        <v>170.77499999999998</v>
      </c>
      <c r="U13">
        <f t="shared" si="4"/>
        <v>18.785249999999998</v>
      </c>
      <c r="V13">
        <f t="shared" si="5"/>
        <v>11</v>
      </c>
    </row>
    <row r="14" spans="1:22" x14ac:dyDescent="0.25">
      <c r="A14" t="s">
        <v>31</v>
      </c>
      <c r="B14">
        <v>44744</v>
      </c>
      <c r="C14" t="str">
        <f t="shared" si="2"/>
        <v>02</v>
      </c>
      <c r="D14" t="str">
        <f t="shared" si="0"/>
        <v>July</v>
      </c>
      <c r="E14" t="str">
        <f t="shared" si="3"/>
        <v>2022</v>
      </c>
      <c r="F14" t="s">
        <v>32</v>
      </c>
      <c r="G14" t="str">
        <f>VLOOKUP(F14,'Customers (2)'!A:I,2,0)</f>
        <v>Rosaleen Scholar</v>
      </c>
      <c r="H14" t="str">
        <f>VLOOKUP(F14,'Customers (2)'!A:I,3,0)</f>
        <v>rscholarc@nyu.edu</v>
      </c>
      <c r="I14" t="str">
        <f>VLOOKUP(F14,'Customers (2)'!A:I,4,0)</f>
        <v>+1 (804) 420-0420</v>
      </c>
      <c r="J14" t="str">
        <f>VLOOKUP(F14,'Customers (2)'!A:I,6,0)</f>
        <v>Richmond</v>
      </c>
      <c r="K14" t="str">
        <f>VLOOKUP(F14,'Customers (2)'!A:I,7,0)</f>
        <v>United States</v>
      </c>
      <c r="L14" t="str">
        <f>VLOOKUP(F14,'Customers (2)'!A:I,9,0)</f>
        <v>No</v>
      </c>
      <c r="M14" t="str">
        <f>VLOOKUP(N14,'Products (2)'!A:G,2,0)</f>
        <v>Robusta</v>
      </c>
      <c r="N14" t="s">
        <v>2</v>
      </c>
      <c r="O14" t="str">
        <f>VLOOKUP(N14,'Products (2)'!A:G,3,0)</f>
        <v>Medium</v>
      </c>
      <c r="P14">
        <f>VLOOKUP(N14,'Products (2)'!A:G,7,0)</f>
        <v>0.59699999999999998</v>
      </c>
      <c r="Q14">
        <v>5</v>
      </c>
      <c r="R14">
        <f>INDEX([1]products!$A$1:$G$49,MATCH([1]orders!$D14,[1]products!$A$1:$A$49,0),MATCH([1]orders!K$1,[1]products!$A$1:$G$1,0))</f>
        <v>1</v>
      </c>
      <c r="S14">
        <f>INDEX([1]products!$A$1:$G$49,MATCH([1]orders!$D14,[1]products!$A$1:$A$49,0),MATCH([1]orders!L$1,[1]products!$A$1:$G$1,0))</f>
        <v>9.9499999999999993</v>
      </c>
      <c r="T14">
        <f t="shared" si="1"/>
        <v>49.75</v>
      </c>
      <c r="U14">
        <f t="shared" si="4"/>
        <v>2.9849999999999999</v>
      </c>
      <c r="V14">
        <f t="shared" si="5"/>
        <v>6</v>
      </c>
    </row>
    <row r="15" spans="1:22" x14ac:dyDescent="0.25">
      <c r="A15" t="s">
        <v>33</v>
      </c>
      <c r="B15">
        <v>43973</v>
      </c>
      <c r="C15" t="str">
        <f t="shared" si="2"/>
        <v>22</v>
      </c>
      <c r="D15" t="str">
        <f t="shared" si="0"/>
        <v>May</v>
      </c>
      <c r="E15" t="str">
        <f t="shared" si="3"/>
        <v>2020</v>
      </c>
      <c r="F15" t="s">
        <v>34</v>
      </c>
      <c r="G15" t="str">
        <f>VLOOKUP(F15,'Customers (2)'!A:I,2,0)</f>
        <v>Terence Vanyutin</v>
      </c>
      <c r="H15" t="str">
        <f>VLOOKUP(F15,'Customers (2)'!A:I,3,0)</f>
        <v>tvanyutind@wix.com</v>
      </c>
      <c r="I15">
        <f>VLOOKUP(F15,'Customers (2)'!A:I,4,0)</f>
        <v>0</v>
      </c>
      <c r="J15" t="str">
        <f>VLOOKUP(F15,'Customers (2)'!A:I,6,0)</f>
        <v>Migrate</v>
      </c>
      <c r="K15" t="str">
        <f>VLOOKUP(F15,'Customers (2)'!A:I,7,0)</f>
        <v>United States</v>
      </c>
      <c r="L15" t="str">
        <f>VLOOKUP(F15,'Customers (2)'!A:I,9,0)</f>
        <v>No</v>
      </c>
      <c r="M15" t="str">
        <f>VLOOKUP(N15,'Products (2)'!A:G,2,0)</f>
        <v>Robusta</v>
      </c>
      <c r="N15" t="s">
        <v>35</v>
      </c>
      <c r="O15" t="str">
        <f>VLOOKUP(N15,'Products (2)'!A:G,3,0)</f>
        <v>Dark</v>
      </c>
      <c r="P15">
        <f>VLOOKUP(N15,'Products (2)'!A:G,7,0)</f>
        <v>1.2350999999999999</v>
      </c>
      <c r="Q15">
        <v>2</v>
      </c>
      <c r="R15">
        <f>INDEX([1]products!$A$1:$G$49,MATCH([1]orders!$D15,[1]products!$A$1:$A$49,0),MATCH([1]orders!K$1,[1]products!$A$1:$G$1,0))</f>
        <v>2.5</v>
      </c>
      <c r="S15">
        <f>INDEX([1]products!$A$1:$G$49,MATCH([1]orders!$D15,[1]products!$A$1:$A$49,0),MATCH([1]orders!L$1,[1]products!$A$1:$G$1,0))</f>
        <v>20.584999999999997</v>
      </c>
      <c r="T15">
        <f t="shared" si="1"/>
        <v>41.169999999999995</v>
      </c>
      <c r="U15">
        <f t="shared" si="4"/>
        <v>2.4701999999999997</v>
      </c>
      <c r="V15">
        <f t="shared" si="5"/>
        <v>6.0000000000000009</v>
      </c>
    </row>
    <row r="16" spans="1:22" x14ac:dyDescent="0.25">
      <c r="A16" t="s">
        <v>36</v>
      </c>
      <c r="B16">
        <v>44656</v>
      </c>
      <c r="C16" t="str">
        <f t="shared" si="2"/>
        <v>05</v>
      </c>
      <c r="D16" t="str">
        <f t="shared" si="0"/>
        <v>April</v>
      </c>
      <c r="E16" t="str">
        <f t="shared" si="3"/>
        <v>2022</v>
      </c>
      <c r="F16" t="s">
        <v>37</v>
      </c>
      <c r="G16" t="str">
        <f>VLOOKUP(F16,'Customers (2)'!A:I,2,0)</f>
        <v>Patrice Trobe</v>
      </c>
      <c r="H16" t="str">
        <f>VLOOKUP(F16,'Customers (2)'!A:I,3,0)</f>
        <v>ptrobee@wunderground.com</v>
      </c>
      <c r="I16" t="str">
        <f>VLOOKUP(F16,'Customers (2)'!A:I,4,0)</f>
        <v>+1 (314) 240-7896</v>
      </c>
      <c r="J16" t="str">
        <f>VLOOKUP(F16,'Customers (2)'!A:I,6,0)</f>
        <v>Saint Louis</v>
      </c>
      <c r="K16" t="str">
        <f>VLOOKUP(F16,'Customers (2)'!A:I,7,0)</f>
        <v>United States</v>
      </c>
      <c r="L16" t="str">
        <f>VLOOKUP(F16,'Customers (2)'!A:I,9,0)</f>
        <v>Yes</v>
      </c>
      <c r="M16" t="str">
        <f>VLOOKUP(N16,'Products (2)'!A:G,2,0)</f>
        <v>Liberica</v>
      </c>
      <c r="N16" t="s">
        <v>38</v>
      </c>
      <c r="O16" t="str">
        <f>VLOOKUP(N16,'Products (2)'!A:G,3,0)</f>
        <v>Dark</v>
      </c>
      <c r="P16">
        <f>VLOOKUP(N16,'Products (2)'!A:G,7,0)</f>
        <v>0.50505</v>
      </c>
      <c r="Q16">
        <v>3</v>
      </c>
      <c r="R16">
        <f>INDEX([1]products!$A$1:$G$49,MATCH([1]orders!$D16,[1]products!$A$1:$A$49,0),MATCH([1]orders!K$1,[1]products!$A$1:$G$1,0))</f>
        <v>0.2</v>
      </c>
      <c r="S16">
        <f>INDEX([1]products!$A$1:$G$49,MATCH([1]orders!$D16,[1]products!$A$1:$A$49,0),MATCH([1]orders!L$1,[1]products!$A$1:$G$1,0))</f>
        <v>3.8849999999999998</v>
      </c>
      <c r="T16">
        <f t="shared" si="1"/>
        <v>11.654999999999999</v>
      </c>
      <c r="U16">
        <f t="shared" si="4"/>
        <v>1.51515</v>
      </c>
      <c r="V16">
        <f t="shared" si="5"/>
        <v>13</v>
      </c>
    </row>
    <row r="17" spans="1:22" x14ac:dyDescent="0.25">
      <c r="A17" t="s">
        <v>39</v>
      </c>
      <c r="B17">
        <v>44719</v>
      </c>
      <c r="C17" t="str">
        <f t="shared" si="2"/>
        <v>07</v>
      </c>
      <c r="D17" t="str">
        <f t="shared" si="0"/>
        <v>June</v>
      </c>
      <c r="E17" t="str">
        <f t="shared" si="3"/>
        <v>2022</v>
      </c>
      <c r="F17" t="s">
        <v>40</v>
      </c>
      <c r="G17" t="str">
        <f>VLOOKUP(F17,'Customers (2)'!A:I,2,0)</f>
        <v>Llywellyn Oscroft</v>
      </c>
      <c r="H17" t="str">
        <f>VLOOKUP(F17,'Customers (2)'!A:I,3,0)</f>
        <v>loscroftf@ebay.co.uk</v>
      </c>
      <c r="I17">
        <f>VLOOKUP(F17,'Customers (2)'!A:I,4,0)</f>
        <v>0</v>
      </c>
      <c r="J17" t="str">
        <f>VLOOKUP(F17,'Customers (2)'!A:I,6,0)</f>
        <v>Philadelphia</v>
      </c>
      <c r="K17" t="str">
        <f>VLOOKUP(F17,'Customers (2)'!A:I,7,0)</f>
        <v>United States</v>
      </c>
      <c r="L17" t="str">
        <f>VLOOKUP(F17,'Customers (2)'!A:I,9,0)</f>
        <v>No</v>
      </c>
      <c r="M17" t="str">
        <f>VLOOKUP(N17,'Products (2)'!A:G,2,0)</f>
        <v>Robusta</v>
      </c>
      <c r="N17" t="s">
        <v>41</v>
      </c>
      <c r="O17" t="str">
        <f>VLOOKUP(N17,'Products (2)'!A:G,3,0)</f>
        <v>Medium</v>
      </c>
      <c r="P17">
        <f>VLOOKUP(N17,'Products (2)'!A:G,7,0)</f>
        <v>1.3730999999999998</v>
      </c>
      <c r="Q17">
        <v>5</v>
      </c>
      <c r="R17">
        <f>INDEX([1]products!$A$1:$G$49,MATCH([1]orders!$D17,[1]products!$A$1:$A$49,0),MATCH([1]orders!K$1,[1]products!$A$1:$G$1,0))</f>
        <v>2.5</v>
      </c>
      <c r="S17">
        <f>INDEX([1]products!$A$1:$G$49,MATCH([1]orders!$D17,[1]products!$A$1:$A$49,0),MATCH([1]orders!L$1,[1]products!$A$1:$G$1,0))</f>
        <v>22.884999999999998</v>
      </c>
      <c r="T17">
        <f t="shared" si="1"/>
        <v>114.42499999999998</v>
      </c>
      <c r="U17">
        <f t="shared" si="4"/>
        <v>6.865499999999999</v>
      </c>
      <c r="V17">
        <f t="shared" si="5"/>
        <v>6</v>
      </c>
    </row>
    <row r="18" spans="1:22" x14ac:dyDescent="0.25">
      <c r="A18" t="s">
        <v>42</v>
      </c>
      <c r="B18">
        <v>43544</v>
      </c>
      <c r="C18" t="str">
        <f t="shared" si="2"/>
        <v>20</v>
      </c>
      <c r="D18" t="str">
        <f t="shared" si="0"/>
        <v>March</v>
      </c>
      <c r="E18" t="str">
        <f t="shared" si="3"/>
        <v>2019</v>
      </c>
      <c r="F18" t="s">
        <v>43</v>
      </c>
      <c r="G18" t="str">
        <f>VLOOKUP(F18,'Customers (2)'!A:I,2,0)</f>
        <v>Minni Alabaster</v>
      </c>
      <c r="H18" t="str">
        <f>VLOOKUP(F18,'Customers (2)'!A:I,3,0)</f>
        <v>malabasterg@hexun.com</v>
      </c>
      <c r="I18" t="str">
        <f>VLOOKUP(F18,'Customers (2)'!A:I,4,0)</f>
        <v>+1 (971) 483-6255</v>
      </c>
      <c r="J18" t="str">
        <f>VLOOKUP(F18,'Customers (2)'!A:I,6,0)</f>
        <v>Portland</v>
      </c>
      <c r="K18" t="str">
        <f>VLOOKUP(F18,'Customers (2)'!A:I,7,0)</f>
        <v>United States</v>
      </c>
      <c r="L18" t="str">
        <f>VLOOKUP(F18,'Customers (2)'!A:I,9,0)</f>
        <v>No</v>
      </c>
      <c r="M18" t="str">
        <f>VLOOKUP(N18,'Products (2)'!A:G,2,0)</f>
        <v>Arabica</v>
      </c>
      <c r="N18" t="s">
        <v>44</v>
      </c>
      <c r="O18" t="str">
        <f>VLOOKUP(N18,'Products (2)'!A:G,3,0)</f>
        <v>Medium</v>
      </c>
      <c r="P18">
        <f>VLOOKUP(N18,'Products (2)'!A:G,7,0)</f>
        <v>0.30374999999999996</v>
      </c>
      <c r="Q18">
        <v>6</v>
      </c>
      <c r="R18">
        <f>INDEX([1]products!$A$1:$G$49,MATCH([1]orders!$D18,[1]products!$A$1:$A$49,0),MATCH([1]orders!K$1,[1]products!$A$1:$G$1,0))</f>
        <v>0.2</v>
      </c>
      <c r="S18">
        <f>INDEX([1]products!$A$1:$G$49,MATCH([1]orders!$D18,[1]products!$A$1:$A$49,0),MATCH([1]orders!L$1,[1]products!$A$1:$G$1,0))</f>
        <v>3.375</v>
      </c>
      <c r="T18">
        <f t="shared" si="1"/>
        <v>20.25</v>
      </c>
      <c r="U18">
        <f t="shared" si="4"/>
        <v>1.8224999999999998</v>
      </c>
      <c r="V18">
        <f t="shared" si="5"/>
        <v>8.9999999999999982</v>
      </c>
    </row>
    <row r="19" spans="1:22" x14ac:dyDescent="0.25">
      <c r="A19" t="s">
        <v>45</v>
      </c>
      <c r="B19">
        <v>43757</v>
      </c>
      <c r="C19" t="str">
        <f t="shared" si="2"/>
        <v>19</v>
      </c>
      <c r="D19" t="str">
        <f t="shared" si="0"/>
        <v>October</v>
      </c>
      <c r="E19" t="str">
        <f t="shared" si="3"/>
        <v>2019</v>
      </c>
      <c r="F19" t="s">
        <v>46</v>
      </c>
      <c r="G19" t="str">
        <f>VLOOKUP(F19,'Customers (2)'!A:I,2,0)</f>
        <v>Rhianon Broxup</v>
      </c>
      <c r="H19" t="str">
        <f>VLOOKUP(F19,'Customers (2)'!A:I,3,0)</f>
        <v>rbroxuph@jimdo.com</v>
      </c>
      <c r="I19" t="str">
        <f>VLOOKUP(F19,'Customers (2)'!A:I,4,0)</f>
        <v>+1 (713) 663-1338</v>
      </c>
      <c r="J19" t="str">
        <f>VLOOKUP(F19,'Customers (2)'!A:I,6,0)</f>
        <v>Houston</v>
      </c>
      <c r="K19" t="str">
        <f>VLOOKUP(F19,'Customers (2)'!A:I,7,0)</f>
        <v>United States</v>
      </c>
      <c r="L19" t="str">
        <f>VLOOKUP(F19,'Customers (2)'!A:I,9,0)</f>
        <v>No</v>
      </c>
      <c r="M19" t="str">
        <f>VLOOKUP(N19,'Products (2)'!A:G,2,0)</f>
        <v>Arabica</v>
      </c>
      <c r="N19" t="s">
        <v>6</v>
      </c>
      <c r="O19" t="str">
        <f>VLOOKUP(N19,'Products (2)'!A:G,3,0)</f>
        <v>Light</v>
      </c>
      <c r="P19">
        <f>VLOOKUP(N19,'Products (2)'!A:G,7,0)</f>
        <v>1.1655</v>
      </c>
      <c r="Q19">
        <v>6</v>
      </c>
      <c r="R19">
        <f>INDEX([1]products!$A$1:$G$49,MATCH([1]orders!$D19,[1]products!$A$1:$A$49,0),MATCH([1]orders!K$1,[1]products!$A$1:$G$1,0))</f>
        <v>1</v>
      </c>
      <c r="S19">
        <f>INDEX([1]products!$A$1:$G$49,MATCH([1]orders!$D19,[1]products!$A$1:$A$49,0),MATCH([1]orders!L$1,[1]products!$A$1:$G$1,0))</f>
        <v>12.95</v>
      </c>
      <c r="T19">
        <f t="shared" si="1"/>
        <v>77.699999999999989</v>
      </c>
      <c r="U19">
        <f t="shared" si="4"/>
        <v>6.9930000000000003</v>
      </c>
      <c r="V19">
        <f t="shared" si="5"/>
        <v>9.0000000000000018</v>
      </c>
    </row>
    <row r="20" spans="1:22" x14ac:dyDescent="0.25">
      <c r="A20" t="s">
        <v>47</v>
      </c>
      <c r="B20">
        <v>43629</v>
      </c>
      <c r="C20" t="str">
        <f t="shared" si="2"/>
        <v>13</v>
      </c>
      <c r="D20" t="str">
        <f t="shared" si="0"/>
        <v>June</v>
      </c>
      <c r="E20" t="str">
        <f t="shared" si="3"/>
        <v>2019</v>
      </c>
      <c r="F20" t="s">
        <v>48</v>
      </c>
      <c r="G20" t="str">
        <f>VLOOKUP(F20,'Customers (2)'!A:I,2,0)</f>
        <v>Pall Redford</v>
      </c>
      <c r="H20" t="str">
        <f>VLOOKUP(F20,'Customers (2)'!A:I,3,0)</f>
        <v>predfordi@ow.ly</v>
      </c>
      <c r="I20">
        <f>VLOOKUP(F20,'Customers (2)'!A:I,4,0)</f>
        <v>0</v>
      </c>
      <c r="J20" t="str">
        <f>VLOOKUP(F20,'Customers (2)'!A:I,6,0)</f>
        <v>Caherconlish</v>
      </c>
      <c r="K20" t="str">
        <f>VLOOKUP(F20,'Customers (2)'!A:I,7,0)</f>
        <v>Ireland</v>
      </c>
      <c r="L20" t="str">
        <f>VLOOKUP(F20,'Customers (2)'!A:I,9,0)</f>
        <v>Yes</v>
      </c>
      <c r="M20" t="str">
        <f>VLOOKUP(N20,'Products (2)'!A:G,2,0)</f>
        <v>Robusta</v>
      </c>
      <c r="N20" t="s">
        <v>35</v>
      </c>
      <c r="O20" t="str">
        <f>VLOOKUP(N20,'Products (2)'!A:G,3,0)</f>
        <v>Dark</v>
      </c>
      <c r="P20">
        <f>VLOOKUP(N20,'Products (2)'!A:G,7,0)</f>
        <v>1.2350999999999999</v>
      </c>
      <c r="Q20">
        <v>4</v>
      </c>
      <c r="R20">
        <f>INDEX([1]products!$A$1:$G$49,MATCH([1]orders!$D20,[1]products!$A$1:$A$49,0),MATCH([1]orders!K$1,[1]products!$A$1:$G$1,0))</f>
        <v>2.5</v>
      </c>
      <c r="S20">
        <f>INDEX([1]products!$A$1:$G$49,MATCH([1]orders!$D20,[1]products!$A$1:$A$49,0),MATCH([1]orders!L$1,[1]products!$A$1:$G$1,0))</f>
        <v>20.584999999999997</v>
      </c>
      <c r="T20">
        <f t="shared" si="1"/>
        <v>82.339999999999989</v>
      </c>
      <c r="U20">
        <f t="shared" si="4"/>
        <v>4.9403999999999995</v>
      </c>
      <c r="V20">
        <f t="shared" si="5"/>
        <v>6.0000000000000009</v>
      </c>
    </row>
    <row r="21" spans="1:22" x14ac:dyDescent="0.25">
      <c r="A21" t="s">
        <v>49</v>
      </c>
      <c r="B21">
        <v>44169</v>
      </c>
      <c r="C21" t="str">
        <f t="shared" si="2"/>
        <v>04</v>
      </c>
      <c r="D21" t="str">
        <f t="shared" si="0"/>
        <v>December</v>
      </c>
      <c r="E21" t="str">
        <f t="shared" si="3"/>
        <v>2020</v>
      </c>
      <c r="F21" t="s">
        <v>50</v>
      </c>
      <c r="G21" t="str">
        <f>VLOOKUP(F21,'Customers (2)'!A:I,2,0)</f>
        <v>Aurea Corradino</v>
      </c>
      <c r="H21" t="str">
        <f>VLOOKUP(F21,'Customers (2)'!A:I,3,0)</f>
        <v>acorradinoj@harvard.edu</v>
      </c>
      <c r="I21" t="str">
        <f>VLOOKUP(F21,'Customers (2)'!A:I,4,0)</f>
        <v>+1 (646) 202-5965</v>
      </c>
      <c r="J21" t="str">
        <f>VLOOKUP(F21,'Customers (2)'!A:I,6,0)</f>
        <v>New York City</v>
      </c>
      <c r="K21" t="str">
        <f>VLOOKUP(F21,'Customers (2)'!A:I,7,0)</f>
        <v>United States</v>
      </c>
      <c r="L21" t="str">
        <f>VLOOKUP(F21,'Customers (2)'!A:I,9,0)</f>
        <v>Yes</v>
      </c>
      <c r="M21" t="str">
        <f>VLOOKUP(N21,'Products (2)'!A:G,2,0)</f>
        <v>Arabica</v>
      </c>
      <c r="N21" t="s">
        <v>44</v>
      </c>
      <c r="O21" t="str">
        <f>VLOOKUP(N21,'Products (2)'!A:G,3,0)</f>
        <v>Medium</v>
      </c>
      <c r="P21">
        <f>VLOOKUP(N21,'Products (2)'!A:G,7,0)</f>
        <v>0.30374999999999996</v>
      </c>
      <c r="Q21">
        <v>5</v>
      </c>
      <c r="R21">
        <f>INDEX([1]products!$A$1:$G$49,MATCH([1]orders!$D21,[1]products!$A$1:$A$49,0),MATCH([1]orders!K$1,[1]products!$A$1:$G$1,0))</f>
        <v>0.2</v>
      </c>
      <c r="S21">
        <f>INDEX([1]products!$A$1:$G$49,MATCH([1]orders!$D21,[1]products!$A$1:$A$49,0),MATCH([1]orders!L$1,[1]products!$A$1:$G$1,0))</f>
        <v>3.375</v>
      </c>
      <c r="T21">
        <f t="shared" si="1"/>
        <v>16.875</v>
      </c>
      <c r="U21">
        <f t="shared" si="4"/>
        <v>1.5187499999999998</v>
      </c>
      <c r="V21">
        <f t="shared" si="5"/>
        <v>8.9999999999999982</v>
      </c>
    </row>
    <row r="22" spans="1:22" x14ac:dyDescent="0.25">
      <c r="A22" t="s">
        <v>49</v>
      </c>
      <c r="B22">
        <v>44169</v>
      </c>
      <c r="C22" t="str">
        <f t="shared" si="2"/>
        <v>04</v>
      </c>
      <c r="D22" t="str">
        <f t="shared" si="0"/>
        <v>December</v>
      </c>
      <c r="E22" t="str">
        <f t="shared" si="3"/>
        <v>2020</v>
      </c>
      <c r="F22" t="s">
        <v>50</v>
      </c>
      <c r="G22" t="str">
        <f>VLOOKUP(F22,'Customers (2)'!A:I,2,0)</f>
        <v>Aurea Corradino</v>
      </c>
      <c r="H22" t="str">
        <f>VLOOKUP(F22,'Customers (2)'!A:I,3,0)</f>
        <v>acorradinoj@harvard.edu</v>
      </c>
      <c r="I22" t="str">
        <f>VLOOKUP(F22,'Customers (2)'!A:I,4,0)</f>
        <v>+1 (646) 202-5965</v>
      </c>
      <c r="J22" t="str">
        <f>VLOOKUP(F22,'Customers (2)'!A:I,6,0)</f>
        <v>New York City</v>
      </c>
      <c r="K22" t="str">
        <f>VLOOKUP(F22,'Customers (2)'!A:I,7,0)</f>
        <v>United States</v>
      </c>
      <c r="L22" t="str">
        <f>VLOOKUP(F22,'Customers (2)'!A:I,9,0)</f>
        <v>Yes</v>
      </c>
      <c r="M22" t="str">
        <f>VLOOKUP(N22,'Products (2)'!A:G,2,0)</f>
        <v>Excelsa</v>
      </c>
      <c r="N22" t="s">
        <v>51</v>
      </c>
      <c r="O22" t="str">
        <f>VLOOKUP(N22,'Products (2)'!A:G,3,0)</f>
        <v>Dark</v>
      </c>
      <c r="P22">
        <f>VLOOKUP(N22,'Products (2)'!A:G,7,0)</f>
        <v>0.40095000000000003</v>
      </c>
      <c r="Q22">
        <v>4</v>
      </c>
      <c r="R22">
        <f>INDEX([1]products!$A$1:$G$49,MATCH([1]orders!$D22,[1]products!$A$1:$A$49,0),MATCH([1]orders!K$1,[1]products!$A$1:$G$1,0))</f>
        <v>0.2</v>
      </c>
      <c r="S22">
        <f>INDEX([1]products!$A$1:$G$49,MATCH([1]orders!$D22,[1]products!$A$1:$A$49,0),MATCH([1]orders!L$1,[1]products!$A$1:$G$1,0))</f>
        <v>3.645</v>
      </c>
      <c r="T22">
        <f t="shared" si="1"/>
        <v>14.58</v>
      </c>
      <c r="U22">
        <f t="shared" si="4"/>
        <v>1.6038000000000001</v>
      </c>
      <c r="V22">
        <f t="shared" si="5"/>
        <v>11</v>
      </c>
    </row>
    <row r="23" spans="1:22" x14ac:dyDescent="0.25">
      <c r="A23" t="s">
        <v>52</v>
      </c>
      <c r="B23">
        <v>44169</v>
      </c>
      <c r="C23" t="str">
        <f t="shared" si="2"/>
        <v>04</v>
      </c>
      <c r="D23" t="str">
        <f t="shared" si="0"/>
        <v>December</v>
      </c>
      <c r="E23" t="str">
        <f t="shared" si="3"/>
        <v>2020</v>
      </c>
      <c r="F23" t="s">
        <v>53</v>
      </c>
      <c r="G23" t="str">
        <f>VLOOKUP(F23,'Customers (2)'!A:I,2,0)</f>
        <v>Avrit Davidowsky</v>
      </c>
      <c r="H23" t="str">
        <f>VLOOKUP(F23,'Customers (2)'!A:I,3,0)</f>
        <v>adavidowskyl@netvibes.com</v>
      </c>
      <c r="I23" t="str">
        <f>VLOOKUP(F23,'Customers (2)'!A:I,4,0)</f>
        <v>+1 (616) 481-9962</v>
      </c>
      <c r="J23" t="str">
        <f>VLOOKUP(F23,'Customers (2)'!A:I,6,0)</f>
        <v>Grand Rapids</v>
      </c>
      <c r="K23" t="str">
        <f>VLOOKUP(F23,'Customers (2)'!A:I,7,0)</f>
        <v>United States</v>
      </c>
      <c r="L23" t="str">
        <f>VLOOKUP(F23,'Customers (2)'!A:I,9,0)</f>
        <v>No</v>
      </c>
      <c r="M23" t="str">
        <f>VLOOKUP(N23,'Products (2)'!A:G,2,0)</f>
        <v>Arabica</v>
      </c>
      <c r="N23" t="s">
        <v>54</v>
      </c>
      <c r="O23" t="str">
        <f>VLOOKUP(N23,'Products (2)'!A:G,3,0)</f>
        <v>Dark</v>
      </c>
      <c r="P23">
        <f>VLOOKUP(N23,'Products (2)'!A:G,7,0)</f>
        <v>0.26865</v>
      </c>
      <c r="Q23">
        <v>6</v>
      </c>
      <c r="R23">
        <f>INDEX([1]products!$A$1:$G$49,MATCH([1]orders!$D23,[1]products!$A$1:$A$49,0),MATCH([1]orders!K$1,[1]products!$A$1:$G$1,0))</f>
        <v>0.2</v>
      </c>
      <c r="S23">
        <f>INDEX([1]products!$A$1:$G$49,MATCH([1]orders!$D23,[1]products!$A$1:$A$49,0),MATCH([1]orders!L$1,[1]products!$A$1:$G$1,0))</f>
        <v>2.9849999999999999</v>
      </c>
      <c r="T23">
        <f t="shared" si="1"/>
        <v>17.91</v>
      </c>
      <c r="U23">
        <f t="shared" si="4"/>
        <v>1.6118999999999999</v>
      </c>
      <c r="V23">
        <f t="shared" si="5"/>
        <v>9</v>
      </c>
    </row>
    <row r="24" spans="1:22" x14ac:dyDescent="0.25">
      <c r="A24" t="s">
        <v>55</v>
      </c>
      <c r="B24">
        <v>44218</v>
      </c>
      <c r="C24" t="str">
        <f t="shared" si="2"/>
        <v>22</v>
      </c>
      <c r="D24" t="str">
        <f t="shared" si="0"/>
        <v>January</v>
      </c>
      <c r="E24" t="str">
        <f t="shared" si="3"/>
        <v>2021</v>
      </c>
      <c r="F24" t="s">
        <v>56</v>
      </c>
      <c r="G24" t="str">
        <f>VLOOKUP(F24,'Customers (2)'!A:I,2,0)</f>
        <v>Annabel Antuk</v>
      </c>
      <c r="H24" t="str">
        <f>VLOOKUP(F24,'Customers (2)'!A:I,3,0)</f>
        <v>aantukm@kickstarter.com</v>
      </c>
      <c r="I24" t="str">
        <f>VLOOKUP(F24,'Customers (2)'!A:I,4,0)</f>
        <v>+1 (941) 740-6268</v>
      </c>
      <c r="J24" t="str">
        <f>VLOOKUP(F24,'Customers (2)'!A:I,6,0)</f>
        <v>Punta Gorda</v>
      </c>
      <c r="K24" t="str">
        <f>VLOOKUP(F24,'Customers (2)'!A:I,7,0)</f>
        <v>United States</v>
      </c>
      <c r="L24" t="str">
        <f>VLOOKUP(F24,'Customers (2)'!A:I,9,0)</f>
        <v>Yes</v>
      </c>
      <c r="M24" t="str">
        <f>VLOOKUP(N24,'Products (2)'!A:G,2,0)</f>
        <v>Robusta</v>
      </c>
      <c r="N24" t="s">
        <v>41</v>
      </c>
      <c r="O24" t="str">
        <f>VLOOKUP(N24,'Products (2)'!A:G,3,0)</f>
        <v>Medium</v>
      </c>
      <c r="P24">
        <f>VLOOKUP(N24,'Products (2)'!A:G,7,0)</f>
        <v>1.3730999999999998</v>
      </c>
      <c r="Q24">
        <v>4</v>
      </c>
      <c r="R24">
        <f>INDEX([1]products!$A$1:$G$49,MATCH([1]orders!$D24,[1]products!$A$1:$A$49,0),MATCH([1]orders!K$1,[1]products!$A$1:$G$1,0))</f>
        <v>2.5</v>
      </c>
      <c r="S24">
        <f>INDEX([1]products!$A$1:$G$49,MATCH([1]orders!$D24,[1]products!$A$1:$A$49,0),MATCH([1]orders!L$1,[1]products!$A$1:$G$1,0))</f>
        <v>22.884999999999998</v>
      </c>
      <c r="T24">
        <f t="shared" si="1"/>
        <v>91.539999999999992</v>
      </c>
      <c r="U24">
        <f t="shared" si="4"/>
        <v>5.4923999999999991</v>
      </c>
      <c r="V24">
        <f t="shared" si="5"/>
        <v>6</v>
      </c>
    </row>
    <row r="25" spans="1:22" x14ac:dyDescent="0.25">
      <c r="A25" t="s">
        <v>57</v>
      </c>
      <c r="B25">
        <v>44603</v>
      </c>
      <c r="C25" t="str">
        <f t="shared" si="2"/>
        <v>11</v>
      </c>
      <c r="D25" t="str">
        <f t="shared" si="0"/>
        <v>February</v>
      </c>
      <c r="E25" t="str">
        <f t="shared" si="3"/>
        <v>2022</v>
      </c>
      <c r="F25" t="s">
        <v>58</v>
      </c>
      <c r="G25" t="str">
        <f>VLOOKUP(F25,'Customers (2)'!A:I,2,0)</f>
        <v>Iorgo Kleinert</v>
      </c>
      <c r="H25" t="str">
        <f>VLOOKUP(F25,'Customers (2)'!A:I,3,0)</f>
        <v>ikleinertn@timesonline.co.uk</v>
      </c>
      <c r="I25" t="str">
        <f>VLOOKUP(F25,'Customers (2)'!A:I,4,0)</f>
        <v>+1 (360) 352-6598</v>
      </c>
      <c r="J25" t="str">
        <f>VLOOKUP(F25,'Customers (2)'!A:I,6,0)</f>
        <v>Vancouver</v>
      </c>
      <c r="K25" t="str">
        <f>VLOOKUP(F25,'Customers (2)'!A:I,7,0)</f>
        <v>United States</v>
      </c>
      <c r="L25" t="str">
        <f>VLOOKUP(F25,'Customers (2)'!A:I,9,0)</f>
        <v>Yes</v>
      </c>
      <c r="M25" t="str">
        <f>VLOOKUP(N25,'Products (2)'!A:G,2,0)</f>
        <v>Arabica</v>
      </c>
      <c r="N25" t="s">
        <v>54</v>
      </c>
      <c r="O25" t="str">
        <f>VLOOKUP(N25,'Products (2)'!A:G,3,0)</f>
        <v>Dark</v>
      </c>
      <c r="P25">
        <f>VLOOKUP(N25,'Products (2)'!A:G,7,0)</f>
        <v>0.26865</v>
      </c>
      <c r="Q25">
        <v>4</v>
      </c>
      <c r="R25">
        <f>INDEX([1]products!$A$1:$G$49,MATCH([1]orders!$D25,[1]products!$A$1:$A$49,0),MATCH([1]orders!K$1,[1]products!$A$1:$G$1,0))</f>
        <v>0.2</v>
      </c>
      <c r="S25">
        <f>INDEX([1]products!$A$1:$G$49,MATCH([1]orders!$D25,[1]products!$A$1:$A$49,0),MATCH([1]orders!L$1,[1]products!$A$1:$G$1,0))</f>
        <v>2.9849999999999999</v>
      </c>
      <c r="T25">
        <f t="shared" si="1"/>
        <v>11.94</v>
      </c>
      <c r="U25">
        <f t="shared" si="4"/>
        <v>1.0746</v>
      </c>
      <c r="V25">
        <f t="shared" si="5"/>
        <v>9.0000000000000018</v>
      </c>
    </row>
    <row r="26" spans="1:22" x14ac:dyDescent="0.25">
      <c r="A26" t="s">
        <v>59</v>
      </c>
      <c r="B26">
        <v>44454</v>
      </c>
      <c r="C26" t="str">
        <f t="shared" si="2"/>
        <v>15</v>
      </c>
      <c r="D26" t="str">
        <f t="shared" si="0"/>
        <v>September</v>
      </c>
      <c r="E26" t="str">
        <f t="shared" si="3"/>
        <v>2021</v>
      </c>
      <c r="F26" t="s">
        <v>60</v>
      </c>
      <c r="G26" t="str">
        <f>VLOOKUP(F26,'Customers (2)'!A:I,2,0)</f>
        <v>Chrisy Blofeld</v>
      </c>
      <c r="H26" t="str">
        <f>VLOOKUP(F26,'Customers (2)'!A:I,3,0)</f>
        <v>cblofeldo@amazon.co.uk</v>
      </c>
      <c r="I26" t="str">
        <f>VLOOKUP(F26,'Customers (2)'!A:I,4,0)</f>
        <v>+1 (303) 936-3357</v>
      </c>
      <c r="J26" t="str">
        <f>VLOOKUP(F26,'Customers (2)'!A:I,6,0)</f>
        <v>Englewood</v>
      </c>
      <c r="K26" t="str">
        <f>VLOOKUP(F26,'Customers (2)'!A:I,7,0)</f>
        <v>United States</v>
      </c>
      <c r="L26" t="str">
        <f>VLOOKUP(F26,'Customers (2)'!A:I,9,0)</f>
        <v>No</v>
      </c>
      <c r="M26" t="str">
        <f>VLOOKUP(N26,'Products (2)'!A:G,2,0)</f>
        <v>Arabica</v>
      </c>
      <c r="N26" t="s">
        <v>61</v>
      </c>
      <c r="O26" t="str">
        <f>VLOOKUP(N26,'Products (2)'!A:G,3,0)</f>
        <v>Medium</v>
      </c>
      <c r="P26">
        <f>VLOOKUP(N26,'Products (2)'!A:G,7,0)</f>
        <v>1.0125</v>
      </c>
      <c r="Q26">
        <v>1</v>
      </c>
      <c r="R26">
        <f>INDEX([1]products!$A$1:$G$49,MATCH([1]orders!$D26,[1]products!$A$1:$A$49,0),MATCH([1]orders!K$1,[1]products!$A$1:$G$1,0))</f>
        <v>1</v>
      </c>
      <c r="S26">
        <f>INDEX([1]products!$A$1:$G$49,MATCH([1]orders!$D26,[1]products!$A$1:$A$49,0),MATCH([1]orders!L$1,[1]products!$A$1:$G$1,0))</f>
        <v>11.25</v>
      </c>
      <c r="T26">
        <f t="shared" si="1"/>
        <v>11.25</v>
      </c>
      <c r="U26">
        <f t="shared" si="4"/>
        <v>1.0125</v>
      </c>
      <c r="V26">
        <f t="shared" si="5"/>
        <v>9</v>
      </c>
    </row>
    <row r="27" spans="1:22" x14ac:dyDescent="0.25">
      <c r="A27" t="s">
        <v>62</v>
      </c>
      <c r="B27">
        <v>44128</v>
      </c>
      <c r="C27" t="str">
        <f t="shared" si="2"/>
        <v>24</v>
      </c>
      <c r="D27" t="str">
        <f t="shared" si="0"/>
        <v>October</v>
      </c>
      <c r="E27" t="str">
        <f t="shared" si="3"/>
        <v>2020</v>
      </c>
      <c r="F27" t="s">
        <v>63</v>
      </c>
      <c r="G27" t="str">
        <f>VLOOKUP(F27,'Customers (2)'!A:I,2,0)</f>
        <v>Culley Farris</v>
      </c>
      <c r="H27">
        <f>VLOOKUP(F27,'Customers (2)'!A:I,3,0)</f>
        <v>0</v>
      </c>
      <c r="I27" t="str">
        <f>VLOOKUP(F27,'Customers (2)'!A:I,4,0)</f>
        <v>+1 (941) 267-4822</v>
      </c>
      <c r="J27" t="str">
        <f>VLOOKUP(F27,'Customers (2)'!A:I,6,0)</f>
        <v>Punta Gorda</v>
      </c>
      <c r="K27" t="str">
        <f>VLOOKUP(F27,'Customers (2)'!A:I,7,0)</f>
        <v>United States</v>
      </c>
      <c r="L27" t="str">
        <f>VLOOKUP(F27,'Customers (2)'!A:I,9,0)</f>
        <v>Yes</v>
      </c>
      <c r="M27" t="str">
        <f>VLOOKUP(N27,'Products (2)'!A:G,2,0)</f>
        <v>Excelsa</v>
      </c>
      <c r="N27" t="s">
        <v>64</v>
      </c>
      <c r="O27" t="str">
        <f>VLOOKUP(N27,'Products (2)'!A:G,3,0)</f>
        <v>Medium</v>
      </c>
      <c r="P27">
        <f>VLOOKUP(N27,'Products (2)'!A:G,7,0)</f>
        <v>0.45374999999999999</v>
      </c>
      <c r="Q27">
        <v>3</v>
      </c>
      <c r="R27">
        <f>INDEX([1]products!$A$1:$G$49,MATCH([1]orders!$D27,[1]products!$A$1:$A$49,0),MATCH([1]orders!K$1,[1]products!$A$1:$G$1,0))</f>
        <v>0.2</v>
      </c>
      <c r="S27">
        <f>INDEX([1]products!$A$1:$G$49,MATCH([1]orders!$D27,[1]products!$A$1:$A$49,0),MATCH([1]orders!L$1,[1]products!$A$1:$G$1,0))</f>
        <v>4.125</v>
      </c>
      <c r="T27">
        <f t="shared" si="1"/>
        <v>12.375</v>
      </c>
      <c r="U27">
        <f t="shared" si="4"/>
        <v>1.3612500000000001</v>
      </c>
      <c r="V27">
        <f t="shared" si="5"/>
        <v>11</v>
      </c>
    </row>
    <row r="28" spans="1:22" x14ac:dyDescent="0.25">
      <c r="A28" t="s">
        <v>65</v>
      </c>
      <c r="B28">
        <v>43516</v>
      </c>
      <c r="C28" t="str">
        <f t="shared" si="2"/>
        <v>20</v>
      </c>
      <c r="D28" t="str">
        <f t="shared" si="0"/>
        <v>February</v>
      </c>
      <c r="E28" t="str">
        <f t="shared" si="3"/>
        <v>2019</v>
      </c>
      <c r="F28" t="s">
        <v>66</v>
      </c>
      <c r="G28" t="str">
        <f>VLOOKUP(F28,'Customers (2)'!A:I,2,0)</f>
        <v>Selene Shales</v>
      </c>
      <c r="H28" t="str">
        <f>VLOOKUP(F28,'Customers (2)'!A:I,3,0)</f>
        <v>sshalesq@umich.edu</v>
      </c>
      <c r="I28" t="str">
        <f>VLOOKUP(F28,'Customers (2)'!A:I,4,0)</f>
        <v>+1 (707) 881-5004</v>
      </c>
      <c r="J28" t="str">
        <f>VLOOKUP(F28,'Customers (2)'!A:I,6,0)</f>
        <v>Petaluma</v>
      </c>
      <c r="K28" t="str">
        <f>VLOOKUP(F28,'Customers (2)'!A:I,7,0)</f>
        <v>United States</v>
      </c>
      <c r="L28" t="str">
        <f>VLOOKUP(F28,'Customers (2)'!A:I,9,0)</f>
        <v>Yes</v>
      </c>
      <c r="M28" t="str">
        <f>VLOOKUP(N28,'Products (2)'!A:G,2,0)</f>
        <v>Arabica</v>
      </c>
      <c r="N28" t="s">
        <v>67</v>
      </c>
      <c r="O28" t="str">
        <f>VLOOKUP(N28,'Products (2)'!A:G,3,0)</f>
        <v>Medium</v>
      </c>
      <c r="P28">
        <f>VLOOKUP(N28,'Products (2)'!A:G,7,0)</f>
        <v>0.60749999999999993</v>
      </c>
      <c r="Q28">
        <v>4</v>
      </c>
      <c r="R28">
        <f>INDEX([1]products!$A$1:$G$49,MATCH([1]orders!$D28,[1]products!$A$1:$A$49,0),MATCH([1]orders!K$1,[1]products!$A$1:$G$1,0))</f>
        <v>0.5</v>
      </c>
      <c r="S28">
        <f>INDEX([1]products!$A$1:$G$49,MATCH([1]orders!$D28,[1]products!$A$1:$A$49,0),MATCH([1]orders!L$1,[1]products!$A$1:$G$1,0))</f>
        <v>6.75</v>
      </c>
      <c r="T28">
        <f t="shared" si="1"/>
        <v>27</v>
      </c>
      <c r="U28">
        <f t="shared" si="4"/>
        <v>2.4299999999999997</v>
      </c>
      <c r="V28">
        <f t="shared" si="5"/>
        <v>8.9999999999999982</v>
      </c>
    </row>
    <row r="29" spans="1:22" x14ac:dyDescent="0.25">
      <c r="A29" t="s">
        <v>68</v>
      </c>
      <c r="B29">
        <v>43746</v>
      </c>
      <c r="C29" t="str">
        <f t="shared" si="2"/>
        <v>08</v>
      </c>
      <c r="D29" t="str">
        <f t="shared" si="0"/>
        <v>October</v>
      </c>
      <c r="E29" t="str">
        <f t="shared" si="3"/>
        <v>2019</v>
      </c>
      <c r="F29" t="s">
        <v>69</v>
      </c>
      <c r="G29" t="str">
        <f>VLOOKUP(F29,'Customers (2)'!A:I,2,0)</f>
        <v>Vivie Danneil</v>
      </c>
      <c r="H29" t="str">
        <f>VLOOKUP(F29,'Customers (2)'!A:I,3,0)</f>
        <v>vdanneilr@mtv.com</v>
      </c>
      <c r="I29" t="str">
        <f>VLOOKUP(F29,'Customers (2)'!A:I,4,0)</f>
        <v>+353 (751) 346-0399</v>
      </c>
      <c r="J29" t="str">
        <f>VLOOKUP(F29,'Customers (2)'!A:I,6,0)</f>
        <v>Tralee</v>
      </c>
      <c r="K29" t="str">
        <f>VLOOKUP(F29,'Customers (2)'!A:I,7,0)</f>
        <v>Ireland</v>
      </c>
      <c r="L29" t="str">
        <f>VLOOKUP(F29,'Customers (2)'!A:I,9,0)</f>
        <v>No</v>
      </c>
      <c r="M29" t="str">
        <f>VLOOKUP(N29,'Products (2)'!A:G,2,0)</f>
        <v>Arabica</v>
      </c>
      <c r="N29" t="s">
        <v>44</v>
      </c>
      <c r="O29" t="str">
        <f>VLOOKUP(N29,'Products (2)'!A:G,3,0)</f>
        <v>Medium</v>
      </c>
      <c r="P29">
        <f>VLOOKUP(N29,'Products (2)'!A:G,7,0)</f>
        <v>0.30374999999999996</v>
      </c>
      <c r="Q29">
        <v>5</v>
      </c>
      <c r="R29">
        <f>INDEX([1]products!$A$1:$G$49,MATCH([1]orders!$D29,[1]products!$A$1:$A$49,0),MATCH([1]orders!K$1,[1]products!$A$1:$G$1,0))</f>
        <v>0.2</v>
      </c>
      <c r="S29">
        <f>INDEX([1]products!$A$1:$G$49,MATCH([1]orders!$D29,[1]products!$A$1:$A$49,0),MATCH([1]orders!L$1,[1]products!$A$1:$G$1,0))</f>
        <v>3.375</v>
      </c>
      <c r="T29">
        <f t="shared" si="1"/>
        <v>16.875</v>
      </c>
      <c r="U29">
        <f t="shared" si="4"/>
        <v>1.5187499999999998</v>
      </c>
      <c r="V29">
        <f t="shared" si="5"/>
        <v>8.9999999999999982</v>
      </c>
    </row>
    <row r="30" spans="1:22" x14ac:dyDescent="0.25">
      <c r="A30" t="s">
        <v>70</v>
      </c>
      <c r="B30">
        <v>44775</v>
      </c>
      <c r="C30" t="str">
        <f t="shared" si="2"/>
        <v>02</v>
      </c>
      <c r="D30" t="str">
        <f t="shared" si="0"/>
        <v>August</v>
      </c>
      <c r="E30" t="str">
        <f t="shared" si="3"/>
        <v>2022</v>
      </c>
      <c r="F30" t="s">
        <v>71</v>
      </c>
      <c r="G30" t="str">
        <f>VLOOKUP(F30,'Customers (2)'!A:I,2,0)</f>
        <v>Theresita Newbury</v>
      </c>
      <c r="H30" t="str">
        <f>VLOOKUP(F30,'Customers (2)'!A:I,3,0)</f>
        <v>tnewburys@usda.gov</v>
      </c>
      <c r="I30" t="str">
        <f>VLOOKUP(F30,'Customers (2)'!A:I,4,0)</f>
        <v>+353 (803) 587-0026</v>
      </c>
      <c r="J30" t="str">
        <f>VLOOKUP(F30,'Customers (2)'!A:I,6,0)</f>
        <v>Clonskeagh</v>
      </c>
      <c r="K30" t="str">
        <f>VLOOKUP(F30,'Customers (2)'!A:I,7,0)</f>
        <v>Ireland</v>
      </c>
      <c r="L30" t="str">
        <f>VLOOKUP(F30,'Customers (2)'!A:I,9,0)</f>
        <v>No</v>
      </c>
      <c r="M30" t="str">
        <f>VLOOKUP(N30,'Products (2)'!A:G,2,0)</f>
        <v>Arabica</v>
      </c>
      <c r="N30" t="s">
        <v>72</v>
      </c>
      <c r="O30" t="str">
        <f>VLOOKUP(N30,'Products (2)'!A:G,3,0)</f>
        <v>Dark</v>
      </c>
      <c r="P30">
        <f>VLOOKUP(N30,'Products (2)'!A:G,7,0)</f>
        <v>0.5373</v>
      </c>
      <c r="Q30">
        <v>3</v>
      </c>
      <c r="R30">
        <f>INDEX([1]products!$A$1:$G$49,MATCH([1]orders!$D30,[1]products!$A$1:$A$49,0),MATCH([1]orders!K$1,[1]products!$A$1:$G$1,0))</f>
        <v>0.5</v>
      </c>
      <c r="S30">
        <f>INDEX([1]products!$A$1:$G$49,MATCH([1]orders!$D30,[1]products!$A$1:$A$49,0),MATCH([1]orders!L$1,[1]products!$A$1:$G$1,0))</f>
        <v>5.97</v>
      </c>
      <c r="T30">
        <f t="shared" si="1"/>
        <v>17.91</v>
      </c>
      <c r="U30">
        <f t="shared" si="4"/>
        <v>1.6118999999999999</v>
      </c>
      <c r="V30">
        <f t="shared" si="5"/>
        <v>9</v>
      </c>
    </row>
    <row r="31" spans="1:22" x14ac:dyDescent="0.25">
      <c r="A31" t="s">
        <v>73</v>
      </c>
      <c r="B31">
        <v>43516</v>
      </c>
      <c r="C31" t="str">
        <f t="shared" si="2"/>
        <v>20</v>
      </c>
      <c r="D31" t="str">
        <f t="shared" si="0"/>
        <v>February</v>
      </c>
      <c r="E31" t="str">
        <f t="shared" si="3"/>
        <v>2019</v>
      </c>
      <c r="F31" t="s">
        <v>74</v>
      </c>
      <c r="G31" t="str">
        <f>VLOOKUP(F31,'Customers (2)'!A:I,2,0)</f>
        <v>Mozelle Calcutt</v>
      </c>
      <c r="H31" t="str">
        <f>VLOOKUP(F31,'Customers (2)'!A:I,3,0)</f>
        <v>mcalcuttt@baidu.com</v>
      </c>
      <c r="I31" t="str">
        <f>VLOOKUP(F31,'Customers (2)'!A:I,4,0)</f>
        <v>+353 (928) 869-1762</v>
      </c>
      <c r="J31" t="str">
        <f>VLOOKUP(F31,'Customers (2)'!A:I,6,0)</f>
        <v>Rathwire</v>
      </c>
      <c r="K31" t="str">
        <f>VLOOKUP(F31,'Customers (2)'!A:I,7,0)</f>
        <v>Ireland</v>
      </c>
      <c r="L31" t="str">
        <f>VLOOKUP(F31,'Customers (2)'!A:I,9,0)</f>
        <v>Yes</v>
      </c>
      <c r="M31" t="str">
        <f>VLOOKUP(N31,'Products (2)'!A:G,2,0)</f>
        <v>Arabica</v>
      </c>
      <c r="N31" t="s">
        <v>27</v>
      </c>
      <c r="O31" t="str">
        <f>VLOOKUP(N31,'Products (2)'!A:G,3,0)</f>
        <v>Dark</v>
      </c>
      <c r="P31">
        <f>VLOOKUP(N31,'Products (2)'!A:G,7,0)</f>
        <v>0.89549999999999985</v>
      </c>
      <c r="Q31">
        <v>4</v>
      </c>
      <c r="R31">
        <f>INDEX([1]products!$A$1:$G$49,MATCH([1]orders!$D31,[1]products!$A$1:$A$49,0),MATCH([1]orders!K$1,[1]products!$A$1:$G$1,0))</f>
        <v>1</v>
      </c>
      <c r="S31">
        <f>INDEX([1]products!$A$1:$G$49,MATCH([1]orders!$D31,[1]products!$A$1:$A$49,0),MATCH([1]orders!L$1,[1]products!$A$1:$G$1,0))</f>
        <v>9.9499999999999993</v>
      </c>
      <c r="T31">
        <f t="shared" si="1"/>
        <v>39.799999999999997</v>
      </c>
      <c r="U31">
        <f t="shared" si="4"/>
        <v>3.5819999999999994</v>
      </c>
      <c r="V31">
        <f t="shared" si="5"/>
        <v>9</v>
      </c>
    </row>
    <row r="32" spans="1:22" x14ac:dyDescent="0.25">
      <c r="A32" t="s">
        <v>75</v>
      </c>
      <c r="B32">
        <v>44464</v>
      </c>
      <c r="C32" t="str">
        <f t="shared" si="2"/>
        <v>25</v>
      </c>
      <c r="D32" t="str">
        <f t="shared" si="0"/>
        <v>September</v>
      </c>
      <c r="E32" t="str">
        <f t="shared" si="3"/>
        <v>2021</v>
      </c>
      <c r="F32" t="s">
        <v>76</v>
      </c>
      <c r="G32" t="str">
        <f>VLOOKUP(F32,'Customers (2)'!A:I,2,0)</f>
        <v>Adrian Swaine</v>
      </c>
      <c r="H32">
        <f>VLOOKUP(F32,'Customers (2)'!A:I,3,0)</f>
        <v>0</v>
      </c>
      <c r="I32" t="str">
        <f>VLOOKUP(F32,'Customers (2)'!A:I,4,0)</f>
        <v>+1 (303) 486-9517</v>
      </c>
      <c r="J32" t="str">
        <f>VLOOKUP(F32,'Customers (2)'!A:I,6,0)</f>
        <v>Aurora</v>
      </c>
      <c r="K32" t="str">
        <f>VLOOKUP(F32,'Customers (2)'!A:I,7,0)</f>
        <v>United States</v>
      </c>
      <c r="L32" t="str">
        <f>VLOOKUP(F32,'Customers (2)'!A:I,9,0)</f>
        <v>No</v>
      </c>
      <c r="M32" t="str">
        <f>VLOOKUP(N32,'Products (2)'!A:G,2,0)</f>
        <v>Liberica</v>
      </c>
      <c r="N32" t="s">
        <v>77</v>
      </c>
      <c r="O32" t="str">
        <f>VLOOKUP(N32,'Products (2)'!A:G,3,0)</f>
        <v>Medium</v>
      </c>
      <c r="P32">
        <f>VLOOKUP(N32,'Products (2)'!A:G,7,0)</f>
        <v>0.56745000000000001</v>
      </c>
      <c r="Q32">
        <v>5</v>
      </c>
      <c r="R32">
        <f>INDEX([1]products!$A$1:$G$49,MATCH([1]orders!$D32,[1]products!$A$1:$A$49,0),MATCH([1]orders!K$1,[1]products!$A$1:$G$1,0))</f>
        <v>0.2</v>
      </c>
      <c r="S32">
        <f>INDEX([1]products!$A$1:$G$49,MATCH([1]orders!$D32,[1]products!$A$1:$A$49,0),MATCH([1]orders!L$1,[1]products!$A$1:$G$1,0))</f>
        <v>4.3650000000000002</v>
      </c>
      <c r="T32">
        <f t="shared" si="1"/>
        <v>21.825000000000003</v>
      </c>
      <c r="U32">
        <f t="shared" si="4"/>
        <v>2.83725</v>
      </c>
      <c r="V32">
        <f t="shared" si="5"/>
        <v>12.999999999999998</v>
      </c>
    </row>
    <row r="33" spans="1:22" x14ac:dyDescent="0.25">
      <c r="A33" t="s">
        <v>75</v>
      </c>
      <c r="B33">
        <v>44464</v>
      </c>
      <c r="C33" t="str">
        <f t="shared" si="2"/>
        <v>25</v>
      </c>
      <c r="D33" t="str">
        <f t="shared" si="0"/>
        <v>September</v>
      </c>
      <c r="E33" t="str">
        <f t="shared" si="3"/>
        <v>2021</v>
      </c>
      <c r="F33" t="s">
        <v>76</v>
      </c>
      <c r="G33" t="str">
        <f>VLOOKUP(F33,'Customers (2)'!A:I,2,0)</f>
        <v>Adrian Swaine</v>
      </c>
      <c r="H33">
        <f>VLOOKUP(F33,'Customers (2)'!A:I,3,0)</f>
        <v>0</v>
      </c>
      <c r="I33" t="str">
        <f>VLOOKUP(F33,'Customers (2)'!A:I,4,0)</f>
        <v>+1 (303) 486-9517</v>
      </c>
      <c r="J33" t="str">
        <f>VLOOKUP(F33,'Customers (2)'!A:I,6,0)</f>
        <v>Aurora</v>
      </c>
      <c r="K33" t="str">
        <f>VLOOKUP(F33,'Customers (2)'!A:I,7,0)</f>
        <v>United States</v>
      </c>
      <c r="L33" t="str">
        <f>VLOOKUP(F33,'Customers (2)'!A:I,9,0)</f>
        <v>No</v>
      </c>
      <c r="M33" t="str">
        <f>VLOOKUP(N33,'Products (2)'!A:G,2,0)</f>
        <v>Arabica</v>
      </c>
      <c r="N33" t="s">
        <v>72</v>
      </c>
      <c r="O33" t="str">
        <f>VLOOKUP(N33,'Products (2)'!A:G,3,0)</f>
        <v>Dark</v>
      </c>
      <c r="P33">
        <f>VLOOKUP(N33,'Products (2)'!A:G,7,0)</f>
        <v>0.5373</v>
      </c>
      <c r="Q33">
        <v>6</v>
      </c>
      <c r="R33">
        <f>INDEX([1]products!$A$1:$G$49,MATCH([1]orders!$D33,[1]products!$A$1:$A$49,0),MATCH([1]orders!K$1,[1]products!$A$1:$G$1,0))</f>
        <v>0.5</v>
      </c>
      <c r="S33">
        <f>INDEX([1]products!$A$1:$G$49,MATCH([1]orders!$D33,[1]products!$A$1:$A$49,0),MATCH([1]orders!L$1,[1]products!$A$1:$G$1,0))</f>
        <v>5.97</v>
      </c>
      <c r="T33">
        <f t="shared" si="1"/>
        <v>35.82</v>
      </c>
      <c r="U33">
        <f t="shared" si="4"/>
        <v>3.2237999999999998</v>
      </c>
      <c r="V33">
        <f t="shared" si="5"/>
        <v>9</v>
      </c>
    </row>
    <row r="34" spans="1:22" x14ac:dyDescent="0.25">
      <c r="A34" t="s">
        <v>75</v>
      </c>
      <c r="B34">
        <v>44464</v>
      </c>
      <c r="C34" t="str">
        <f t="shared" si="2"/>
        <v>25</v>
      </c>
      <c r="D34" t="str">
        <f t="shared" si="0"/>
        <v>September</v>
      </c>
      <c r="E34" t="str">
        <f t="shared" si="3"/>
        <v>2021</v>
      </c>
      <c r="F34" t="s">
        <v>76</v>
      </c>
      <c r="G34" t="str">
        <f>VLOOKUP(F34,'Customers (2)'!A:I,2,0)</f>
        <v>Adrian Swaine</v>
      </c>
      <c r="H34">
        <f>VLOOKUP(F34,'Customers (2)'!A:I,3,0)</f>
        <v>0</v>
      </c>
      <c r="I34" t="str">
        <f>VLOOKUP(F34,'Customers (2)'!A:I,4,0)</f>
        <v>+1 (303) 486-9517</v>
      </c>
      <c r="J34" t="str">
        <f>VLOOKUP(F34,'Customers (2)'!A:I,6,0)</f>
        <v>Aurora</v>
      </c>
      <c r="K34" t="str">
        <f>VLOOKUP(F34,'Customers (2)'!A:I,7,0)</f>
        <v>United States</v>
      </c>
      <c r="L34" t="str">
        <f>VLOOKUP(F34,'Customers (2)'!A:I,9,0)</f>
        <v>No</v>
      </c>
      <c r="M34" t="str">
        <f>VLOOKUP(N34,'Products (2)'!A:G,2,0)</f>
        <v>Liberica</v>
      </c>
      <c r="N34" t="s">
        <v>78</v>
      </c>
      <c r="O34" t="str">
        <f>VLOOKUP(N34,'Products (2)'!A:G,3,0)</f>
        <v>Medium</v>
      </c>
      <c r="P34">
        <f>VLOOKUP(N34,'Products (2)'!A:G,7,0)</f>
        <v>1.1349</v>
      </c>
      <c r="Q34">
        <v>6</v>
      </c>
      <c r="R34">
        <f>INDEX([1]products!$A$1:$G$49,MATCH([1]orders!$D34,[1]products!$A$1:$A$49,0),MATCH([1]orders!K$1,[1]products!$A$1:$G$1,0))</f>
        <v>0.5</v>
      </c>
      <c r="S34">
        <f>INDEX([1]products!$A$1:$G$49,MATCH([1]orders!$D34,[1]products!$A$1:$A$49,0),MATCH([1]orders!L$1,[1]products!$A$1:$G$1,0))</f>
        <v>8.73</v>
      </c>
      <c r="T34">
        <f t="shared" si="1"/>
        <v>52.38</v>
      </c>
      <c r="U34">
        <f t="shared" si="4"/>
        <v>6.8094000000000001</v>
      </c>
      <c r="V34">
        <f t="shared" si="5"/>
        <v>13</v>
      </c>
    </row>
    <row r="35" spans="1:22" x14ac:dyDescent="0.25">
      <c r="A35" t="s">
        <v>79</v>
      </c>
      <c r="B35">
        <v>44394</v>
      </c>
      <c r="C35" t="str">
        <f t="shared" si="2"/>
        <v>17</v>
      </c>
      <c r="D35" t="str">
        <f t="shared" si="0"/>
        <v>July</v>
      </c>
      <c r="E35" t="str">
        <f t="shared" si="3"/>
        <v>2021</v>
      </c>
      <c r="F35" t="s">
        <v>80</v>
      </c>
      <c r="G35" t="str">
        <f>VLOOKUP(F35,'Customers (2)'!A:I,2,0)</f>
        <v>Gallard Gatheral</v>
      </c>
      <c r="H35" t="str">
        <f>VLOOKUP(F35,'Customers (2)'!A:I,3,0)</f>
        <v>ggatheralx@123-reg.co.uk</v>
      </c>
      <c r="I35">
        <f>VLOOKUP(F35,'Customers (2)'!A:I,4,0)</f>
        <v>0</v>
      </c>
      <c r="J35" t="str">
        <f>VLOOKUP(F35,'Customers (2)'!A:I,6,0)</f>
        <v>Grand Forks</v>
      </c>
      <c r="K35" t="str">
        <f>VLOOKUP(F35,'Customers (2)'!A:I,7,0)</f>
        <v>United States</v>
      </c>
      <c r="L35" t="str">
        <f>VLOOKUP(F35,'Customers (2)'!A:I,9,0)</f>
        <v>No</v>
      </c>
      <c r="M35" t="str">
        <f>VLOOKUP(N35,'Products (2)'!A:G,2,0)</f>
        <v>Liberica</v>
      </c>
      <c r="N35" t="s">
        <v>19</v>
      </c>
      <c r="O35" t="str">
        <f>VLOOKUP(N35,'Products (2)'!A:G,3,0)</f>
        <v>Light</v>
      </c>
      <c r="P35">
        <f>VLOOKUP(N35,'Products (2)'!A:G,7,0)</f>
        <v>0.61814999999999998</v>
      </c>
      <c r="Q35">
        <v>5</v>
      </c>
      <c r="R35">
        <f>INDEX([1]products!$A$1:$G$49,MATCH([1]orders!$D35,[1]products!$A$1:$A$49,0),MATCH([1]orders!K$1,[1]products!$A$1:$G$1,0))</f>
        <v>0.2</v>
      </c>
      <c r="S35">
        <f>INDEX([1]products!$A$1:$G$49,MATCH([1]orders!$D35,[1]products!$A$1:$A$49,0),MATCH([1]orders!L$1,[1]products!$A$1:$G$1,0))</f>
        <v>4.7549999999999999</v>
      </c>
      <c r="T35">
        <f t="shared" si="1"/>
        <v>23.774999999999999</v>
      </c>
      <c r="U35">
        <f t="shared" si="4"/>
        <v>3.0907499999999999</v>
      </c>
      <c r="V35">
        <f t="shared" si="5"/>
        <v>13</v>
      </c>
    </row>
    <row r="36" spans="1:22" x14ac:dyDescent="0.25">
      <c r="A36" t="s">
        <v>81</v>
      </c>
      <c r="B36">
        <v>44011</v>
      </c>
      <c r="C36" t="str">
        <f t="shared" si="2"/>
        <v>29</v>
      </c>
      <c r="D36" t="str">
        <f t="shared" si="0"/>
        <v>June</v>
      </c>
      <c r="E36" t="str">
        <f t="shared" si="3"/>
        <v>2020</v>
      </c>
      <c r="F36" t="s">
        <v>82</v>
      </c>
      <c r="G36" t="str">
        <f>VLOOKUP(F36,'Customers (2)'!A:I,2,0)</f>
        <v>Una Welberry</v>
      </c>
      <c r="H36" t="str">
        <f>VLOOKUP(F36,'Customers (2)'!A:I,3,0)</f>
        <v>uwelberryy@ebay.co.uk</v>
      </c>
      <c r="I36" t="str">
        <f>VLOOKUP(F36,'Customers (2)'!A:I,4,0)</f>
        <v>+44 (392) 503-8132</v>
      </c>
      <c r="J36" t="str">
        <f>VLOOKUP(F36,'Customers (2)'!A:I,6,0)</f>
        <v>Upton</v>
      </c>
      <c r="K36" t="str">
        <f>VLOOKUP(F36,'Customers (2)'!A:I,7,0)</f>
        <v>United Kingdom</v>
      </c>
      <c r="L36" t="str">
        <f>VLOOKUP(F36,'Customers (2)'!A:I,9,0)</f>
        <v>Yes</v>
      </c>
      <c r="M36" t="str">
        <f>VLOOKUP(N36,'Products (2)'!A:G,2,0)</f>
        <v>Liberica</v>
      </c>
      <c r="N36" t="s">
        <v>83</v>
      </c>
      <c r="O36" t="str">
        <f>VLOOKUP(N36,'Products (2)'!A:G,3,0)</f>
        <v>Light</v>
      </c>
      <c r="P36">
        <f>VLOOKUP(N36,'Products (2)'!A:G,7,0)</f>
        <v>1.2363</v>
      </c>
      <c r="Q36">
        <v>6</v>
      </c>
      <c r="R36">
        <f>INDEX([1]products!$A$1:$G$49,MATCH([1]orders!$D36,[1]products!$A$1:$A$49,0),MATCH([1]orders!K$1,[1]products!$A$1:$G$1,0))</f>
        <v>0.5</v>
      </c>
      <c r="S36">
        <f>INDEX([1]products!$A$1:$G$49,MATCH([1]orders!$D36,[1]products!$A$1:$A$49,0),MATCH([1]orders!L$1,[1]products!$A$1:$G$1,0))</f>
        <v>9.51</v>
      </c>
      <c r="T36">
        <f t="shared" si="1"/>
        <v>57.06</v>
      </c>
      <c r="U36">
        <f t="shared" si="4"/>
        <v>7.4177999999999997</v>
      </c>
      <c r="V36">
        <f t="shared" si="5"/>
        <v>12.999999999999998</v>
      </c>
    </row>
    <row r="37" spans="1:22" x14ac:dyDescent="0.25">
      <c r="A37" t="s">
        <v>84</v>
      </c>
      <c r="B37">
        <v>44348</v>
      </c>
      <c r="C37" t="str">
        <f t="shared" si="2"/>
        <v>01</v>
      </c>
      <c r="D37" t="str">
        <f t="shared" si="0"/>
        <v>June</v>
      </c>
      <c r="E37" t="str">
        <f t="shared" si="3"/>
        <v>2021</v>
      </c>
      <c r="F37" t="s">
        <v>85</v>
      </c>
      <c r="G37" t="str">
        <f>VLOOKUP(F37,'Customers (2)'!A:I,2,0)</f>
        <v>Faber Eilhart</v>
      </c>
      <c r="H37" t="str">
        <f>VLOOKUP(F37,'Customers (2)'!A:I,3,0)</f>
        <v>feilhartz@who.int</v>
      </c>
      <c r="I37" t="str">
        <f>VLOOKUP(F37,'Customers (2)'!A:I,4,0)</f>
        <v>+1 (304) 510-6095</v>
      </c>
      <c r="J37" t="str">
        <f>VLOOKUP(F37,'Customers (2)'!A:I,6,0)</f>
        <v>Charleston</v>
      </c>
      <c r="K37" t="str">
        <f>VLOOKUP(F37,'Customers (2)'!A:I,7,0)</f>
        <v>United States</v>
      </c>
      <c r="L37" t="str">
        <f>VLOOKUP(F37,'Customers (2)'!A:I,9,0)</f>
        <v>No</v>
      </c>
      <c r="M37" t="str">
        <f>VLOOKUP(N37,'Products (2)'!A:G,2,0)</f>
        <v>Arabica</v>
      </c>
      <c r="N37" t="s">
        <v>72</v>
      </c>
      <c r="O37" t="str">
        <f>VLOOKUP(N37,'Products (2)'!A:G,3,0)</f>
        <v>Dark</v>
      </c>
      <c r="P37">
        <f>VLOOKUP(N37,'Products (2)'!A:G,7,0)</f>
        <v>0.5373</v>
      </c>
      <c r="Q37">
        <v>6</v>
      </c>
      <c r="R37">
        <f>INDEX([1]products!$A$1:$G$49,MATCH([1]orders!$D37,[1]products!$A$1:$A$49,0),MATCH([1]orders!K$1,[1]products!$A$1:$G$1,0))</f>
        <v>0.5</v>
      </c>
      <c r="S37">
        <f>INDEX([1]products!$A$1:$G$49,MATCH([1]orders!$D37,[1]products!$A$1:$A$49,0),MATCH([1]orders!L$1,[1]products!$A$1:$G$1,0))</f>
        <v>5.97</v>
      </c>
      <c r="T37">
        <f t="shared" si="1"/>
        <v>35.82</v>
      </c>
      <c r="U37">
        <f t="shared" si="4"/>
        <v>3.2237999999999998</v>
      </c>
      <c r="V37">
        <f t="shared" si="5"/>
        <v>9</v>
      </c>
    </row>
    <row r="38" spans="1:22" x14ac:dyDescent="0.25">
      <c r="A38" t="s">
        <v>86</v>
      </c>
      <c r="B38">
        <v>44233</v>
      </c>
      <c r="C38" t="str">
        <f t="shared" si="2"/>
        <v>06</v>
      </c>
      <c r="D38" t="str">
        <f t="shared" si="0"/>
        <v>February</v>
      </c>
      <c r="E38" t="str">
        <f t="shared" si="3"/>
        <v>2021</v>
      </c>
      <c r="F38" t="s">
        <v>87</v>
      </c>
      <c r="G38" t="str">
        <f>VLOOKUP(F38,'Customers (2)'!A:I,2,0)</f>
        <v>Zorina Ponting</v>
      </c>
      <c r="H38" t="str">
        <f>VLOOKUP(F38,'Customers (2)'!A:I,3,0)</f>
        <v>zponting10@altervista.org</v>
      </c>
      <c r="I38" t="str">
        <f>VLOOKUP(F38,'Customers (2)'!A:I,4,0)</f>
        <v>+1 (501) 172-1476</v>
      </c>
      <c r="J38" t="str">
        <f>VLOOKUP(F38,'Customers (2)'!A:I,6,0)</f>
        <v>Little Rock</v>
      </c>
      <c r="K38" t="str">
        <f>VLOOKUP(F38,'Customers (2)'!A:I,7,0)</f>
        <v>United States</v>
      </c>
      <c r="L38" t="str">
        <f>VLOOKUP(F38,'Customers (2)'!A:I,9,0)</f>
        <v>No</v>
      </c>
      <c r="M38" t="str">
        <f>VLOOKUP(N38,'Products (2)'!A:G,2,0)</f>
        <v>Liberica</v>
      </c>
      <c r="N38" t="s">
        <v>77</v>
      </c>
      <c r="O38" t="str">
        <f>VLOOKUP(N38,'Products (2)'!A:G,3,0)</f>
        <v>Medium</v>
      </c>
      <c r="P38">
        <f>VLOOKUP(N38,'Products (2)'!A:G,7,0)</f>
        <v>0.56745000000000001</v>
      </c>
      <c r="Q38">
        <v>2</v>
      </c>
      <c r="R38">
        <f>INDEX([1]products!$A$1:$G$49,MATCH([1]orders!$D38,[1]products!$A$1:$A$49,0),MATCH([1]orders!K$1,[1]products!$A$1:$G$1,0))</f>
        <v>0.2</v>
      </c>
      <c r="S38">
        <f>INDEX([1]products!$A$1:$G$49,MATCH([1]orders!$D38,[1]products!$A$1:$A$49,0),MATCH([1]orders!L$1,[1]products!$A$1:$G$1,0))</f>
        <v>4.3650000000000002</v>
      </c>
      <c r="T38">
        <f t="shared" si="1"/>
        <v>8.73</v>
      </c>
      <c r="U38">
        <f t="shared" si="4"/>
        <v>1.1349</v>
      </c>
      <c r="V38">
        <f t="shared" si="5"/>
        <v>13</v>
      </c>
    </row>
    <row r="39" spans="1:22" x14ac:dyDescent="0.25">
      <c r="A39" t="s">
        <v>88</v>
      </c>
      <c r="B39">
        <v>43580</v>
      </c>
      <c r="C39" t="str">
        <f t="shared" si="2"/>
        <v>25</v>
      </c>
      <c r="D39" t="str">
        <f t="shared" si="0"/>
        <v>April</v>
      </c>
      <c r="E39" t="str">
        <f t="shared" si="3"/>
        <v>2019</v>
      </c>
      <c r="F39" t="s">
        <v>89</v>
      </c>
      <c r="G39" t="str">
        <f>VLOOKUP(F39,'Customers (2)'!A:I,2,0)</f>
        <v>Silvio Strase</v>
      </c>
      <c r="H39" t="str">
        <f>VLOOKUP(F39,'Customers (2)'!A:I,3,0)</f>
        <v>sstrase11@booking.com</v>
      </c>
      <c r="I39" t="str">
        <f>VLOOKUP(F39,'Customers (2)'!A:I,4,0)</f>
        <v>+1 (303) 579-8015</v>
      </c>
      <c r="J39" t="str">
        <f>VLOOKUP(F39,'Customers (2)'!A:I,6,0)</f>
        <v>Denver</v>
      </c>
      <c r="K39" t="str">
        <f>VLOOKUP(F39,'Customers (2)'!A:I,7,0)</f>
        <v>United States</v>
      </c>
      <c r="L39" t="str">
        <f>VLOOKUP(F39,'Customers (2)'!A:I,9,0)</f>
        <v>No</v>
      </c>
      <c r="M39" t="str">
        <f>VLOOKUP(N39,'Products (2)'!A:G,2,0)</f>
        <v>Liberica</v>
      </c>
      <c r="N39" t="s">
        <v>83</v>
      </c>
      <c r="O39" t="str">
        <f>VLOOKUP(N39,'Products (2)'!A:G,3,0)</f>
        <v>Light</v>
      </c>
      <c r="P39">
        <f>VLOOKUP(N39,'Products (2)'!A:G,7,0)</f>
        <v>1.2363</v>
      </c>
      <c r="Q39">
        <v>3</v>
      </c>
      <c r="R39">
        <f>INDEX([1]products!$A$1:$G$49,MATCH([1]orders!$D39,[1]products!$A$1:$A$49,0),MATCH([1]orders!K$1,[1]products!$A$1:$G$1,0))</f>
        <v>0.5</v>
      </c>
      <c r="S39">
        <f>INDEX([1]products!$A$1:$G$49,MATCH([1]orders!$D39,[1]products!$A$1:$A$49,0),MATCH([1]orders!L$1,[1]products!$A$1:$G$1,0))</f>
        <v>9.51</v>
      </c>
      <c r="T39">
        <f t="shared" si="1"/>
        <v>28.53</v>
      </c>
      <c r="U39">
        <f t="shared" si="4"/>
        <v>3.7088999999999999</v>
      </c>
      <c r="V39">
        <f t="shared" si="5"/>
        <v>12.999999999999998</v>
      </c>
    </row>
    <row r="40" spans="1:22" x14ac:dyDescent="0.25">
      <c r="A40" t="s">
        <v>90</v>
      </c>
      <c r="B40">
        <v>43946</v>
      </c>
      <c r="C40" t="str">
        <f t="shared" si="2"/>
        <v>25</v>
      </c>
      <c r="D40" t="str">
        <f t="shared" si="0"/>
        <v>April</v>
      </c>
      <c r="E40" t="str">
        <f t="shared" si="3"/>
        <v>2020</v>
      </c>
      <c r="F40" t="s">
        <v>91</v>
      </c>
      <c r="G40" t="str">
        <f>VLOOKUP(F40,'Customers (2)'!A:I,2,0)</f>
        <v>Dorie de la Tremoille</v>
      </c>
      <c r="H40" t="str">
        <f>VLOOKUP(F40,'Customers (2)'!A:I,3,0)</f>
        <v>dde12@unesco.org</v>
      </c>
      <c r="I40" t="str">
        <f>VLOOKUP(F40,'Customers (2)'!A:I,4,0)</f>
        <v>+1 (612) 492-5160</v>
      </c>
      <c r="J40" t="str">
        <f>VLOOKUP(F40,'Customers (2)'!A:I,6,0)</f>
        <v>Minneapolis</v>
      </c>
      <c r="K40" t="str">
        <f>VLOOKUP(F40,'Customers (2)'!A:I,7,0)</f>
        <v>United States</v>
      </c>
      <c r="L40" t="str">
        <f>VLOOKUP(F40,'Customers (2)'!A:I,9,0)</f>
        <v>No</v>
      </c>
      <c r="M40" t="str">
        <f>VLOOKUP(N40,'Products (2)'!A:G,2,0)</f>
        <v>Robusta</v>
      </c>
      <c r="N40" t="s">
        <v>41</v>
      </c>
      <c r="O40" t="str">
        <f>VLOOKUP(N40,'Products (2)'!A:G,3,0)</f>
        <v>Medium</v>
      </c>
      <c r="P40">
        <f>VLOOKUP(N40,'Products (2)'!A:G,7,0)</f>
        <v>1.3730999999999998</v>
      </c>
      <c r="Q40">
        <v>5</v>
      </c>
      <c r="R40">
        <f>INDEX([1]products!$A$1:$G$49,MATCH([1]orders!$D40,[1]products!$A$1:$A$49,0),MATCH([1]orders!K$1,[1]products!$A$1:$G$1,0))</f>
        <v>2.5</v>
      </c>
      <c r="S40">
        <f>INDEX([1]products!$A$1:$G$49,MATCH([1]orders!$D40,[1]products!$A$1:$A$49,0),MATCH([1]orders!L$1,[1]products!$A$1:$G$1,0))</f>
        <v>22.884999999999998</v>
      </c>
      <c r="T40">
        <f t="shared" si="1"/>
        <v>114.42499999999998</v>
      </c>
      <c r="U40">
        <f t="shared" si="4"/>
        <v>6.865499999999999</v>
      </c>
      <c r="V40">
        <f t="shared" si="5"/>
        <v>6</v>
      </c>
    </row>
    <row r="41" spans="1:22" x14ac:dyDescent="0.25">
      <c r="A41" t="s">
        <v>92</v>
      </c>
      <c r="B41">
        <v>44524</v>
      </c>
      <c r="C41" t="str">
        <f t="shared" si="2"/>
        <v>24</v>
      </c>
      <c r="D41" t="str">
        <f t="shared" si="0"/>
        <v>November</v>
      </c>
      <c r="E41" t="str">
        <f t="shared" si="3"/>
        <v>2021</v>
      </c>
      <c r="F41" t="s">
        <v>93</v>
      </c>
      <c r="G41" t="str">
        <f>VLOOKUP(F41,'Customers (2)'!A:I,2,0)</f>
        <v>Hy Zanetto</v>
      </c>
      <c r="H41">
        <f>VLOOKUP(F41,'Customers (2)'!A:I,3,0)</f>
        <v>0</v>
      </c>
      <c r="I41">
        <f>VLOOKUP(F41,'Customers (2)'!A:I,4,0)</f>
        <v>0</v>
      </c>
      <c r="J41" t="str">
        <f>VLOOKUP(F41,'Customers (2)'!A:I,6,0)</f>
        <v>Tucson</v>
      </c>
      <c r="K41" t="str">
        <f>VLOOKUP(F41,'Customers (2)'!A:I,7,0)</f>
        <v>United States</v>
      </c>
      <c r="L41" t="str">
        <f>VLOOKUP(F41,'Customers (2)'!A:I,9,0)</f>
        <v>Yes</v>
      </c>
      <c r="M41" t="str">
        <f>VLOOKUP(N41,'Products (2)'!A:G,2,0)</f>
        <v>Robusta</v>
      </c>
      <c r="N41" t="s">
        <v>2</v>
      </c>
      <c r="O41" t="str">
        <f>VLOOKUP(N41,'Products (2)'!A:G,3,0)</f>
        <v>Medium</v>
      </c>
      <c r="P41">
        <f>VLOOKUP(N41,'Products (2)'!A:G,7,0)</f>
        <v>0.59699999999999998</v>
      </c>
      <c r="Q41">
        <v>6</v>
      </c>
      <c r="R41">
        <f>INDEX([1]products!$A$1:$G$49,MATCH([1]orders!$D41,[1]products!$A$1:$A$49,0),MATCH([1]orders!K$1,[1]products!$A$1:$G$1,0))</f>
        <v>1</v>
      </c>
      <c r="S41">
        <f>INDEX([1]products!$A$1:$G$49,MATCH([1]orders!$D41,[1]products!$A$1:$A$49,0),MATCH([1]orders!L$1,[1]products!$A$1:$G$1,0))</f>
        <v>9.9499999999999993</v>
      </c>
      <c r="T41">
        <f t="shared" si="1"/>
        <v>59.699999999999996</v>
      </c>
      <c r="U41">
        <f t="shared" si="4"/>
        <v>3.5819999999999999</v>
      </c>
      <c r="V41">
        <f t="shared" si="5"/>
        <v>6.0000000000000009</v>
      </c>
    </row>
    <row r="42" spans="1:22" x14ac:dyDescent="0.25">
      <c r="A42" t="s">
        <v>94</v>
      </c>
      <c r="B42">
        <v>44305</v>
      </c>
      <c r="C42" t="str">
        <f t="shared" si="2"/>
        <v>19</v>
      </c>
      <c r="D42" t="str">
        <f t="shared" si="0"/>
        <v>April</v>
      </c>
      <c r="E42" t="str">
        <f t="shared" si="3"/>
        <v>2021</v>
      </c>
      <c r="F42" t="s">
        <v>95</v>
      </c>
      <c r="G42" t="str">
        <f>VLOOKUP(F42,'Customers (2)'!A:I,2,0)</f>
        <v>Jessica McNess</v>
      </c>
      <c r="H42">
        <f>VLOOKUP(F42,'Customers (2)'!A:I,3,0)</f>
        <v>0</v>
      </c>
      <c r="I42" t="str">
        <f>VLOOKUP(F42,'Customers (2)'!A:I,4,0)</f>
        <v>+1 (504) 545-1478</v>
      </c>
      <c r="J42" t="str">
        <f>VLOOKUP(F42,'Customers (2)'!A:I,6,0)</f>
        <v>New Orleans</v>
      </c>
      <c r="K42" t="str">
        <f>VLOOKUP(F42,'Customers (2)'!A:I,7,0)</f>
        <v>United States</v>
      </c>
      <c r="L42" t="str">
        <f>VLOOKUP(F42,'Customers (2)'!A:I,9,0)</f>
        <v>No</v>
      </c>
      <c r="M42" t="str">
        <f>VLOOKUP(N42,'Products (2)'!A:G,2,0)</f>
        <v>Liberica</v>
      </c>
      <c r="N42" t="s">
        <v>96</v>
      </c>
      <c r="O42" t="str">
        <f>VLOOKUP(N42,'Products (2)'!A:G,3,0)</f>
        <v>Medium</v>
      </c>
      <c r="P42">
        <f>VLOOKUP(N42,'Products (2)'!A:G,7,0)</f>
        <v>1.8915000000000002</v>
      </c>
      <c r="Q42">
        <v>3</v>
      </c>
      <c r="R42">
        <f>INDEX([1]products!$A$1:$G$49,MATCH([1]orders!$D42,[1]products!$A$1:$A$49,0),MATCH([1]orders!K$1,[1]products!$A$1:$G$1,0))</f>
        <v>1</v>
      </c>
      <c r="S42">
        <f>INDEX([1]products!$A$1:$G$49,MATCH([1]orders!$D42,[1]products!$A$1:$A$49,0),MATCH([1]orders!L$1,[1]products!$A$1:$G$1,0))</f>
        <v>14.55</v>
      </c>
      <c r="T42">
        <f t="shared" si="1"/>
        <v>43.650000000000006</v>
      </c>
      <c r="U42">
        <f t="shared" si="4"/>
        <v>5.6745000000000001</v>
      </c>
      <c r="V42">
        <f t="shared" si="5"/>
        <v>12.999999999999998</v>
      </c>
    </row>
    <row r="43" spans="1:22" x14ac:dyDescent="0.25">
      <c r="A43" t="s">
        <v>97</v>
      </c>
      <c r="B43">
        <v>44749</v>
      </c>
      <c r="C43" t="str">
        <f t="shared" si="2"/>
        <v>07</v>
      </c>
      <c r="D43" t="str">
        <f t="shared" si="0"/>
        <v>July</v>
      </c>
      <c r="E43" t="str">
        <f t="shared" si="3"/>
        <v>2022</v>
      </c>
      <c r="F43" t="s">
        <v>98</v>
      </c>
      <c r="G43" t="str">
        <f>VLOOKUP(F43,'Customers (2)'!A:I,2,0)</f>
        <v>Lorenzo Yeoland</v>
      </c>
      <c r="H43" t="str">
        <f>VLOOKUP(F43,'Customers (2)'!A:I,3,0)</f>
        <v>lyeoland15@pbs.org</v>
      </c>
      <c r="I43" t="str">
        <f>VLOOKUP(F43,'Customers (2)'!A:I,4,0)</f>
        <v>+1 (860) 576-2887</v>
      </c>
      <c r="J43" t="str">
        <f>VLOOKUP(F43,'Customers (2)'!A:I,6,0)</f>
        <v>Hartford</v>
      </c>
      <c r="K43" t="str">
        <f>VLOOKUP(F43,'Customers (2)'!A:I,7,0)</f>
        <v>United States</v>
      </c>
      <c r="L43" t="str">
        <f>VLOOKUP(F43,'Customers (2)'!A:I,9,0)</f>
        <v>Yes</v>
      </c>
      <c r="M43" t="str">
        <f>VLOOKUP(N43,'Products (2)'!A:G,2,0)</f>
        <v>Excelsa</v>
      </c>
      <c r="N43" t="s">
        <v>51</v>
      </c>
      <c r="O43" t="str">
        <f>VLOOKUP(N43,'Products (2)'!A:G,3,0)</f>
        <v>Dark</v>
      </c>
      <c r="P43">
        <f>VLOOKUP(N43,'Products (2)'!A:G,7,0)</f>
        <v>0.40095000000000003</v>
      </c>
      <c r="Q43">
        <v>2</v>
      </c>
      <c r="R43">
        <f>INDEX([1]products!$A$1:$G$49,MATCH([1]orders!$D43,[1]products!$A$1:$A$49,0),MATCH([1]orders!K$1,[1]products!$A$1:$G$1,0))</f>
        <v>0.2</v>
      </c>
      <c r="S43">
        <f>INDEX([1]products!$A$1:$G$49,MATCH([1]orders!$D43,[1]products!$A$1:$A$49,0),MATCH([1]orders!L$1,[1]products!$A$1:$G$1,0))</f>
        <v>3.645</v>
      </c>
      <c r="T43">
        <f t="shared" si="1"/>
        <v>7.29</v>
      </c>
      <c r="U43">
        <f t="shared" si="4"/>
        <v>0.80190000000000006</v>
      </c>
      <c r="V43">
        <f t="shared" si="5"/>
        <v>11</v>
      </c>
    </row>
    <row r="44" spans="1:22" x14ac:dyDescent="0.25">
      <c r="A44" t="s">
        <v>99</v>
      </c>
      <c r="B44">
        <v>43607</v>
      </c>
      <c r="C44" t="str">
        <f t="shared" si="2"/>
        <v>22</v>
      </c>
      <c r="D44" t="str">
        <f t="shared" si="0"/>
        <v>May</v>
      </c>
      <c r="E44" t="str">
        <f t="shared" si="3"/>
        <v>2019</v>
      </c>
      <c r="F44" t="s">
        <v>100</v>
      </c>
      <c r="G44" t="str">
        <f>VLOOKUP(F44,'Customers (2)'!A:I,2,0)</f>
        <v>Abigail Tolworthy</v>
      </c>
      <c r="H44" t="str">
        <f>VLOOKUP(F44,'Customers (2)'!A:I,3,0)</f>
        <v>atolworthy16@toplist.cz</v>
      </c>
      <c r="I44" t="str">
        <f>VLOOKUP(F44,'Customers (2)'!A:I,4,0)</f>
        <v>+1 (801) 722-4425</v>
      </c>
      <c r="J44" t="str">
        <f>VLOOKUP(F44,'Customers (2)'!A:I,6,0)</f>
        <v>Ogden</v>
      </c>
      <c r="K44" t="str">
        <f>VLOOKUP(F44,'Customers (2)'!A:I,7,0)</f>
        <v>United States</v>
      </c>
      <c r="L44" t="str">
        <f>VLOOKUP(F44,'Customers (2)'!A:I,9,0)</f>
        <v>Yes</v>
      </c>
      <c r="M44" t="str">
        <f>VLOOKUP(N44,'Products (2)'!A:G,2,0)</f>
        <v>Robusta</v>
      </c>
      <c r="N44" t="s">
        <v>101</v>
      </c>
      <c r="O44" t="str">
        <f>VLOOKUP(N44,'Products (2)'!A:G,3,0)</f>
        <v>Dark</v>
      </c>
      <c r="P44">
        <f>VLOOKUP(N44,'Products (2)'!A:G,7,0)</f>
        <v>0.16109999999999997</v>
      </c>
      <c r="Q44">
        <v>3</v>
      </c>
      <c r="R44">
        <f>INDEX([1]products!$A$1:$G$49,MATCH([1]orders!$D44,[1]products!$A$1:$A$49,0),MATCH([1]orders!K$1,[1]products!$A$1:$G$1,0))</f>
        <v>0.2</v>
      </c>
      <c r="S44">
        <f>INDEX([1]products!$A$1:$G$49,MATCH([1]orders!$D44,[1]products!$A$1:$A$49,0),MATCH([1]orders!L$1,[1]products!$A$1:$G$1,0))</f>
        <v>2.6849999999999996</v>
      </c>
      <c r="T44">
        <f t="shared" si="1"/>
        <v>8.0549999999999997</v>
      </c>
      <c r="U44">
        <f t="shared" si="4"/>
        <v>0.4832999999999999</v>
      </c>
      <c r="V44">
        <f t="shared" si="5"/>
        <v>5.9999999999999991</v>
      </c>
    </row>
    <row r="45" spans="1:22" x14ac:dyDescent="0.25">
      <c r="A45" t="s">
        <v>102</v>
      </c>
      <c r="B45">
        <v>44473</v>
      </c>
      <c r="C45" t="str">
        <f t="shared" si="2"/>
        <v>04</v>
      </c>
      <c r="D45" t="str">
        <f t="shared" si="0"/>
        <v>October</v>
      </c>
      <c r="E45" t="str">
        <f t="shared" si="3"/>
        <v>2021</v>
      </c>
      <c r="F45" t="s">
        <v>103</v>
      </c>
      <c r="G45" t="str">
        <f>VLOOKUP(F45,'Customers (2)'!A:I,2,0)</f>
        <v>Maurie Bartol</v>
      </c>
      <c r="H45">
        <f>VLOOKUP(F45,'Customers (2)'!A:I,3,0)</f>
        <v>0</v>
      </c>
      <c r="I45" t="str">
        <f>VLOOKUP(F45,'Customers (2)'!A:I,4,0)</f>
        <v>+1 (617) 493-7594</v>
      </c>
      <c r="J45" t="str">
        <f>VLOOKUP(F45,'Customers (2)'!A:I,6,0)</f>
        <v>Boston</v>
      </c>
      <c r="K45" t="str">
        <f>VLOOKUP(F45,'Customers (2)'!A:I,7,0)</f>
        <v>United States</v>
      </c>
      <c r="L45" t="str">
        <f>VLOOKUP(F45,'Customers (2)'!A:I,9,0)</f>
        <v>No</v>
      </c>
      <c r="M45" t="str">
        <f>VLOOKUP(N45,'Products (2)'!A:G,2,0)</f>
        <v>Liberica</v>
      </c>
      <c r="N45" t="s">
        <v>104</v>
      </c>
      <c r="O45" t="str">
        <f>VLOOKUP(N45,'Products (2)'!A:G,3,0)</f>
        <v>Light</v>
      </c>
      <c r="P45">
        <f>VLOOKUP(N45,'Products (2)'!A:G,7,0)</f>
        <v>4.7391499999999995</v>
      </c>
      <c r="Q45">
        <v>2</v>
      </c>
      <c r="R45">
        <f>INDEX([1]products!$A$1:$G$49,MATCH([1]orders!$D45,[1]products!$A$1:$A$49,0),MATCH([1]orders!K$1,[1]products!$A$1:$G$1,0))</f>
        <v>2.5</v>
      </c>
      <c r="S45">
        <f>INDEX([1]products!$A$1:$G$49,MATCH([1]orders!$D45,[1]products!$A$1:$A$49,0),MATCH([1]orders!L$1,[1]products!$A$1:$G$1,0))</f>
        <v>36.454999999999998</v>
      </c>
      <c r="T45">
        <f t="shared" si="1"/>
        <v>72.91</v>
      </c>
      <c r="U45">
        <f t="shared" si="4"/>
        <v>9.4782999999999991</v>
      </c>
      <c r="V45">
        <f t="shared" si="5"/>
        <v>13</v>
      </c>
    </row>
    <row r="46" spans="1:22" x14ac:dyDescent="0.25">
      <c r="A46" t="s">
        <v>105</v>
      </c>
      <c r="B46">
        <v>43932</v>
      </c>
      <c r="C46" t="str">
        <f t="shared" si="2"/>
        <v>11</v>
      </c>
      <c r="D46" t="str">
        <f t="shared" si="0"/>
        <v>April</v>
      </c>
      <c r="E46" t="str">
        <f t="shared" si="3"/>
        <v>2020</v>
      </c>
      <c r="F46" t="s">
        <v>106</v>
      </c>
      <c r="G46" t="str">
        <f>VLOOKUP(F46,'Customers (2)'!A:I,2,0)</f>
        <v>Olag Baudassi</v>
      </c>
      <c r="H46" t="str">
        <f>VLOOKUP(F46,'Customers (2)'!A:I,3,0)</f>
        <v>obaudassi18@seesaa.net</v>
      </c>
      <c r="I46" t="str">
        <f>VLOOKUP(F46,'Customers (2)'!A:I,4,0)</f>
        <v>+1 (585) 356-6251</v>
      </c>
      <c r="J46" t="str">
        <f>VLOOKUP(F46,'Customers (2)'!A:I,6,0)</f>
        <v>Rochester</v>
      </c>
      <c r="K46" t="str">
        <f>VLOOKUP(F46,'Customers (2)'!A:I,7,0)</f>
        <v>United States</v>
      </c>
      <c r="L46" t="str">
        <f>VLOOKUP(F46,'Customers (2)'!A:I,9,0)</f>
        <v>Yes</v>
      </c>
      <c r="M46" t="str">
        <f>VLOOKUP(N46,'Products (2)'!A:G,2,0)</f>
        <v>Excelsa</v>
      </c>
      <c r="N46" t="s">
        <v>3</v>
      </c>
      <c r="O46" t="str">
        <f>VLOOKUP(N46,'Products (2)'!A:G,3,0)</f>
        <v>Medium</v>
      </c>
      <c r="P46">
        <f>VLOOKUP(N46,'Products (2)'!A:G,7,0)</f>
        <v>0.90749999999999997</v>
      </c>
      <c r="Q46">
        <v>2</v>
      </c>
      <c r="R46">
        <f>INDEX([1]products!$A$1:$G$49,MATCH([1]orders!$D46,[1]products!$A$1:$A$49,0),MATCH([1]orders!K$1,[1]products!$A$1:$G$1,0))</f>
        <v>0.5</v>
      </c>
      <c r="S46">
        <f>INDEX([1]products!$A$1:$G$49,MATCH([1]orders!$D46,[1]products!$A$1:$A$49,0),MATCH([1]orders!L$1,[1]products!$A$1:$G$1,0))</f>
        <v>8.25</v>
      </c>
      <c r="T46">
        <f t="shared" si="1"/>
        <v>16.5</v>
      </c>
      <c r="U46">
        <f t="shared" si="4"/>
        <v>1.8149999999999999</v>
      </c>
      <c r="V46">
        <f t="shared" si="5"/>
        <v>11</v>
      </c>
    </row>
    <row r="47" spans="1:22" x14ac:dyDescent="0.25">
      <c r="A47" t="s">
        <v>107</v>
      </c>
      <c r="B47">
        <v>44592</v>
      </c>
      <c r="C47" t="str">
        <f t="shared" si="2"/>
        <v>31</v>
      </c>
      <c r="D47" t="str">
        <f t="shared" si="0"/>
        <v>January</v>
      </c>
      <c r="E47" t="str">
        <f t="shared" si="3"/>
        <v>2022</v>
      </c>
      <c r="F47" t="s">
        <v>108</v>
      </c>
      <c r="G47" t="str">
        <f>VLOOKUP(F47,'Customers (2)'!A:I,2,0)</f>
        <v>Petey Kingsbury</v>
      </c>
      <c r="H47" t="str">
        <f>VLOOKUP(F47,'Customers (2)'!A:I,3,0)</f>
        <v>pkingsbury19@comcast.net</v>
      </c>
      <c r="I47" t="str">
        <f>VLOOKUP(F47,'Customers (2)'!A:I,4,0)</f>
        <v>+1 (917) 705-8224</v>
      </c>
      <c r="J47" t="str">
        <f>VLOOKUP(F47,'Customers (2)'!A:I,6,0)</f>
        <v>Bronx</v>
      </c>
      <c r="K47" t="str">
        <f>VLOOKUP(F47,'Customers (2)'!A:I,7,0)</f>
        <v>United States</v>
      </c>
      <c r="L47" t="str">
        <f>VLOOKUP(F47,'Customers (2)'!A:I,9,0)</f>
        <v>No</v>
      </c>
      <c r="M47" t="str">
        <f>VLOOKUP(N47,'Products (2)'!A:G,2,0)</f>
        <v>Liberica</v>
      </c>
      <c r="N47" t="s">
        <v>109</v>
      </c>
      <c r="O47" t="str">
        <f>VLOOKUP(N47,'Products (2)'!A:G,3,0)</f>
        <v>Dark</v>
      </c>
      <c r="P47">
        <f>VLOOKUP(N47,'Products (2)'!A:G,7,0)</f>
        <v>3.8720499999999998</v>
      </c>
      <c r="Q47">
        <v>6</v>
      </c>
      <c r="R47">
        <f>INDEX([1]products!$A$1:$G$49,MATCH([1]orders!$D47,[1]products!$A$1:$A$49,0),MATCH([1]orders!K$1,[1]products!$A$1:$G$1,0))</f>
        <v>2.5</v>
      </c>
      <c r="S47">
        <f>INDEX([1]products!$A$1:$G$49,MATCH([1]orders!$D47,[1]products!$A$1:$A$49,0),MATCH([1]orders!L$1,[1]products!$A$1:$G$1,0))</f>
        <v>29.784999999999997</v>
      </c>
      <c r="T47">
        <f t="shared" si="1"/>
        <v>178.70999999999998</v>
      </c>
      <c r="U47">
        <f t="shared" si="4"/>
        <v>23.232299999999999</v>
      </c>
      <c r="V47">
        <f t="shared" si="5"/>
        <v>13</v>
      </c>
    </row>
    <row r="48" spans="1:22" x14ac:dyDescent="0.25">
      <c r="A48" t="s">
        <v>110</v>
      </c>
      <c r="B48">
        <v>43776</v>
      </c>
      <c r="C48" t="str">
        <f t="shared" si="2"/>
        <v>07</v>
      </c>
      <c r="D48" t="str">
        <f t="shared" si="0"/>
        <v>November</v>
      </c>
      <c r="E48" t="str">
        <f t="shared" si="3"/>
        <v>2019</v>
      </c>
      <c r="F48" t="s">
        <v>111</v>
      </c>
      <c r="G48" t="str">
        <f>VLOOKUP(F48,'Customers (2)'!A:I,2,0)</f>
        <v>Donna Baskeyfied</v>
      </c>
      <c r="H48">
        <f>VLOOKUP(F48,'Customers (2)'!A:I,3,0)</f>
        <v>0</v>
      </c>
      <c r="I48" t="str">
        <f>VLOOKUP(F48,'Customers (2)'!A:I,4,0)</f>
        <v>+1 (205) 923-1460</v>
      </c>
      <c r="J48" t="str">
        <f>VLOOKUP(F48,'Customers (2)'!A:I,6,0)</f>
        <v>Birmingham</v>
      </c>
      <c r="K48" t="str">
        <f>VLOOKUP(F48,'Customers (2)'!A:I,7,0)</f>
        <v>United States</v>
      </c>
      <c r="L48" t="str">
        <f>VLOOKUP(F48,'Customers (2)'!A:I,9,0)</f>
        <v>Yes</v>
      </c>
      <c r="M48" t="str">
        <f>VLOOKUP(N48,'Products (2)'!A:G,2,0)</f>
        <v>Excelsa</v>
      </c>
      <c r="N48" t="s">
        <v>112</v>
      </c>
      <c r="O48" t="str">
        <f>VLOOKUP(N48,'Products (2)'!A:G,3,0)</f>
        <v>Medium</v>
      </c>
      <c r="P48">
        <f>VLOOKUP(N48,'Products (2)'!A:G,7,0)</f>
        <v>3.4787499999999998</v>
      </c>
      <c r="Q48">
        <v>2</v>
      </c>
      <c r="R48">
        <f>INDEX([1]products!$A$1:$G$49,MATCH([1]orders!$D48,[1]products!$A$1:$A$49,0),MATCH([1]orders!K$1,[1]products!$A$1:$G$1,0))</f>
        <v>2.5</v>
      </c>
      <c r="S48">
        <f>INDEX([1]products!$A$1:$G$49,MATCH([1]orders!$D48,[1]products!$A$1:$A$49,0),MATCH([1]orders!L$1,[1]products!$A$1:$G$1,0))</f>
        <v>31.624999999999996</v>
      </c>
      <c r="T48">
        <f t="shared" si="1"/>
        <v>63.249999999999993</v>
      </c>
      <c r="U48">
        <f t="shared" si="4"/>
        <v>6.9574999999999996</v>
      </c>
      <c r="V48">
        <f t="shared" si="5"/>
        <v>11</v>
      </c>
    </row>
    <row r="49" spans="1:22" x14ac:dyDescent="0.25">
      <c r="A49" t="s">
        <v>113</v>
      </c>
      <c r="B49">
        <v>43644</v>
      </c>
      <c r="C49" t="str">
        <f t="shared" si="2"/>
        <v>28</v>
      </c>
      <c r="D49" t="str">
        <f t="shared" si="0"/>
        <v>June</v>
      </c>
      <c r="E49" t="str">
        <f t="shared" si="3"/>
        <v>2019</v>
      </c>
      <c r="F49" t="s">
        <v>114</v>
      </c>
      <c r="G49" t="str">
        <f>VLOOKUP(F49,'Customers (2)'!A:I,2,0)</f>
        <v>Arda Curley</v>
      </c>
      <c r="H49" t="str">
        <f>VLOOKUP(F49,'Customers (2)'!A:I,3,0)</f>
        <v>acurley1b@hao123.com</v>
      </c>
      <c r="I49" t="str">
        <f>VLOOKUP(F49,'Customers (2)'!A:I,4,0)</f>
        <v>+1 (760) 840-3808</v>
      </c>
      <c r="J49" t="str">
        <f>VLOOKUP(F49,'Customers (2)'!A:I,6,0)</f>
        <v>San Bernardino</v>
      </c>
      <c r="K49" t="str">
        <f>VLOOKUP(F49,'Customers (2)'!A:I,7,0)</f>
        <v>United States</v>
      </c>
      <c r="L49" t="str">
        <f>VLOOKUP(F49,'Customers (2)'!A:I,9,0)</f>
        <v>Yes</v>
      </c>
      <c r="M49" t="str">
        <f>VLOOKUP(N49,'Products (2)'!A:G,2,0)</f>
        <v>Arabica</v>
      </c>
      <c r="N49" t="s">
        <v>115</v>
      </c>
      <c r="O49" t="str">
        <f>VLOOKUP(N49,'Products (2)'!A:G,3,0)</f>
        <v>Light</v>
      </c>
      <c r="P49">
        <f>VLOOKUP(N49,'Products (2)'!A:G,7,0)</f>
        <v>0.34964999999999996</v>
      </c>
      <c r="Q49">
        <v>2</v>
      </c>
      <c r="R49">
        <f>INDEX([1]products!$A$1:$G$49,MATCH([1]orders!$D49,[1]products!$A$1:$A$49,0),MATCH([1]orders!K$1,[1]products!$A$1:$G$1,0))</f>
        <v>0.2</v>
      </c>
      <c r="S49">
        <f>INDEX([1]products!$A$1:$G$49,MATCH([1]orders!$D49,[1]products!$A$1:$A$49,0),MATCH([1]orders!L$1,[1]products!$A$1:$G$1,0))</f>
        <v>3.8849999999999998</v>
      </c>
      <c r="T49">
        <f t="shared" si="1"/>
        <v>7.77</v>
      </c>
      <c r="U49">
        <f t="shared" si="4"/>
        <v>0.69929999999999992</v>
      </c>
      <c r="V49">
        <f t="shared" si="5"/>
        <v>9</v>
      </c>
    </row>
    <row r="50" spans="1:22" x14ac:dyDescent="0.25">
      <c r="A50" t="s">
        <v>116</v>
      </c>
      <c r="B50">
        <v>44085</v>
      </c>
      <c r="C50" t="str">
        <f t="shared" si="2"/>
        <v>11</v>
      </c>
      <c r="D50" t="str">
        <f t="shared" si="0"/>
        <v>September</v>
      </c>
      <c r="E50" t="str">
        <f t="shared" si="3"/>
        <v>2020</v>
      </c>
      <c r="F50" t="s">
        <v>117</v>
      </c>
      <c r="G50" t="str">
        <f>VLOOKUP(F50,'Customers (2)'!A:I,2,0)</f>
        <v>Raynor McGilvary</v>
      </c>
      <c r="H50" t="str">
        <f>VLOOKUP(F50,'Customers (2)'!A:I,3,0)</f>
        <v>rmcgilvary1c@tamu.edu</v>
      </c>
      <c r="I50">
        <f>VLOOKUP(F50,'Customers (2)'!A:I,4,0)</f>
        <v>0</v>
      </c>
      <c r="J50" t="str">
        <f>VLOOKUP(F50,'Customers (2)'!A:I,6,0)</f>
        <v>Norfolk</v>
      </c>
      <c r="K50" t="str">
        <f>VLOOKUP(F50,'Customers (2)'!A:I,7,0)</f>
        <v>United States</v>
      </c>
      <c r="L50" t="str">
        <f>VLOOKUP(F50,'Customers (2)'!A:I,9,0)</f>
        <v>No</v>
      </c>
      <c r="M50" t="str">
        <f>VLOOKUP(N50,'Products (2)'!A:G,2,0)</f>
        <v>Arabica</v>
      </c>
      <c r="N50" t="s">
        <v>118</v>
      </c>
      <c r="O50" t="str">
        <f>VLOOKUP(N50,'Products (2)'!A:G,3,0)</f>
        <v>Dark</v>
      </c>
      <c r="P50">
        <f>VLOOKUP(N50,'Products (2)'!A:G,7,0)</f>
        <v>2.0596499999999995</v>
      </c>
      <c r="Q50">
        <v>4</v>
      </c>
      <c r="R50">
        <f>INDEX([1]products!$A$1:$G$49,MATCH([1]orders!$D50,[1]products!$A$1:$A$49,0),MATCH([1]orders!K$1,[1]products!$A$1:$G$1,0))</f>
        <v>2.5</v>
      </c>
      <c r="S50">
        <f>INDEX([1]products!$A$1:$G$49,MATCH([1]orders!$D50,[1]products!$A$1:$A$49,0),MATCH([1]orders!L$1,[1]products!$A$1:$G$1,0))</f>
        <v>22.884999999999998</v>
      </c>
      <c r="T50">
        <f t="shared" si="1"/>
        <v>91.539999999999992</v>
      </c>
      <c r="U50">
        <f t="shared" si="4"/>
        <v>8.2385999999999981</v>
      </c>
      <c r="V50">
        <f t="shared" si="5"/>
        <v>8.9999999999999982</v>
      </c>
    </row>
    <row r="51" spans="1:22" x14ac:dyDescent="0.25">
      <c r="A51" t="s">
        <v>119</v>
      </c>
      <c r="B51">
        <v>44790</v>
      </c>
      <c r="C51" t="str">
        <f t="shared" si="2"/>
        <v>17</v>
      </c>
      <c r="D51" t="str">
        <f t="shared" si="0"/>
        <v>August</v>
      </c>
      <c r="E51" t="str">
        <f t="shared" si="3"/>
        <v>2022</v>
      </c>
      <c r="F51" t="s">
        <v>120</v>
      </c>
      <c r="G51" t="str">
        <f>VLOOKUP(F51,'Customers (2)'!A:I,2,0)</f>
        <v>Isis Pikett</v>
      </c>
      <c r="H51" t="str">
        <f>VLOOKUP(F51,'Customers (2)'!A:I,3,0)</f>
        <v>ipikett1d@xinhuanet.com</v>
      </c>
      <c r="I51" t="str">
        <f>VLOOKUP(F51,'Customers (2)'!A:I,4,0)</f>
        <v>+1 (202) 871-9039</v>
      </c>
      <c r="J51" t="str">
        <f>VLOOKUP(F51,'Customers (2)'!A:I,6,0)</f>
        <v>Washington</v>
      </c>
      <c r="K51" t="str">
        <f>VLOOKUP(F51,'Customers (2)'!A:I,7,0)</f>
        <v>United States</v>
      </c>
      <c r="L51" t="str">
        <f>VLOOKUP(F51,'Customers (2)'!A:I,9,0)</f>
        <v>No</v>
      </c>
      <c r="M51" t="str">
        <f>VLOOKUP(N51,'Products (2)'!A:G,2,0)</f>
        <v>Arabica</v>
      </c>
      <c r="N51" t="s">
        <v>6</v>
      </c>
      <c r="O51" t="str">
        <f>VLOOKUP(N51,'Products (2)'!A:G,3,0)</f>
        <v>Light</v>
      </c>
      <c r="P51">
        <f>VLOOKUP(N51,'Products (2)'!A:G,7,0)</f>
        <v>1.1655</v>
      </c>
      <c r="Q51">
        <v>3</v>
      </c>
      <c r="R51">
        <f>INDEX([1]products!$A$1:$G$49,MATCH([1]orders!$D51,[1]products!$A$1:$A$49,0),MATCH([1]orders!K$1,[1]products!$A$1:$G$1,0))</f>
        <v>1</v>
      </c>
      <c r="S51">
        <f>INDEX([1]products!$A$1:$G$49,MATCH([1]orders!$D51,[1]products!$A$1:$A$49,0),MATCH([1]orders!L$1,[1]products!$A$1:$G$1,0))</f>
        <v>12.95</v>
      </c>
      <c r="T51">
        <f t="shared" si="1"/>
        <v>38.849999999999994</v>
      </c>
      <c r="U51">
        <f t="shared" si="4"/>
        <v>3.4965000000000002</v>
      </c>
      <c r="V51">
        <f t="shared" si="5"/>
        <v>9.0000000000000018</v>
      </c>
    </row>
    <row r="52" spans="1:22" x14ac:dyDescent="0.25">
      <c r="A52" t="s">
        <v>121</v>
      </c>
      <c r="B52">
        <v>44792</v>
      </c>
      <c r="C52" t="str">
        <f t="shared" si="2"/>
        <v>19</v>
      </c>
      <c r="D52" t="str">
        <f t="shared" si="0"/>
        <v>August</v>
      </c>
      <c r="E52" t="str">
        <f t="shared" si="3"/>
        <v>2022</v>
      </c>
      <c r="F52" t="s">
        <v>122</v>
      </c>
      <c r="G52" t="str">
        <f>VLOOKUP(F52,'Customers (2)'!A:I,2,0)</f>
        <v>Inger Bouldon</v>
      </c>
      <c r="H52" t="str">
        <f>VLOOKUP(F52,'Customers (2)'!A:I,3,0)</f>
        <v>ibouldon1e@gizmodo.com</v>
      </c>
      <c r="I52" t="str">
        <f>VLOOKUP(F52,'Customers (2)'!A:I,4,0)</f>
        <v>+1 (754) 391-4736</v>
      </c>
      <c r="J52" t="str">
        <f>VLOOKUP(F52,'Customers (2)'!A:I,6,0)</f>
        <v>Fort Lauderdale</v>
      </c>
      <c r="K52" t="str">
        <f>VLOOKUP(F52,'Customers (2)'!A:I,7,0)</f>
        <v>United States</v>
      </c>
      <c r="L52" t="str">
        <f>VLOOKUP(F52,'Customers (2)'!A:I,9,0)</f>
        <v>No</v>
      </c>
      <c r="M52" t="str">
        <f>VLOOKUP(N52,'Products (2)'!A:G,2,0)</f>
        <v>Liberica</v>
      </c>
      <c r="N52" t="s">
        <v>123</v>
      </c>
      <c r="O52" t="str">
        <f>VLOOKUP(N52,'Products (2)'!A:G,3,0)</f>
        <v>Dark</v>
      </c>
      <c r="P52">
        <f>VLOOKUP(N52,'Products (2)'!A:G,7,0)</f>
        <v>1.0101</v>
      </c>
      <c r="Q52">
        <v>2</v>
      </c>
      <c r="R52">
        <f>INDEX([1]products!$A$1:$G$49,MATCH([1]orders!$D52,[1]products!$A$1:$A$49,0),MATCH([1]orders!K$1,[1]products!$A$1:$G$1,0))</f>
        <v>0.5</v>
      </c>
      <c r="S52">
        <f>INDEX([1]products!$A$1:$G$49,MATCH([1]orders!$D52,[1]products!$A$1:$A$49,0),MATCH([1]orders!L$1,[1]products!$A$1:$G$1,0))</f>
        <v>7.77</v>
      </c>
      <c r="T52">
        <f t="shared" si="1"/>
        <v>15.54</v>
      </c>
      <c r="U52">
        <f t="shared" si="4"/>
        <v>2.0202</v>
      </c>
      <c r="V52">
        <f t="shared" si="5"/>
        <v>13</v>
      </c>
    </row>
    <row r="53" spans="1:22" x14ac:dyDescent="0.25">
      <c r="A53" t="s">
        <v>124</v>
      </c>
      <c r="B53">
        <v>43600</v>
      </c>
      <c r="C53" t="str">
        <f t="shared" si="2"/>
        <v>15</v>
      </c>
      <c r="D53" t="str">
        <f t="shared" si="0"/>
        <v>May</v>
      </c>
      <c r="E53" t="str">
        <f t="shared" si="3"/>
        <v>2019</v>
      </c>
      <c r="F53" t="s">
        <v>125</v>
      </c>
      <c r="G53" t="str">
        <f>VLOOKUP(F53,'Customers (2)'!A:I,2,0)</f>
        <v>Karry Flanders</v>
      </c>
      <c r="H53" t="str">
        <f>VLOOKUP(F53,'Customers (2)'!A:I,3,0)</f>
        <v>kflanders1f@over-blog.com</v>
      </c>
      <c r="I53" t="str">
        <f>VLOOKUP(F53,'Customers (2)'!A:I,4,0)</f>
        <v>+353 (467) 720-7274</v>
      </c>
      <c r="J53" t="str">
        <f>VLOOKUP(F53,'Customers (2)'!A:I,6,0)</f>
        <v>Crumlin</v>
      </c>
      <c r="K53" t="str">
        <f>VLOOKUP(F53,'Customers (2)'!A:I,7,0)</f>
        <v>Ireland</v>
      </c>
      <c r="L53" t="str">
        <f>VLOOKUP(F53,'Customers (2)'!A:I,9,0)</f>
        <v>Yes</v>
      </c>
      <c r="M53" t="str">
        <f>VLOOKUP(N53,'Products (2)'!A:G,2,0)</f>
        <v>Liberica</v>
      </c>
      <c r="N53" t="s">
        <v>104</v>
      </c>
      <c r="O53" t="str">
        <f>VLOOKUP(N53,'Products (2)'!A:G,3,0)</f>
        <v>Light</v>
      </c>
      <c r="P53">
        <f>VLOOKUP(N53,'Products (2)'!A:G,7,0)</f>
        <v>4.7391499999999995</v>
      </c>
      <c r="Q53">
        <v>4</v>
      </c>
      <c r="R53">
        <f>INDEX([1]products!$A$1:$G$49,MATCH([1]orders!$D53,[1]products!$A$1:$A$49,0),MATCH([1]orders!K$1,[1]products!$A$1:$G$1,0))</f>
        <v>2.5</v>
      </c>
      <c r="S53">
        <f>INDEX([1]products!$A$1:$G$49,MATCH([1]orders!$D53,[1]products!$A$1:$A$49,0),MATCH([1]orders!L$1,[1]products!$A$1:$G$1,0))</f>
        <v>36.454999999999998</v>
      </c>
      <c r="T53">
        <f t="shared" si="1"/>
        <v>145.82</v>
      </c>
      <c r="U53">
        <f t="shared" si="4"/>
        <v>18.956599999999998</v>
      </c>
      <c r="V53">
        <f t="shared" si="5"/>
        <v>13</v>
      </c>
    </row>
    <row r="54" spans="1:22" x14ac:dyDescent="0.25">
      <c r="A54" t="s">
        <v>126</v>
      </c>
      <c r="B54">
        <v>43719</v>
      </c>
      <c r="C54" t="str">
        <f t="shared" si="2"/>
        <v>11</v>
      </c>
      <c r="D54" t="str">
        <f t="shared" si="0"/>
        <v>September</v>
      </c>
      <c r="E54" t="str">
        <f t="shared" si="3"/>
        <v>2019</v>
      </c>
      <c r="F54" t="s">
        <v>127</v>
      </c>
      <c r="G54" t="str">
        <f>VLOOKUP(F54,'Customers (2)'!A:I,2,0)</f>
        <v>Hartley Mattioli</v>
      </c>
      <c r="H54" t="str">
        <f>VLOOKUP(F54,'Customers (2)'!A:I,3,0)</f>
        <v>hmattioli1g@webmd.com</v>
      </c>
      <c r="I54">
        <f>VLOOKUP(F54,'Customers (2)'!A:I,4,0)</f>
        <v>0</v>
      </c>
      <c r="J54" t="str">
        <f>VLOOKUP(F54,'Customers (2)'!A:I,6,0)</f>
        <v>Kinloch</v>
      </c>
      <c r="K54" t="str">
        <f>VLOOKUP(F54,'Customers (2)'!A:I,7,0)</f>
        <v>United Kingdom</v>
      </c>
      <c r="L54" t="str">
        <f>VLOOKUP(F54,'Customers (2)'!A:I,9,0)</f>
        <v>No</v>
      </c>
      <c r="M54" t="str">
        <f>VLOOKUP(N54,'Products (2)'!A:G,2,0)</f>
        <v>Robusta</v>
      </c>
      <c r="N54" t="s">
        <v>22</v>
      </c>
      <c r="O54" t="str">
        <f>VLOOKUP(N54,'Products (2)'!A:G,3,0)</f>
        <v>Medium</v>
      </c>
      <c r="P54">
        <f>VLOOKUP(N54,'Products (2)'!A:G,7,0)</f>
        <v>0.35819999999999996</v>
      </c>
      <c r="Q54">
        <v>5</v>
      </c>
      <c r="R54">
        <f>INDEX([1]products!$A$1:$G$49,MATCH([1]orders!$D54,[1]products!$A$1:$A$49,0),MATCH([1]orders!K$1,[1]products!$A$1:$G$1,0))</f>
        <v>0.5</v>
      </c>
      <c r="S54">
        <f>INDEX([1]products!$A$1:$G$49,MATCH([1]orders!$D54,[1]products!$A$1:$A$49,0),MATCH([1]orders!L$1,[1]products!$A$1:$G$1,0))</f>
        <v>5.97</v>
      </c>
      <c r="T54">
        <f t="shared" si="1"/>
        <v>29.849999999999998</v>
      </c>
      <c r="U54">
        <f t="shared" si="4"/>
        <v>1.7909999999999999</v>
      </c>
      <c r="V54">
        <f t="shared" si="5"/>
        <v>6.0000000000000009</v>
      </c>
    </row>
    <row r="55" spans="1:22" x14ac:dyDescent="0.25">
      <c r="A55" t="s">
        <v>126</v>
      </c>
      <c r="B55">
        <v>43719</v>
      </c>
      <c r="C55" t="str">
        <f t="shared" si="2"/>
        <v>11</v>
      </c>
      <c r="D55" t="str">
        <f t="shared" si="0"/>
        <v>September</v>
      </c>
      <c r="E55" t="str">
        <f t="shared" si="3"/>
        <v>2019</v>
      </c>
      <c r="F55" t="s">
        <v>127</v>
      </c>
      <c r="G55" t="str">
        <f>VLOOKUP(F55,'Customers (2)'!A:I,2,0)</f>
        <v>Hartley Mattioli</v>
      </c>
      <c r="H55" t="str">
        <f>VLOOKUP(F55,'Customers (2)'!A:I,3,0)</f>
        <v>hmattioli1g@webmd.com</v>
      </c>
      <c r="I55">
        <f>VLOOKUP(F55,'Customers (2)'!A:I,4,0)</f>
        <v>0</v>
      </c>
      <c r="J55" t="str">
        <f>VLOOKUP(F55,'Customers (2)'!A:I,6,0)</f>
        <v>Kinloch</v>
      </c>
      <c r="K55" t="str">
        <f>VLOOKUP(F55,'Customers (2)'!A:I,7,0)</f>
        <v>United Kingdom</v>
      </c>
      <c r="L55" t="str">
        <f>VLOOKUP(F55,'Customers (2)'!A:I,9,0)</f>
        <v>No</v>
      </c>
      <c r="M55" t="str">
        <f>VLOOKUP(N55,'Products (2)'!A:G,2,0)</f>
        <v>Liberica</v>
      </c>
      <c r="N55" t="s">
        <v>104</v>
      </c>
      <c r="O55" t="str">
        <f>VLOOKUP(N55,'Products (2)'!A:G,3,0)</f>
        <v>Light</v>
      </c>
      <c r="P55">
        <f>VLOOKUP(N55,'Products (2)'!A:G,7,0)</f>
        <v>4.7391499999999995</v>
      </c>
      <c r="Q55">
        <v>2</v>
      </c>
      <c r="R55">
        <f>INDEX([1]products!$A$1:$G$49,MATCH([1]orders!$D55,[1]products!$A$1:$A$49,0),MATCH([1]orders!K$1,[1]products!$A$1:$G$1,0))</f>
        <v>2.5</v>
      </c>
      <c r="S55">
        <f>INDEX([1]products!$A$1:$G$49,MATCH([1]orders!$D55,[1]products!$A$1:$A$49,0),MATCH([1]orders!L$1,[1]products!$A$1:$G$1,0))</f>
        <v>36.454999999999998</v>
      </c>
      <c r="T55">
        <f t="shared" si="1"/>
        <v>72.91</v>
      </c>
      <c r="U55">
        <f t="shared" si="4"/>
        <v>9.4782999999999991</v>
      </c>
      <c r="V55">
        <f t="shared" si="5"/>
        <v>13</v>
      </c>
    </row>
    <row r="56" spans="1:22" x14ac:dyDescent="0.25">
      <c r="A56" t="s">
        <v>128</v>
      </c>
      <c r="B56">
        <v>44271</v>
      </c>
      <c r="C56" t="str">
        <f t="shared" si="2"/>
        <v>16</v>
      </c>
      <c r="D56" t="str">
        <f t="shared" si="0"/>
        <v>March</v>
      </c>
      <c r="E56" t="str">
        <f t="shared" si="3"/>
        <v>2021</v>
      </c>
      <c r="F56" t="s">
        <v>129</v>
      </c>
      <c r="G56" t="str">
        <f>VLOOKUP(F56,'Customers (2)'!A:I,2,0)</f>
        <v>Archambault Gillard</v>
      </c>
      <c r="H56" t="str">
        <f>VLOOKUP(F56,'Customers (2)'!A:I,3,0)</f>
        <v>agillard1i@issuu.com</v>
      </c>
      <c r="I56" t="str">
        <f>VLOOKUP(F56,'Customers (2)'!A:I,4,0)</f>
        <v>+1 (419) 663-2236</v>
      </c>
      <c r="J56" t="str">
        <f>VLOOKUP(F56,'Customers (2)'!A:I,6,0)</f>
        <v>Toledo</v>
      </c>
      <c r="K56" t="str">
        <f>VLOOKUP(F56,'Customers (2)'!A:I,7,0)</f>
        <v>United States</v>
      </c>
      <c r="L56" t="str">
        <f>VLOOKUP(F56,'Customers (2)'!A:I,9,0)</f>
        <v>No</v>
      </c>
      <c r="M56" t="str">
        <f>VLOOKUP(N56,'Products (2)'!A:G,2,0)</f>
        <v>Liberica</v>
      </c>
      <c r="N56" t="s">
        <v>96</v>
      </c>
      <c r="O56" t="str">
        <f>VLOOKUP(N56,'Products (2)'!A:G,3,0)</f>
        <v>Medium</v>
      </c>
      <c r="P56">
        <f>VLOOKUP(N56,'Products (2)'!A:G,7,0)</f>
        <v>1.8915000000000002</v>
      </c>
      <c r="Q56">
        <v>5</v>
      </c>
      <c r="R56">
        <f>INDEX([1]products!$A$1:$G$49,MATCH([1]orders!$D56,[1]products!$A$1:$A$49,0),MATCH([1]orders!K$1,[1]products!$A$1:$G$1,0))</f>
        <v>1</v>
      </c>
      <c r="S56">
        <f>INDEX([1]products!$A$1:$G$49,MATCH([1]orders!$D56,[1]products!$A$1:$A$49,0),MATCH([1]orders!L$1,[1]products!$A$1:$G$1,0))</f>
        <v>14.55</v>
      </c>
      <c r="T56">
        <f t="shared" si="1"/>
        <v>72.75</v>
      </c>
      <c r="U56">
        <f t="shared" si="4"/>
        <v>9.4575000000000014</v>
      </c>
      <c r="V56">
        <f t="shared" si="5"/>
        <v>13.000000000000004</v>
      </c>
    </row>
    <row r="57" spans="1:22" x14ac:dyDescent="0.25">
      <c r="A57" t="s">
        <v>130</v>
      </c>
      <c r="B57">
        <v>44168</v>
      </c>
      <c r="C57" t="str">
        <f t="shared" si="2"/>
        <v>03</v>
      </c>
      <c r="D57" t="str">
        <f t="shared" si="0"/>
        <v>December</v>
      </c>
      <c r="E57" t="str">
        <f t="shared" si="3"/>
        <v>2020</v>
      </c>
      <c r="F57" t="s">
        <v>131</v>
      </c>
      <c r="G57" t="str">
        <f>VLOOKUP(F57,'Customers (2)'!A:I,2,0)</f>
        <v>Salomo Cushworth</v>
      </c>
      <c r="H57">
        <f>VLOOKUP(F57,'Customers (2)'!A:I,3,0)</f>
        <v>0</v>
      </c>
      <c r="I57" t="str">
        <f>VLOOKUP(F57,'Customers (2)'!A:I,4,0)</f>
        <v>+1 (609) 409-7044</v>
      </c>
      <c r="J57" t="str">
        <f>VLOOKUP(F57,'Customers (2)'!A:I,6,0)</f>
        <v>Trenton</v>
      </c>
      <c r="K57" t="str">
        <f>VLOOKUP(F57,'Customers (2)'!A:I,7,0)</f>
        <v>United States</v>
      </c>
      <c r="L57" t="str">
        <f>VLOOKUP(F57,'Customers (2)'!A:I,9,0)</f>
        <v>No</v>
      </c>
      <c r="M57" t="str">
        <f>VLOOKUP(N57,'Products (2)'!A:G,2,0)</f>
        <v>Liberica</v>
      </c>
      <c r="N57" t="s">
        <v>132</v>
      </c>
      <c r="O57" t="str">
        <f>VLOOKUP(N57,'Products (2)'!A:G,3,0)</f>
        <v>Light</v>
      </c>
      <c r="P57">
        <f>VLOOKUP(N57,'Products (2)'!A:G,7,0)</f>
        <v>2.0605000000000002</v>
      </c>
      <c r="Q57">
        <v>3</v>
      </c>
      <c r="R57">
        <f>INDEX([1]products!$A$1:$G$49,MATCH([1]orders!$D57,[1]products!$A$1:$A$49,0),MATCH([1]orders!K$1,[1]products!$A$1:$G$1,0))</f>
        <v>1</v>
      </c>
      <c r="S57">
        <f>INDEX([1]products!$A$1:$G$49,MATCH([1]orders!$D57,[1]products!$A$1:$A$49,0),MATCH([1]orders!L$1,[1]products!$A$1:$G$1,0))</f>
        <v>15.85</v>
      </c>
      <c r="T57">
        <f t="shared" si="1"/>
        <v>47.55</v>
      </c>
      <c r="U57">
        <f t="shared" si="4"/>
        <v>6.1815000000000007</v>
      </c>
      <c r="V57">
        <f t="shared" si="5"/>
        <v>13.000000000000004</v>
      </c>
    </row>
    <row r="58" spans="1:22" x14ac:dyDescent="0.25">
      <c r="A58" t="s">
        <v>133</v>
      </c>
      <c r="B58">
        <v>43857</v>
      </c>
      <c r="C58" t="str">
        <f t="shared" si="2"/>
        <v>27</v>
      </c>
      <c r="D58" t="str">
        <f t="shared" si="0"/>
        <v>January</v>
      </c>
      <c r="E58" t="str">
        <f t="shared" si="3"/>
        <v>2020</v>
      </c>
      <c r="F58" t="s">
        <v>134</v>
      </c>
      <c r="G58" t="str">
        <f>VLOOKUP(F58,'Customers (2)'!A:I,2,0)</f>
        <v>Theda Grizard</v>
      </c>
      <c r="H58" t="str">
        <f>VLOOKUP(F58,'Customers (2)'!A:I,3,0)</f>
        <v>tgrizard1k@odnoklassniki.ru</v>
      </c>
      <c r="I58" t="str">
        <f>VLOOKUP(F58,'Customers (2)'!A:I,4,0)</f>
        <v>+1 (813) 243-2150</v>
      </c>
      <c r="J58" t="str">
        <f>VLOOKUP(F58,'Customers (2)'!A:I,6,0)</f>
        <v>Tampa</v>
      </c>
      <c r="K58" t="str">
        <f>VLOOKUP(F58,'Customers (2)'!A:I,7,0)</f>
        <v>United States</v>
      </c>
      <c r="L58" t="str">
        <f>VLOOKUP(F58,'Customers (2)'!A:I,9,0)</f>
        <v>Yes</v>
      </c>
      <c r="M58" t="str">
        <f>VLOOKUP(N58,'Products (2)'!A:G,2,0)</f>
        <v>Excelsa</v>
      </c>
      <c r="N58" t="s">
        <v>51</v>
      </c>
      <c r="O58" t="str">
        <f>VLOOKUP(N58,'Products (2)'!A:G,3,0)</f>
        <v>Dark</v>
      </c>
      <c r="P58">
        <f>VLOOKUP(N58,'Products (2)'!A:G,7,0)</f>
        <v>0.40095000000000003</v>
      </c>
      <c r="Q58">
        <v>3</v>
      </c>
      <c r="R58">
        <f>INDEX([1]products!$A$1:$G$49,MATCH([1]orders!$D58,[1]products!$A$1:$A$49,0),MATCH([1]orders!K$1,[1]products!$A$1:$G$1,0))</f>
        <v>0.2</v>
      </c>
      <c r="S58">
        <f>INDEX([1]products!$A$1:$G$49,MATCH([1]orders!$D58,[1]products!$A$1:$A$49,0),MATCH([1]orders!L$1,[1]products!$A$1:$G$1,0))</f>
        <v>3.645</v>
      </c>
      <c r="T58">
        <f t="shared" si="1"/>
        <v>10.935</v>
      </c>
      <c r="U58">
        <f t="shared" si="4"/>
        <v>1.2028500000000002</v>
      </c>
      <c r="V58">
        <f t="shared" si="5"/>
        <v>11.000000000000002</v>
      </c>
    </row>
    <row r="59" spans="1:22" x14ac:dyDescent="0.25">
      <c r="A59" t="s">
        <v>135</v>
      </c>
      <c r="B59">
        <v>44759</v>
      </c>
      <c r="C59" t="str">
        <f t="shared" si="2"/>
        <v>17</v>
      </c>
      <c r="D59" t="str">
        <f t="shared" si="0"/>
        <v>July</v>
      </c>
      <c r="E59" t="str">
        <f t="shared" si="3"/>
        <v>2022</v>
      </c>
      <c r="F59" t="s">
        <v>136</v>
      </c>
      <c r="G59" t="str">
        <f>VLOOKUP(F59,'Customers (2)'!A:I,2,0)</f>
        <v>Rozele Relton</v>
      </c>
      <c r="H59" t="str">
        <f>VLOOKUP(F59,'Customers (2)'!A:I,3,0)</f>
        <v>rrelton1l@stanford.edu</v>
      </c>
      <c r="I59" t="str">
        <f>VLOOKUP(F59,'Customers (2)'!A:I,4,0)</f>
        <v>+1 (850) 626-1181</v>
      </c>
      <c r="J59" t="str">
        <f>VLOOKUP(F59,'Customers (2)'!A:I,6,0)</f>
        <v>Pensacola</v>
      </c>
      <c r="K59" t="str">
        <f>VLOOKUP(F59,'Customers (2)'!A:I,7,0)</f>
        <v>United States</v>
      </c>
      <c r="L59" t="str">
        <f>VLOOKUP(F59,'Customers (2)'!A:I,9,0)</f>
        <v>No</v>
      </c>
      <c r="M59" t="str">
        <f>VLOOKUP(N59,'Products (2)'!A:G,2,0)</f>
        <v>Excelsa</v>
      </c>
      <c r="N59" t="s">
        <v>137</v>
      </c>
      <c r="O59" t="str">
        <f>VLOOKUP(N59,'Products (2)'!A:G,3,0)</f>
        <v>Light</v>
      </c>
      <c r="P59">
        <f>VLOOKUP(N59,'Products (2)'!A:G,7,0)</f>
        <v>1.6335</v>
      </c>
      <c r="Q59">
        <v>4</v>
      </c>
      <c r="R59">
        <f>INDEX([1]products!$A$1:$G$49,MATCH([1]orders!$D59,[1]products!$A$1:$A$49,0),MATCH([1]orders!K$1,[1]products!$A$1:$G$1,0))</f>
        <v>1</v>
      </c>
      <c r="S59">
        <f>INDEX([1]products!$A$1:$G$49,MATCH([1]orders!$D59,[1]products!$A$1:$A$49,0),MATCH([1]orders!L$1,[1]products!$A$1:$G$1,0))</f>
        <v>14.85</v>
      </c>
      <c r="T59">
        <f t="shared" si="1"/>
        <v>59.4</v>
      </c>
      <c r="U59">
        <f t="shared" si="4"/>
        <v>6.5339999999999998</v>
      </c>
      <c r="V59">
        <f t="shared" si="5"/>
        <v>11</v>
      </c>
    </row>
    <row r="60" spans="1:22" x14ac:dyDescent="0.25">
      <c r="A60" t="s">
        <v>138</v>
      </c>
      <c r="B60">
        <v>44624</v>
      </c>
      <c r="C60" t="str">
        <f t="shared" si="2"/>
        <v>04</v>
      </c>
      <c r="D60" t="str">
        <f t="shared" si="0"/>
        <v>March</v>
      </c>
      <c r="E60" t="str">
        <f t="shared" si="3"/>
        <v>2022</v>
      </c>
      <c r="F60" t="s">
        <v>139</v>
      </c>
      <c r="G60" t="str">
        <f>VLOOKUP(F60,'Customers (2)'!A:I,2,0)</f>
        <v>Willa Rolling</v>
      </c>
      <c r="H60">
        <f>VLOOKUP(F60,'Customers (2)'!A:I,3,0)</f>
        <v>0</v>
      </c>
      <c r="I60" t="str">
        <f>VLOOKUP(F60,'Customers (2)'!A:I,4,0)</f>
        <v>+1 (813) 759-3534</v>
      </c>
      <c r="J60" t="str">
        <f>VLOOKUP(F60,'Customers (2)'!A:I,6,0)</f>
        <v>Zephyrhills</v>
      </c>
      <c r="K60" t="str">
        <f>VLOOKUP(F60,'Customers (2)'!A:I,7,0)</f>
        <v>United States</v>
      </c>
      <c r="L60" t="str">
        <f>VLOOKUP(F60,'Customers (2)'!A:I,9,0)</f>
        <v>Yes</v>
      </c>
      <c r="M60" t="str">
        <f>VLOOKUP(N60,'Products (2)'!A:G,2,0)</f>
        <v>Liberica</v>
      </c>
      <c r="N60" t="s">
        <v>109</v>
      </c>
      <c r="O60" t="str">
        <f>VLOOKUP(N60,'Products (2)'!A:G,3,0)</f>
        <v>Dark</v>
      </c>
      <c r="P60">
        <f>VLOOKUP(N60,'Products (2)'!A:G,7,0)</f>
        <v>3.8720499999999998</v>
      </c>
      <c r="Q60">
        <v>3</v>
      </c>
      <c r="R60">
        <f>INDEX([1]products!$A$1:$G$49,MATCH([1]orders!$D60,[1]products!$A$1:$A$49,0),MATCH([1]orders!K$1,[1]products!$A$1:$G$1,0))</f>
        <v>2.5</v>
      </c>
      <c r="S60">
        <f>INDEX([1]products!$A$1:$G$49,MATCH([1]orders!$D60,[1]products!$A$1:$A$49,0),MATCH([1]orders!L$1,[1]products!$A$1:$G$1,0))</f>
        <v>29.784999999999997</v>
      </c>
      <c r="T60">
        <f t="shared" si="1"/>
        <v>89.35499999999999</v>
      </c>
      <c r="U60">
        <f t="shared" si="4"/>
        <v>11.616149999999999</v>
      </c>
      <c r="V60">
        <f t="shared" si="5"/>
        <v>13</v>
      </c>
    </row>
    <row r="61" spans="1:22" x14ac:dyDescent="0.25">
      <c r="A61" t="s">
        <v>140</v>
      </c>
      <c r="B61">
        <v>44537</v>
      </c>
      <c r="C61" t="str">
        <f t="shared" si="2"/>
        <v>07</v>
      </c>
      <c r="D61" t="str">
        <f t="shared" si="0"/>
        <v>December</v>
      </c>
      <c r="E61" t="str">
        <f t="shared" si="3"/>
        <v>2021</v>
      </c>
      <c r="F61" t="s">
        <v>141</v>
      </c>
      <c r="G61" t="str">
        <f>VLOOKUP(F61,'Customers (2)'!A:I,2,0)</f>
        <v>Stanislaus Gilroy</v>
      </c>
      <c r="H61" t="str">
        <f>VLOOKUP(F61,'Customers (2)'!A:I,3,0)</f>
        <v>sgilroy1n@eepurl.com</v>
      </c>
      <c r="I61">
        <f>VLOOKUP(F61,'Customers (2)'!A:I,4,0)</f>
        <v>0</v>
      </c>
      <c r="J61" t="str">
        <f>VLOOKUP(F61,'Customers (2)'!A:I,6,0)</f>
        <v>Saint Paul</v>
      </c>
      <c r="K61" t="str">
        <f>VLOOKUP(F61,'Customers (2)'!A:I,7,0)</f>
        <v>United States</v>
      </c>
      <c r="L61" t="str">
        <f>VLOOKUP(F61,'Customers (2)'!A:I,9,0)</f>
        <v>Yes</v>
      </c>
      <c r="M61" t="str">
        <f>VLOOKUP(N61,'Products (2)'!A:G,2,0)</f>
        <v>Liberica</v>
      </c>
      <c r="N61" t="s">
        <v>78</v>
      </c>
      <c r="O61" t="str">
        <f>VLOOKUP(N61,'Products (2)'!A:G,3,0)</f>
        <v>Medium</v>
      </c>
      <c r="P61">
        <f>VLOOKUP(N61,'Products (2)'!A:G,7,0)</f>
        <v>1.1349</v>
      </c>
      <c r="Q61">
        <v>3</v>
      </c>
      <c r="R61">
        <f>INDEX([1]products!$A$1:$G$49,MATCH([1]orders!$D61,[1]products!$A$1:$A$49,0),MATCH([1]orders!K$1,[1]products!$A$1:$G$1,0))</f>
        <v>0.5</v>
      </c>
      <c r="S61">
        <f>INDEX([1]products!$A$1:$G$49,MATCH([1]orders!$D61,[1]products!$A$1:$A$49,0),MATCH([1]orders!L$1,[1]products!$A$1:$G$1,0))</f>
        <v>8.73</v>
      </c>
      <c r="T61">
        <f t="shared" si="1"/>
        <v>26.19</v>
      </c>
      <c r="U61">
        <f t="shared" si="4"/>
        <v>3.4047000000000001</v>
      </c>
      <c r="V61">
        <f t="shared" si="5"/>
        <v>13</v>
      </c>
    </row>
    <row r="62" spans="1:22" x14ac:dyDescent="0.25">
      <c r="A62" t="s">
        <v>142</v>
      </c>
      <c r="B62">
        <v>44252</v>
      </c>
      <c r="C62" t="str">
        <f t="shared" si="2"/>
        <v>25</v>
      </c>
      <c r="D62" t="str">
        <f t="shared" si="0"/>
        <v>February</v>
      </c>
      <c r="E62" t="str">
        <f t="shared" si="3"/>
        <v>2021</v>
      </c>
      <c r="F62" t="s">
        <v>143</v>
      </c>
      <c r="G62" t="str">
        <f>VLOOKUP(F62,'Customers (2)'!A:I,2,0)</f>
        <v>Correy Cottingham</v>
      </c>
      <c r="H62" t="str">
        <f>VLOOKUP(F62,'Customers (2)'!A:I,3,0)</f>
        <v>ccottingham1o@wikipedia.org</v>
      </c>
      <c r="I62" t="str">
        <f>VLOOKUP(F62,'Customers (2)'!A:I,4,0)</f>
        <v>+1 (260) 764-1820</v>
      </c>
      <c r="J62" t="str">
        <f>VLOOKUP(F62,'Customers (2)'!A:I,6,0)</f>
        <v>Fort Wayne</v>
      </c>
      <c r="K62" t="str">
        <f>VLOOKUP(F62,'Customers (2)'!A:I,7,0)</f>
        <v>United States</v>
      </c>
      <c r="L62" t="str">
        <f>VLOOKUP(F62,'Customers (2)'!A:I,9,0)</f>
        <v>No</v>
      </c>
      <c r="M62" t="str">
        <f>VLOOKUP(N62,'Products (2)'!A:G,2,0)</f>
        <v>Arabica</v>
      </c>
      <c r="N62" t="s">
        <v>118</v>
      </c>
      <c r="O62" t="str">
        <f>VLOOKUP(N62,'Products (2)'!A:G,3,0)</f>
        <v>Dark</v>
      </c>
      <c r="P62">
        <f>VLOOKUP(N62,'Products (2)'!A:G,7,0)</f>
        <v>2.0596499999999995</v>
      </c>
      <c r="Q62">
        <v>5</v>
      </c>
      <c r="R62">
        <f>INDEX([1]products!$A$1:$G$49,MATCH([1]orders!$D62,[1]products!$A$1:$A$49,0),MATCH([1]orders!K$1,[1]products!$A$1:$G$1,0))</f>
        <v>2.5</v>
      </c>
      <c r="S62">
        <f>INDEX([1]products!$A$1:$G$49,MATCH([1]orders!$D62,[1]products!$A$1:$A$49,0),MATCH([1]orders!L$1,[1]products!$A$1:$G$1,0))</f>
        <v>22.884999999999998</v>
      </c>
      <c r="T62">
        <f t="shared" si="1"/>
        <v>114.42499999999998</v>
      </c>
      <c r="U62">
        <f t="shared" si="4"/>
        <v>10.298249999999998</v>
      </c>
      <c r="V62">
        <f t="shared" si="5"/>
        <v>9</v>
      </c>
    </row>
    <row r="63" spans="1:22" x14ac:dyDescent="0.25">
      <c r="A63" t="s">
        <v>144</v>
      </c>
      <c r="B63">
        <v>43521</v>
      </c>
      <c r="C63" t="str">
        <f t="shared" si="2"/>
        <v>25</v>
      </c>
      <c r="D63" t="str">
        <f t="shared" si="0"/>
        <v>February</v>
      </c>
      <c r="E63" t="str">
        <f t="shared" si="3"/>
        <v>2019</v>
      </c>
      <c r="F63" t="s">
        <v>145</v>
      </c>
      <c r="G63" t="str">
        <f>VLOOKUP(F63,'Customers (2)'!A:I,2,0)</f>
        <v>Pammi Endacott</v>
      </c>
      <c r="H63">
        <f>VLOOKUP(F63,'Customers (2)'!A:I,3,0)</f>
        <v>0</v>
      </c>
      <c r="I63" t="str">
        <f>VLOOKUP(F63,'Customers (2)'!A:I,4,0)</f>
        <v>+44 (177) 260-5076</v>
      </c>
      <c r="J63" t="str">
        <f>VLOOKUP(F63,'Customers (2)'!A:I,6,0)</f>
        <v>Wootton</v>
      </c>
      <c r="K63" t="str">
        <f>VLOOKUP(F63,'Customers (2)'!A:I,7,0)</f>
        <v>United Kingdom</v>
      </c>
      <c r="L63" t="str">
        <f>VLOOKUP(F63,'Customers (2)'!A:I,9,0)</f>
        <v>Yes</v>
      </c>
      <c r="M63" t="str">
        <f>VLOOKUP(N63,'Products (2)'!A:G,2,0)</f>
        <v>Robusta</v>
      </c>
      <c r="N63" t="s">
        <v>146</v>
      </c>
      <c r="O63" t="str">
        <f>VLOOKUP(N63,'Products (2)'!A:G,3,0)</f>
        <v>Dark</v>
      </c>
      <c r="P63">
        <f>VLOOKUP(N63,'Products (2)'!A:G,7,0)</f>
        <v>0.32219999999999993</v>
      </c>
      <c r="Q63">
        <v>5</v>
      </c>
      <c r="R63">
        <f>INDEX([1]products!$A$1:$G$49,MATCH([1]orders!$D63,[1]products!$A$1:$A$49,0),MATCH([1]orders!K$1,[1]products!$A$1:$G$1,0))</f>
        <v>0.5</v>
      </c>
      <c r="S63">
        <f>INDEX([1]products!$A$1:$G$49,MATCH([1]orders!$D63,[1]products!$A$1:$A$49,0),MATCH([1]orders!L$1,[1]products!$A$1:$G$1,0))</f>
        <v>5.3699999999999992</v>
      </c>
      <c r="T63">
        <f t="shared" si="1"/>
        <v>26.849999999999994</v>
      </c>
      <c r="U63">
        <f t="shared" si="4"/>
        <v>1.6109999999999998</v>
      </c>
      <c r="V63">
        <f t="shared" si="5"/>
        <v>6.0000000000000009</v>
      </c>
    </row>
    <row r="64" spans="1:22" x14ac:dyDescent="0.25">
      <c r="A64" t="s">
        <v>147</v>
      </c>
      <c r="B64">
        <v>43505</v>
      </c>
      <c r="C64" t="str">
        <f t="shared" si="2"/>
        <v>09</v>
      </c>
      <c r="D64" t="str">
        <f t="shared" si="0"/>
        <v>February</v>
      </c>
      <c r="E64" t="str">
        <f t="shared" si="3"/>
        <v>2019</v>
      </c>
      <c r="F64" t="s">
        <v>148</v>
      </c>
      <c r="G64" t="str">
        <f>VLOOKUP(F64,'Customers (2)'!A:I,2,0)</f>
        <v>Nona Linklater</v>
      </c>
      <c r="H64">
        <f>VLOOKUP(F64,'Customers (2)'!A:I,3,0)</f>
        <v>0</v>
      </c>
      <c r="I64" t="str">
        <f>VLOOKUP(F64,'Customers (2)'!A:I,4,0)</f>
        <v>+1 (239) 347-9766</v>
      </c>
      <c r="J64" t="str">
        <f>VLOOKUP(F64,'Customers (2)'!A:I,6,0)</f>
        <v>Naples</v>
      </c>
      <c r="K64" t="str">
        <f>VLOOKUP(F64,'Customers (2)'!A:I,7,0)</f>
        <v>United States</v>
      </c>
      <c r="L64" t="str">
        <f>VLOOKUP(F64,'Customers (2)'!A:I,9,0)</f>
        <v>Yes</v>
      </c>
      <c r="M64" t="str">
        <f>VLOOKUP(N64,'Products (2)'!A:G,2,0)</f>
        <v>Liberica</v>
      </c>
      <c r="N64" t="s">
        <v>19</v>
      </c>
      <c r="O64" t="str">
        <f>VLOOKUP(N64,'Products (2)'!A:G,3,0)</f>
        <v>Light</v>
      </c>
      <c r="P64">
        <f>VLOOKUP(N64,'Products (2)'!A:G,7,0)</f>
        <v>0.61814999999999998</v>
      </c>
      <c r="Q64">
        <v>5</v>
      </c>
      <c r="R64">
        <f>INDEX([1]products!$A$1:$G$49,MATCH([1]orders!$D64,[1]products!$A$1:$A$49,0),MATCH([1]orders!K$1,[1]products!$A$1:$G$1,0))</f>
        <v>0.2</v>
      </c>
      <c r="S64">
        <f>INDEX([1]products!$A$1:$G$49,MATCH([1]orders!$D64,[1]products!$A$1:$A$49,0),MATCH([1]orders!L$1,[1]products!$A$1:$G$1,0))</f>
        <v>4.7549999999999999</v>
      </c>
      <c r="T64">
        <f t="shared" si="1"/>
        <v>23.774999999999999</v>
      </c>
      <c r="U64">
        <f t="shared" si="4"/>
        <v>3.0907499999999999</v>
      </c>
      <c r="V64">
        <f t="shared" si="5"/>
        <v>13</v>
      </c>
    </row>
    <row r="65" spans="1:22" x14ac:dyDescent="0.25">
      <c r="A65" t="s">
        <v>149</v>
      </c>
      <c r="B65">
        <v>43868</v>
      </c>
      <c r="C65" t="str">
        <f t="shared" si="2"/>
        <v>07</v>
      </c>
      <c r="D65" t="str">
        <f t="shared" si="0"/>
        <v>February</v>
      </c>
      <c r="E65" t="str">
        <f t="shared" si="3"/>
        <v>2020</v>
      </c>
      <c r="F65" t="s">
        <v>150</v>
      </c>
      <c r="G65" t="str">
        <f>VLOOKUP(F65,'Customers (2)'!A:I,2,0)</f>
        <v>Annadiane Dykes</v>
      </c>
      <c r="H65" t="str">
        <f>VLOOKUP(F65,'Customers (2)'!A:I,3,0)</f>
        <v>adykes1r@eventbrite.com</v>
      </c>
      <c r="I65" t="str">
        <f>VLOOKUP(F65,'Customers (2)'!A:I,4,0)</f>
        <v>+1 (312) 111-6203</v>
      </c>
      <c r="J65" t="str">
        <f>VLOOKUP(F65,'Customers (2)'!A:I,6,0)</f>
        <v>Chicago</v>
      </c>
      <c r="K65" t="str">
        <f>VLOOKUP(F65,'Customers (2)'!A:I,7,0)</f>
        <v>United States</v>
      </c>
      <c r="L65" t="str">
        <f>VLOOKUP(F65,'Customers (2)'!A:I,9,0)</f>
        <v>No</v>
      </c>
      <c r="M65" t="str">
        <f>VLOOKUP(N65,'Products (2)'!A:G,2,0)</f>
        <v>Arabica</v>
      </c>
      <c r="N65" t="s">
        <v>67</v>
      </c>
      <c r="O65" t="str">
        <f>VLOOKUP(N65,'Products (2)'!A:G,3,0)</f>
        <v>Medium</v>
      </c>
      <c r="P65">
        <f>VLOOKUP(N65,'Products (2)'!A:G,7,0)</f>
        <v>0.60749999999999993</v>
      </c>
      <c r="Q65">
        <v>1</v>
      </c>
      <c r="R65">
        <f>INDEX([1]products!$A$1:$G$49,MATCH([1]orders!$D65,[1]products!$A$1:$A$49,0),MATCH([1]orders!K$1,[1]products!$A$1:$G$1,0))</f>
        <v>0.5</v>
      </c>
      <c r="S65">
        <f>INDEX([1]products!$A$1:$G$49,MATCH([1]orders!$D65,[1]products!$A$1:$A$49,0),MATCH([1]orders!L$1,[1]products!$A$1:$G$1,0))</f>
        <v>6.75</v>
      </c>
      <c r="T65">
        <f t="shared" si="1"/>
        <v>6.75</v>
      </c>
      <c r="U65">
        <f t="shared" si="4"/>
        <v>0.60749999999999993</v>
      </c>
      <c r="V65">
        <f t="shared" si="5"/>
        <v>8.9999999999999982</v>
      </c>
    </row>
    <row r="66" spans="1:22" x14ac:dyDescent="0.25">
      <c r="A66" t="s">
        <v>151</v>
      </c>
      <c r="B66">
        <v>43913</v>
      </c>
      <c r="C66" t="str">
        <f t="shared" si="2"/>
        <v>23</v>
      </c>
      <c r="D66" t="str">
        <f t="shared" ref="D66:D129" si="6">TEXT(B:B,"MMMM")</f>
        <v>March</v>
      </c>
      <c r="E66" t="str">
        <f t="shared" si="3"/>
        <v>2020</v>
      </c>
      <c r="F66" t="s">
        <v>152</v>
      </c>
      <c r="G66" t="str">
        <f>VLOOKUP(F66,'Customers (2)'!A:I,2,0)</f>
        <v>Felecia Dodgson</v>
      </c>
      <c r="H66">
        <f>VLOOKUP(F66,'Customers (2)'!A:I,3,0)</f>
        <v>0</v>
      </c>
      <c r="I66" t="str">
        <f>VLOOKUP(F66,'Customers (2)'!A:I,4,0)</f>
        <v>+1 (973) 434-8662</v>
      </c>
      <c r="J66" t="str">
        <f>VLOOKUP(F66,'Customers (2)'!A:I,6,0)</f>
        <v>Newark</v>
      </c>
      <c r="K66" t="str">
        <f>VLOOKUP(F66,'Customers (2)'!A:I,7,0)</f>
        <v>United States</v>
      </c>
      <c r="L66" t="str">
        <f>VLOOKUP(F66,'Customers (2)'!A:I,9,0)</f>
        <v>Yes</v>
      </c>
      <c r="M66" t="str">
        <f>VLOOKUP(N66,'Products (2)'!A:G,2,0)</f>
        <v>Robusta</v>
      </c>
      <c r="N66" t="s">
        <v>22</v>
      </c>
      <c r="O66" t="str">
        <f>VLOOKUP(N66,'Products (2)'!A:G,3,0)</f>
        <v>Medium</v>
      </c>
      <c r="P66">
        <f>VLOOKUP(N66,'Products (2)'!A:G,7,0)</f>
        <v>0.35819999999999996</v>
      </c>
      <c r="Q66">
        <v>6</v>
      </c>
      <c r="R66">
        <f>INDEX([1]products!$A$1:$G$49,MATCH([1]orders!$D66,[1]products!$A$1:$A$49,0),MATCH([1]orders!K$1,[1]products!$A$1:$G$1,0))</f>
        <v>0.5</v>
      </c>
      <c r="S66">
        <f>INDEX([1]products!$A$1:$G$49,MATCH([1]orders!$D66,[1]products!$A$1:$A$49,0),MATCH([1]orders!L$1,[1]products!$A$1:$G$1,0))</f>
        <v>5.97</v>
      </c>
      <c r="T66">
        <f t="shared" ref="T66:T129" si="7">Q66*S66</f>
        <v>35.82</v>
      </c>
      <c r="U66">
        <f t="shared" si="4"/>
        <v>2.1491999999999996</v>
      </c>
      <c r="V66">
        <f t="shared" si="5"/>
        <v>5.9999999999999982</v>
      </c>
    </row>
    <row r="67" spans="1:22" x14ac:dyDescent="0.25">
      <c r="A67" t="s">
        <v>153</v>
      </c>
      <c r="B67">
        <v>44626</v>
      </c>
      <c r="C67" t="str">
        <f t="shared" ref="C67:C130" si="8">TEXT(B:B,"DD")</f>
        <v>06</v>
      </c>
      <c r="D67" t="str">
        <f t="shared" si="6"/>
        <v>March</v>
      </c>
      <c r="E67" t="str">
        <f t="shared" ref="E67:E130" si="9">TEXT(B:B,"yyyy")</f>
        <v>2022</v>
      </c>
      <c r="F67" t="s">
        <v>154</v>
      </c>
      <c r="G67" t="str">
        <f>VLOOKUP(F67,'Customers (2)'!A:I,2,0)</f>
        <v>Angelia Cockrem</v>
      </c>
      <c r="H67" t="str">
        <f>VLOOKUP(F67,'Customers (2)'!A:I,3,0)</f>
        <v>acockrem1t@engadget.com</v>
      </c>
      <c r="I67" t="str">
        <f>VLOOKUP(F67,'Customers (2)'!A:I,4,0)</f>
        <v>+1 (571) 316-8217</v>
      </c>
      <c r="J67" t="str">
        <f>VLOOKUP(F67,'Customers (2)'!A:I,6,0)</f>
        <v>Vienna</v>
      </c>
      <c r="K67" t="str">
        <f>VLOOKUP(F67,'Customers (2)'!A:I,7,0)</f>
        <v>United States</v>
      </c>
      <c r="L67" t="str">
        <f>VLOOKUP(F67,'Customers (2)'!A:I,9,0)</f>
        <v>Yes</v>
      </c>
      <c r="M67" t="str">
        <f>VLOOKUP(N67,'Products (2)'!A:G,2,0)</f>
        <v>Robusta</v>
      </c>
      <c r="N67" t="s">
        <v>35</v>
      </c>
      <c r="O67" t="str">
        <f>VLOOKUP(N67,'Products (2)'!A:G,3,0)</f>
        <v>Dark</v>
      </c>
      <c r="P67">
        <f>VLOOKUP(N67,'Products (2)'!A:G,7,0)</f>
        <v>1.2350999999999999</v>
      </c>
      <c r="Q67">
        <v>4</v>
      </c>
      <c r="R67">
        <f>INDEX([1]products!$A$1:$G$49,MATCH([1]orders!$D67,[1]products!$A$1:$A$49,0),MATCH([1]orders!K$1,[1]products!$A$1:$G$1,0))</f>
        <v>2.5</v>
      </c>
      <c r="S67">
        <f>INDEX([1]products!$A$1:$G$49,MATCH([1]orders!$D67,[1]products!$A$1:$A$49,0),MATCH([1]orders!L$1,[1]products!$A$1:$G$1,0))</f>
        <v>20.584999999999997</v>
      </c>
      <c r="T67">
        <f t="shared" si="7"/>
        <v>82.339999999999989</v>
      </c>
      <c r="U67">
        <f t="shared" ref="U67:U130" si="10">Q67*P67</f>
        <v>4.9403999999999995</v>
      </c>
      <c r="V67">
        <f t="shared" ref="V67:V130" si="11">U67/T67*100</f>
        <v>6.0000000000000009</v>
      </c>
    </row>
    <row r="68" spans="1:22" x14ac:dyDescent="0.25">
      <c r="A68" t="s">
        <v>155</v>
      </c>
      <c r="B68">
        <v>44666</v>
      </c>
      <c r="C68" t="str">
        <f t="shared" si="8"/>
        <v>15</v>
      </c>
      <c r="D68" t="str">
        <f t="shared" si="6"/>
        <v>April</v>
      </c>
      <c r="E68" t="str">
        <f t="shared" si="9"/>
        <v>2022</v>
      </c>
      <c r="F68" t="s">
        <v>156</v>
      </c>
      <c r="G68" t="str">
        <f>VLOOKUP(F68,'Customers (2)'!A:I,2,0)</f>
        <v>Belvia Umpleby</v>
      </c>
      <c r="H68" t="str">
        <f>VLOOKUP(F68,'Customers (2)'!A:I,3,0)</f>
        <v>bumpleby1u@soundcloud.com</v>
      </c>
      <c r="I68" t="str">
        <f>VLOOKUP(F68,'Customers (2)'!A:I,4,0)</f>
        <v>+1 (682) 627-0888</v>
      </c>
      <c r="J68" t="str">
        <f>VLOOKUP(F68,'Customers (2)'!A:I,6,0)</f>
        <v>Fort Worth</v>
      </c>
      <c r="K68" t="str">
        <f>VLOOKUP(F68,'Customers (2)'!A:I,7,0)</f>
        <v>United States</v>
      </c>
      <c r="L68" t="str">
        <f>VLOOKUP(F68,'Customers (2)'!A:I,9,0)</f>
        <v>Yes</v>
      </c>
      <c r="M68" t="str">
        <f>VLOOKUP(N68,'Products (2)'!A:G,2,0)</f>
        <v>Robusta</v>
      </c>
      <c r="N68" t="s">
        <v>157</v>
      </c>
      <c r="O68" t="str">
        <f>VLOOKUP(N68,'Products (2)'!A:G,3,0)</f>
        <v>Light</v>
      </c>
      <c r="P68">
        <f>VLOOKUP(N68,'Products (2)'!A:G,7,0)</f>
        <v>0.43019999999999992</v>
      </c>
      <c r="Q68">
        <v>1</v>
      </c>
      <c r="R68">
        <f>INDEX([1]products!$A$1:$G$49,MATCH([1]orders!$D68,[1]products!$A$1:$A$49,0),MATCH([1]orders!K$1,[1]products!$A$1:$G$1,0))</f>
        <v>0.5</v>
      </c>
      <c r="S68">
        <f>INDEX([1]products!$A$1:$G$49,MATCH([1]orders!$D68,[1]products!$A$1:$A$49,0),MATCH([1]orders!L$1,[1]products!$A$1:$G$1,0))</f>
        <v>7.169999999999999</v>
      </c>
      <c r="T68">
        <f t="shared" si="7"/>
        <v>7.169999999999999</v>
      </c>
      <c r="U68">
        <f t="shared" si="10"/>
        <v>0.43019999999999992</v>
      </c>
      <c r="V68">
        <f t="shared" si="11"/>
        <v>6</v>
      </c>
    </row>
    <row r="69" spans="1:22" x14ac:dyDescent="0.25">
      <c r="A69" t="s">
        <v>158</v>
      </c>
      <c r="B69">
        <v>44519</v>
      </c>
      <c r="C69" t="str">
        <f t="shared" si="8"/>
        <v>19</v>
      </c>
      <c r="D69" t="str">
        <f t="shared" si="6"/>
        <v>November</v>
      </c>
      <c r="E69" t="str">
        <f t="shared" si="9"/>
        <v>2021</v>
      </c>
      <c r="F69" t="s">
        <v>159</v>
      </c>
      <c r="G69" t="str">
        <f>VLOOKUP(F69,'Customers (2)'!A:I,2,0)</f>
        <v>Nat Saleway</v>
      </c>
      <c r="H69" t="str">
        <f>VLOOKUP(F69,'Customers (2)'!A:I,3,0)</f>
        <v>nsaleway1v@dedecms.com</v>
      </c>
      <c r="I69" t="str">
        <f>VLOOKUP(F69,'Customers (2)'!A:I,4,0)</f>
        <v>+1 (323) 473-0294</v>
      </c>
      <c r="J69" t="str">
        <f>VLOOKUP(F69,'Customers (2)'!A:I,6,0)</f>
        <v>Burbank</v>
      </c>
      <c r="K69" t="str">
        <f>VLOOKUP(F69,'Customers (2)'!A:I,7,0)</f>
        <v>United States</v>
      </c>
      <c r="L69" t="str">
        <f>VLOOKUP(F69,'Customers (2)'!A:I,9,0)</f>
        <v>No</v>
      </c>
      <c r="M69" t="str">
        <f>VLOOKUP(N69,'Products (2)'!A:G,2,0)</f>
        <v>Liberica</v>
      </c>
      <c r="N69" t="s">
        <v>19</v>
      </c>
      <c r="O69" t="str">
        <f>VLOOKUP(N69,'Products (2)'!A:G,3,0)</f>
        <v>Light</v>
      </c>
      <c r="P69">
        <f>VLOOKUP(N69,'Products (2)'!A:G,7,0)</f>
        <v>0.61814999999999998</v>
      </c>
      <c r="Q69">
        <v>2</v>
      </c>
      <c r="R69">
        <f>INDEX([1]products!$A$1:$G$49,MATCH([1]orders!$D69,[1]products!$A$1:$A$49,0),MATCH([1]orders!K$1,[1]products!$A$1:$G$1,0))</f>
        <v>0.2</v>
      </c>
      <c r="S69">
        <f>INDEX([1]products!$A$1:$G$49,MATCH([1]orders!$D69,[1]products!$A$1:$A$49,0),MATCH([1]orders!L$1,[1]products!$A$1:$G$1,0))</f>
        <v>4.7549999999999999</v>
      </c>
      <c r="T69">
        <f t="shared" si="7"/>
        <v>9.51</v>
      </c>
      <c r="U69">
        <f t="shared" si="10"/>
        <v>1.2363</v>
      </c>
      <c r="V69">
        <f t="shared" si="11"/>
        <v>13</v>
      </c>
    </row>
    <row r="70" spans="1:22" x14ac:dyDescent="0.25">
      <c r="A70" t="s">
        <v>160</v>
      </c>
      <c r="B70">
        <v>43754</v>
      </c>
      <c r="C70" t="str">
        <f t="shared" si="8"/>
        <v>16</v>
      </c>
      <c r="D70" t="str">
        <f t="shared" si="6"/>
        <v>October</v>
      </c>
      <c r="E70" t="str">
        <f t="shared" si="9"/>
        <v>2019</v>
      </c>
      <c r="F70" t="s">
        <v>161</v>
      </c>
      <c r="G70" t="str">
        <f>VLOOKUP(F70,'Customers (2)'!A:I,2,0)</f>
        <v>Hayward Goulter</v>
      </c>
      <c r="H70" t="str">
        <f>VLOOKUP(F70,'Customers (2)'!A:I,3,0)</f>
        <v>hgoulter1w@abc.net.au</v>
      </c>
      <c r="I70" t="str">
        <f>VLOOKUP(F70,'Customers (2)'!A:I,4,0)</f>
        <v>+1 (423) 764-7751</v>
      </c>
      <c r="J70" t="str">
        <f>VLOOKUP(F70,'Customers (2)'!A:I,6,0)</f>
        <v>Kingsport</v>
      </c>
      <c r="K70" t="str">
        <f>VLOOKUP(F70,'Customers (2)'!A:I,7,0)</f>
        <v>United States</v>
      </c>
      <c r="L70" t="str">
        <f>VLOOKUP(F70,'Customers (2)'!A:I,9,0)</f>
        <v>No</v>
      </c>
      <c r="M70" t="str">
        <f>VLOOKUP(N70,'Products (2)'!A:G,2,0)</f>
        <v>Robusta</v>
      </c>
      <c r="N70" t="s">
        <v>162</v>
      </c>
      <c r="O70" t="str">
        <f>VLOOKUP(N70,'Products (2)'!A:G,3,0)</f>
        <v>Medium</v>
      </c>
      <c r="P70">
        <f>VLOOKUP(N70,'Products (2)'!A:G,7,0)</f>
        <v>0.17909999999999998</v>
      </c>
      <c r="Q70">
        <v>1</v>
      </c>
      <c r="R70">
        <f>INDEX([1]products!$A$1:$G$49,MATCH([1]orders!$D70,[1]products!$A$1:$A$49,0),MATCH([1]orders!K$1,[1]products!$A$1:$G$1,0))</f>
        <v>0.2</v>
      </c>
      <c r="S70">
        <f>INDEX([1]products!$A$1:$G$49,MATCH([1]orders!$D70,[1]products!$A$1:$A$49,0),MATCH([1]orders!L$1,[1]products!$A$1:$G$1,0))</f>
        <v>2.9849999999999999</v>
      </c>
      <c r="T70">
        <f t="shared" si="7"/>
        <v>2.9849999999999999</v>
      </c>
      <c r="U70">
        <f t="shared" si="10"/>
        <v>0.17909999999999998</v>
      </c>
      <c r="V70">
        <f t="shared" si="11"/>
        <v>6</v>
      </c>
    </row>
    <row r="71" spans="1:22" x14ac:dyDescent="0.25">
      <c r="A71" t="s">
        <v>163</v>
      </c>
      <c r="B71">
        <v>43795</v>
      </c>
      <c r="C71" t="str">
        <f t="shared" si="8"/>
        <v>26</v>
      </c>
      <c r="D71" t="str">
        <f t="shared" si="6"/>
        <v>November</v>
      </c>
      <c r="E71" t="str">
        <f t="shared" si="9"/>
        <v>2019</v>
      </c>
      <c r="F71" t="s">
        <v>164</v>
      </c>
      <c r="G71" t="str">
        <f>VLOOKUP(F71,'Customers (2)'!A:I,2,0)</f>
        <v>Gay Rizzello</v>
      </c>
      <c r="H71" t="str">
        <f>VLOOKUP(F71,'Customers (2)'!A:I,3,0)</f>
        <v>grizzello1x@symantec.com</v>
      </c>
      <c r="I71" t="str">
        <f>VLOOKUP(F71,'Customers (2)'!A:I,4,0)</f>
        <v>+44 (247) 225-8003</v>
      </c>
      <c r="J71" t="str">
        <f>VLOOKUP(F71,'Customers (2)'!A:I,6,0)</f>
        <v>Liverpool</v>
      </c>
      <c r="K71" t="str">
        <f>VLOOKUP(F71,'Customers (2)'!A:I,7,0)</f>
        <v>United Kingdom</v>
      </c>
      <c r="L71" t="str">
        <f>VLOOKUP(F71,'Customers (2)'!A:I,9,0)</f>
        <v>Yes</v>
      </c>
      <c r="M71" t="str">
        <f>VLOOKUP(N71,'Products (2)'!A:G,2,0)</f>
        <v>Robusta</v>
      </c>
      <c r="N71" t="s">
        <v>2</v>
      </c>
      <c r="O71" t="str">
        <f>VLOOKUP(N71,'Products (2)'!A:G,3,0)</f>
        <v>Medium</v>
      </c>
      <c r="P71">
        <f>VLOOKUP(N71,'Products (2)'!A:G,7,0)</f>
        <v>0.59699999999999998</v>
      </c>
      <c r="Q71">
        <v>6</v>
      </c>
      <c r="R71">
        <f>INDEX([1]products!$A$1:$G$49,MATCH([1]orders!$D71,[1]products!$A$1:$A$49,0),MATCH([1]orders!K$1,[1]products!$A$1:$G$1,0))</f>
        <v>1</v>
      </c>
      <c r="S71">
        <f>INDEX([1]products!$A$1:$G$49,MATCH([1]orders!$D71,[1]products!$A$1:$A$49,0),MATCH([1]orders!L$1,[1]products!$A$1:$G$1,0))</f>
        <v>9.9499999999999993</v>
      </c>
      <c r="T71">
        <f t="shared" si="7"/>
        <v>59.699999999999996</v>
      </c>
      <c r="U71">
        <f t="shared" si="10"/>
        <v>3.5819999999999999</v>
      </c>
      <c r="V71">
        <f t="shared" si="11"/>
        <v>6.0000000000000009</v>
      </c>
    </row>
    <row r="72" spans="1:22" x14ac:dyDescent="0.25">
      <c r="A72" t="s">
        <v>165</v>
      </c>
      <c r="B72">
        <v>43646</v>
      </c>
      <c r="C72" t="str">
        <f t="shared" si="8"/>
        <v>30</v>
      </c>
      <c r="D72" t="str">
        <f t="shared" si="6"/>
        <v>June</v>
      </c>
      <c r="E72" t="str">
        <f t="shared" si="9"/>
        <v>2019</v>
      </c>
      <c r="F72" t="s">
        <v>166</v>
      </c>
      <c r="G72" t="str">
        <f>VLOOKUP(F72,'Customers (2)'!A:I,2,0)</f>
        <v>Shannon List</v>
      </c>
      <c r="H72" t="str">
        <f>VLOOKUP(F72,'Customers (2)'!A:I,3,0)</f>
        <v>slist1y@mapquest.com</v>
      </c>
      <c r="I72" t="str">
        <f>VLOOKUP(F72,'Customers (2)'!A:I,4,0)</f>
        <v>+1 (614) 279-9816</v>
      </c>
      <c r="J72" t="str">
        <f>VLOOKUP(F72,'Customers (2)'!A:I,6,0)</f>
        <v>Columbus</v>
      </c>
      <c r="K72" t="str">
        <f>VLOOKUP(F72,'Customers (2)'!A:I,7,0)</f>
        <v>United States</v>
      </c>
      <c r="L72" t="str">
        <f>VLOOKUP(F72,'Customers (2)'!A:I,9,0)</f>
        <v>No</v>
      </c>
      <c r="M72" t="str">
        <f>VLOOKUP(N72,'Products (2)'!A:G,2,0)</f>
        <v>Excelsa</v>
      </c>
      <c r="N72" t="s">
        <v>30</v>
      </c>
      <c r="O72" t="str">
        <f>VLOOKUP(N72,'Products (2)'!A:G,3,0)</f>
        <v>Light</v>
      </c>
      <c r="P72">
        <f>VLOOKUP(N72,'Products (2)'!A:G,7,0)</f>
        <v>3.7570499999999996</v>
      </c>
      <c r="Q72">
        <v>4</v>
      </c>
      <c r="R72">
        <f>INDEX([1]products!$A$1:$G$49,MATCH([1]orders!$D72,[1]products!$A$1:$A$49,0),MATCH([1]orders!K$1,[1]products!$A$1:$G$1,0))</f>
        <v>2.5</v>
      </c>
      <c r="S72">
        <f>INDEX([1]products!$A$1:$G$49,MATCH([1]orders!$D72,[1]products!$A$1:$A$49,0),MATCH([1]orders!L$1,[1]products!$A$1:$G$1,0))</f>
        <v>34.154999999999994</v>
      </c>
      <c r="T72">
        <f t="shared" si="7"/>
        <v>136.61999999999998</v>
      </c>
      <c r="U72">
        <f t="shared" si="10"/>
        <v>15.028199999999998</v>
      </c>
      <c r="V72">
        <f t="shared" si="11"/>
        <v>11</v>
      </c>
    </row>
    <row r="73" spans="1:22" x14ac:dyDescent="0.25">
      <c r="A73" t="s">
        <v>167</v>
      </c>
      <c r="B73">
        <v>44200</v>
      </c>
      <c r="C73" t="str">
        <f t="shared" si="8"/>
        <v>04</v>
      </c>
      <c r="D73" t="str">
        <f t="shared" si="6"/>
        <v>January</v>
      </c>
      <c r="E73" t="str">
        <f t="shared" si="9"/>
        <v>2021</v>
      </c>
      <c r="F73" t="s">
        <v>168</v>
      </c>
      <c r="G73" t="str">
        <f>VLOOKUP(F73,'Customers (2)'!A:I,2,0)</f>
        <v>Shirlene Edmondson</v>
      </c>
      <c r="H73" t="str">
        <f>VLOOKUP(F73,'Customers (2)'!A:I,3,0)</f>
        <v>sedmondson1z@theguardian.com</v>
      </c>
      <c r="I73" t="str">
        <f>VLOOKUP(F73,'Customers (2)'!A:I,4,0)</f>
        <v>+353 (248) 428-7978</v>
      </c>
      <c r="J73" t="str">
        <f>VLOOKUP(F73,'Customers (2)'!A:I,6,0)</f>
        <v>Newmarket on Fergus</v>
      </c>
      <c r="K73" t="str">
        <f>VLOOKUP(F73,'Customers (2)'!A:I,7,0)</f>
        <v>Ireland</v>
      </c>
      <c r="L73" t="str">
        <f>VLOOKUP(F73,'Customers (2)'!A:I,9,0)</f>
        <v>No</v>
      </c>
      <c r="M73" t="str">
        <f>VLOOKUP(N73,'Products (2)'!A:G,2,0)</f>
        <v>Liberica</v>
      </c>
      <c r="N73" t="s">
        <v>19</v>
      </c>
      <c r="O73" t="str">
        <f>VLOOKUP(N73,'Products (2)'!A:G,3,0)</f>
        <v>Light</v>
      </c>
      <c r="P73">
        <f>VLOOKUP(N73,'Products (2)'!A:G,7,0)</f>
        <v>0.61814999999999998</v>
      </c>
      <c r="Q73">
        <v>2</v>
      </c>
      <c r="R73">
        <f>INDEX([1]products!$A$1:$G$49,MATCH([1]orders!$D73,[1]products!$A$1:$A$49,0),MATCH([1]orders!K$1,[1]products!$A$1:$G$1,0))</f>
        <v>0.2</v>
      </c>
      <c r="S73">
        <f>INDEX([1]products!$A$1:$G$49,MATCH([1]orders!$D73,[1]products!$A$1:$A$49,0),MATCH([1]orders!L$1,[1]products!$A$1:$G$1,0))</f>
        <v>4.7549999999999999</v>
      </c>
      <c r="T73">
        <f t="shared" si="7"/>
        <v>9.51</v>
      </c>
      <c r="U73">
        <f t="shared" si="10"/>
        <v>1.2363</v>
      </c>
      <c r="V73">
        <f t="shared" si="11"/>
        <v>13</v>
      </c>
    </row>
    <row r="74" spans="1:22" x14ac:dyDescent="0.25">
      <c r="A74" t="s">
        <v>169</v>
      </c>
      <c r="B74">
        <v>44131</v>
      </c>
      <c r="C74" t="str">
        <f t="shared" si="8"/>
        <v>27</v>
      </c>
      <c r="D74" t="str">
        <f t="shared" si="6"/>
        <v>October</v>
      </c>
      <c r="E74" t="str">
        <f t="shared" si="9"/>
        <v>2020</v>
      </c>
      <c r="F74" t="s">
        <v>170</v>
      </c>
      <c r="G74" t="str">
        <f>VLOOKUP(F74,'Customers (2)'!A:I,2,0)</f>
        <v>Aurlie McCarl</v>
      </c>
      <c r="H74">
        <f>VLOOKUP(F74,'Customers (2)'!A:I,3,0)</f>
        <v>0</v>
      </c>
      <c r="I74" t="str">
        <f>VLOOKUP(F74,'Customers (2)'!A:I,4,0)</f>
        <v>+1 (504) 209-2724</v>
      </c>
      <c r="J74" t="str">
        <f>VLOOKUP(F74,'Customers (2)'!A:I,6,0)</f>
        <v>New Orleans</v>
      </c>
      <c r="K74" t="str">
        <f>VLOOKUP(F74,'Customers (2)'!A:I,7,0)</f>
        <v>United States</v>
      </c>
      <c r="L74" t="str">
        <f>VLOOKUP(F74,'Customers (2)'!A:I,9,0)</f>
        <v>No</v>
      </c>
      <c r="M74" t="str">
        <f>VLOOKUP(N74,'Products (2)'!A:G,2,0)</f>
        <v>Arabica</v>
      </c>
      <c r="N74" t="s">
        <v>171</v>
      </c>
      <c r="O74" t="str">
        <f>VLOOKUP(N74,'Products (2)'!A:G,3,0)</f>
        <v>Medium</v>
      </c>
      <c r="P74">
        <f>VLOOKUP(N74,'Products (2)'!A:G,7,0)</f>
        <v>2.3287499999999994</v>
      </c>
      <c r="Q74">
        <v>3</v>
      </c>
      <c r="R74">
        <f>INDEX([1]products!$A$1:$G$49,MATCH([1]orders!$D74,[1]products!$A$1:$A$49,0),MATCH([1]orders!K$1,[1]products!$A$1:$G$1,0))</f>
        <v>2.5</v>
      </c>
      <c r="S74">
        <f>INDEX([1]products!$A$1:$G$49,MATCH([1]orders!$D74,[1]products!$A$1:$A$49,0),MATCH([1]orders!L$1,[1]products!$A$1:$G$1,0))</f>
        <v>25.874999999999996</v>
      </c>
      <c r="T74">
        <f t="shared" si="7"/>
        <v>77.624999999999986</v>
      </c>
      <c r="U74">
        <f t="shared" si="10"/>
        <v>6.9862499999999983</v>
      </c>
      <c r="V74">
        <f t="shared" si="11"/>
        <v>9</v>
      </c>
    </row>
    <row r="75" spans="1:22" x14ac:dyDescent="0.25">
      <c r="A75" t="s">
        <v>172</v>
      </c>
      <c r="B75">
        <v>44362</v>
      </c>
      <c r="C75" t="str">
        <f t="shared" si="8"/>
        <v>15</v>
      </c>
      <c r="D75" t="str">
        <f t="shared" si="6"/>
        <v>June</v>
      </c>
      <c r="E75" t="str">
        <f t="shared" si="9"/>
        <v>2021</v>
      </c>
      <c r="F75" t="s">
        <v>173</v>
      </c>
      <c r="G75" t="str">
        <f>VLOOKUP(F75,'Customers (2)'!A:I,2,0)</f>
        <v>Alikee Carryer</v>
      </c>
      <c r="H75">
        <f>VLOOKUP(F75,'Customers (2)'!A:I,3,0)</f>
        <v>0</v>
      </c>
      <c r="I75" t="str">
        <f>VLOOKUP(F75,'Customers (2)'!A:I,4,0)</f>
        <v>+1 (704) 799-5219</v>
      </c>
      <c r="J75" t="str">
        <f>VLOOKUP(F75,'Customers (2)'!A:I,6,0)</f>
        <v>Charlotte</v>
      </c>
      <c r="K75" t="str">
        <f>VLOOKUP(F75,'Customers (2)'!A:I,7,0)</f>
        <v>United States</v>
      </c>
      <c r="L75" t="str">
        <f>VLOOKUP(F75,'Customers (2)'!A:I,9,0)</f>
        <v>Yes</v>
      </c>
      <c r="M75" t="str">
        <f>VLOOKUP(N75,'Products (2)'!A:G,2,0)</f>
        <v>Liberica</v>
      </c>
      <c r="N75" t="s">
        <v>77</v>
      </c>
      <c r="O75" t="str">
        <f>VLOOKUP(N75,'Products (2)'!A:G,3,0)</f>
        <v>Medium</v>
      </c>
      <c r="P75">
        <f>VLOOKUP(N75,'Products (2)'!A:G,7,0)</f>
        <v>0.56745000000000001</v>
      </c>
      <c r="Q75">
        <v>5</v>
      </c>
      <c r="R75">
        <f>INDEX([1]products!$A$1:$G$49,MATCH([1]orders!$D75,[1]products!$A$1:$A$49,0),MATCH([1]orders!K$1,[1]products!$A$1:$G$1,0))</f>
        <v>0.2</v>
      </c>
      <c r="S75">
        <f>INDEX([1]products!$A$1:$G$49,MATCH([1]orders!$D75,[1]products!$A$1:$A$49,0),MATCH([1]orders!L$1,[1]products!$A$1:$G$1,0))</f>
        <v>4.3650000000000002</v>
      </c>
      <c r="T75">
        <f t="shared" si="7"/>
        <v>21.825000000000003</v>
      </c>
      <c r="U75">
        <f t="shared" si="10"/>
        <v>2.83725</v>
      </c>
      <c r="V75">
        <f t="shared" si="11"/>
        <v>12.999999999999998</v>
      </c>
    </row>
    <row r="76" spans="1:22" x14ac:dyDescent="0.25">
      <c r="A76" t="s">
        <v>174</v>
      </c>
      <c r="B76">
        <v>44396</v>
      </c>
      <c r="C76" t="str">
        <f t="shared" si="8"/>
        <v>19</v>
      </c>
      <c r="D76" t="str">
        <f t="shared" si="6"/>
        <v>July</v>
      </c>
      <c r="E76" t="str">
        <f t="shared" si="9"/>
        <v>2021</v>
      </c>
      <c r="F76" t="s">
        <v>175</v>
      </c>
      <c r="G76" t="str">
        <f>VLOOKUP(F76,'Customers (2)'!A:I,2,0)</f>
        <v>Jennifer Rangall</v>
      </c>
      <c r="H76" t="str">
        <f>VLOOKUP(F76,'Customers (2)'!A:I,3,0)</f>
        <v>jrangall22@newsvine.com</v>
      </c>
      <c r="I76" t="str">
        <f>VLOOKUP(F76,'Customers (2)'!A:I,4,0)</f>
        <v>+1 (781) 512-6637</v>
      </c>
      <c r="J76" t="str">
        <f>VLOOKUP(F76,'Customers (2)'!A:I,6,0)</f>
        <v>Springfield</v>
      </c>
      <c r="K76" t="str">
        <f>VLOOKUP(F76,'Customers (2)'!A:I,7,0)</f>
        <v>United States</v>
      </c>
      <c r="L76" t="str">
        <f>VLOOKUP(F76,'Customers (2)'!A:I,9,0)</f>
        <v>Yes</v>
      </c>
      <c r="M76" t="str">
        <f>VLOOKUP(N76,'Products (2)'!A:G,2,0)</f>
        <v>Excelsa</v>
      </c>
      <c r="N76" t="s">
        <v>176</v>
      </c>
      <c r="O76" t="str">
        <f>VLOOKUP(N76,'Products (2)'!A:G,3,0)</f>
        <v>Light</v>
      </c>
      <c r="P76">
        <f>VLOOKUP(N76,'Products (2)'!A:G,7,0)</f>
        <v>0.98009999999999997</v>
      </c>
      <c r="Q76">
        <v>2</v>
      </c>
      <c r="R76">
        <f>INDEX([1]products!$A$1:$G$49,MATCH([1]orders!$D76,[1]products!$A$1:$A$49,0),MATCH([1]orders!K$1,[1]products!$A$1:$G$1,0))</f>
        <v>0.5</v>
      </c>
      <c r="S76">
        <f>INDEX([1]products!$A$1:$G$49,MATCH([1]orders!$D76,[1]products!$A$1:$A$49,0),MATCH([1]orders!L$1,[1]products!$A$1:$G$1,0))</f>
        <v>8.91</v>
      </c>
      <c r="T76">
        <f t="shared" si="7"/>
        <v>17.82</v>
      </c>
      <c r="U76">
        <f t="shared" si="10"/>
        <v>1.9601999999999999</v>
      </c>
      <c r="V76">
        <f t="shared" si="11"/>
        <v>11</v>
      </c>
    </row>
    <row r="77" spans="1:22" x14ac:dyDescent="0.25">
      <c r="A77" t="s">
        <v>177</v>
      </c>
      <c r="B77">
        <v>44400</v>
      </c>
      <c r="C77" t="str">
        <f t="shared" si="8"/>
        <v>23</v>
      </c>
      <c r="D77" t="str">
        <f t="shared" si="6"/>
        <v>July</v>
      </c>
      <c r="E77" t="str">
        <f t="shared" si="9"/>
        <v>2021</v>
      </c>
      <c r="F77" t="s">
        <v>178</v>
      </c>
      <c r="G77" t="str">
        <f>VLOOKUP(F77,'Customers (2)'!A:I,2,0)</f>
        <v>Kipper Boorn</v>
      </c>
      <c r="H77" t="str">
        <f>VLOOKUP(F77,'Customers (2)'!A:I,3,0)</f>
        <v>kboorn23@ezinearticles.com</v>
      </c>
      <c r="I77" t="str">
        <f>VLOOKUP(F77,'Customers (2)'!A:I,4,0)</f>
        <v>+353 (359) 134-1550</v>
      </c>
      <c r="J77" t="str">
        <f>VLOOKUP(F77,'Customers (2)'!A:I,6,0)</f>
        <v>Listowel</v>
      </c>
      <c r="K77" t="str">
        <f>VLOOKUP(F77,'Customers (2)'!A:I,7,0)</f>
        <v>Ireland</v>
      </c>
      <c r="L77" t="str">
        <f>VLOOKUP(F77,'Customers (2)'!A:I,9,0)</f>
        <v>Yes</v>
      </c>
      <c r="M77" t="str">
        <f>VLOOKUP(N77,'Products (2)'!A:G,2,0)</f>
        <v>Robusta</v>
      </c>
      <c r="N77" t="s">
        <v>179</v>
      </c>
      <c r="O77" t="str">
        <f>VLOOKUP(N77,'Products (2)'!A:G,3,0)</f>
        <v>Dark</v>
      </c>
      <c r="P77">
        <f>VLOOKUP(N77,'Products (2)'!A:G,7,0)</f>
        <v>0.53699999999999992</v>
      </c>
      <c r="Q77">
        <v>6</v>
      </c>
      <c r="R77">
        <f>INDEX([1]products!$A$1:$G$49,MATCH([1]orders!$D77,[1]products!$A$1:$A$49,0),MATCH([1]orders!K$1,[1]products!$A$1:$G$1,0))</f>
        <v>1</v>
      </c>
      <c r="S77">
        <f>INDEX([1]products!$A$1:$G$49,MATCH([1]orders!$D77,[1]products!$A$1:$A$49,0),MATCH([1]orders!L$1,[1]products!$A$1:$G$1,0))</f>
        <v>8.9499999999999993</v>
      </c>
      <c r="T77">
        <f t="shared" si="7"/>
        <v>53.699999999999996</v>
      </c>
      <c r="U77">
        <f t="shared" si="10"/>
        <v>3.2219999999999995</v>
      </c>
      <c r="V77">
        <f t="shared" si="11"/>
        <v>6</v>
      </c>
    </row>
    <row r="78" spans="1:22" x14ac:dyDescent="0.25">
      <c r="A78" t="s">
        <v>180</v>
      </c>
      <c r="B78">
        <v>43855</v>
      </c>
      <c r="C78" t="str">
        <f t="shared" si="8"/>
        <v>25</v>
      </c>
      <c r="D78" t="str">
        <f t="shared" si="6"/>
        <v>January</v>
      </c>
      <c r="E78" t="str">
        <f t="shared" si="9"/>
        <v>2020</v>
      </c>
      <c r="F78" t="s">
        <v>181</v>
      </c>
      <c r="G78" t="str">
        <f>VLOOKUP(F78,'Customers (2)'!A:I,2,0)</f>
        <v>Melania Beadle</v>
      </c>
      <c r="H78">
        <f>VLOOKUP(F78,'Customers (2)'!A:I,3,0)</f>
        <v>0</v>
      </c>
      <c r="I78" t="str">
        <f>VLOOKUP(F78,'Customers (2)'!A:I,4,0)</f>
        <v>+353 (569) 458-9673</v>
      </c>
      <c r="J78" t="str">
        <f>VLOOKUP(F78,'Customers (2)'!A:I,6,0)</f>
        <v>Moycullen</v>
      </c>
      <c r="K78" t="str">
        <f>VLOOKUP(F78,'Customers (2)'!A:I,7,0)</f>
        <v>Ireland</v>
      </c>
      <c r="L78" t="str">
        <f>VLOOKUP(F78,'Customers (2)'!A:I,9,0)</f>
        <v>Yes</v>
      </c>
      <c r="M78" t="str">
        <f>VLOOKUP(N78,'Products (2)'!A:G,2,0)</f>
        <v>Robusta</v>
      </c>
      <c r="N78" t="s">
        <v>182</v>
      </c>
      <c r="O78" t="str">
        <f>VLOOKUP(N78,'Products (2)'!A:G,3,0)</f>
        <v>Light</v>
      </c>
      <c r="P78">
        <f>VLOOKUP(N78,'Products (2)'!A:G,7,0)</f>
        <v>0.21509999999999996</v>
      </c>
      <c r="Q78">
        <v>1</v>
      </c>
      <c r="R78">
        <f>INDEX([1]products!$A$1:$G$49,MATCH([1]orders!$D78,[1]products!$A$1:$A$49,0),MATCH([1]orders!K$1,[1]products!$A$1:$G$1,0))</f>
        <v>0.2</v>
      </c>
      <c r="S78">
        <f>INDEX([1]products!$A$1:$G$49,MATCH([1]orders!$D78,[1]products!$A$1:$A$49,0),MATCH([1]orders!L$1,[1]products!$A$1:$G$1,0))</f>
        <v>3.5849999999999995</v>
      </c>
      <c r="T78">
        <f t="shared" si="7"/>
        <v>3.5849999999999995</v>
      </c>
      <c r="U78">
        <f t="shared" si="10"/>
        <v>0.21509999999999996</v>
      </c>
      <c r="V78">
        <f t="shared" si="11"/>
        <v>6</v>
      </c>
    </row>
    <row r="79" spans="1:22" x14ac:dyDescent="0.25">
      <c r="A79" t="s">
        <v>183</v>
      </c>
      <c r="B79">
        <v>43594</v>
      </c>
      <c r="C79" t="str">
        <f t="shared" si="8"/>
        <v>09</v>
      </c>
      <c r="D79" t="str">
        <f t="shared" si="6"/>
        <v>May</v>
      </c>
      <c r="E79" t="str">
        <f t="shared" si="9"/>
        <v>2019</v>
      </c>
      <c r="F79" t="s">
        <v>184</v>
      </c>
      <c r="G79" t="str">
        <f>VLOOKUP(F79,'Customers (2)'!A:I,2,0)</f>
        <v>Colene Elgey</v>
      </c>
      <c r="H79" t="str">
        <f>VLOOKUP(F79,'Customers (2)'!A:I,3,0)</f>
        <v>celgey25@webs.com</v>
      </c>
      <c r="I79" t="str">
        <f>VLOOKUP(F79,'Customers (2)'!A:I,4,0)</f>
        <v>+1 (432) 261-0702</v>
      </c>
      <c r="J79" t="str">
        <f>VLOOKUP(F79,'Customers (2)'!A:I,6,0)</f>
        <v>Midland</v>
      </c>
      <c r="K79" t="str">
        <f>VLOOKUP(F79,'Customers (2)'!A:I,7,0)</f>
        <v>United States</v>
      </c>
      <c r="L79" t="str">
        <f>VLOOKUP(F79,'Customers (2)'!A:I,9,0)</f>
        <v>No</v>
      </c>
      <c r="M79" t="str">
        <f>VLOOKUP(N79,'Products (2)'!A:G,2,0)</f>
        <v>Excelsa</v>
      </c>
      <c r="N79" t="s">
        <v>51</v>
      </c>
      <c r="O79" t="str">
        <f>VLOOKUP(N79,'Products (2)'!A:G,3,0)</f>
        <v>Dark</v>
      </c>
      <c r="P79">
        <f>VLOOKUP(N79,'Products (2)'!A:G,7,0)</f>
        <v>0.40095000000000003</v>
      </c>
      <c r="Q79">
        <v>2</v>
      </c>
      <c r="R79">
        <f>INDEX([1]products!$A$1:$G$49,MATCH([1]orders!$D79,[1]products!$A$1:$A$49,0),MATCH([1]orders!K$1,[1]products!$A$1:$G$1,0))</f>
        <v>0.2</v>
      </c>
      <c r="S79">
        <f>INDEX([1]products!$A$1:$G$49,MATCH([1]orders!$D79,[1]products!$A$1:$A$49,0),MATCH([1]orders!L$1,[1]products!$A$1:$G$1,0))</f>
        <v>3.645</v>
      </c>
      <c r="T79">
        <f t="shared" si="7"/>
        <v>7.29</v>
      </c>
      <c r="U79">
        <f t="shared" si="10"/>
        <v>0.80190000000000006</v>
      </c>
      <c r="V79">
        <f t="shared" si="11"/>
        <v>11</v>
      </c>
    </row>
    <row r="80" spans="1:22" x14ac:dyDescent="0.25">
      <c r="A80" t="s">
        <v>185</v>
      </c>
      <c r="B80">
        <v>43920</v>
      </c>
      <c r="C80" t="str">
        <f t="shared" si="8"/>
        <v>30</v>
      </c>
      <c r="D80" t="str">
        <f t="shared" si="6"/>
        <v>March</v>
      </c>
      <c r="E80" t="str">
        <f t="shared" si="9"/>
        <v>2020</v>
      </c>
      <c r="F80" t="s">
        <v>186</v>
      </c>
      <c r="G80" t="str">
        <f>VLOOKUP(F80,'Customers (2)'!A:I,2,0)</f>
        <v>Lothaire Mizzi</v>
      </c>
      <c r="H80" t="str">
        <f>VLOOKUP(F80,'Customers (2)'!A:I,3,0)</f>
        <v>lmizzi26@rakuten.co.jp</v>
      </c>
      <c r="I80" t="str">
        <f>VLOOKUP(F80,'Customers (2)'!A:I,4,0)</f>
        <v>+1 (214) 719-8530</v>
      </c>
      <c r="J80" t="str">
        <f>VLOOKUP(F80,'Customers (2)'!A:I,6,0)</f>
        <v>Dallas</v>
      </c>
      <c r="K80" t="str">
        <f>VLOOKUP(F80,'Customers (2)'!A:I,7,0)</f>
        <v>United States</v>
      </c>
      <c r="L80" t="str">
        <f>VLOOKUP(F80,'Customers (2)'!A:I,9,0)</f>
        <v>Yes</v>
      </c>
      <c r="M80" t="str">
        <f>VLOOKUP(N80,'Products (2)'!A:G,2,0)</f>
        <v>Arabica</v>
      </c>
      <c r="N80" t="s">
        <v>67</v>
      </c>
      <c r="O80" t="str">
        <f>VLOOKUP(N80,'Products (2)'!A:G,3,0)</f>
        <v>Medium</v>
      </c>
      <c r="P80">
        <f>VLOOKUP(N80,'Products (2)'!A:G,7,0)</f>
        <v>0.60749999999999993</v>
      </c>
      <c r="Q80">
        <v>6</v>
      </c>
      <c r="R80">
        <f>INDEX([1]products!$A$1:$G$49,MATCH([1]orders!$D80,[1]products!$A$1:$A$49,0),MATCH([1]orders!K$1,[1]products!$A$1:$G$1,0))</f>
        <v>0.5</v>
      </c>
      <c r="S80">
        <f>INDEX([1]products!$A$1:$G$49,MATCH([1]orders!$D80,[1]products!$A$1:$A$49,0),MATCH([1]orders!L$1,[1]products!$A$1:$G$1,0))</f>
        <v>6.75</v>
      </c>
      <c r="T80">
        <f t="shared" si="7"/>
        <v>40.5</v>
      </c>
      <c r="U80">
        <f t="shared" si="10"/>
        <v>3.6449999999999996</v>
      </c>
      <c r="V80">
        <f t="shared" si="11"/>
        <v>8.9999999999999982</v>
      </c>
    </row>
    <row r="81" spans="1:22" x14ac:dyDescent="0.25">
      <c r="A81" t="s">
        <v>187</v>
      </c>
      <c r="B81">
        <v>44633</v>
      </c>
      <c r="C81" t="str">
        <f t="shared" si="8"/>
        <v>13</v>
      </c>
      <c r="D81" t="str">
        <f t="shared" si="6"/>
        <v>March</v>
      </c>
      <c r="E81" t="str">
        <f t="shared" si="9"/>
        <v>2022</v>
      </c>
      <c r="F81" t="s">
        <v>188</v>
      </c>
      <c r="G81" t="str">
        <f>VLOOKUP(F81,'Customers (2)'!A:I,2,0)</f>
        <v>Cletis Giacomazzo</v>
      </c>
      <c r="H81" t="str">
        <f>VLOOKUP(F81,'Customers (2)'!A:I,3,0)</f>
        <v>cgiacomazzo27@jigsy.com</v>
      </c>
      <c r="I81" t="str">
        <f>VLOOKUP(F81,'Customers (2)'!A:I,4,0)</f>
        <v>+1 (571) 703-2064</v>
      </c>
      <c r="J81" t="str">
        <f>VLOOKUP(F81,'Customers (2)'!A:I,6,0)</f>
        <v>Dulles</v>
      </c>
      <c r="K81" t="str">
        <f>VLOOKUP(F81,'Customers (2)'!A:I,7,0)</f>
        <v>United States</v>
      </c>
      <c r="L81" t="str">
        <f>VLOOKUP(F81,'Customers (2)'!A:I,9,0)</f>
        <v>No</v>
      </c>
      <c r="M81" t="str">
        <f>VLOOKUP(N81,'Products (2)'!A:G,2,0)</f>
        <v>Robusta</v>
      </c>
      <c r="N81" t="s">
        <v>189</v>
      </c>
      <c r="O81" t="str">
        <f>VLOOKUP(N81,'Products (2)'!A:G,3,0)</f>
        <v>Light</v>
      </c>
      <c r="P81">
        <f>VLOOKUP(N81,'Products (2)'!A:G,7,0)</f>
        <v>0.71699999999999997</v>
      </c>
      <c r="Q81">
        <v>4</v>
      </c>
      <c r="R81">
        <f>INDEX([1]products!$A$1:$G$49,MATCH([1]orders!$D81,[1]products!$A$1:$A$49,0),MATCH([1]orders!K$1,[1]products!$A$1:$G$1,0))</f>
        <v>1</v>
      </c>
      <c r="S81">
        <f>INDEX([1]products!$A$1:$G$49,MATCH([1]orders!$D81,[1]products!$A$1:$A$49,0),MATCH([1]orders!L$1,[1]products!$A$1:$G$1,0))</f>
        <v>11.95</v>
      </c>
      <c r="T81">
        <f t="shared" si="7"/>
        <v>47.8</v>
      </c>
      <c r="U81">
        <f t="shared" si="10"/>
        <v>2.8679999999999999</v>
      </c>
      <c r="V81">
        <f t="shared" si="11"/>
        <v>6</v>
      </c>
    </row>
    <row r="82" spans="1:22" x14ac:dyDescent="0.25">
      <c r="A82" t="s">
        <v>190</v>
      </c>
      <c r="B82">
        <v>43572</v>
      </c>
      <c r="C82" t="str">
        <f t="shared" si="8"/>
        <v>17</v>
      </c>
      <c r="D82" t="str">
        <f t="shared" si="6"/>
        <v>April</v>
      </c>
      <c r="E82" t="str">
        <f t="shared" si="9"/>
        <v>2019</v>
      </c>
      <c r="F82" t="s">
        <v>191</v>
      </c>
      <c r="G82" t="str">
        <f>VLOOKUP(F82,'Customers (2)'!A:I,2,0)</f>
        <v>Ami Arnow</v>
      </c>
      <c r="H82" t="str">
        <f>VLOOKUP(F82,'Customers (2)'!A:I,3,0)</f>
        <v>aarnow28@arizona.edu</v>
      </c>
      <c r="I82" t="str">
        <f>VLOOKUP(F82,'Customers (2)'!A:I,4,0)</f>
        <v>+1 (650) 238-1964</v>
      </c>
      <c r="J82" t="str">
        <f>VLOOKUP(F82,'Customers (2)'!A:I,6,0)</f>
        <v>Oakland</v>
      </c>
      <c r="K82" t="str">
        <f>VLOOKUP(F82,'Customers (2)'!A:I,7,0)</f>
        <v>United States</v>
      </c>
      <c r="L82" t="str">
        <f>VLOOKUP(F82,'Customers (2)'!A:I,9,0)</f>
        <v>Yes</v>
      </c>
      <c r="M82" t="str">
        <f>VLOOKUP(N82,'Products (2)'!A:G,2,0)</f>
        <v>Arabica</v>
      </c>
      <c r="N82" t="s">
        <v>192</v>
      </c>
      <c r="O82" t="str">
        <f>VLOOKUP(N82,'Products (2)'!A:G,3,0)</f>
        <v>Light</v>
      </c>
      <c r="P82">
        <f>VLOOKUP(N82,'Products (2)'!A:G,7,0)</f>
        <v>0.69929999999999992</v>
      </c>
      <c r="Q82">
        <v>5</v>
      </c>
      <c r="R82">
        <f>INDEX([1]products!$A$1:$G$49,MATCH([1]orders!$D82,[1]products!$A$1:$A$49,0),MATCH([1]orders!K$1,[1]products!$A$1:$G$1,0))</f>
        <v>0.5</v>
      </c>
      <c r="S82">
        <f>INDEX([1]products!$A$1:$G$49,MATCH([1]orders!$D82,[1]products!$A$1:$A$49,0),MATCH([1]orders!L$1,[1]products!$A$1:$G$1,0))</f>
        <v>7.77</v>
      </c>
      <c r="T82">
        <f t="shared" si="7"/>
        <v>38.849999999999994</v>
      </c>
      <c r="U82">
        <f t="shared" si="10"/>
        <v>3.4964999999999997</v>
      </c>
      <c r="V82">
        <f t="shared" si="11"/>
        <v>9.0000000000000018</v>
      </c>
    </row>
    <row r="83" spans="1:22" x14ac:dyDescent="0.25">
      <c r="A83" t="s">
        <v>193</v>
      </c>
      <c r="B83">
        <v>43763</v>
      </c>
      <c r="C83" t="str">
        <f t="shared" si="8"/>
        <v>25</v>
      </c>
      <c r="D83" t="str">
        <f t="shared" si="6"/>
        <v>October</v>
      </c>
      <c r="E83" t="str">
        <f t="shared" si="9"/>
        <v>2019</v>
      </c>
      <c r="F83" t="s">
        <v>194</v>
      </c>
      <c r="G83" t="str">
        <f>VLOOKUP(F83,'Customers (2)'!A:I,2,0)</f>
        <v>Sheppard Yann</v>
      </c>
      <c r="H83" t="str">
        <f>VLOOKUP(F83,'Customers (2)'!A:I,3,0)</f>
        <v>syann29@senate.gov</v>
      </c>
      <c r="I83" t="str">
        <f>VLOOKUP(F83,'Customers (2)'!A:I,4,0)</f>
        <v>+1 (719) 803-5276</v>
      </c>
      <c r="J83" t="str">
        <f>VLOOKUP(F83,'Customers (2)'!A:I,6,0)</f>
        <v>Colorado Springs</v>
      </c>
      <c r="K83" t="str">
        <f>VLOOKUP(F83,'Customers (2)'!A:I,7,0)</f>
        <v>United States</v>
      </c>
      <c r="L83" t="str">
        <f>VLOOKUP(F83,'Customers (2)'!A:I,9,0)</f>
        <v>Yes</v>
      </c>
      <c r="M83" t="str">
        <f>VLOOKUP(N83,'Products (2)'!A:G,2,0)</f>
        <v>Liberica</v>
      </c>
      <c r="N83" t="s">
        <v>104</v>
      </c>
      <c r="O83" t="str">
        <f>VLOOKUP(N83,'Products (2)'!A:G,3,0)</f>
        <v>Light</v>
      </c>
      <c r="P83">
        <f>VLOOKUP(N83,'Products (2)'!A:G,7,0)</f>
        <v>4.7391499999999995</v>
      </c>
      <c r="Q83">
        <v>3</v>
      </c>
      <c r="R83">
        <f>INDEX([1]products!$A$1:$G$49,MATCH([1]orders!$D83,[1]products!$A$1:$A$49,0),MATCH([1]orders!K$1,[1]products!$A$1:$G$1,0))</f>
        <v>2.5</v>
      </c>
      <c r="S83">
        <f>INDEX([1]products!$A$1:$G$49,MATCH([1]orders!$D83,[1]products!$A$1:$A$49,0),MATCH([1]orders!L$1,[1]products!$A$1:$G$1,0))</f>
        <v>36.454999999999998</v>
      </c>
      <c r="T83">
        <f t="shared" si="7"/>
        <v>109.36499999999999</v>
      </c>
      <c r="U83">
        <f t="shared" si="10"/>
        <v>14.217449999999999</v>
      </c>
      <c r="V83">
        <f t="shared" si="11"/>
        <v>13</v>
      </c>
    </row>
    <row r="84" spans="1:22" x14ac:dyDescent="0.25">
      <c r="A84" t="s">
        <v>195</v>
      </c>
      <c r="B84">
        <v>43721</v>
      </c>
      <c r="C84" t="str">
        <f t="shared" si="8"/>
        <v>13</v>
      </c>
      <c r="D84" t="str">
        <f t="shared" si="6"/>
        <v>September</v>
      </c>
      <c r="E84" t="str">
        <f t="shared" si="9"/>
        <v>2019</v>
      </c>
      <c r="F84" t="s">
        <v>196</v>
      </c>
      <c r="G84" t="str">
        <f>VLOOKUP(F84,'Customers (2)'!A:I,2,0)</f>
        <v>Bunny Naulls</v>
      </c>
      <c r="H84" t="str">
        <f>VLOOKUP(F84,'Customers (2)'!A:I,3,0)</f>
        <v>bnaulls2a@tiny.cc</v>
      </c>
      <c r="I84" t="str">
        <f>VLOOKUP(F84,'Customers (2)'!A:I,4,0)</f>
        <v>+353 (809) 128-0755</v>
      </c>
      <c r="J84" t="str">
        <f>VLOOKUP(F84,'Customers (2)'!A:I,6,0)</f>
        <v>Adare</v>
      </c>
      <c r="K84" t="str">
        <f>VLOOKUP(F84,'Customers (2)'!A:I,7,0)</f>
        <v>Ireland</v>
      </c>
      <c r="L84" t="str">
        <f>VLOOKUP(F84,'Customers (2)'!A:I,9,0)</f>
        <v>Yes</v>
      </c>
      <c r="M84" t="str">
        <f>VLOOKUP(N84,'Products (2)'!A:G,2,0)</f>
        <v>Liberica</v>
      </c>
      <c r="N84" t="s">
        <v>197</v>
      </c>
      <c r="O84" t="str">
        <f>VLOOKUP(N84,'Products (2)'!A:G,3,0)</f>
        <v>Medium</v>
      </c>
      <c r="P84">
        <f>VLOOKUP(N84,'Products (2)'!A:G,7,0)</f>
        <v>4.3504499999999995</v>
      </c>
      <c r="Q84">
        <v>3</v>
      </c>
      <c r="R84">
        <f>INDEX([1]products!$A$1:$G$49,MATCH([1]orders!$D84,[1]products!$A$1:$A$49,0),MATCH([1]orders!K$1,[1]products!$A$1:$G$1,0))</f>
        <v>2.5</v>
      </c>
      <c r="S84">
        <f>INDEX([1]products!$A$1:$G$49,MATCH([1]orders!$D84,[1]products!$A$1:$A$49,0),MATCH([1]orders!L$1,[1]products!$A$1:$G$1,0))</f>
        <v>33.464999999999996</v>
      </c>
      <c r="T84">
        <f t="shared" si="7"/>
        <v>100.39499999999998</v>
      </c>
      <c r="U84">
        <f t="shared" si="10"/>
        <v>13.051349999999999</v>
      </c>
      <c r="V84">
        <f t="shared" si="11"/>
        <v>13</v>
      </c>
    </row>
    <row r="85" spans="1:22" x14ac:dyDescent="0.25">
      <c r="A85" t="s">
        <v>198</v>
      </c>
      <c r="B85">
        <v>43933</v>
      </c>
      <c r="C85" t="str">
        <f t="shared" si="8"/>
        <v>12</v>
      </c>
      <c r="D85" t="str">
        <f t="shared" si="6"/>
        <v>April</v>
      </c>
      <c r="E85" t="str">
        <f t="shared" si="9"/>
        <v>2020</v>
      </c>
      <c r="F85" t="s">
        <v>199</v>
      </c>
      <c r="G85" t="str">
        <f>VLOOKUP(F85,'Customers (2)'!A:I,2,0)</f>
        <v>Hally Lorait</v>
      </c>
      <c r="H85">
        <f>VLOOKUP(F85,'Customers (2)'!A:I,3,0)</f>
        <v>0</v>
      </c>
      <c r="I85" t="str">
        <f>VLOOKUP(F85,'Customers (2)'!A:I,4,0)</f>
        <v>+1 (716) 869-3749</v>
      </c>
      <c r="J85" t="str">
        <f>VLOOKUP(F85,'Customers (2)'!A:I,6,0)</f>
        <v>Buffalo</v>
      </c>
      <c r="K85" t="str">
        <f>VLOOKUP(F85,'Customers (2)'!A:I,7,0)</f>
        <v>United States</v>
      </c>
      <c r="L85" t="str">
        <f>VLOOKUP(F85,'Customers (2)'!A:I,9,0)</f>
        <v>Yes</v>
      </c>
      <c r="M85" t="str">
        <f>VLOOKUP(N85,'Products (2)'!A:G,2,0)</f>
        <v>Robusta</v>
      </c>
      <c r="N85" t="s">
        <v>35</v>
      </c>
      <c r="O85" t="str">
        <f>VLOOKUP(N85,'Products (2)'!A:G,3,0)</f>
        <v>Dark</v>
      </c>
      <c r="P85">
        <f>VLOOKUP(N85,'Products (2)'!A:G,7,0)</f>
        <v>1.2350999999999999</v>
      </c>
      <c r="Q85">
        <v>4</v>
      </c>
      <c r="R85">
        <f>INDEX([1]products!$A$1:$G$49,MATCH([1]orders!$D85,[1]products!$A$1:$A$49,0),MATCH([1]orders!K$1,[1]products!$A$1:$G$1,0))</f>
        <v>2.5</v>
      </c>
      <c r="S85">
        <f>INDEX([1]products!$A$1:$G$49,MATCH([1]orders!$D85,[1]products!$A$1:$A$49,0),MATCH([1]orders!L$1,[1]products!$A$1:$G$1,0))</f>
        <v>20.584999999999997</v>
      </c>
      <c r="T85">
        <f t="shared" si="7"/>
        <v>82.339999999999989</v>
      </c>
      <c r="U85">
        <f t="shared" si="10"/>
        <v>4.9403999999999995</v>
      </c>
      <c r="V85">
        <f t="shared" si="11"/>
        <v>6.0000000000000009</v>
      </c>
    </row>
    <row r="86" spans="1:22" x14ac:dyDescent="0.25">
      <c r="A86" t="s">
        <v>200</v>
      </c>
      <c r="B86">
        <v>43783</v>
      </c>
      <c r="C86" t="str">
        <f t="shared" si="8"/>
        <v>14</v>
      </c>
      <c r="D86" t="str">
        <f t="shared" si="6"/>
        <v>November</v>
      </c>
      <c r="E86" t="str">
        <f t="shared" si="9"/>
        <v>2019</v>
      </c>
      <c r="F86" t="s">
        <v>201</v>
      </c>
      <c r="G86" t="str">
        <f>VLOOKUP(F86,'Customers (2)'!A:I,2,0)</f>
        <v>Zaccaria Sherewood</v>
      </c>
      <c r="H86" t="str">
        <f>VLOOKUP(F86,'Customers (2)'!A:I,3,0)</f>
        <v>zsherewood2c@apache.org</v>
      </c>
      <c r="I86" t="str">
        <f>VLOOKUP(F86,'Customers (2)'!A:I,4,0)</f>
        <v>+1 (209) 433-7924</v>
      </c>
      <c r="J86" t="str">
        <f>VLOOKUP(F86,'Customers (2)'!A:I,6,0)</f>
        <v>Fresno</v>
      </c>
      <c r="K86" t="str">
        <f>VLOOKUP(F86,'Customers (2)'!A:I,7,0)</f>
        <v>United States</v>
      </c>
      <c r="L86" t="str">
        <f>VLOOKUP(F86,'Customers (2)'!A:I,9,0)</f>
        <v>No</v>
      </c>
      <c r="M86" t="str">
        <f>VLOOKUP(N86,'Products (2)'!A:G,2,0)</f>
        <v>Liberica</v>
      </c>
      <c r="N86" t="s">
        <v>83</v>
      </c>
      <c r="O86" t="str">
        <f>VLOOKUP(N86,'Products (2)'!A:G,3,0)</f>
        <v>Light</v>
      </c>
      <c r="P86">
        <f>VLOOKUP(N86,'Products (2)'!A:G,7,0)</f>
        <v>1.2363</v>
      </c>
      <c r="Q86">
        <v>1</v>
      </c>
      <c r="R86">
        <f>INDEX([1]products!$A$1:$G$49,MATCH([1]orders!$D86,[1]products!$A$1:$A$49,0),MATCH([1]orders!K$1,[1]products!$A$1:$G$1,0))</f>
        <v>0.5</v>
      </c>
      <c r="S86">
        <f>INDEX([1]products!$A$1:$G$49,MATCH([1]orders!$D86,[1]products!$A$1:$A$49,0),MATCH([1]orders!L$1,[1]products!$A$1:$G$1,0))</f>
        <v>9.51</v>
      </c>
      <c r="T86">
        <f t="shared" si="7"/>
        <v>9.51</v>
      </c>
      <c r="U86">
        <f t="shared" si="10"/>
        <v>1.2363</v>
      </c>
      <c r="V86">
        <f t="shared" si="11"/>
        <v>13</v>
      </c>
    </row>
    <row r="87" spans="1:22" x14ac:dyDescent="0.25">
      <c r="A87" t="s">
        <v>202</v>
      </c>
      <c r="B87">
        <v>43664</v>
      </c>
      <c r="C87" t="str">
        <f t="shared" si="8"/>
        <v>18</v>
      </c>
      <c r="D87" t="str">
        <f t="shared" si="6"/>
        <v>July</v>
      </c>
      <c r="E87" t="str">
        <f t="shared" si="9"/>
        <v>2019</v>
      </c>
      <c r="F87" t="s">
        <v>203</v>
      </c>
      <c r="G87" t="str">
        <f>VLOOKUP(F87,'Customers (2)'!A:I,2,0)</f>
        <v>Jeffrey Dufaire</v>
      </c>
      <c r="H87" t="str">
        <f>VLOOKUP(F87,'Customers (2)'!A:I,3,0)</f>
        <v>jdufaire2d@fc2.com</v>
      </c>
      <c r="I87">
        <f>VLOOKUP(F87,'Customers (2)'!A:I,4,0)</f>
        <v>0</v>
      </c>
      <c r="J87" t="str">
        <f>VLOOKUP(F87,'Customers (2)'!A:I,6,0)</f>
        <v>Fort Worth</v>
      </c>
      <c r="K87" t="str">
        <f>VLOOKUP(F87,'Customers (2)'!A:I,7,0)</f>
        <v>United States</v>
      </c>
      <c r="L87" t="str">
        <f>VLOOKUP(F87,'Customers (2)'!A:I,9,0)</f>
        <v>No</v>
      </c>
      <c r="M87" t="str">
        <f>VLOOKUP(N87,'Products (2)'!A:G,2,0)</f>
        <v>Arabica</v>
      </c>
      <c r="N87" t="s">
        <v>204</v>
      </c>
      <c r="O87" t="str">
        <f>VLOOKUP(N87,'Products (2)'!A:G,3,0)</f>
        <v>Light</v>
      </c>
      <c r="P87">
        <f>VLOOKUP(N87,'Products (2)'!A:G,7,0)</f>
        <v>2.6806499999999995</v>
      </c>
      <c r="Q87">
        <v>3</v>
      </c>
      <c r="R87">
        <f>INDEX([1]products!$A$1:$G$49,MATCH([1]orders!$D87,[1]products!$A$1:$A$49,0),MATCH([1]orders!K$1,[1]products!$A$1:$G$1,0))</f>
        <v>2.5</v>
      </c>
      <c r="S87">
        <f>INDEX([1]products!$A$1:$G$49,MATCH([1]orders!$D87,[1]products!$A$1:$A$49,0),MATCH([1]orders!L$1,[1]products!$A$1:$G$1,0))</f>
        <v>29.784999999999997</v>
      </c>
      <c r="T87">
        <f t="shared" si="7"/>
        <v>89.35499999999999</v>
      </c>
      <c r="U87">
        <f t="shared" si="10"/>
        <v>8.0419499999999982</v>
      </c>
      <c r="V87">
        <f t="shared" si="11"/>
        <v>8.9999999999999982</v>
      </c>
    </row>
    <row r="88" spans="1:22" x14ac:dyDescent="0.25">
      <c r="A88" t="s">
        <v>202</v>
      </c>
      <c r="B88">
        <v>43664</v>
      </c>
      <c r="C88" t="str">
        <f t="shared" si="8"/>
        <v>18</v>
      </c>
      <c r="D88" t="str">
        <f t="shared" si="6"/>
        <v>July</v>
      </c>
      <c r="E88" t="str">
        <f t="shared" si="9"/>
        <v>2019</v>
      </c>
      <c r="F88" t="s">
        <v>203</v>
      </c>
      <c r="G88" t="str">
        <f>VLOOKUP(F88,'Customers (2)'!A:I,2,0)</f>
        <v>Jeffrey Dufaire</v>
      </c>
      <c r="H88" t="str">
        <f>VLOOKUP(F88,'Customers (2)'!A:I,3,0)</f>
        <v>jdufaire2d@fc2.com</v>
      </c>
      <c r="I88">
        <f>VLOOKUP(F88,'Customers (2)'!A:I,4,0)</f>
        <v>0</v>
      </c>
      <c r="J88" t="str">
        <f>VLOOKUP(F88,'Customers (2)'!A:I,6,0)</f>
        <v>Fort Worth</v>
      </c>
      <c r="K88" t="str">
        <f>VLOOKUP(F88,'Customers (2)'!A:I,7,0)</f>
        <v>United States</v>
      </c>
      <c r="L88" t="str">
        <f>VLOOKUP(F88,'Customers (2)'!A:I,9,0)</f>
        <v>No</v>
      </c>
      <c r="M88" t="str">
        <f>VLOOKUP(N88,'Products (2)'!A:G,2,0)</f>
        <v>Arabica</v>
      </c>
      <c r="N88" t="s">
        <v>54</v>
      </c>
      <c r="O88" t="str">
        <f>VLOOKUP(N88,'Products (2)'!A:G,3,0)</f>
        <v>Dark</v>
      </c>
      <c r="P88">
        <f>VLOOKUP(N88,'Products (2)'!A:G,7,0)</f>
        <v>0.26865</v>
      </c>
      <c r="Q88">
        <v>4</v>
      </c>
      <c r="R88">
        <f>INDEX([1]products!$A$1:$G$49,MATCH([1]orders!$D88,[1]products!$A$1:$A$49,0),MATCH([1]orders!K$1,[1]products!$A$1:$G$1,0))</f>
        <v>0.2</v>
      </c>
      <c r="S88">
        <f>INDEX([1]products!$A$1:$G$49,MATCH([1]orders!$D88,[1]products!$A$1:$A$49,0),MATCH([1]orders!L$1,[1]products!$A$1:$G$1,0))</f>
        <v>2.9849999999999999</v>
      </c>
      <c r="T88">
        <f t="shared" si="7"/>
        <v>11.94</v>
      </c>
      <c r="U88">
        <f t="shared" si="10"/>
        <v>1.0746</v>
      </c>
      <c r="V88">
        <f t="shared" si="11"/>
        <v>9.0000000000000018</v>
      </c>
    </row>
    <row r="89" spans="1:22" x14ac:dyDescent="0.25">
      <c r="A89" t="s">
        <v>205</v>
      </c>
      <c r="B89">
        <v>44289</v>
      </c>
      <c r="C89" t="str">
        <f t="shared" si="8"/>
        <v>03</v>
      </c>
      <c r="D89" t="str">
        <f t="shared" si="6"/>
        <v>April</v>
      </c>
      <c r="E89" t="str">
        <f t="shared" si="9"/>
        <v>2021</v>
      </c>
      <c r="F89" t="s">
        <v>206</v>
      </c>
      <c r="G89" t="str">
        <f>VLOOKUP(F89,'Customers (2)'!A:I,2,0)</f>
        <v>Beitris Keaveney</v>
      </c>
      <c r="H89" t="str">
        <f>VLOOKUP(F89,'Customers (2)'!A:I,3,0)</f>
        <v>bkeaveney2f@netlog.com</v>
      </c>
      <c r="I89">
        <f>VLOOKUP(F89,'Customers (2)'!A:I,4,0)</f>
        <v>0</v>
      </c>
      <c r="J89" t="str">
        <f>VLOOKUP(F89,'Customers (2)'!A:I,6,0)</f>
        <v>Beaumont</v>
      </c>
      <c r="K89" t="str">
        <f>VLOOKUP(F89,'Customers (2)'!A:I,7,0)</f>
        <v>United States</v>
      </c>
      <c r="L89" t="str">
        <f>VLOOKUP(F89,'Customers (2)'!A:I,9,0)</f>
        <v>No</v>
      </c>
      <c r="M89" t="str">
        <f>VLOOKUP(N89,'Products (2)'!A:G,2,0)</f>
        <v>Arabica</v>
      </c>
      <c r="N89" t="s">
        <v>61</v>
      </c>
      <c r="O89" t="str">
        <f>VLOOKUP(N89,'Products (2)'!A:G,3,0)</f>
        <v>Medium</v>
      </c>
      <c r="P89">
        <f>VLOOKUP(N89,'Products (2)'!A:G,7,0)</f>
        <v>1.0125</v>
      </c>
      <c r="Q89">
        <v>3</v>
      </c>
      <c r="R89">
        <f>INDEX([1]products!$A$1:$G$49,MATCH([1]orders!$D89,[1]products!$A$1:$A$49,0),MATCH([1]orders!K$1,[1]products!$A$1:$G$1,0))</f>
        <v>1</v>
      </c>
      <c r="S89">
        <f>INDEX([1]products!$A$1:$G$49,MATCH([1]orders!$D89,[1]products!$A$1:$A$49,0),MATCH([1]orders!L$1,[1]products!$A$1:$G$1,0))</f>
        <v>11.25</v>
      </c>
      <c r="T89">
        <f t="shared" si="7"/>
        <v>33.75</v>
      </c>
      <c r="U89">
        <f t="shared" si="10"/>
        <v>3.0374999999999996</v>
      </c>
      <c r="V89">
        <f t="shared" si="11"/>
        <v>8.9999999999999982</v>
      </c>
    </row>
    <row r="90" spans="1:22" x14ac:dyDescent="0.25">
      <c r="A90" t="s">
        <v>207</v>
      </c>
      <c r="B90">
        <v>44284</v>
      </c>
      <c r="C90" t="str">
        <f t="shared" si="8"/>
        <v>29</v>
      </c>
      <c r="D90" t="str">
        <f t="shared" si="6"/>
        <v>March</v>
      </c>
      <c r="E90" t="str">
        <f t="shared" si="9"/>
        <v>2021</v>
      </c>
      <c r="F90" t="s">
        <v>208</v>
      </c>
      <c r="G90" t="str">
        <f>VLOOKUP(F90,'Customers (2)'!A:I,2,0)</f>
        <v>Elna Grise</v>
      </c>
      <c r="H90" t="str">
        <f>VLOOKUP(F90,'Customers (2)'!A:I,3,0)</f>
        <v>egrise2g@cargocollective.com</v>
      </c>
      <c r="I90">
        <f>VLOOKUP(F90,'Customers (2)'!A:I,4,0)</f>
        <v>0</v>
      </c>
      <c r="J90" t="str">
        <f>VLOOKUP(F90,'Customers (2)'!A:I,6,0)</f>
        <v>Reno</v>
      </c>
      <c r="K90" t="str">
        <f>VLOOKUP(F90,'Customers (2)'!A:I,7,0)</f>
        <v>United States</v>
      </c>
      <c r="L90" t="str">
        <f>VLOOKUP(F90,'Customers (2)'!A:I,9,0)</f>
        <v>No</v>
      </c>
      <c r="M90" t="str">
        <f>VLOOKUP(N90,'Products (2)'!A:G,2,0)</f>
        <v>Robusta</v>
      </c>
      <c r="N90" t="s">
        <v>189</v>
      </c>
      <c r="O90" t="str">
        <f>VLOOKUP(N90,'Products (2)'!A:G,3,0)</f>
        <v>Light</v>
      </c>
      <c r="P90">
        <f>VLOOKUP(N90,'Products (2)'!A:G,7,0)</f>
        <v>0.71699999999999997</v>
      </c>
      <c r="Q90">
        <v>3</v>
      </c>
      <c r="R90">
        <f>INDEX([1]products!$A$1:$G$49,MATCH([1]orders!$D90,[1]products!$A$1:$A$49,0),MATCH([1]orders!K$1,[1]products!$A$1:$G$1,0))</f>
        <v>1</v>
      </c>
      <c r="S90">
        <f>INDEX([1]products!$A$1:$G$49,MATCH([1]orders!$D90,[1]products!$A$1:$A$49,0),MATCH([1]orders!L$1,[1]products!$A$1:$G$1,0))</f>
        <v>11.95</v>
      </c>
      <c r="T90">
        <f t="shared" si="7"/>
        <v>35.849999999999994</v>
      </c>
      <c r="U90">
        <f t="shared" si="10"/>
        <v>2.1509999999999998</v>
      </c>
      <c r="V90">
        <f t="shared" si="11"/>
        <v>6.0000000000000009</v>
      </c>
    </row>
    <row r="91" spans="1:22" x14ac:dyDescent="0.25">
      <c r="A91" t="s">
        <v>209</v>
      </c>
      <c r="B91">
        <v>44545</v>
      </c>
      <c r="C91" t="str">
        <f t="shared" si="8"/>
        <v>15</v>
      </c>
      <c r="D91" t="str">
        <f t="shared" si="6"/>
        <v>December</v>
      </c>
      <c r="E91" t="str">
        <f t="shared" si="9"/>
        <v>2021</v>
      </c>
      <c r="F91" t="s">
        <v>210</v>
      </c>
      <c r="G91" t="str">
        <f>VLOOKUP(F91,'Customers (2)'!A:I,2,0)</f>
        <v>Torie Gottelier</v>
      </c>
      <c r="H91" t="str">
        <f>VLOOKUP(F91,'Customers (2)'!A:I,3,0)</f>
        <v>tgottelier2h@vistaprint.com</v>
      </c>
      <c r="I91" t="str">
        <f>VLOOKUP(F91,'Customers (2)'!A:I,4,0)</f>
        <v>+1 (816) 743-8492</v>
      </c>
      <c r="J91" t="str">
        <f>VLOOKUP(F91,'Customers (2)'!A:I,6,0)</f>
        <v>Kansas City</v>
      </c>
      <c r="K91" t="str">
        <f>VLOOKUP(F91,'Customers (2)'!A:I,7,0)</f>
        <v>United States</v>
      </c>
      <c r="L91" t="str">
        <f>VLOOKUP(F91,'Customers (2)'!A:I,9,0)</f>
        <v>No</v>
      </c>
      <c r="M91" t="str">
        <f>VLOOKUP(N91,'Products (2)'!A:G,2,0)</f>
        <v>Arabica</v>
      </c>
      <c r="N91" t="s">
        <v>6</v>
      </c>
      <c r="O91" t="str">
        <f>VLOOKUP(N91,'Products (2)'!A:G,3,0)</f>
        <v>Light</v>
      </c>
      <c r="P91">
        <f>VLOOKUP(N91,'Products (2)'!A:G,7,0)</f>
        <v>1.1655</v>
      </c>
      <c r="Q91">
        <v>6</v>
      </c>
      <c r="R91">
        <f>INDEX([1]products!$A$1:$G$49,MATCH([1]orders!$D91,[1]products!$A$1:$A$49,0),MATCH([1]orders!K$1,[1]products!$A$1:$G$1,0))</f>
        <v>1</v>
      </c>
      <c r="S91">
        <f>INDEX([1]products!$A$1:$G$49,MATCH([1]orders!$D91,[1]products!$A$1:$A$49,0),MATCH([1]orders!L$1,[1]products!$A$1:$G$1,0))</f>
        <v>12.95</v>
      </c>
      <c r="T91">
        <f t="shared" si="7"/>
        <v>77.699999999999989</v>
      </c>
      <c r="U91">
        <f t="shared" si="10"/>
        <v>6.9930000000000003</v>
      </c>
      <c r="V91">
        <f t="shared" si="11"/>
        <v>9.0000000000000018</v>
      </c>
    </row>
    <row r="92" spans="1:22" x14ac:dyDescent="0.25">
      <c r="A92" t="s">
        <v>211</v>
      </c>
      <c r="B92">
        <v>43971</v>
      </c>
      <c r="C92" t="str">
        <f t="shared" si="8"/>
        <v>20</v>
      </c>
      <c r="D92" t="str">
        <f t="shared" si="6"/>
        <v>May</v>
      </c>
      <c r="E92" t="str">
        <f t="shared" si="9"/>
        <v>2020</v>
      </c>
      <c r="F92" t="s">
        <v>212</v>
      </c>
      <c r="G92" t="str">
        <f>VLOOKUP(F92,'Customers (2)'!A:I,2,0)</f>
        <v>Loydie Langlais</v>
      </c>
      <c r="H92">
        <f>VLOOKUP(F92,'Customers (2)'!A:I,3,0)</f>
        <v>0</v>
      </c>
      <c r="I92" t="str">
        <f>VLOOKUP(F92,'Customers (2)'!A:I,4,0)</f>
        <v>+353 (576) 222-5069</v>
      </c>
      <c r="J92" t="str">
        <f>VLOOKUP(F92,'Customers (2)'!A:I,6,0)</f>
        <v>Crumlin</v>
      </c>
      <c r="K92" t="str">
        <f>VLOOKUP(F92,'Customers (2)'!A:I,7,0)</f>
        <v>Ireland</v>
      </c>
      <c r="L92" t="str">
        <f>VLOOKUP(F92,'Customers (2)'!A:I,9,0)</f>
        <v>Yes</v>
      </c>
      <c r="M92" t="str">
        <f>VLOOKUP(N92,'Products (2)'!A:G,2,0)</f>
        <v>Arabica</v>
      </c>
      <c r="N92" t="s">
        <v>6</v>
      </c>
      <c r="O92" t="str">
        <f>VLOOKUP(N92,'Products (2)'!A:G,3,0)</f>
        <v>Light</v>
      </c>
      <c r="P92">
        <f>VLOOKUP(N92,'Products (2)'!A:G,7,0)</f>
        <v>1.1655</v>
      </c>
      <c r="Q92">
        <v>4</v>
      </c>
      <c r="R92">
        <f>INDEX([1]products!$A$1:$G$49,MATCH([1]orders!$D92,[1]products!$A$1:$A$49,0),MATCH([1]orders!K$1,[1]products!$A$1:$G$1,0))</f>
        <v>1</v>
      </c>
      <c r="S92">
        <f>INDEX([1]products!$A$1:$G$49,MATCH([1]orders!$D92,[1]products!$A$1:$A$49,0),MATCH([1]orders!L$1,[1]products!$A$1:$G$1,0))</f>
        <v>12.95</v>
      </c>
      <c r="T92">
        <f t="shared" si="7"/>
        <v>51.8</v>
      </c>
      <c r="U92">
        <f t="shared" si="10"/>
        <v>4.6619999999999999</v>
      </c>
      <c r="V92">
        <f t="shared" si="11"/>
        <v>9</v>
      </c>
    </row>
    <row r="93" spans="1:22" x14ac:dyDescent="0.25">
      <c r="A93" t="s">
        <v>213</v>
      </c>
      <c r="B93">
        <v>44137</v>
      </c>
      <c r="C93" t="str">
        <f t="shared" si="8"/>
        <v>02</v>
      </c>
      <c r="D93" t="str">
        <f t="shared" si="6"/>
        <v>November</v>
      </c>
      <c r="E93" t="str">
        <f t="shared" si="9"/>
        <v>2020</v>
      </c>
      <c r="F93" t="s">
        <v>214</v>
      </c>
      <c r="G93" t="str">
        <f>VLOOKUP(F93,'Customers (2)'!A:I,2,0)</f>
        <v>Adham Greenhead</v>
      </c>
      <c r="H93" t="str">
        <f>VLOOKUP(F93,'Customers (2)'!A:I,3,0)</f>
        <v>agreenhead2j@dailymail.co.uk</v>
      </c>
      <c r="I93" t="str">
        <f>VLOOKUP(F93,'Customers (2)'!A:I,4,0)</f>
        <v>+1 (951) 797-0738</v>
      </c>
      <c r="J93" t="str">
        <f>VLOOKUP(F93,'Customers (2)'!A:I,6,0)</f>
        <v>Corona</v>
      </c>
      <c r="K93" t="str">
        <f>VLOOKUP(F93,'Customers (2)'!A:I,7,0)</f>
        <v>United States</v>
      </c>
      <c r="L93" t="str">
        <f>VLOOKUP(F93,'Customers (2)'!A:I,9,0)</f>
        <v>No</v>
      </c>
      <c r="M93" t="str">
        <f>VLOOKUP(N93,'Products (2)'!A:G,2,0)</f>
        <v>Arabica</v>
      </c>
      <c r="N93" t="s">
        <v>171</v>
      </c>
      <c r="O93" t="str">
        <f>VLOOKUP(N93,'Products (2)'!A:G,3,0)</f>
        <v>Medium</v>
      </c>
      <c r="P93">
        <f>VLOOKUP(N93,'Products (2)'!A:G,7,0)</f>
        <v>2.3287499999999994</v>
      </c>
      <c r="Q93">
        <v>4</v>
      </c>
      <c r="R93">
        <f>INDEX([1]products!$A$1:$G$49,MATCH([1]orders!$D93,[1]products!$A$1:$A$49,0),MATCH([1]orders!K$1,[1]products!$A$1:$G$1,0))</f>
        <v>2.5</v>
      </c>
      <c r="S93">
        <f>INDEX([1]products!$A$1:$G$49,MATCH([1]orders!$D93,[1]products!$A$1:$A$49,0),MATCH([1]orders!L$1,[1]products!$A$1:$G$1,0))</f>
        <v>25.874999999999996</v>
      </c>
      <c r="T93">
        <f t="shared" si="7"/>
        <v>103.49999999999999</v>
      </c>
      <c r="U93">
        <f t="shared" si="10"/>
        <v>9.3149999999999977</v>
      </c>
      <c r="V93">
        <f t="shared" si="11"/>
        <v>9</v>
      </c>
    </row>
    <row r="94" spans="1:22" x14ac:dyDescent="0.25">
      <c r="A94" t="s">
        <v>215</v>
      </c>
      <c r="B94">
        <v>44037</v>
      </c>
      <c r="C94" t="str">
        <f t="shared" si="8"/>
        <v>25</v>
      </c>
      <c r="D94" t="str">
        <f t="shared" si="6"/>
        <v>July</v>
      </c>
      <c r="E94" t="str">
        <f t="shared" si="9"/>
        <v>2020</v>
      </c>
      <c r="F94" t="s">
        <v>216</v>
      </c>
      <c r="G94" t="str">
        <f>VLOOKUP(F94,'Customers (2)'!A:I,2,0)</f>
        <v>Hamish MacSherry</v>
      </c>
      <c r="H94">
        <f>VLOOKUP(F94,'Customers (2)'!A:I,3,0)</f>
        <v>0</v>
      </c>
      <c r="I94" t="str">
        <f>VLOOKUP(F94,'Customers (2)'!A:I,4,0)</f>
        <v>+1 (512) 430-4374</v>
      </c>
      <c r="J94" t="str">
        <f>VLOOKUP(F94,'Customers (2)'!A:I,6,0)</f>
        <v>Austin</v>
      </c>
      <c r="K94" t="str">
        <f>VLOOKUP(F94,'Customers (2)'!A:I,7,0)</f>
        <v>United States</v>
      </c>
      <c r="L94" t="str">
        <f>VLOOKUP(F94,'Customers (2)'!A:I,9,0)</f>
        <v>Yes</v>
      </c>
      <c r="M94" t="str">
        <f>VLOOKUP(N94,'Products (2)'!A:G,2,0)</f>
        <v>Excelsa</v>
      </c>
      <c r="N94" t="s">
        <v>137</v>
      </c>
      <c r="O94" t="str">
        <f>VLOOKUP(N94,'Products (2)'!A:G,3,0)</f>
        <v>Light</v>
      </c>
      <c r="P94">
        <f>VLOOKUP(N94,'Products (2)'!A:G,7,0)</f>
        <v>1.6335</v>
      </c>
      <c r="Q94">
        <v>3</v>
      </c>
      <c r="R94">
        <f>INDEX([1]products!$A$1:$G$49,MATCH([1]orders!$D94,[1]products!$A$1:$A$49,0),MATCH([1]orders!K$1,[1]products!$A$1:$G$1,0))</f>
        <v>1</v>
      </c>
      <c r="S94">
        <f>INDEX([1]products!$A$1:$G$49,MATCH([1]orders!$D94,[1]products!$A$1:$A$49,0),MATCH([1]orders!L$1,[1]products!$A$1:$G$1,0))</f>
        <v>14.85</v>
      </c>
      <c r="T94">
        <f t="shared" si="7"/>
        <v>44.55</v>
      </c>
      <c r="U94">
        <f t="shared" si="10"/>
        <v>4.9005000000000001</v>
      </c>
      <c r="V94">
        <f t="shared" si="11"/>
        <v>11.000000000000002</v>
      </c>
    </row>
    <row r="95" spans="1:22" x14ac:dyDescent="0.25">
      <c r="A95" t="s">
        <v>217</v>
      </c>
      <c r="B95">
        <v>43538</v>
      </c>
      <c r="C95" t="str">
        <f t="shared" si="8"/>
        <v>14</v>
      </c>
      <c r="D95" t="str">
        <f t="shared" si="6"/>
        <v>March</v>
      </c>
      <c r="E95" t="str">
        <f t="shared" si="9"/>
        <v>2019</v>
      </c>
      <c r="F95" t="s">
        <v>218</v>
      </c>
      <c r="G95" t="str">
        <f>VLOOKUP(F95,'Customers (2)'!A:I,2,0)</f>
        <v>Else Langcaster</v>
      </c>
      <c r="H95" t="str">
        <f>VLOOKUP(F95,'Customers (2)'!A:I,3,0)</f>
        <v>elangcaster2l@spotify.com</v>
      </c>
      <c r="I95" t="str">
        <f>VLOOKUP(F95,'Customers (2)'!A:I,4,0)</f>
        <v>+44 (547) 590-3103</v>
      </c>
      <c r="J95" t="str">
        <f>VLOOKUP(F95,'Customers (2)'!A:I,6,0)</f>
        <v>Normanton</v>
      </c>
      <c r="K95" t="str">
        <f>VLOOKUP(F95,'Customers (2)'!A:I,7,0)</f>
        <v>United Kingdom</v>
      </c>
      <c r="L95" t="str">
        <f>VLOOKUP(F95,'Customers (2)'!A:I,9,0)</f>
        <v>Yes</v>
      </c>
      <c r="M95" t="str">
        <f>VLOOKUP(N95,'Products (2)'!A:G,2,0)</f>
        <v>Excelsa</v>
      </c>
      <c r="N95" t="s">
        <v>176</v>
      </c>
      <c r="O95" t="str">
        <f>VLOOKUP(N95,'Products (2)'!A:G,3,0)</f>
        <v>Light</v>
      </c>
      <c r="P95">
        <f>VLOOKUP(N95,'Products (2)'!A:G,7,0)</f>
        <v>0.98009999999999997</v>
      </c>
      <c r="Q95">
        <v>4</v>
      </c>
      <c r="R95">
        <f>INDEX([1]products!$A$1:$G$49,MATCH([1]orders!$D95,[1]products!$A$1:$A$49,0),MATCH([1]orders!K$1,[1]products!$A$1:$G$1,0))</f>
        <v>0.5</v>
      </c>
      <c r="S95">
        <f>INDEX([1]products!$A$1:$G$49,MATCH([1]orders!$D95,[1]products!$A$1:$A$49,0),MATCH([1]orders!L$1,[1]products!$A$1:$G$1,0))</f>
        <v>8.91</v>
      </c>
      <c r="T95">
        <f t="shared" si="7"/>
        <v>35.64</v>
      </c>
      <c r="U95">
        <f t="shared" si="10"/>
        <v>3.9203999999999999</v>
      </c>
      <c r="V95">
        <f t="shared" si="11"/>
        <v>11</v>
      </c>
    </row>
    <row r="96" spans="1:22" x14ac:dyDescent="0.25">
      <c r="A96" t="s">
        <v>219</v>
      </c>
      <c r="B96">
        <v>44014</v>
      </c>
      <c r="C96" t="str">
        <f t="shared" si="8"/>
        <v>02</v>
      </c>
      <c r="D96" t="str">
        <f t="shared" si="6"/>
        <v>July</v>
      </c>
      <c r="E96" t="str">
        <f t="shared" si="9"/>
        <v>2020</v>
      </c>
      <c r="F96" t="s">
        <v>220</v>
      </c>
      <c r="G96" t="str">
        <f>VLOOKUP(F96,'Customers (2)'!A:I,2,0)</f>
        <v>Rudy Farquharson</v>
      </c>
      <c r="H96">
        <f>VLOOKUP(F96,'Customers (2)'!A:I,3,0)</f>
        <v>0</v>
      </c>
      <c r="I96">
        <f>VLOOKUP(F96,'Customers (2)'!A:I,4,0)</f>
        <v>0</v>
      </c>
      <c r="J96" t="str">
        <f>VLOOKUP(F96,'Customers (2)'!A:I,6,0)</f>
        <v>Charlesland</v>
      </c>
      <c r="K96" t="str">
        <f>VLOOKUP(F96,'Customers (2)'!A:I,7,0)</f>
        <v>Ireland</v>
      </c>
      <c r="L96" t="str">
        <f>VLOOKUP(F96,'Customers (2)'!A:I,9,0)</f>
        <v>Yes</v>
      </c>
      <c r="M96" t="str">
        <f>VLOOKUP(N96,'Products (2)'!A:G,2,0)</f>
        <v>Arabica</v>
      </c>
      <c r="N96" t="s">
        <v>54</v>
      </c>
      <c r="O96" t="str">
        <f>VLOOKUP(N96,'Products (2)'!A:G,3,0)</f>
        <v>Dark</v>
      </c>
      <c r="P96">
        <f>VLOOKUP(N96,'Products (2)'!A:G,7,0)</f>
        <v>0.26865</v>
      </c>
      <c r="Q96">
        <v>6</v>
      </c>
      <c r="R96">
        <f>INDEX([1]products!$A$1:$G$49,MATCH([1]orders!$D96,[1]products!$A$1:$A$49,0),MATCH([1]orders!K$1,[1]products!$A$1:$G$1,0))</f>
        <v>0.2</v>
      </c>
      <c r="S96">
        <f>INDEX([1]products!$A$1:$G$49,MATCH([1]orders!$D96,[1]products!$A$1:$A$49,0),MATCH([1]orders!L$1,[1]products!$A$1:$G$1,0))</f>
        <v>2.9849999999999999</v>
      </c>
      <c r="T96">
        <f t="shared" si="7"/>
        <v>17.91</v>
      </c>
      <c r="U96">
        <f t="shared" si="10"/>
        <v>1.6118999999999999</v>
      </c>
      <c r="V96">
        <f t="shared" si="11"/>
        <v>9</v>
      </c>
    </row>
    <row r="97" spans="1:22" x14ac:dyDescent="0.25">
      <c r="A97" t="s">
        <v>221</v>
      </c>
      <c r="B97">
        <v>43816</v>
      </c>
      <c r="C97" t="str">
        <f t="shared" si="8"/>
        <v>17</v>
      </c>
      <c r="D97" t="str">
        <f t="shared" si="6"/>
        <v>December</v>
      </c>
      <c r="E97" t="str">
        <f t="shared" si="9"/>
        <v>2019</v>
      </c>
      <c r="F97" t="s">
        <v>222</v>
      </c>
      <c r="G97" t="str">
        <f>VLOOKUP(F97,'Customers (2)'!A:I,2,0)</f>
        <v>Norene Magauran</v>
      </c>
      <c r="H97" t="str">
        <f>VLOOKUP(F97,'Customers (2)'!A:I,3,0)</f>
        <v>nmagauran2n@51.la</v>
      </c>
      <c r="I97">
        <f>VLOOKUP(F97,'Customers (2)'!A:I,4,0)</f>
        <v>0</v>
      </c>
      <c r="J97" t="str">
        <f>VLOOKUP(F97,'Customers (2)'!A:I,6,0)</f>
        <v>Fresno</v>
      </c>
      <c r="K97" t="str">
        <f>VLOOKUP(F97,'Customers (2)'!A:I,7,0)</f>
        <v>United States</v>
      </c>
      <c r="L97" t="str">
        <f>VLOOKUP(F97,'Customers (2)'!A:I,9,0)</f>
        <v>No</v>
      </c>
      <c r="M97" t="str">
        <f>VLOOKUP(N97,'Products (2)'!A:G,2,0)</f>
        <v>Arabica</v>
      </c>
      <c r="N97" t="s">
        <v>171</v>
      </c>
      <c r="O97" t="str">
        <f>VLOOKUP(N97,'Products (2)'!A:G,3,0)</f>
        <v>Medium</v>
      </c>
      <c r="P97">
        <f>VLOOKUP(N97,'Products (2)'!A:G,7,0)</f>
        <v>2.3287499999999994</v>
      </c>
      <c r="Q97">
        <v>6</v>
      </c>
      <c r="R97">
        <f>INDEX([1]products!$A$1:$G$49,MATCH([1]orders!$D97,[1]products!$A$1:$A$49,0),MATCH([1]orders!K$1,[1]products!$A$1:$G$1,0))</f>
        <v>2.5</v>
      </c>
      <c r="S97">
        <f>INDEX([1]products!$A$1:$G$49,MATCH([1]orders!$D97,[1]products!$A$1:$A$49,0),MATCH([1]orders!L$1,[1]products!$A$1:$G$1,0))</f>
        <v>25.874999999999996</v>
      </c>
      <c r="T97">
        <f t="shared" si="7"/>
        <v>155.24999999999997</v>
      </c>
      <c r="U97">
        <f t="shared" si="10"/>
        <v>13.972499999999997</v>
      </c>
      <c r="V97">
        <f t="shared" si="11"/>
        <v>9</v>
      </c>
    </row>
    <row r="98" spans="1:22" x14ac:dyDescent="0.25">
      <c r="A98" t="s">
        <v>223</v>
      </c>
      <c r="B98">
        <v>44171</v>
      </c>
      <c r="C98" t="str">
        <f t="shared" si="8"/>
        <v>06</v>
      </c>
      <c r="D98" t="str">
        <f t="shared" si="6"/>
        <v>December</v>
      </c>
      <c r="E98" t="str">
        <f t="shared" si="9"/>
        <v>2020</v>
      </c>
      <c r="F98" t="s">
        <v>224</v>
      </c>
      <c r="G98" t="str">
        <f>VLOOKUP(F98,'Customers (2)'!A:I,2,0)</f>
        <v>Vicki Kirdsch</v>
      </c>
      <c r="H98" t="str">
        <f>VLOOKUP(F98,'Customers (2)'!A:I,3,0)</f>
        <v>vkirdsch2o@google.fr</v>
      </c>
      <c r="I98">
        <f>VLOOKUP(F98,'Customers (2)'!A:I,4,0)</f>
        <v>0</v>
      </c>
      <c r="J98" t="str">
        <f>VLOOKUP(F98,'Customers (2)'!A:I,6,0)</f>
        <v>Saint Louis</v>
      </c>
      <c r="K98" t="str">
        <f>VLOOKUP(F98,'Customers (2)'!A:I,7,0)</f>
        <v>United States</v>
      </c>
      <c r="L98" t="str">
        <f>VLOOKUP(F98,'Customers (2)'!A:I,9,0)</f>
        <v>No</v>
      </c>
      <c r="M98" t="str">
        <f>VLOOKUP(N98,'Products (2)'!A:G,2,0)</f>
        <v>Arabica</v>
      </c>
      <c r="N98" t="s">
        <v>54</v>
      </c>
      <c r="O98" t="str">
        <f>VLOOKUP(N98,'Products (2)'!A:G,3,0)</f>
        <v>Dark</v>
      </c>
      <c r="P98">
        <f>VLOOKUP(N98,'Products (2)'!A:G,7,0)</f>
        <v>0.26865</v>
      </c>
      <c r="Q98">
        <v>2</v>
      </c>
      <c r="R98">
        <f>INDEX([1]products!$A$1:$G$49,MATCH([1]orders!$D98,[1]products!$A$1:$A$49,0),MATCH([1]orders!K$1,[1]products!$A$1:$G$1,0))</f>
        <v>0.2</v>
      </c>
      <c r="S98">
        <f>INDEX([1]products!$A$1:$G$49,MATCH([1]orders!$D98,[1]products!$A$1:$A$49,0),MATCH([1]orders!L$1,[1]products!$A$1:$G$1,0))</f>
        <v>2.9849999999999999</v>
      </c>
      <c r="T98">
        <f t="shared" si="7"/>
        <v>5.97</v>
      </c>
      <c r="U98">
        <f t="shared" si="10"/>
        <v>0.5373</v>
      </c>
      <c r="V98">
        <f t="shared" si="11"/>
        <v>9.0000000000000018</v>
      </c>
    </row>
    <row r="99" spans="1:22" x14ac:dyDescent="0.25">
      <c r="A99" t="s">
        <v>225</v>
      </c>
      <c r="B99">
        <v>44259</v>
      </c>
      <c r="C99" t="str">
        <f t="shared" si="8"/>
        <v>04</v>
      </c>
      <c r="D99" t="str">
        <f t="shared" si="6"/>
        <v>March</v>
      </c>
      <c r="E99" t="str">
        <f t="shared" si="9"/>
        <v>2021</v>
      </c>
      <c r="F99" t="s">
        <v>226</v>
      </c>
      <c r="G99" t="str">
        <f>VLOOKUP(F99,'Customers (2)'!A:I,2,0)</f>
        <v>Ilysa Whapple</v>
      </c>
      <c r="H99" t="str">
        <f>VLOOKUP(F99,'Customers (2)'!A:I,3,0)</f>
        <v>iwhapple2p@com.com</v>
      </c>
      <c r="I99" t="str">
        <f>VLOOKUP(F99,'Customers (2)'!A:I,4,0)</f>
        <v>+1 (559) 522-1152</v>
      </c>
      <c r="J99" t="str">
        <f>VLOOKUP(F99,'Customers (2)'!A:I,6,0)</f>
        <v>Fresno</v>
      </c>
      <c r="K99" t="str">
        <f>VLOOKUP(F99,'Customers (2)'!A:I,7,0)</f>
        <v>United States</v>
      </c>
      <c r="L99" t="str">
        <f>VLOOKUP(F99,'Customers (2)'!A:I,9,0)</f>
        <v>No</v>
      </c>
      <c r="M99" t="str">
        <f>VLOOKUP(N99,'Products (2)'!A:G,2,0)</f>
        <v>Arabica</v>
      </c>
      <c r="N99" t="s">
        <v>67</v>
      </c>
      <c r="O99" t="str">
        <f>VLOOKUP(N99,'Products (2)'!A:G,3,0)</f>
        <v>Medium</v>
      </c>
      <c r="P99">
        <f>VLOOKUP(N99,'Products (2)'!A:G,7,0)</f>
        <v>0.60749999999999993</v>
      </c>
      <c r="Q99">
        <v>2</v>
      </c>
      <c r="R99">
        <f>INDEX([1]products!$A$1:$G$49,MATCH([1]orders!$D99,[1]products!$A$1:$A$49,0),MATCH([1]orders!K$1,[1]products!$A$1:$G$1,0))</f>
        <v>0.5</v>
      </c>
      <c r="S99">
        <f>INDEX([1]products!$A$1:$G$49,MATCH([1]orders!$D99,[1]products!$A$1:$A$49,0),MATCH([1]orders!L$1,[1]products!$A$1:$G$1,0))</f>
        <v>6.75</v>
      </c>
      <c r="T99">
        <f t="shared" si="7"/>
        <v>13.5</v>
      </c>
      <c r="U99">
        <f t="shared" si="10"/>
        <v>1.2149999999999999</v>
      </c>
      <c r="V99">
        <f t="shared" si="11"/>
        <v>8.9999999999999982</v>
      </c>
    </row>
    <row r="100" spans="1:22" x14ac:dyDescent="0.25">
      <c r="A100" t="s">
        <v>227</v>
      </c>
      <c r="B100">
        <v>44394</v>
      </c>
      <c r="C100" t="str">
        <f t="shared" si="8"/>
        <v>17</v>
      </c>
      <c r="D100" t="str">
        <f t="shared" si="6"/>
        <v>July</v>
      </c>
      <c r="E100" t="str">
        <f t="shared" si="9"/>
        <v>2021</v>
      </c>
      <c r="F100" t="s">
        <v>228</v>
      </c>
      <c r="G100" t="str">
        <f>VLOOKUP(F100,'Customers (2)'!A:I,2,0)</f>
        <v>Ruy Cancellieri</v>
      </c>
      <c r="H100">
        <f>VLOOKUP(F100,'Customers (2)'!A:I,3,0)</f>
        <v>0</v>
      </c>
      <c r="I100" t="str">
        <f>VLOOKUP(F100,'Customers (2)'!A:I,4,0)</f>
        <v>+353 (338) 743-8327</v>
      </c>
      <c r="J100" t="str">
        <f>VLOOKUP(F100,'Customers (2)'!A:I,6,0)</f>
        <v>Confey</v>
      </c>
      <c r="K100" t="str">
        <f>VLOOKUP(F100,'Customers (2)'!A:I,7,0)</f>
        <v>Ireland</v>
      </c>
      <c r="L100" t="str">
        <f>VLOOKUP(F100,'Customers (2)'!A:I,9,0)</f>
        <v>No</v>
      </c>
      <c r="M100" t="str">
        <f>VLOOKUP(N100,'Products (2)'!A:G,2,0)</f>
        <v>Arabica</v>
      </c>
      <c r="N100" t="s">
        <v>54</v>
      </c>
      <c r="O100" t="str">
        <f>VLOOKUP(N100,'Products (2)'!A:G,3,0)</f>
        <v>Dark</v>
      </c>
      <c r="P100">
        <f>VLOOKUP(N100,'Products (2)'!A:G,7,0)</f>
        <v>0.26865</v>
      </c>
      <c r="Q100">
        <v>1</v>
      </c>
      <c r="R100">
        <f>INDEX([1]products!$A$1:$G$49,MATCH([1]orders!$D100,[1]products!$A$1:$A$49,0),MATCH([1]orders!K$1,[1]products!$A$1:$G$1,0))</f>
        <v>0.2</v>
      </c>
      <c r="S100">
        <f>INDEX([1]products!$A$1:$G$49,MATCH([1]orders!$D100,[1]products!$A$1:$A$49,0),MATCH([1]orders!L$1,[1]products!$A$1:$G$1,0))</f>
        <v>2.9849999999999999</v>
      </c>
      <c r="T100">
        <f t="shared" si="7"/>
        <v>2.9849999999999999</v>
      </c>
      <c r="U100">
        <f t="shared" si="10"/>
        <v>0.26865</v>
      </c>
      <c r="V100">
        <f t="shared" si="11"/>
        <v>9.0000000000000018</v>
      </c>
    </row>
    <row r="101" spans="1:22" x14ac:dyDescent="0.25">
      <c r="A101" t="s">
        <v>229</v>
      </c>
      <c r="B101">
        <v>44139</v>
      </c>
      <c r="C101" t="str">
        <f t="shared" si="8"/>
        <v>04</v>
      </c>
      <c r="D101" t="str">
        <f t="shared" si="6"/>
        <v>November</v>
      </c>
      <c r="E101" t="str">
        <f t="shared" si="9"/>
        <v>2020</v>
      </c>
      <c r="F101" t="s">
        <v>230</v>
      </c>
      <c r="G101" t="str">
        <f>VLOOKUP(F101,'Customers (2)'!A:I,2,0)</f>
        <v>Aube Follett</v>
      </c>
      <c r="H101">
        <f>VLOOKUP(F101,'Customers (2)'!A:I,3,0)</f>
        <v>0</v>
      </c>
      <c r="I101" t="str">
        <f>VLOOKUP(F101,'Customers (2)'!A:I,4,0)</f>
        <v>+1 (614) 370-6392</v>
      </c>
      <c r="J101" t="str">
        <f>VLOOKUP(F101,'Customers (2)'!A:I,6,0)</f>
        <v>Columbus</v>
      </c>
      <c r="K101" t="str">
        <f>VLOOKUP(F101,'Customers (2)'!A:I,7,0)</f>
        <v>United States</v>
      </c>
      <c r="L101" t="str">
        <f>VLOOKUP(F101,'Customers (2)'!A:I,9,0)</f>
        <v>Yes</v>
      </c>
      <c r="M101" t="str">
        <f>VLOOKUP(N101,'Products (2)'!A:G,2,0)</f>
        <v>Liberica</v>
      </c>
      <c r="N101" t="s">
        <v>77</v>
      </c>
      <c r="O101" t="str">
        <f>VLOOKUP(N101,'Products (2)'!A:G,3,0)</f>
        <v>Medium</v>
      </c>
      <c r="P101">
        <f>VLOOKUP(N101,'Products (2)'!A:G,7,0)</f>
        <v>0.56745000000000001</v>
      </c>
      <c r="Q101">
        <v>3</v>
      </c>
      <c r="R101">
        <f>INDEX([1]products!$A$1:$G$49,MATCH([1]orders!$D101,[1]products!$A$1:$A$49,0),MATCH([1]orders!K$1,[1]products!$A$1:$G$1,0))</f>
        <v>0.2</v>
      </c>
      <c r="S101">
        <f>INDEX([1]products!$A$1:$G$49,MATCH([1]orders!$D101,[1]products!$A$1:$A$49,0),MATCH([1]orders!L$1,[1]products!$A$1:$G$1,0))</f>
        <v>4.3650000000000002</v>
      </c>
      <c r="T101">
        <f t="shared" si="7"/>
        <v>13.095000000000001</v>
      </c>
      <c r="U101">
        <f t="shared" si="10"/>
        <v>1.70235</v>
      </c>
      <c r="V101">
        <f t="shared" si="11"/>
        <v>13</v>
      </c>
    </row>
    <row r="102" spans="1:22" x14ac:dyDescent="0.25">
      <c r="A102" t="s">
        <v>231</v>
      </c>
      <c r="B102">
        <v>44291</v>
      </c>
      <c r="C102" t="str">
        <f t="shared" si="8"/>
        <v>05</v>
      </c>
      <c r="D102" t="str">
        <f t="shared" si="6"/>
        <v>April</v>
      </c>
      <c r="E102" t="str">
        <f t="shared" si="9"/>
        <v>2021</v>
      </c>
      <c r="F102" t="s">
        <v>232</v>
      </c>
      <c r="G102" t="str">
        <f>VLOOKUP(F102,'Customers (2)'!A:I,2,0)</f>
        <v>Rudiger Di Bartolomeo</v>
      </c>
      <c r="H102">
        <f>VLOOKUP(F102,'Customers (2)'!A:I,3,0)</f>
        <v>0</v>
      </c>
      <c r="I102" t="str">
        <f>VLOOKUP(F102,'Customers (2)'!A:I,4,0)</f>
        <v>+1 (209) 148-6668</v>
      </c>
      <c r="J102" t="str">
        <f>VLOOKUP(F102,'Customers (2)'!A:I,6,0)</f>
        <v>Stockton</v>
      </c>
      <c r="K102" t="str">
        <f>VLOOKUP(F102,'Customers (2)'!A:I,7,0)</f>
        <v>United States</v>
      </c>
      <c r="L102" t="str">
        <f>VLOOKUP(F102,'Customers (2)'!A:I,9,0)</f>
        <v>Yes</v>
      </c>
      <c r="M102" t="str">
        <f>VLOOKUP(N102,'Products (2)'!A:G,2,0)</f>
        <v>Arabica</v>
      </c>
      <c r="N102" t="s">
        <v>115</v>
      </c>
      <c r="O102" t="str">
        <f>VLOOKUP(N102,'Products (2)'!A:G,3,0)</f>
        <v>Light</v>
      </c>
      <c r="P102">
        <f>VLOOKUP(N102,'Products (2)'!A:G,7,0)</f>
        <v>0.34964999999999996</v>
      </c>
      <c r="Q102">
        <v>2</v>
      </c>
      <c r="R102">
        <f>INDEX([1]products!$A$1:$G$49,MATCH([1]orders!$D102,[1]products!$A$1:$A$49,0),MATCH([1]orders!K$1,[1]products!$A$1:$G$1,0))</f>
        <v>0.2</v>
      </c>
      <c r="S102">
        <f>INDEX([1]products!$A$1:$G$49,MATCH([1]orders!$D102,[1]products!$A$1:$A$49,0),MATCH([1]orders!L$1,[1]products!$A$1:$G$1,0))</f>
        <v>3.8849999999999998</v>
      </c>
      <c r="T102">
        <f t="shared" si="7"/>
        <v>7.77</v>
      </c>
      <c r="U102">
        <f t="shared" si="10"/>
        <v>0.69929999999999992</v>
      </c>
      <c r="V102">
        <f t="shared" si="11"/>
        <v>9</v>
      </c>
    </row>
    <row r="103" spans="1:22" x14ac:dyDescent="0.25">
      <c r="A103" t="s">
        <v>233</v>
      </c>
      <c r="B103">
        <v>43891</v>
      </c>
      <c r="C103" t="str">
        <f t="shared" si="8"/>
        <v>01</v>
      </c>
      <c r="D103" t="str">
        <f t="shared" si="6"/>
        <v>March</v>
      </c>
      <c r="E103" t="str">
        <f t="shared" si="9"/>
        <v>2020</v>
      </c>
      <c r="F103" t="s">
        <v>234</v>
      </c>
      <c r="G103" t="str">
        <f>VLOOKUP(F103,'Customers (2)'!A:I,2,0)</f>
        <v>Nickey Youles</v>
      </c>
      <c r="H103" t="str">
        <f>VLOOKUP(F103,'Customers (2)'!A:I,3,0)</f>
        <v>nyoules2t@reference.com</v>
      </c>
      <c r="I103" t="str">
        <f>VLOOKUP(F103,'Customers (2)'!A:I,4,0)</f>
        <v>+353 (641) 846-7654</v>
      </c>
      <c r="J103" t="str">
        <f>VLOOKUP(F103,'Customers (2)'!A:I,6,0)</f>
        <v>Edgeworthstown</v>
      </c>
      <c r="K103" t="str">
        <f>VLOOKUP(F103,'Customers (2)'!A:I,7,0)</f>
        <v>Ireland</v>
      </c>
      <c r="L103" t="str">
        <f>VLOOKUP(F103,'Customers (2)'!A:I,9,0)</f>
        <v>Yes</v>
      </c>
      <c r="M103" t="str">
        <f>VLOOKUP(N103,'Products (2)'!A:G,2,0)</f>
        <v>Liberica</v>
      </c>
      <c r="N103" t="s">
        <v>109</v>
      </c>
      <c r="O103" t="str">
        <f>VLOOKUP(N103,'Products (2)'!A:G,3,0)</f>
        <v>Dark</v>
      </c>
      <c r="P103">
        <f>VLOOKUP(N103,'Products (2)'!A:G,7,0)</f>
        <v>3.8720499999999998</v>
      </c>
      <c r="Q103">
        <v>5</v>
      </c>
      <c r="R103">
        <f>INDEX([1]products!$A$1:$G$49,MATCH([1]orders!$D103,[1]products!$A$1:$A$49,0),MATCH([1]orders!K$1,[1]products!$A$1:$G$1,0))</f>
        <v>2.5</v>
      </c>
      <c r="S103">
        <f>INDEX([1]products!$A$1:$G$49,MATCH([1]orders!$D103,[1]products!$A$1:$A$49,0),MATCH([1]orders!L$1,[1]products!$A$1:$G$1,0))</f>
        <v>29.784999999999997</v>
      </c>
      <c r="T103">
        <f t="shared" si="7"/>
        <v>148.92499999999998</v>
      </c>
      <c r="U103">
        <f t="shared" si="10"/>
        <v>19.360250000000001</v>
      </c>
      <c r="V103">
        <f t="shared" si="11"/>
        <v>13.000000000000004</v>
      </c>
    </row>
    <row r="104" spans="1:22" x14ac:dyDescent="0.25">
      <c r="A104" t="s">
        <v>235</v>
      </c>
      <c r="B104">
        <v>44488</v>
      </c>
      <c r="C104" t="str">
        <f t="shared" si="8"/>
        <v>19</v>
      </c>
      <c r="D104" t="str">
        <f t="shared" si="6"/>
        <v>October</v>
      </c>
      <c r="E104" t="str">
        <f t="shared" si="9"/>
        <v>2021</v>
      </c>
      <c r="F104" t="s">
        <v>236</v>
      </c>
      <c r="G104" t="str">
        <f>VLOOKUP(F104,'Customers (2)'!A:I,2,0)</f>
        <v>Dyanna Aizikovitz</v>
      </c>
      <c r="H104" t="str">
        <f>VLOOKUP(F104,'Customers (2)'!A:I,3,0)</f>
        <v>daizikovitz2u@answers.com</v>
      </c>
      <c r="I104" t="str">
        <f>VLOOKUP(F104,'Customers (2)'!A:I,4,0)</f>
        <v>+353 (766) 141-6317</v>
      </c>
      <c r="J104" t="str">
        <f>VLOOKUP(F104,'Customers (2)'!A:I,6,0)</f>
        <v>Leixlip</v>
      </c>
      <c r="K104" t="str">
        <f>VLOOKUP(F104,'Customers (2)'!A:I,7,0)</f>
        <v>Ireland</v>
      </c>
      <c r="L104" t="str">
        <f>VLOOKUP(F104,'Customers (2)'!A:I,9,0)</f>
        <v>Yes</v>
      </c>
      <c r="M104" t="str">
        <f>VLOOKUP(N104,'Products (2)'!A:G,2,0)</f>
        <v>Liberica</v>
      </c>
      <c r="N104" t="s">
        <v>13</v>
      </c>
      <c r="O104" t="str">
        <f>VLOOKUP(N104,'Products (2)'!A:G,3,0)</f>
        <v>Dark</v>
      </c>
      <c r="P104">
        <f>VLOOKUP(N104,'Products (2)'!A:G,7,0)</f>
        <v>1.6835</v>
      </c>
      <c r="Q104">
        <v>3</v>
      </c>
      <c r="R104">
        <f>INDEX([1]products!$A$1:$G$49,MATCH([1]orders!$D104,[1]products!$A$1:$A$49,0),MATCH([1]orders!K$1,[1]products!$A$1:$G$1,0))</f>
        <v>1</v>
      </c>
      <c r="S104">
        <f>INDEX([1]products!$A$1:$G$49,MATCH([1]orders!$D104,[1]products!$A$1:$A$49,0),MATCH([1]orders!L$1,[1]products!$A$1:$G$1,0))</f>
        <v>12.95</v>
      </c>
      <c r="T104">
        <f t="shared" si="7"/>
        <v>38.849999999999994</v>
      </c>
      <c r="U104">
        <f t="shared" si="10"/>
        <v>5.0504999999999995</v>
      </c>
      <c r="V104">
        <f t="shared" si="11"/>
        <v>13</v>
      </c>
    </row>
    <row r="105" spans="1:22" x14ac:dyDescent="0.25">
      <c r="A105" t="s">
        <v>237</v>
      </c>
      <c r="B105">
        <v>44750</v>
      </c>
      <c r="C105" t="str">
        <f t="shared" si="8"/>
        <v>08</v>
      </c>
      <c r="D105" t="str">
        <f t="shared" si="6"/>
        <v>July</v>
      </c>
      <c r="E105" t="str">
        <f t="shared" si="9"/>
        <v>2022</v>
      </c>
      <c r="F105" t="s">
        <v>238</v>
      </c>
      <c r="G105" t="str">
        <f>VLOOKUP(F105,'Customers (2)'!A:I,2,0)</f>
        <v>Bram Revel</v>
      </c>
      <c r="H105" t="str">
        <f>VLOOKUP(F105,'Customers (2)'!A:I,3,0)</f>
        <v>brevel2v@fastcompany.com</v>
      </c>
      <c r="I105" t="str">
        <f>VLOOKUP(F105,'Customers (2)'!A:I,4,0)</f>
        <v>+1 (585) 775-6952</v>
      </c>
      <c r="J105" t="str">
        <f>VLOOKUP(F105,'Customers (2)'!A:I,6,0)</f>
        <v>Rochester</v>
      </c>
      <c r="K105" t="str">
        <f>VLOOKUP(F105,'Customers (2)'!A:I,7,0)</f>
        <v>United States</v>
      </c>
      <c r="L105" t="str">
        <f>VLOOKUP(F105,'Customers (2)'!A:I,9,0)</f>
        <v>No</v>
      </c>
      <c r="M105" t="str">
        <f>VLOOKUP(N105,'Products (2)'!A:G,2,0)</f>
        <v>Robusta</v>
      </c>
      <c r="N105" t="s">
        <v>162</v>
      </c>
      <c r="O105" t="str">
        <f>VLOOKUP(N105,'Products (2)'!A:G,3,0)</f>
        <v>Medium</v>
      </c>
      <c r="P105">
        <f>VLOOKUP(N105,'Products (2)'!A:G,7,0)</f>
        <v>0.17909999999999998</v>
      </c>
      <c r="Q105">
        <v>4</v>
      </c>
      <c r="R105">
        <f>INDEX([1]products!$A$1:$G$49,MATCH([1]orders!$D105,[1]products!$A$1:$A$49,0),MATCH([1]orders!K$1,[1]products!$A$1:$G$1,0))</f>
        <v>0.2</v>
      </c>
      <c r="S105">
        <f>INDEX([1]products!$A$1:$G$49,MATCH([1]orders!$D105,[1]products!$A$1:$A$49,0),MATCH([1]orders!L$1,[1]products!$A$1:$G$1,0))</f>
        <v>2.9849999999999999</v>
      </c>
      <c r="T105">
        <f t="shared" si="7"/>
        <v>11.94</v>
      </c>
      <c r="U105">
        <f t="shared" si="10"/>
        <v>0.71639999999999993</v>
      </c>
      <c r="V105">
        <f t="shared" si="11"/>
        <v>6</v>
      </c>
    </row>
    <row r="106" spans="1:22" x14ac:dyDescent="0.25">
      <c r="A106" t="s">
        <v>239</v>
      </c>
      <c r="B106">
        <v>43694</v>
      </c>
      <c r="C106" t="str">
        <f t="shared" si="8"/>
        <v>17</v>
      </c>
      <c r="D106" t="str">
        <f t="shared" si="6"/>
        <v>August</v>
      </c>
      <c r="E106" t="str">
        <f t="shared" si="9"/>
        <v>2019</v>
      </c>
      <c r="F106" t="s">
        <v>240</v>
      </c>
      <c r="G106" t="str">
        <f>VLOOKUP(F106,'Customers (2)'!A:I,2,0)</f>
        <v>Emiline Priddis</v>
      </c>
      <c r="H106" t="str">
        <f>VLOOKUP(F106,'Customers (2)'!A:I,3,0)</f>
        <v>epriddis2w@nationalgeographic.com</v>
      </c>
      <c r="I106" t="str">
        <f>VLOOKUP(F106,'Customers (2)'!A:I,4,0)</f>
        <v>+1 (205) 133-0205</v>
      </c>
      <c r="J106" t="str">
        <f>VLOOKUP(F106,'Customers (2)'!A:I,6,0)</f>
        <v>Tuscaloosa</v>
      </c>
      <c r="K106" t="str">
        <f>VLOOKUP(F106,'Customers (2)'!A:I,7,0)</f>
        <v>United States</v>
      </c>
      <c r="L106" t="str">
        <f>VLOOKUP(F106,'Customers (2)'!A:I,9,0)</f>
        <v>No</v>
      </c>
      <c r="M106" t="str">
        <f>VLOOKUP(N106,'Products (2)'!A:G,2,0)</f>
        <v>Liberica</v>
      </c>
      <c r="N106" t="s">
        <v>96</v>
      </c>
      <c r="O106" t="str">
        <f>VLOOKUP(N106,'Products (2)'!A:G,3,0)</f>
        <v>Medium</v>
      </c>
      <c r="P106">
        <f>VLOOKUP(N106,'Products (2)'!A:G,7,0)</f>
        <v>1.8915000000000002</v>
      </c>
      <c r="Q106">
        <v>6</v>
      </c>
      <c r="R106">
        <f>INDEX([1]products!$A$1:$G$49,MATCH([1]orders!$D106,[1]products!$A$1:$A$49,0),MATCH([1]orders!K$1,[1]products!$A$1:$G$1,0))</f>
        <v>1</v>
      </c>
      <c r="S106">
        <f>INDEX([1]products!$A$1:$G$49,MATCH([1]orders!$D106,[1]products!$A$1:$A$49,0),MATCH([1]orders!L$1,[1]products!$A$1:$G$1,0))</f>
        <v>14.55</v>
      </c>
      <c r="T106">
        <f t="shared" si="7"/>
        <v>87.300000000000011</v>
      </c>
      <c r="U106">
        <f t="shared" si="10"/>
        <v>11.349</v>
      </c>
      <c r="V106">
        <f t="shared" si="11"/>
        <v>12.999999999999998</v>
      </c>
    </row>
    <row r="107" spans="1:22" x14ac:dyDescent="0.25">
      <c r="A107" t="s">
        <v>241</v>
      </c>
      <c r="B107">
        <v>43982</v>
      </c>
      <c r="C107" t="str">
        <f t="shared" si="8"/>
        <v>31</v>
      </c>
      <c r="D107" t="str">
        <f t="shared" si="6"/>
        <v>May</v>
      </c>
      <c r="E107" t="str">
        <f t="shared" si="9"/>
        <v>2020</v>
      </c>
      <c r="F107" t="s">
        <v>242</v>
      </c>
      <c r="G107" t="str">
        <f>VLOOKUP(F107,'Customers (2)'!A:I,2,0)</f>
        <v>Queenie Veel</v>
      </c>
      <c r="H107" t="str">
        <f>VLOOKUP(F107,'Customers (2)'!A:I,3,0)</f>
        <v>qveel2x@jugem.jp</v>
      </c>
      <c r="I107" t="str">
        <f>VLOOKUP(F107,'Customers (2)'!A:I,4,0)</f>
        <v>+1 (713) 750-9202</v>
      </c>
      <c r="J107" t="str">
        <f>VLOOKUP(F107,'Customers (2)'!A:I,6,0)</f>
        <v>Houston</v>
      </c>
      <c r="K107" t="str">
        <f>VLOOKUP(F107,'Customers (2)'!A:I,7,0)</f>
        <v>United States</v>
      </c>
      <c r="L107" t="str">
        <f>VLOOKUP(F107,'Customers (2)'!A:I,9,0)</f>
        <v>Yes</v>
      </c>
      <c r="M107" t="str">
        <f>VLOOKUP(N107,'Products (2)'!A:G,2,0)</f>
        <v>Arabica</v>
      </c>
      <c r="N107" t="s">
        <v>67</v>
      </c>
      <c r="O107" t="str">
        <f>VLOOKUP(N107,'Products (2)'!A:G,3,0)</f>
        <v>Medium</v>
      </c>
      <c r="P107">
        <f>VLOOKUP(N107,'Products (2)'!A:G,7,0)</f>
        <v>0.60749999999999993</v>
      </c>
      <c r="Q107">
        <v>6</v>
      </c>
      <c r="R107">
        <f>INDEX([1]products!$A$1:$G$49,MATCH([1]orders!$D107,[1]products!$A$1:$A$49,0),MATCH([1]orders!K$1,[1]products!$A$1:$G$1,0))</f>
        <v>0.5</v>
      </c>
      <c r="S107">
        <f>INDEX([1]products!$A$1:$G$49,MATCH([1]orders!$D107,[1]products!$A$1:$A$49,0),MATCH([1]orders!L$1,[1]products!$A$1:$G$1,0))</f>
        <v>6.75</v>
      </c>
      <c r="T107">
        <f t="shared" si="7"/>
        <v>40.5</v>
      </c>
      <c r="U107">
        <f t="shared" si="10"/>
        <v>3.6449999999999996</v>
      </c>
      <c r="V107">
        <f t="shared" si="11"/>
        <v>8.9999999999999982</v>
      </c>
    </row>
    <row r="108" spans="1:22" x14ac:dyDescent="0.25">
      <c r="A108" t="s">
        <v>243</v>
      </c>
      <c r="B108">
        <v>43956</v>
      </c>
      <c r="C108" t="str">
        <f t="shared" si="8"/>
        <v>05</v>
      </c>
      <c r="D108" t="str">
        <f t="shared" si="6"/>
        <v>May</v>
      </c>
      <c r="E108" t="str">
        <f t="shared" si="9"/>
        <v>2020</v>
      </c>
      <c r="F108" t="s">
        <v>244</v>
      </c>
      <c r="G108" t="str">
        <f>VLOOKUP(F108,'Customers (2)'!A:I,2,0)</f>
        <v>Lind Conyers</v>
      </c>
      <c r="H108" t="str">
        <f>VLOOKUP(F108,'Customers (2)'!A:I,3,0)</f>
        <v>lconyers2y@twitter.com</v>
      </c>
      <c r="I108" t="str">
        <f>VLOOKUP(F108,'Customers (2)'!A:I,4,0)</f>
        <v>+1 (915) 476-5712</v>
      </c>
      <c r="J108" t="str">
        <f>VLOOKUP(F108,'Customers (2)'!A:I,6,0)</f>
        <v>El Paso</v>
      </c>
      <c r="K108" t="str">
        <f>VLOOKUP(F108,'Customers (2)'!A:I,7,0)</f>
        <v>United States</v>
      </c>
      <c r="L108" t="str">
        <f>VLOOKUP(F108,'Customers (2)'!A:I,9,0)</f>
        <v>No</v>
      </c>
      <c r="M108" t="str">
        <f>VLOOKUP(N108,'Products (2)'!A:G,2,0)</f>
        <v>Excelsa</v>
      </c>
      <c r="N108" t="s">
        <v>245</v>
      </c>
      <c r="O108" t="str">
        <f>VLOOKUP(N108,'Products (2)'!A:G,3,0)</f>
        <v>Dark</v>
      </c>
      <c r="P108">
        <f>VLOOKUP(N108,'Products (2)'!A:G,7,0)</f>
        <v>1.3365</v>
      </c>
      <c r="Q108">
        <v>2</v>
      </c>
      <c r="R108">
        <f>INDEX([1]products!$A$1:$G$49,MATCH([1]orders!$D108,[1]products!$A$1:$A$49,0),MATCH([1]orders!K$1,[1]products!$A$1:$G$1,0))</f>
        <v>1</v>
      </c>
      <c r="S108">
        <f>INDEX([1]products!$A$1:$G$49,MATCH([1]orders!$D108,[1]products!$A$1:$A$49,0),MATCH([1]orders!L$1,[1]products!$A$1:$G$1,0))</f>
        <v>12.15</v>
      </c>
      <c r="T108">
        <f t="shared" si="7"/>
        <v>24.3</v>
      </c>
      <c r="U108">
        <f t="shared" si="10"/>
        <v>2.673</v>
      </c>
      <c r="V108">
        <f t="shared" si="11"/>
        <v>11</v>
      </c>
    </row>
    <row r="109" spans="1:22" x14ac:dyDescent="0.25">
      <c r="A109" t="s">
        <v>246</v>
      </c>
      <c r="B109">
        <v>43569</v>
      </c>
      <c r="C109" t="str">
        <f t="shared" si="8"/>
        <v>14</v>
      </c>
      <c r="D109" t="str">
        <f t="shared" si="6"/>
        <v>April</v>
      </c>
      <c r="E109" t="str">
        <f t="shared" si="9"/>
        <v>2019</v>
      </c>
      <c r="F109" t="s">
        <v>247</v>
      </c>
      <c r="G109" t="str">
        <f>VLOOKUP(F109,'Customers (2)'!A:I,2,0)</f>
        <v>Pen Wye</v>
      </c>
      <c r="H109" t="str">
        <f>VLOOKUP(F109,'Customers (2)'!A:I,3,0)</f>
        <v>pwye2z@dagondesign.com</v>
      </c>
      <c r="I109" t="str">
        <f>VLOOKUP(F109,'Customers (2)'!A:I,4,0)</f>
        <v>+1 (719) 620-1128</v>
      </c>
      <c r="J109" t="str">
        <f>VLOOKUP(F109,'Customers (2)'!A:I,6,0)</f>
        <v>Colorado Springs</v>
      </c>
      <c r="K109" t="str">
        <f>VLOOKUP(F109,'Customers (2)'!A:I,7,0)</f>
        <v>United States</v>
      </c>
      <c r="L109" t="str">
        <f>VLOOKUP(F109,'Customers (2)'!A:I,9,0)</f>
        <v>Yes</v>
      </c>
      <c r="M109" t="str">
        <f>VLOOKUP(N109,'Products (2)'!A:G,2,0)</f>
        <v>Robusta</v>
      </c>
      <c r="N109" t="s">
        <v>22</v>
      </c>
      <c r="O109" t="str">
        <f>VLOOKUP(N109,'Products (2)'!A:G,3,0)</f>
        <v>Medium</v>
      </c>
      <c r="P109">
        <f>VLOOKUP(N109,'Products (2)'!A:G,7,0)</f>
        <v>0.35819999999999996</v>
      </c>
      <c r="Q109">
        <v>3</v>
      </c>
      <c r="R109">
        <f>INDEX([1]products!$A$1:$G$49,MATCH([1]orders!$D109,[1]products!$A$1:$A$49,0),MATCH([1]orders!K$1,[1]products!$A$1:$G$1,0))</f>
        <v>0.5</v>
      </c>
      <c r="S109">
        <f>INDEX([1]products!$A$1:$G$49,MATCH([1]orders!$D109,[1]products!$A$1:$A$49,0),MATCH([1]orders!L$1,[1]products!$A$1:$G$1,0))</f>
        <v>5.97</v>
      </c>
      <c r="T109">
        <f t="shared" si="7"/>
        <v>17.91</v>
      </c>
      <c r="U109">
        <f t="shared" si="10"/>
        <v>1.0745999999999998</v>
      </c>
      <c r="V109">
        <f t="shared" si="11"/>
        <v>5.9999999999999982</v>
      </c>
    </row>
    <row r="110" spans="1:22" x14ac:dyDescent="0.25">
      <c r="A110" t="s">
        <v>248</v>
      </c>
      <c r="B110">
        <v>44041</v>
      </c>
      <c r="C110" t="str">
        <f t="shared" si="8"/>
        <v>29</v>
      </c>
      <c r="D110" t="str">
        <f t="shared" si="6"/>
        <v>July</v>
      </c>
      <c r="E110" t="str">
        <f t="shared" si="9"/>
        <v>2020</v>
      </c>
      <c r="F110" t="s">
        <v>249</v>
      </c>
      <c r="G110" t="str">
        <f>VLOOKUP(F110,'Customers (2)'!A:I,2,0)</f>
        <v>Isahella Hagland</v>
      </c>
      <c r="H110">
        <f>VLOOKUP(F110,'Customers (2)'!A:I,3,0)</f>
        <v>0</v>
      </c>
      <c r="I110" t="str">
        <f>VLOOKUP(F110,'Customers (2)'!A:I,4,0)</f>
        <v>+1 (260) 613-2279</v>
      </c>
      <c r="J110" t="str">
        <f>VLOOKUP(F110,'Customers (2)'!A:I,6,0)</f>
        <v>Fort Wayne</v>
      </c>
      <c r="K110" t="str">
        <f>VLOOKUP(F110,'Customers (2)'!A:I,7,0)</f>
        <v>United States</v>
      </c>
      <c r="L110" t="str">
        <f>VLOOKUP(F110,'Customers (2)'!A:I,9,0)</f>
        <v>No</v>
      </c>
      <c r="M110" t="str">
        <f>VLOOKUP(N110,'Products (2)'!A:G,2,0)</f>
        <v>Arabica</v>
      </c>
      <c r="N110" t="s">
        <v>67</v>
      </c>
      <c r="O110" t="str">
        <f>VLOOKUP(N110,'Products (2)'!A:G,3,0)</f>
        <v>Medium</v>
      </c>
      <c r="P110">
        <f>VLOOKUP(N110,'Products (2)'!A:G,7,0)</f>
        <v>0.60749999999999993</v>
      </c>
      <c r="Q110">
        <v>4</v>
      </c>
      <c r="R110">
        <f>INDEX([1]products!$A$1:$G$49,MATCH([1]orders!$D110,[1]products!$A$1:$A$49,0),MATCH([1]orders!K$1,[1]products!$A$1:$G$1,0))</f>
        <v>0.5</v>
      </c>
      <c r="S110">
        <f>INDEX([1]products!$A$1:$G$49,MATCH([1]orders!$D110,[1]products!$A$1:$A$49,0),MATCH([1]orders!L$1,[1]products!$A$1:$G$1,0))</f>
        <v>6.75</v>
      </c>
      <c r="T110">
        <f t="shared" si="7"/>
        <v>27</v>
      </c>
      <c r="U110">
        <f t="shared" si="10"/>
        <v>2.4299999999999997</v>
      </c>
      <c r="V110">
        <f t="shared" si="11"/>
        <v>8.9999999999999982</v>
      </c>
    </row>
    <row r="111" spans="1:22" x14ac:dyDescent="0.25">
      <c r="A111" t="s">
        <v>250</v>
      </c>
      <c r="B111">
        <v>43811</v>
      </c>
      <c r="C111" t="str">
        <f t="shared" si="8"/>
        <v>12</v>
      </c>
      <c r="D111" t="str">
        <f t="shared" si="6"/>
        <v>December</v>
      </c>
      <c r="E111" t="str">
        <f t="shared" si="9"/>
        <v>2019</v>
      </c>
      <c r="F111" t="s">
        <v>251</v>
      </c>
      <c r="G111" t="str">
        <f>VLOOKUP(F111,'Customers (2)'!A:I,2,0)</f>
        <v>Terry Sheryn</v>
      </c>
      <c r="H111" t="str">
        <f>VLOOKUP(F111,'Customers (2)'!A:I,3,0)</f>
        <v>tsheryn31@mtv.com</v>
      </c>
      <c r="I111" t="str">
        <f>VLOOKUP(F111,'Customers (2)'!A:I,4,0)</f>
        <v>+1 (516) 826-3780</v>
      </c>
      <c r="J111" t="str">
        <f>VLOOKUP(F111,'Customers (2)'!A:I,6,0)</f>
        <v>Port Washington</v>
      </c>
      <c r="K111" t="str">
        <f>VLOOKUP(F111,'Customers (2)'!A:I,7,0)</f>
        <v>United States</v>
      </c>
      <c r="L111" t="str">
        <f>VLOOKUP(F111,'Customers (2)'!A:I,9,0)</f>
        <v>Yes</v>
      </c>
      <c r="M111" t="str">
        <f>VLOOKUP(N111,'Products (2)'!A:G,2,0)</f>
        <v>Liberica</v>
      </c>
      <c r="N111" t="s">
        <v>123</v>
      </c>
      <c r="O111" t="str">
        <f>VLOOKUP(N111,'Products (2)'!A:G,3,0)</f>
        <v>Dark</v>
      </c>
      <c r="P111">
        <f>VLOOKUP(N111,'Products (2)'!A:G,7,0)</f>
        <v>1.0101</v>
      </c>
      <c r="Q111">
        <v>1</v>
      </c>
      <c r="R111">
        <f>INDEX([1]products!$A$1:$G$49,MATCH([1]orders!$D111,[1]products!$A$1:$A$49,0),MATCH([1]orders!K$1,[1]products!$A$1:$G$1,0))</f>
        <v>0.5</v>
      </c>
      <c r="S111">
        <f>INDEX([1]products!$A$1:$G$49,MATCH([1]orders!$D111,[1]products!$A$1:$A$49,0),MATCH([1]orders!L$1,[1]products!$A$1:$G$1,0))</f>
        <v>7.77</v>
      </c>
      <c r="T111">
        <f t="shared" si="7"/>
        <v>7.77</v>
      </c>
      <c r="U111">
        <f t="shared" si="10"/>
        <v>1.0101</v>
      </c>
      <c r="V111">
        <f t="shared" si="11"/>
        <v>13</v>
      </c>
    </row>
    <row r="112" spans="1:22" x14ac:dyDescent="0.25">
      <c r="A112" t="s">
        <v>252</v>
      </c>
      <c r="B112">
        <v>44727</v>
      </c>
      <c r="C112" t="str">
        <f t="shared" si="8"/>
        <v>15</v>
      </c>
      <c r="D112" t="str">
        <f t="shared" si="6"/>
        <v>June</v>
      </c>
      <c r="E112" t="str">
        <f t="shared" si="9"/>
        <v>2022</v>
      </c>
      <c r="F112" t="s">
        <v>253</v>
      </c>
      <c r="G112" t="str">
        <f>VLOOKUP(F112,'Customers (2)'!A:I,2,0)</f>
        <v>Marie-jeanne Redgrave</v>
      </c>
      <c r="H112" t="str">
        <f>VLOOKUP(F112,'Customers (2)'!A:I,3,0)</f>
        <v>mredgrave32@cargocollective.com</v>
      </c>
      <c r="I112" t="str">
        <f>VLOOKUP(F112,'Customers (2)'!A:I,4,0)</f>
        <v>+1 (413) 691-2892</v>
      </c>
      <c r="J112" t="str">
        <f>VLOOKUP(F112,'Customers (2)'!A:I,6,0)</f>
        <v>Springfield</v>
      </c>
      <c r="K112" t="str">
        <f>VLOOKUP(F112,'Customers (2)'!A:I,7,0)</f>
        <v>United States</v>
      </c>
      <c r="L112" t="str">
        <f>VLOOKUP(F112,'Customers (2)'!A:I,9,0)</f>
        <v>Yes</v>
      </c>
      <c r="M112" t="str">
        <f>VLOOKUP(N112,'Products (2)'!A:G,2,0)</f>
        <v>Excelsa</v>
      </c>
      <c r="N112" t="s">
        <v>254</v>
      </c>
      <c r="O112" t="str">
        <f>VLOOKUP(N112,'Products (2)'!A:G,3,0)</f>
        <v>Light</v>
      </c>
      <c r="P112">
        <f>VLOOKUP(N112,'Products (2)'!A:G,7,0)</f>
        <v>0.49004999999999999</v>
      </c>
      <c r="Q112">
        <v>3</v>
      </c>
      <c r="R112">
        <f>INDEX([1]products!$A$1:$G$49,MATCH([1]orders!$D112,[1]products!$A$1:$A$49,0),MATCH([1]orders!K$1,[1]products!$A$1:$G$1,0))</f>
        <v>0.2</v>
      </c>
      <c r="S112">
        <f>INDEX([1]products!$A$1:$G$49,MATCH([1]orders!$D112,[1]products!$A$1:$A$49,0),MATCH([1]orders!L$1,[1]products!$A$1:$G$1,0))</f>
        <v>4.4550000000000001</v>
      </c>
      <c r="T112">
        <f t="shared" si="7"/>
        <v>13.365</v>
      </c>
      <c r="U112">
        <f t="shared" si="10"/>
        <v>1.4701499999999998</v>
      </c>
      <c r="V112">
        <f t="shared" si="11"/>
        <v>10.999999999999998</v>
      </c>
    </row>
    <row r="113" spans="1:22" x14ac:dyDescent="0.25">
      <c r="A113" t="s">
        <v>255</v>
      </c>
      <c r="B113">
        <v>43642</v>
      </c>
      <c r="C113" t="str">
        <f t="shared" si="8"/>
        <v>26</v>
      </c>
      <c r="D113" t="str">
        <f t="shared" si="6"/>
        <v>June</v>
      </c>
      <c r="E113" t="str">
        <f t="shared" si="9"/>
        <v>2019</v>
      </c>
      <c r="F113" t="s">
        <v>256</v>
      </c>
      <c r="G113" t="str">
        <f>VLOOKUP(F113,'Customers (2)'!A:I,2,0)</f>
        <v>Betty Fominov</v>
      </c>
      <c r="H113" t="str">
        <f>VLOOKUP(F113,'Customers (2)'!A:I,3,0)</f>
        <v>bfominov33@yale.edu</v>
      </c>
      <c r="I113">
        <f>VLOOKUP(F113,'Customers (2)'!A:I,4,0)</f>
        <v>0</v>
      </c>
      <c r="J113" t="str">
        <f>VLOOKUP(F113,'Customers (2)'!A:I,6,0)</f>
        <v>Pensacola</v>
      </c>
      <c r="K113" t="str">
        <f>VLOOKUP(F113,'Customers (2)'!A:I,7,0)</f>
        <v>United States</v>
      </c>
      <c r="L113" t="str">
        <f>VLOOKUP(F113,'Customers (2)'!A:I,9,0)</f>
        <v>No</v>
      </c>
      <c r="M113" t="str">
        <f>VLOOKUP(N113,'Products (2)'!A:G,2,0)</f>
        <v>Robusta</v>
      </c>
      <c r="N113" t="s">
        <v>146</v>
      </c>
      <c r="O113" t="str">
        <f>VLOOKUP(N113,'Products (2)'!A:G,3,0)</f>
        <v>Dark</v>
      </c>
      <c r="P113">
        <f>VLOOKUP(N113,'Products (2)'!A:G,7,0)</f>
        <v>0.32219999999999993</v>
      </c>
      <c r="Q113">
        <v>5</v>
      </c>
      <c r="R113">
        <f>INDEX([1]products!$A$1:$G$49,MATCH([1]orders!$D113,[1]products!$A$1:$A$49,0),MATCH([1]orders!K$1,[1]products!$A$1:$G$1,0))</f>
        <v>0.5</v>
      </c>
      <c r="S113">
        <f>INDEX([1]products!$A$1:$G$49,MATCH([1]orders!$D113,[1]products!$A$1:$A$49,0),MATCH([1]orders!L$1,[1]products!$A$1:$G$1,0))</f>
        <v>5.3699999999999992</v>
      </c>
      <c r="T113">
        <f t="shared" si="7"/>
        <v>26.849999999999994</v>
      </c>
      <c r="U113">
        <f t="shared" si="10"/>
        <v>1.6109999999999998</v>
      </c>
      <c r="V113">
        <f t="shared" si="11"/>
        <v>6.0000000000000009</v>
      </c>
    </row>
    <row r="114" spans="1:22" x14ac:dyDescent="0.25">
      <c r="A114" t="s">
        <v>257</v>
      </c>
      <c r="B114">
        <v>44481</v>
      </c>
      <c r="C114" t="str">
        <f t="shared" si="8"/>
        <v>12</v>
      </c>
      <c r="D114" t="str">
        <f t="shared" si="6"/>
        <v>October</v>
      </c>
      <c r="E114" t="str">
        <f t="shared" si="9"/>
        <v>2021</v>
      </c>
      <c r="F114" t="s">
        <v>258</v>
      </c>
      <c r="G114" t="str">
        <f>VLOOKUP(F114,'Customers (2)'!A:I,2,0)</f>
        <v>Shawnee Critchlow</v>
      </c>
      <c r="H114" t="str">
        <f>VLOOKUP(F114,'Customers (2)'!A:I,3,0)</f>
        <v>scritchlow34@un.org</v>
      </c>
      <c r="I114" t="str">
        <f>VLOOKUP(F114,'Customers (2)'!A:I,4,0)</f>
        <v>+1 (804) 428-7292</v>
      </c>
      <c r="J114" t="str">
        <f>VLOOKUP(F114,'Customers (2)'!A:I,6,0)</f>
        <v>Richmond</v>
      </c>
      <c r="K114" t="str">
        <f>VLOOKUP(F114,'Customers (2)'!A:I,7,0)</f>
        <v>United States</v>
      </c>
      <c r="L114" t="str">
        <f>VLOOKUP(F114,'Customers (2)'!A:I,9,0)</f>
        <v>No</v>
      </c>
      <c r="M114" t="str">
        <f>VLOOKUP(N114,'Products (2)'!A:G,2,0)</f>
        <v>Arabica</v>
      </c>
      <c r="N114" t="s">
        <v>61</v>
      </c>
      <c r="O114" t="str">
        <f>VLOOKUP(N114,'Products (2)'!A:G,3,0)</f>
        <v>Medium</v>
      </c>
      <c r="P114">
        <f>VLOOKUP(N114,'Products (2)'!A:G,7,0)</f>
        <v>1.0125</v>
      </c>
      <c r="Q114">
        <v>1</v>
      </c>
      <c r="R114">
        <f>INDEX([1]products!$A$1:$G$49,MATCH([1]orders!$D114,[1]products!$A$1:$A$49,0),MATCH([1]orders!K$1,[1]products!$A$1:$G$1,0))</f>
        <v>1</v>
      </c>
      <c r="S114">
        <f>INDEX([1]products!$A$1:$G$49,MATCH([1]orders!$D114,[1]products!$A$1:$A$49,0),MATCH([1]orders!L$1,[1]products!$A$1:$G$1,0))</f>
        <v>11.25</v>
      </c>
      <c r="T114">
        <f t="shared" si="7"/>
        <v>11.25</v>
      </c>
      <c r="U114">
        <f t="shared" si="10"/>
        <v>1.0125</v>
      </c>
      <c r="V114">
        <f t="shared" si="11"/>
        <v>9</v>
      </c>
    </row>
    <row r="115" spans="1:22" x14ac:dyDescent="0.25">
      <c r="A115" t="s">
        <v>259</v>
      </c>
      <c r="B115">
        <v>43556</v>
      </c>
      <c r="C115" t="str">
        <f t="shared" si="8"/>
        <v>01</v>
      </c>
      <c r="D115" t="str">
        <f t="shared" si="6"/>
        <v>April</v>
      </c>
      <c r="E115" t="str">
        <f t="shared" si="9"/>
        <v>2019</v>
      </c>
      <c r="F115" t="s">
        <v>260</v>
      </c>
      <c r="G115" t="str">
        <f>VLOOKUP(F115,'Customers (2)'!A:I,2,0)</f>
        <v>Merrel Steptow</v>
      </c>
      <c r="H115" t="str">
        <f>VLOOKUP(F115,'Customers (2)'!A:I,3,0)</f>
        <v>msteptow35@earthlink.net</v>
      </c>
      <c r="I115" t="str">
        <f>VLOOKUP(F115,'Customers (2)'!A:I,4,0)</f>
        <v>+353 (266) 235-5189</v>
      </c>
      <c r="J115" t="str">
        <f>VLOOKUP(F115,'Customers (2)'!A:I,6,0)</f>
        <v>Cherryville</v>
      </c>
      <c r="K115" t="str">
        <f>VLOOKUP(F115,'Customers (2)'!A:I,7,0)</f>
        <v>Ireland</v>
      </c>
      <c r="L115" t="str">
        <f>VLOOKUP(F115,'Customers (2)'!A:I,9,0)</f>
        <v>No</v>
      </c>
      <c r="M115" t="str">
        <f>VLOOKUP(N115,'Products (2)'!A:G,2,0)</f>
        <v>Liberica</v>
      </c>
      <c r="N115" t="s">
        <v>96</v>
      </c>
      <c r="O115" t="str">
        <f>VLOOKUP(N115,'Products (2)'!A:G,3,0)</f>
        <v>Medium</v>
      </c>
      <c r="P115">
        <f>VLOOKUP(N115,'Products (2)'!A:G,7,0)</f>
        <v>1.8915000000000002</v>
      </c>
      <c r="Q115">
        <v>1</v>
      </c>
      <c r="R115">
        <f>INDEX([1]products!$A$1:$G$49,MATCH([1]orders!$D115,[1]products!$A$1:$A$49,0),MATCH([1]orders!K$1,[1]products!$A$1:$G$1,0))</f>
        <v>1</v>
      </c>
      <c r="S115">
        <f>INDEX([1]products!$A$1:$G$49,MATCH([1]orders!$D115,[1]products!$A$1:$A$49,0),MATCH([1]orders!L$1,[1]products!$A$1:$G$1,0))</f>
        <v>14.55</v>
      </c>
      <c r="T115">
        <f t="shared" si="7"/>
        <v>14.55</v>
      </c>
      <c r="U115">
        <f t="shared" si="10"/>
        <v>1.8915000000000002</v>
      </c>
      <c r="V115">
        <f t="shared" si="11"/>
        <v>13</v>
      </c>
    </row>
    <row r="116" spans="1:22" x14ac:dyDescent="0.25">
      <c r="A116" t="s">
        <v>261</v>
      </c>
      <c r="B116">
        <v>44265</v>
      </c>
      <c r="C116" t="str">
        <f t="shared" si="8"/>
        <v>10</v>
      </c>
      <c r="D116" t="str">
        <f t="shared" si="6"/>
        <v>March</v>
      </c>
      <c r="E116" t="str">
        <f t="shared" si="9"/>
        <v>2021</v>
      </c>
      <c r="F116" t="s">
        <v>262</v>
      </c>
      <c r="G116" t="str">
        <f>VLOOKUP(F116,'Customers (2)'!A:I,2,0)</f>
        <v>Carmina Hubbuck</v>
      </c>
      <c r="H116">
        <f>VLOOKUP(F116,'Customers (2)'!A:I,3,0)</f>
        <v>0</v>
      </c>
      <c r="I116" t="str">
        <f>VLOOKUP(F116,'Customers (2)'!A:I,4,0)</f>
        <v>+1 (304) 532-7229</v>
      </c>
      <c r="J116" t="str">
        <f>VLOOKUP(F116,'Customers (2)'!A:I,6,0)</f>
        <v>Huntington</v>
      </c>
      <c r="K116" t="str">
        <f>VLOOKUP(F116,'Customers (2)'!A:I,7,0)</f>
        <v>United States</v>
      </c>
      <c r="L116" t="str">
        <f>VLOOKUP(F116,'Customers (2)'!A:I,9,0)</f>
        <v>No</v>
      </c>
      <c r="M116" t="str">
        <f>VLOOKUP(N116,'Products (2)'!A:G,2,0)</f>
        <v>Robusta</v>
      </c>
      <c r="N116" t="s">
        <v>182</v>
      </c>
      <c r="O116" t="str">
        <f>VLOOKUP(N116,'Products (2)'!A:G,3,0)</f>
        <v>Light</v>
      </c>
      <c r="P116">
        <f>VLOOKUP(N116,'Products (2)'!A:G,7,0)</f>
        <v>0.21509999999999996</v>
      </c>
      <c r="Q116">
        <v>4</v>
      </c>
      <c r="R116">
        <f>INDEX([1]products!$A$1:$G$49,MATCH([1]orders!$D116,[1]products!$A$1:$A$49,0),MATCH([1]orders!K$1,[1]products!$A$1:$G$1,0))</f>
        <v>0.2</v>
      </c>
      <c r="S116">
        <f>INDEX([1]products!$A$1:$G$49,MATCH([1]orders!$D116,[1]products!$A$1:$A$49,0),MATCH([1]orders!L$1,[1]products!$A$1:$G$1,0))</f>
        <v>3.5849999999999995</v>
      </c>
      <c r="T116">
        <f t="shared" si="7"/>
        <v>14.339999999999998</v>
      </c>
      <c r="U116">
        <f t="shared" si="10"/>
        <v>0.86039999999999983</v>
      </c>
      <c r="V116">
        <f t="shared" si="11"/>
        <v>6</v>
      </c>
    </row>
    <row r="117" spans="1:22" x14ac:dyDescent="0.25">
      <c r="A117" t="s">
        <v>263</v>
      </c>
      <c r="B117">
        <v>43693</v>
      </c>
      <c r="C117" t="str">
        <f t="shared" si="8"/>
        <v>16</v>
      </c>
      <c r="D117" t="str">
        <f t="shared" si="6"/>
        <v>August</v>
      </c>
      <c r="E117" t="str">
        <f t="shared" si="9"/>
        <v>2019</v>
      </c>
      <c r="F117" t="s">
        <v>264</v>
      </c>
      <c r="G117" t="str">
        <f>VLOOKUP(F117,'Customers (2)'!A:I,2,0)</f>
        <v>Ingeberg Mulliner</v>
      </c>
      <c r="H117" t="str">
        <f>VLOOKUP(F117,'Customers (2)'!A:I,3,0)</f>
        <v>imulliner37@pinterest.com</v>
      </c>
      <c r="I117" t="str">
        <f>VLOOKUP(F117,'Customers (2)'!A:I,4,0)</f>
        <v>+44 (331) 777-9556</v>
      </c>
      <c r="J117" t="str">
        <f>VLOOKUP(F117,'Customers (2)'!A:I,6,0)</f>
        <v>Birmingham</v>
      </c>
      <c r="K117" t="str">
        <f>VLOOKUP(F117,'Customers (2)'!A:I,7,0)</f>
        <v>United Kingdom</v>
      </c>
      <c r="L117" t="str">
        <f>VLOOKUP(F117,'Customers (2)'!A:I,9,0)</f>
        <v>No</v>
      </c>
      <c r="M117" t="str">
        <f>VLOOKUP(N117,'Products (2)'!A:G,2,0)</f>
        <v>Liberica</v>
      </c>
      <c r="N117" t="s">
        <v>132</v>
      </c>
      <c r="O117" t="str">
        <f>VLOOKUP(N117,'Products (2)'!A:G,3,0)</f>
        <v>Light</v>
      </c>
      <c r="P117">
        <f>VLOOKUP(N117,'Products (2)'!A:G,7,0)</f>
        <v>2.0605000000000002</v>
      </c>
      <c r="Q117">
        <v>1</v>
      </c>
      <c r="R117">
        <f>INDEX([1]products!$A$1:$G$49,MATCH([1]orders!$D117,[1]products!$A$1:$A$49,0),MATCH([1]orders!K$1,[1]products!$A$1:$G$1,0))</f>
        <v>1</v>
      </c>
      <c r="S117">
        <f>INDEX([1]products!$A$1:$G$49,MATCH([1]orders!$D117,[1]products!$A$1:$A$49,0),MATCH([1]orders!L$1,[1]products!$A$1:$G$1,0))</f>
        <v>15.85</v>
      </c>
      <c r="T117">
        <f t="shared" si="7"/>
        <v>15.85</v>
      </c>
      <c r="U117">
        <f t="shared" si="10"/>
        <v>2.0605000000000002</v>
      </c>
      <c r="V117">
        <f t="shared" si="11"/>
        <v>13</v>
      </c>
    </row>
    <row r="118" spans="1:22" x14ac:dyDescent="0.25">
      <c r="A118" t="s">
        <v>265</v>
      </c>
      <c r="B118">
        <v>44054</v>
      </c>
      <c r="C118" t="str">
        <f t="shared" si="8"/>
        <v>11</v>
      </c>
      <c r="D118" t="str">
        <f t="shared" si="6"/>
        <v>August</v>
      </c>
      <c r="E118" t="str">
        <f t="shared" si="9"/>
        <v>2020</v>
      </c>
      <c r="F118" t="s">
        <v>266</v>
      </c>
      <c r="G118" t="str">
        <f>VLOOKUP(F118,'Customers (2)'!A:I,2,0)</f>
        <v>Geneva Standley</v>
      </c>
      <c r="H118" t="str">
        <f>VLOOKUP(F118,'Customers (2)'!A:I,3,0)</f>
        <v>gstandley38@dion.ne.jp</v>
      </c>
      <c r="I118" t="str">
        <f>VLOOKUP(F118,'Customers (2)'!A:I,4,0)</f>
        <v>+353 (521) 138-4331</v>
      </c>
      <c r="J118" t="str">
        <f>VLOOKUP(F118,'Customers (2)'!A:I,6,0)</f>
        <v>Killorglin</v>
      </c>
      <c r="K118" t="str">
        <f>VLOOKUP(F118,'Customers (2)'!A:I,7,0)</f>
        <v>Ireland</v>
      </c>
      <c r="L118" t="str">
        <f>VLOOKUP(F118,'Customers (2)'!A:I,9,0)</f>
        <v>Yes</v>
      </c>
      <c r="M118" t="str">
        <f>VLOOKUP(N118,'Products (2)'!A:G,2,0)</f>
        <v>Liberica</v>
      </c>
      <c r="N118" t="s">
        <v>19</v>
      </c>
      <c r="O118" t="str">
        <f>VLOOKUP(N118,'Products (2)'!A:G,3,0)</f>
        <v>Light</v>
      </c>
      <c r="P118">
        <f>VLOOKUP(N118,'Products (2)'!A:G,7,0)</f>
        <v>0.61814999999999998</v>
      </c>
      <c r="Q118">
        <v>4</v>
      </c>
      <c r="R118">
        <f>INDEX([1]products!$A$1:$G$49,MATCH([1]orders!$D118,[1]products!$A$1:$A$49,0),MATCH([1]orders!K$1,[1]products!$A$1:$G$1,0))</f>
        <v>0.2</v>
      </c>
      <c r="S118">
        <f>INDEX([1]products!$A$1:$G$49,MATCH([1]orders!$D118,[1]products!$A$1:$A$49,0),MATCH([1]orders!L$1,[1]products!$A$1:$G$1,0))</f>
        <v>4.7549999999999999</v>
      </c>
      <c r="T118">
        <f t="shared" si="7"/>
        <v>19.02</v>
      </c>
      <c r="U118">
        <f t="shared" si="10"/>
        <v>2.4725999999999999</v>
      </c>
      <c r="V118">
        <f t="shared" si="11"/>
        <v>13</v>
      </c>
    </row>
    <row r="119" spans="1:22" x14ac:dyDescent="0.25">
      <c r="A119" t="s">
        <v>267</v>
      </c>
      <c r="B119">
        <v>44656</v>
      </c>
      <c r="C119" t="str">
        <f t="shared" si="8"/>
        <v>05</v>
      </c>
      <c r="D119" t="str">
        <f t="shared" si="6"/>
        <v>April</v>
      </c>
      <c r="E119" t="str">
        <f t="shared" si="9"/>
        <v>2022</v>
      </c>
      <c r="F119" t="s">
        <v>268</v>
      </c>
      <c r="G119" t="str">
        <f>VLOOKUP(F119,'Customers (2)'!A:I,2,0)</f>
        <v>Brook Drage</v>
      </c>
      <c r="H119" t="str">
        <f>VLOOKUP(F119,'Customers (2)'!A:I,3,0)</f>
        <v>bdrage39@youku.com</v>
      </c>
      <c r="I119" t="str">
        <f>VLOOKUP(F119,'Customers (2)'!A:I,4,0)</f>
        <v>+1 (937) 566-3449</v>
      </c>
      <c r="J119" t="str">
        <f>VLOOKUP(F119,'Customers (2)'!A:I,6,0)</f>
        <v>Dayton</v>
      </c>
      <c r="K119" t="str">
        <f>VLOOKUP(F119,'Customers (2)'!A:I,7,0)</f>
        <v>United States</v>
      </c>
      <c r="L119" t="str">
        <f>VLOOKUP(F119,'Customers (2)'!A:I,9,0)</f>
        <v>No</v>
      </c>
      <c r="M119" t="str">
        <f>VLOOKUP(N119,'Products (2)'!A:G,2,0)</f>
        <v>Liberica</v>
      </c>
      <c r="N119" t="s">
        <v>83</v>
      </c>
      <c r="O119" t="str">
        <f>VLOOKUP(N119,'Products (2)'!A:G,3,0)</f>
        <v>Light</v>
      </c>
      <c r="P119">
        <f>VLOOKUP(N119,'Products (2)'!A:G,7,0)</f>
        <v>1.2363</v>
      </c>
      <c r="Q119">
        <v>4</v>
      </c>
      <c r="R119">
        <f>INDEX([1]products!$A$1:$G$49,MATCH([1]orders!$D119,[1]products!$A$1:$A$49,0),MATCH([1]orders!K$1,[1]products!$A$1:$G$1,0))</f>
        <v>0.5</v>
      </c>
      <c r="S119">
        <f>INDEX([1]products!$A$1:$G$49,MATCH([1]orders!$D119,[1]products!$A$1:$A$49,0),MATCH([1]orders!L$1,[1]products!$A$1:$G$1,0))</f>
        <v>9.51</v>
      </c>
      <c r="T119">
        <f t="shared" si="7"/>
        <v>38.04</v>
      </c>
      <c r="U119">
        <f t="shared" si="10"/>
        <v>4.9451999999999998</v>
      </c>
      <c r="V119">
        <f t="shared" si="11"/>
        <v>13</v>
      </c>
    </row>
    <row r="120" spans="1:22" x14ac:dyDescent="0.25">
      <c r="A120" t="s">
        <v>269</v>
      </c>
      <c r="B120">
        <v>43760</v>
      </c>
      <c r="C120" t="str">
        <f t="shared" si="8"/>
        <v>22</v>
      </c>
      <c r="D120" t="str">
        <f t="shared" si="6"/>
        <v>October</v>
      </c>
      <c r="E120" t="str">
        <f t="shared" si="9"/>
        <v>2019</v>
      </c>
      <c r="F120" t="s">
        <v>270</v>
      </c>
      <c r="G120" t="str">
        <f>VLOOKUP(F120,'Customers (2)'!A:I,2,0)</f>
        <v>Muffin Yallop</v>
      </c>
      <c r="H120" t="str">
        <f>VLOOKUP(F120,'Customers (2)'!A:I,3,0)</f>
        <v>myallop3a@fema.gov</v>
      </c>
      <c r="I120" t="str">
        <f>VLOOKUP(F120,'Customers (2)'!A:I,4,0)</f>
        <v>+1 (907) 267-1236</v>
      </c>
      <c r="J120" t="str">
        <f>VLOOKUP(F120,'Customers (2)'!A:I,6,0)</f>
        <v>Anchorage</v>
      </c>
      <c r="K120" t="str">
        <f>VLOOKUP(F120,'Customers (2)'!A:I,7,0)</f>
        <v>United States</v>
      </c>
      <c r="L120" t="str">
        <f>VLOOKUP(F120,'Customers (2)'!A:I,9,0)</f>
        <v>Yes</v>
      </c>
      <c r="M120" t="str">
        <f>VLOOKUP(N120,'Products (2)'!A:G,2,0)</f>
        <v>Excelsa</v>
      </c>
      <c r="N120" t="s">
        <v>16</v>
      </c>
      <c r="O120" t="str">
        <f>VLOOKUP(N120,'Products (2)'!A:G,3,0)</f>
        <v>Dark</v>
      </c>
      <c r="P120">
        <f>VLOOKUP(N120,'Products (2)'!A:G,7,0)</f>
        <v>0.80190000000000006</v>
      </c>
      <c r="Q120">
        <v>3</v>
      </c>
      <c r="R120">
        <f>INDEX([1]products!$A$1:$G$49,MATCH([1]orders!$D120,[1]products!$A$1:$A$49,0),MATCH([1]orders!K$1,[1]products!$A$1:$G$1,0))</f>
        <v>0.5</v>
      </c>
      <c r="S120">
        <f>INDEX([1]products!$A$1:$G$49,MATCH([1]orders!$D120,[1]products!$A$1:$A$49,0),MATCH([1]orders!L$1,[1]products!$A$1:$G$1,0))</f>
        <v>7.29</v>
      </c>
      <c r="T120">
        <f t="shared" si="7"/>
        <v>21.87</v>
      </c>
      <c r="U120">
        <f t="shared" si="10"/>
        <v>2.4057000000000004</v>
      </c>
      <c r="V120">
        <f t="shared" si="11"/>
        <v>11.000000000000002</v>
      </c>
    </row>
    <row r="121" spans="1:22" x14ac:dyDescent="0.25">
      <c r="A121" t="s">
        <v>271</v>
      </c>
      <c r="B121">
        <v>44471</v>
      </c>
      <c r="C121" t="str">
        <f t="shared" si="8"/>
        <v>02</v>
      </c>
      <c r="D121" t="str">
        <f t="shared" si="6"/>
        <v>October</v>
      </c>
      <c r="E121" t="str">
        <f t="shared" si="9"/>
        <v>2021</v>
      </c>
      <c r="F121" t="s">
        <v>272</v>
      </c>
      <c r="G121" t="str">
        <f>VLOOKUP(F121,'Customers (2)'!A:I,2,0)</f>
        <v>Cordi Switsur</v>
      </c>
      <c r="H121" t="str">
        <f>VLOOKUP(F121,'Customers (2)'!A:I,3,0)</f>
        <v>cswitsur3b@chronoengine.com</v>
      </c>
      <c r="I121" t="str">
        <f>VLOOKUP(F121,'Customers (2)'!A:I,4,0)</f>
        <v>+1 (615) 791-3142</v>
      </c>
      <c r="J121" t="str">
        <f>VLOOKUP(F121,'Customers (2)'!A:I,6,0)</f>
        <v>Nashville</v>
      </c>
      <c r="K121" t="str">
        <f>VLOOKUP(F121,'Customers (2)'!A:I,7,0)</f>
        <v>United States</v>
      </c>
      <c r="L121" t="str">
        <f>VLOOKUP(F121,'Customers (2)'!A:I,9,0)</f>
        <v>No</v>
      </c>
      <c r="M121" t="str">
        <f>VLOOKUP(N121,'Products (2)'!A:G,2,0)</f>
        <v>Excelsa</v>
      </c>
      <c r="N121" t="s">
        <v>64</v>
      </c>
      <c r="O121" t="str">
        <f>VLOOKUP(N121,'Products (2)'!A:G,3,0)</f>
        <v>Medium</v>
      </c>
      <c r="P121">
        <f>VLOOKUP(N121,'Products (2)'!A:G,7,0)</f>
        <v>0.45374999999999999</v>
      </c>
      <c r="Q121">
        <v>1</v>
      </c>
      <c r="R121">
        <f>INDEX([1]products!$A$1:$G$49,MATCH([1]orders!$D121,[1]products!$A$1:$A$49,0),MATCH([1]orders!K$1,[1]products!$A$1:$G$1,0))</f>
        <v>0.2</v>
      </c>
      <c r="S121">
        <f>INDEX([1]products!$A$1:$G$49,MATCH([1]orders!$D121,[1]products!$A$1:$A$49,0),MATCH([1]orders!L$1,[1]products!$A$1:$G$1,0))</f>
        <v>4.125</v>
      </c>
      <c r="T121">
        <f t="shared" si="7"/>
        <v>4.125</v>
      </c>
      <c r="U121">
        <f t="shared" si="10"/>
        <v>0.45374999999999999</v>
      </c>
      <c r="V121">
        <f t="shared" si="11"/>
        <v>11</v>
      </c>
    </row>
    <row r="122" spans="1:22" x14ac:dyDescent="0.25">
      <c r="A122" t="s">
        <v>271</v>
      </c>
      <c r="B122">
        <v>44471</v>
      </c>
      <c r="C122" t="str">
        <f t="shared" si="8"/>
        <v>02</v>
      </c>
      <c r="D122" t="str">
        <f t="shared" si="6"/>
        <v>October</v>
      </c>
      <c r="E122" t="str">
        <f t="shared" si="9"/>
        <v>2021</v>
      </c>
      <c r="F122" t="s">
        <v>272</v>
      </c>
      <c r="G122" t="str">
        <f>VLOOKUP(F122,'Customers (2)'!A:I,2,0)</f>
        <v>Cordi Switsur</v>
      </c>
      <c r="H122" t="str">
        <f>VLOOKUP(F122,'Customers (2)'!A:I,3,0)</f>
        <v>cswitsur3b@chronoengine.com</v>
      </c>
      <c r="I122" t="str">
        <f>VLOOKUP(F122,'Customers (2)'!A:I,4,0)</f>
        <v>+1 (615) 791-3142</v>
      </c>
      <c r="J122" t="str">
        <f>VLOOKUP(F122,'Customers (2)'!A:I,6,0)</f>
        <v>Nashville</v>
      </c>
      <c r="K122" t="str">
        <f>VLOOKUP(F122,'Customers (2)'!A:I,7,0)</f>
        <v>United States</v>
      </c>
      <c r="L122" t="str">
        <f>VLOOKUP(F122,'Customers (2)'!A:I,9,0)</f>
        <v>No</v>
      </c>
      <c r="M122" t="str">
        <f>VLOOKUP(N122,'Products (2)'!A:G,2,0)</f>
        <v>Arabica</v>
      </c>
      <c r="N122" t="s">
        <v>115</v>
      </c>
      <c r="O122" t="str">
        <f>VLOOKUP(N122,'Products (2)'!A:G,3,0)</f>
        <v>Light</v>
      </c>
      <c r="P122">
        <f>VLOOKUP(N122,'Products (2)'!A:G,7,0)</f>
        <v>0.34964999999999996</v>
      </c>
      <c r="Q122">
        <v>1</v>
      </c>
      <c r="R122">
        <f>INDEX([1]products!$A$1:$G$49,MATCH([1]orders!$D122,[1]products!$A$1:$A$49,0),MATCH([1]orders!K$1,[1]products!$A$1:$G$1,0))</f>
        <v>0.2</v>
      </c>
      <c r="S122">
        <f>INDEX([1]products!$A$1:$G$49,MATCH([1]orders!$D122,[1]products!$A$1:$A$49,0),MATCH([1]orders!L$1,[1]products!$A$1:$G$1,0))</f>
        <v>3.8849999999999998</v>
      </c>
      <c r="T122">
        <f t="shared" si="7"/>
        <v>3.8849999999999998</v>
      </c>
      <c r="U122">
        <f t="shared" si="10"/>
        <v>0.34964999999999996</v>
      </c>
      <c r="V122">
        <f t="shared" si="11"/>
        <v>9</v>
      </c>
    </row>
    <row r="123" spans="1:22" x14ac:dyDescent="0.25">
      <c r="A123" t="s">
        <v>271</v>
      </c>
      <c r="B123">
        <v>44471</v>
      </c>
      <c r="C123" t="str">
        <f t="shared" si="8"/>
        <v>02</v>
      </c>
      <c r="D123" t="str">
        <f t="shared" si="6"/>
        <v>October</v>
      </c>
      <c r="E123" t="str">
        <f t="shared" si="9"/>
        <v>2021</v>
      </c>
      <c r="F123" t="s">
        <v>272</v>
      </c>
      <c r="G123" t="str">
        <f>VLOOKUP(F123,'Customers (2)'!A:I,2,0)</f>
        <v>Cordi Switsur</v>
      </c>
      <c r="H123" t="str">
        <f>VLOOKUP(F123,'Customers (2)'!A:I,3,0)</f>
        <v>cswitsur3b@chronoengine.com</v>
      </c>
      <c r="I123" t="str">
        <f>VLOOKUP(F123,'Customers (2)'!A:I,4,0)</f>
        <v>+1 (615) 791-3142</v>
      </c>
      <c r="J123" t="str">
        <f>VLOOKUP(F123,'Customers (2)'!A:I,6,0)</f>
        <v>Nashville</v>
      </c>
      <c r="K123" t="str">
        <f>VLOOKUP(F123,'Customers (2)'!A:I,7,0)</f>
        <v>United States</v>
      </c>
      <c r="L123" t="str">
        <f>VLOOKUP(F123,'Customers (2)'!A:I,9,0)</f>
        <v>No</v>
      </c>
      <c r="M123" t="str">
        <f>VLOOKUP(N123,'Products (2)'!A:G,2,0)</f>
        <v>Excelsa</v>
      </c>
      <c r="N123" t="s">
        <v>9</v>
      </c>
      <c r="O123" t="str">
        <f>VLOOKUP(N123,'Products (2)'!A:G,3,0)</f>
        <v>Medium</v>
      </c>
      <c r="P123">
        <f>VLOOKUP(N123,'Products (2)'!A:G,7,0)</f>
        <v>1.5125</v>
      </c>
      <c r="Q123">
        <v>5</v>
      </c>
      <c r="R123">
        <f>INDEX([1]products!$A$1:$G$49,MATCH([1]orders!$D123,[1]products!$A$1:$A$49,0),MATCH([1]orders!K$1,[1]products!$A$1:$G$1,0))</f>
        <v>1</v>
      </c>
      <c r="S123">
        <f>INDEX([1]products!$A$1:$G$49,MATCH([1]orders!$D123,[1]products!$A$1:$A$49,0),MATCH([1]orders!L$1,[1]products!$A$1:$G$1,0))</f>
        <v>13.75</v>
      </c>
      <c r="T123">
        <f t="shared" si="7"/>
        <v>68.75</v>
      </c>
      <c r="U123">
        <f t="shared" si="10"/>
        <v>7.5625</v>
      </c>
      <c r="V123">
        <f t="shared" si="11"/>
        <v>11</v>
      </c>
    </row>
    <row r="124" spans="1:22" x14ac:dyDescent="0.25">
      <c r="A124" t="s">
        <v>273</v>
      </c>
      <c r="B124">
        <v>44268</v>
      </c>
      <c r="C124" t="str">
        <f t="shared" si="8"/>
        <v>13</v>
      </c>
      <c r="D124" t="str">
        <f t="shared" si="6"/>
        <v>March</v>
      </c>
      <c r="E124" t="str">
        <f t="shared" si="9"/>
        <v>2021</v>
      </c>
      <c r="F124" t="s">
        <v>274</v>
      </c>
      <c r="G124" t="str">
        <f>VLOOKUP(F124,'Customers (2)'!A:I,2,0)</f>
        <v>Mahala Ludwell</v>
      </c>
      <c r="H124" t="str">
        <f>VLOOKUP(F124,'Customers (2)'!A:I,3,0)</f>
        <v>mludwell3e@blogger.com</v>
      </c>
      <c r="I124" t="str">
        <f>VLOOKUP(F124,'Customers (2)'!A:I,4,0)</f>
        <v>+1 (303) 242-3542</v>
      </c>
      <c r="J124" t="str">
        <f>VLOOKUP(F124,'Customers (2)'!A:I,6,0)</f>
        <v>Denver</v>
      </c>
      <c r="K124" t="str">
        <f>VLOOKUP(F124,'Customers (2)'!A:I,7,0)</f>
        <v>United States</v>
      </c>
      <c r="L124" t="str">
        <f>VLOOKUP(F124,'Customers (2)'!A:I,9,0)</f>
        <v>Yes</v>
      </c>
      <c r="M124" t="str">
        <f>VLOOKUP(N124,'Products (2)'!A:G,2,0)</f>
        <v>Arabica</v>
      </c>
      <c r="N124" t="s">
        <v>72</v>
      </c>
      <c r="O124" t="str">
        <f>VLOOKUP(N124,'Products (2)'!A:G,3,0)</f>
        <v>Dark</v>
      </c>
      <c r="P124">
        <f>VLOOKUP(N124,'Products (2)'!A:G,7,0)</f>
        <v>0.5373</v>
      </c>
      <c r="Q124">
        <v>4</v>
      </c>
      <c r="R124">
        <f>INDEX([1]products!$A$1:$G$49,MATCH([1]orders!$D124,[1]products!$A$1:$A$49,0),MATCH([1]orders!K$1,[1]products!$A$1:$G$1,0))</f>
        <v>0.5</v>
      </c>
      <c r="S124">
        <f>INDEX([1]products!$A$1:$G$49,MATCH([1]orders!$D124,[1]products!$A$1:$A$49,0),MATCH([1]orders!L$1,[1]products!$A$1:$G$1,0))</f>
        <v>5.97</v>
      </c>
      <c r="T124">
        <f t="shared" si="7"/>
        <v>23.88</v>
      </c>
      <c r="U124">
        <f t="shared" si="10"/>
        <v>2.1492</v>
      </c>
      <c r="V124">
        <f t="shared" si="11"/>
        <v>9.0000000000000018</v>
      </c>
    </row>
    <row r="125" spans="1:22" x14ac:dyDescent="0.25">
      <c r="A125" t="s">
        <v>275</v>
      </c>
      <c r="B125">
        <v>44724</v>
      </c>
      <c r="C125" t="str">
        <f t="shared" si="8"/>
        <v>12</v>
      </c>
      <c r="D125" t="str">
        <f t="shared" si="6"/>
        <v>June</v>
      </c>
      <c r="E125" t="str">
        <f t="shared" si="9"/>
        <v>2022</v>
      </c>
      <c r="F125" t="s">
        <v>276</v>
      </c>
      <c r="G125" t="str">
        <f>VLOOKUP(F125,'Customers (2)'!A:I,2,0)</f>
        <v>Doll Beauchamp</v>
      </c>
      <c r="H125" t="str">
        <f>VLOOKUP(F125,'Customers (2)'!A:I,3,0)</f>
        <v>dbeauchamp3f@usda.gov</v>
      </c>
      <c r="I125" t="str">
        <f>VLOOKUP(F125,'Customers (2)'!A:I,4,0)</f>
        <v>+1 (203) 189-4256</v>
      </c>
      <c r="J125" t="str">
        <f>VLOOKUP(F125,'Customers (2)'!A:I,6,0)</f>
        <v>Stamford</v>
      </c>
      <c r="K125" t="str">
        <f>VLOOKUP(F125,'Customers (2)'!A:I,7,0)</f>
        <v>United States</v>
      </c>
      <c r="L125" t="str">
        <f>VLOOKUP(F125,'Customers (2)'!A:I,9,0)</f>
        <v>No</v>
      </c>
      <c r="M125" t="str">
        <f>VLOOKUP(N125,'Products (2)'!A:G,2,0)</f>
        <v>Liberica</v>
      </c>
      <c r="N125" t="s">
        <v>104</v>
      </c>
      <c r="O125" t="str">
        <f>VLOOKUP(N125,'Products (2)'!A:G,3,0)</f>
        <v>Light</v>
      </c>
      <c r="P125">
        <f>VLOOKUP(N125,'Products (2)'!A:G,7,0)</f>
        <v>4.7391499999999995</v>
      </c>
      <c r="Q125">
        <v>4</v>
      </c>
      <c r="R125">
        <f>INDEX([1]products!$A$1:$G$49,MATCH([1]orders!$D125,[1]products!$A$1:$A$49,0),MATCH([1]orders!K$1,[1]products!$A$1:$G$1,0))</f>
        <v>2.5</v>
      </c>
      <c r="S125">
        <f>INDEX([1]products!$A$1:$G$49,MATCH([1]orders!$D125,[1]products!$A$1:$A$49,0),MATCH([1]orders!L$1,[1]products!$A$1:$G$1,0))</f>
        <v>36.454999999999998</v>
      </c>
      <c r="T125">
        <f t="shared" si="7"/>
        <v>145.82</v>
      </c>
      <c r="U125">
        <f t="shared" si="10"/>
        <v>18.956599999999998</v>
      </c>
      <c r="V125">
        <f t="shared" si="11"/>
        <v>13</v>
      </c>
    </row>
    <row r="126" spans="1:22" x14ac:dyDescent="0.25">
      <c r="A126" t="s">
        <v>277</v>
      </c>
      <c r="B126">
        <v>43582</v>
      </c>
      <c r="C126" t="str">
        <f t="shared" si="8"/>
        <v>27</v>
      </c>
      <c r="D126" t="str">
        <f t="shared" si="6"/>
        <v>April</v>
      </c>
      <c r="E126" t="str">
        <f t="shared" si="9"/>
        <v>2019</v>
      </c>
      <c r="F126" t="s">
        <v>278</v>
      </c>
      <c r="G126" t="str">
        <f>VLOOKUP(F126,'Customers (2)'!A:I,2,0)</f>
        <v>Stanford Rodliff</v>
      </c>
      <c r="H126" t="str">
        <f>VLOOKUP(F126,'Customers (2)'!A:I,3,0)</f>
        <v>srodliff3g@ted.com</v>
      </c>
      <c r="I126" t="str">
        <f>VLOOKUP(F126,'Customers (2)'!A:I,4,0)</f>
        <v>+1 (757) 537-3012</v>
      </c>
      <c r="J126" t="str">
        <f>VLOOKUP(F126,'Customers (2)'!A:I,6,0)</f>
        <v>Newport News</v>
      </c>
      <c r="K126" t="str">
        <f>VLOOKUP(F126,'Customers (2)'!A:I,7,0)</f>
        <v>United States</v>
      </c>
      <c r="L126" t="str">
        <f>VLOOKUP(F126,'Customers (2)'!A:I,9,0)</f>
        <v>Yes</v>
      </c>
      <c r="M126" t="str">
        <f>VLOOKUP(N126,'Products (2)'!A:G,2,0)</f>
        <v>Liberica</v>
      </c>
      <c r="N126" t="s">
        <v>77</v>
      </c>
      <c r="O126" t="str">
        <f>VLOOKUP(N126,'Products (2)'!A:G,3,0)</f>
        <v>Medium</v>
      </c>
      <c r="P126">
        <f>VLOOKUP(N126,'Products (2)'!A:G,7,0)</f>
        <v>0.56745000000000001</v>
      </c>
      <c r="Q126">
        <v>5</v>
      </c>
      <c r="R126">
        <f>INDEX([1]products!$A$1:$G$49,MATCH([1]orders!$D126,[1]products!$A$1:$A$49,0),MATCH([1]orders!K$1,[1]products!$A$1:$G$1,0))</f>
        <v>0.2</v>
      </c>
      <c r="S126">
        <f>INDEX([1]products!$A$1:$G$49,MATCH([1]orders!$D126,[1]products!$A$1:$A$49,0),MATCH([1]orders!L$1,[1]products!$A$1:$G$1,0))</f>
        <v>4.3650000000000002</v>
      </c>
      <c r="T126">
        <f t="shared" si="7"/>
        <v>21.825000000000003</v>
      </c>
      <c r="U126">
        <f t="shared" si="10"/>
        <v>2.83725</v>
      </c>
      <c r="V126">
        <f t="shared" si="11"/>
        <v>12.999999999999998</v>
      </c>
    </row>
    <row r="127" spans="1:22" x14ac:dyDescent="0.25">
      <c r="A127" t="s">
        <v>279</v>
      </c>
      <c r="B127">
        <v>43608</v>
      </c>
      <c r="C127" t="str">
        <f t="shared" si="8"/>
        <v>23</v>
      </c>
      <c r="D127" t="str">
        <f t="shared" si="6"/>
        <v>May</v>
      </c>
      <c r="E127" t="str">
        <f t="shared" si="9"/>
        <v>2019</v>
      </c>
      <c r="F127" t="s">
        <v>280</v>
      </c>
      <c r="G127" t="str">
        <f>VLOOKUP(F127,'Customers (2)'!A:I,2,0)</f>
        <v>Stevana Woodham</v>
      </c>
      <c r="H127" t="str">
        <f>VLOOKUP(F127,'Customers (2)'!A:I,3,0)</f>
        <v>swoodham3h@businesswire.com</v>
      </c>
      <c r="I127" t="str">
        <f>VLOOKUP(F127,'Customers (2)'!A:I,4,0)</f>
        <v>+353 (190) 188-4918</v>
      </c>
      <c r="J127" t="str">
        <f>VLOOKUP(F127,'Customers (2)'!A:I,6,0)</f>
        <v>Drumcondra</v>
      </c>
      <c r="K127" t="str">
        <f>VLOOKUP(F127,'Customers (2)'!A:I,7,0)</f>
        <v>Ireland</v>
      </c>
      <c r="L127" t="str">
        <f>VLOOKUP(F127,'Customers (2)'!A:I,9,0)</f>
        <v>Yes</v>
      </c>
      <c r="M127" t="str">
        <f>VLOOKUP(N127,'Products (2)'!A:G,2,0)</f>
        <v>Liberica</v>
      </c>
      <c r="N127" t="s">
        <v>78</v>
      </c>
      <c r="O127" t="str">
        <f>VLOOKUP(N127,'Products (2)'!A:G,3,0)</f>
        <v>Medium</v>
      </c>
      <c r="P127">
        <f>VLOOKUP(N127,'Products (2)'!A:G,7,0)</f>
        <v>1.1349</v>
      </c>
      <c r="Q127">
        <v>3</v>
      </c>
      <c r="R127">
        <f>INDEX([1]products!$A$1:$G$49,MATCH([1]orders!$D127,[1]products!$A$1:$A$49,0),MATCH([1]orders!K$1,[1]products!$A$1:$G$1,0))</f>
        <v>0.5</v>
      </c>
      <c r="S127">
        <f>INDEX([1]products!$A$1:$G$49,MATCH([1]orders!$D127,[1]products!$A$1:$A$49,0),MATCH([1]orders!L$1,[1]products!$A$1:$G$1,0))</f>
        <v>8.73</v>
      </c>
      <c r="T127">
        <f t="shared" si="7"/>
        <v>26.19</v>
      </c>
      <c r="U127">
        <f t="shared" si="10"/>
        <v>3.4047000000000001</v>
      </c>
      <c r="V127">
        <f t="shared" si="11"/>
        <v>13</v>
      </c>
    </row>
    <row r="128" spans="1:22" x14ac:dyDescent="0.25">
      <c r="A128" t="s">
        <v>281</v>
      </c>
      <c r="B128">
        <v>44026</v>
      </c>
      <c r="C128" t="str">
        <f t="shared" si="8"/>
        <v>14</v>
      </c>
      <c r="D128" t="str">
        <f t="shared" si="6"/>
        <v>July</v>
      </c>
      <c r="E128" t="str">
        <f t="shared" si="9"/>
        <v>2020</v>
      </c>
      <c r="F128" t="s">
        <v>282</v>
      </c>
      <c r="G128" t="str">
        <f>VLOOKUP(F128,'Customers (2)'!A:I,2,0)</f>
        <v>Hewet Synnot</v>
      </c>
      <c r="H128" t="str">
        <f>VLOOKUP(F128,'Customers (2)'!A:I,3,0)</f>
        <v>hsynnot3i@about.com</v>
      </c>
      <c r="I128" t="str">
        <f>VLOOKUP(F128,'Customers (2)'!A:I,4,0)</f>
        <v>+1 (907) 245-0601</v>
      </c>
      <c r="J128" t="str">
        <f>VLOOKUP(F128,'Customers (2)'!A:I,6,0)</f>
        <v>Anchorage</v>
      </c>
      <c r="K128" t="str">
        <f>VLOOKUP(F128,'Customers (2)'!A:I,7,0)</f>
        <v>United States</v>
      </c>
      <c r="L128" t="str">
        <f>VLOOKUP(F128,'Customers (2)'!A:I,9,0)</f>
        <v>No</v>
      </c>
      <c r="M128" t="str">
        <f>VLOOKUP(N128,'Products (2)'!A:G,2,0)</f>
        <v>Arabica</v>
      </c>
      <c r="N128" t="s">
        <v>61</v>
      </c>
      <c r="O128" t="str">
        <f>VLOOKUP(N128,'Products (2)'!A:G,3,0)</f>
        <v>Medium</v>
      </c>
      <c r="P128">
        <f>VLOOKUP(N128,'Products (2)'!A:G,7,0)</f>
        <v>1.0125</v>
      </c>
      <c r="Q128">
        <v>1</v>
      </c>
      <c r="R128">
        <f>INDEX([1]products!$A$1:$G$49,MATCH([1]orders!$D128,[1]products!$A$1:$A$49,0),MATCH([1]orders!K$1,[1]products!$A$1:$G$1,0))</f>
        <v>1</v>
      </c>
      <c r="S128">
        <f>INDEX([1]products!$A$1:$G$49,MATCH([1]orders!$D128,[1]products!$A$1:$A$49,0),MATCH([1]orders!L$1,[1]products!$A$1:$G$1,0))</f>
        <v>11.25</v>
      </c>
      <c r="T128">
        <f t="shared" si="7"/>
        <v>11.25</v>
      </c>
      <c r="U128">
        <f t="shared" si="10"/>
        <v>1.0125</v>
      </c>
      <c r="V128">
        <f t="shared" si="11"/>
        <v>9</v>
      </c>
    </row>
    <row r="129" spans="1:22" x14ac:dyDescent="0.25">
      <c r="A129" t="s">
        <v>283</v>
      </c>
      <c r="B129">
        <v>44510</v>
      </c>
      <c r="C129" t="str">
        <f t="shared" si="8"/>
        <v>10</v>
      </c>
      <c r="D129" t="str">
        <f t="shared" si="6"/>
        <v>November</v>
      </c>
      <c r="E129" t="str">
        <f t="shared" si="9"/>
        <v>2021</v>
      </c>
      <c r="F129" t="s">
        <v>284</v>
      </c>
      <c r="G129" t="str">
        <f>VLOOKUP(F129,'Customers (2)'!A:I,2,0)</f>
        <v>Raleigh Lepere</v>
      </c>
      <c r="H129" t="str">
        <f>VLOOKUP(F129,'Customers (2)'!A:I,3,0)</f>
        <v>rlepere3j@shop-pro.jp</v>
      </c>
      <c r="I129" t="str">
        <f>VLOOKUP(F129,'Customers (2)'!A:I,4,0)</f>
        <v>+353 (792) 857-4513</v>
      </c>
      <c r="J129" t="str">
        <f>VLOOKUP(F129,'Customers (2)'!A:I,6,0)</f>
        <v>Beaumont</v>
      </c>
      <c r="K129" t="str">
        <f>VLOOKUP(F129,'Customers (2)'!A:I,7,0)</f>
        <v>Ireland</v>
      </c>
      <c r="L129" t="str">
        <f>VLOOKUP(F129,'Customers (2)'!A:I,9,0)</f>
        <v>No</v>
      </c>
      <c r="M129" t="str">
        <f>VLOOKUP(N129,'Products (2)'!A:G,2,0)</f>
        <v>Liberica</v>
      </c>
      <c r="N129" t="s">
        <v>13</v>
      </c>
      <c r="O129" t="str">
        <f>VLOOKUP(N129,'Products (2)'!A:G,3,0)</f>
        <v>Dark</v>
      </c>
      <c r="P129">
        <f>VLOOKUP(N129,'Products (2)'!A:G,7,0)</f>
        <v>1.6835</v>
      </c>
      <c r="Q129">
        <v>6</v>
      </c>
      <c r="R129">
        <f>INDEX([1]products!$A$1:$G$49,MATCH([1]orders!$D129,[1]products!$A$1:$A$49,0),MATCH([1]orders!K$1,[1]products!$A$1:$G$1,0))</f>
        <v>1</v>
      </c>
      <c r="S129">
        <f>INDEX([1]products!$A$1:$G$49,MATCH([1]orders!$D129,[1]products!$A$1:$A$49,0),MATCH([1]orders!L$1,[1]products!$A$1:$G$1,0))</f>
        <v>12.95</v>
      </c>
      <c r="T129">
        <f t="shared" si="7"/>
        <v>77.699999999999989</v>
      </c>
      <c r="U129">
        <f t="shared" si="10"/>
        <v>10.100999999999999</v>
      </c>
      <c r="V129">
        <f t="shared" si="11"/>
        <v>13</v>
      </c>
    </row>
    <row r="130" spans="1:22" x14ac:dyDescent="0.25">
      <c r="A130" t="s">
        <v>285</v>
      </c>
      <c r="B130">
        <v>44439</v>
      </c>
      <c r="C130" t="str">
        <f t="shared" si="8"/>
        <v>31</v>
      </c>
      <c r="D130" t="str">
        <f t="shared" ref="D130:D193" si="12">TEXT(B:B,"MMMM")</f>
        <v>August</v>
      </c>
      <c r="E130" t="str">
        <f t="shared" si="9"/>
        <v>2021</v>
      </c>
      <c r="F130" t="s">
        <v>286</v>
      </c>
      <c r="G130" t="str">
        <f>VLOOKUP(F130,'Customers (2)'!A:I,2,0)</f>
        <v>Timofei Woofinden</v>
      </c>
      <c r="H130" t="str">
        <f>VLOOKUP(F130,'Customers (2)'!A:I,3,0)</f>
        <v>twoofinden3k@businesswire.com</v>
      </c>
      <c r="I130" t="str">
        <f>VLOOKUP(F130,'Customers (2)'!A:I,4,0)</f>
        <v>+1 (701) 503-1067</v>
      </c>
      <c r="J130" t="str">
        <f>VLOOKUP(F130,'Customers (2)'!A:I,6,0)</f>
        <v>Fargo</v>
      </c>
      <c r="K130" t="str">
        <f>VLOOKUP(F130,'Customers (2)'!A:I,7,0)</f>
        <v>United States</v>
      </c>
      <c r="L130" t="str">
        <f>VLOOKUP(F130,'Customers (2)'!A:I,9,0)</f>
        <v>No</v>
      </c>
      <c r="M130" t="str">
        <f>VLOOKUP(N130,'Products (2)'!A:G,2,0)</f>
        <v>Arabica</v>
      </c>
      <c r="N130" t="s">
        <v>67</v>
      </c>
      <c r="O130" t="str">
        <f>VLOOKUP(N130,'Products (2)'!A:G,3,0)</f>
        <v>Medium</v>
      </c>
      <c r="P130">
        <f>VLOOKUP(N130,'Products (2)'!A:G,7,0)</f>
        <v>0.60749999999999993</v>
      </c>
      <c r="Q130">
        <v>1</v>
      </c>
      <c r="R130">
        <f>INDEX([1]products!$A$1:$G$49,MATCH([1]orders!$D130,[1]products!$A$1:$A$49,0),MATCH([1]orders!K$1,[1]products!$A$1:$G$1,0))</f>
        <v>0.5</v>
      </c>
      <c r="S130">
        <f>INDEX([1]products!$A$1:$G$49,MATCH([1]orders!$D130,[1]products!$A$1:$A$49,0),MATCH([1]orders!L$1,[1]products!$A$1:$G$1,0))</f>
        <v>6.75</v>
      </c>
      <c r="T130">
        <f t="shared" ref="T130:T193" si="13">Q130*S130</f>
        <v>6.75</v>
      </c>
      <c r="U130">
        <f t="shared" si="10"/>
        <v>0.60749999999999993</v>
      </c>
      <c r="V130">
        <f t="shared" si="11"/>
        <v>8.9999999999999982</v>
      </c>
    </row>
    <row r="131" spans="1:22" x14ac:dyDescent="0.25">
      <c r="A131" t="s">
        <v>287</v>
      </c>
      <c r="B131">
        <v>43652</v>
      </c>
      <c r="C131" t="str">
        <f t="shared" ref="C131:C194" si="14">TEXT(B:B,"DD")</f>
        <v>06</v>
      </c>
      <c r="D131" t="str">
        <f t="shared" si="12"/>
        <v>July</v>
      </c>
      <c r="E131" t="str">
        <f t="shared" ref="E131:E194" si="15">TEXT(B:B,"yyyy")</f>
        <v>2019</v>
      </c>
      <c r="F131" t="s">
        <v>288</v>
      </c>
      <c r="G131" t="str">
        <f>VLOOKUP(F131,'Customers (2)'!A:I,2,0)</f>
        <v>Evelina Dacca</v>
      </c>
      <c r="H131" t="str">
        <f>VLOOKUP(F131,'Customers (2)'!A:I,3,0)</f>
        <v>edacca3l@google.pl</v>
      </c>
      <c r="I131" t="str">
        <f>VLOOKUP(F131,'Customers (2)'!A:I,4,0)</f>
        <v>+1 (812) 921-5458</v>
      </c>
      <c r="J131" t="str">
        <f>VLOOKUP(F131,'Customers (2)'!A:I,6,0)</f>
        <v>Evansville</v>
      </c>
      <c r="K131" t="str">
        <f>VLOOKUP(F131,'Customers (2)'!A:I,7,0)</f>
        <v>United States</v>
      </c>
      <c r="L131" t="str">
        <f>VLOOKUP(F131,'Customers (2)'!A:I,9,0)</f>
        <v>Yes</v>
      </c>
      <c r="M131" t="str">
        <f>VLOOKUP(N131,'Products (2)'!A:G,2,0)</f>
        <v>Excelsa</v>
      </c>
      <c r="N131" t="s">
        <v>245</v>
      </c>
      <c r="O131" t="str">
        <f>VLOOKUP(N131,'Products (2)'!A:G,3,0)</f>
        <v>Dark</v>
      </c>
      <c r="P131">
        <f>VLOOKUP(N131,'Products (2)'!A:G,7,0)</f>
        <v>1.3365</v>
      </c>
      <c r="Q131">
        <v>1</v>
      </c>
      <c r="R131">
        <f>INDEX([1]products!$A$1:$G$49,MATCH([1]orders!$D131,[1]products!$A$1:$A$49,0),MATCH([1]orders!K$1,[1]products!$A$1:$G$1,0))</f>
        <v>1</v>
      </c>
      <c r="S131">
        <f>INDEX([1]products!$A$1:$G$49,MATCH([1]orders!$D131,[1]products!$A$1:$A$49,0),MATCH([1]orders!L$1,[1]products!$A$1:$G$1,0))</f>
        <v>12.15</v>
      </c>
      <c r="T131">
        <f t="shared" si="13"/>
        <v>12.15</v>
      </c>
      <c r="U131">
        <f t="shared" ref="U131:U194" si="16">Q131*P131</f>
        <v>1.3365</v>
      </c>
      <c r="V131">
        <f t="shared" ref="V131:V194" si="17">U131/T131*100</f>
        <v>11</v>
      </c>
    </row>
    <row r="132" spans="1:22" x14ac:dyDescent="0.25">
      <c r="A132" t="s">
        <v>289</v>
      </c>
      <c r="B132">
        <v>44624</v>
      </c>
      <c r="C132" t="str">
        <f t="shared" si="14"/>
        <v>04</v>
      </c>
      <c r="D132" t="str">
        <f t="shared" si="12"/>
        <v>March</v>
      </c>
      <c r="E132" t="str">
        <f t="shared" si="15"/>
        <v>2022</v>
      </c>
      <c r="F132" t="s">
        <v>290</v>
      </c>
      <c r="G132" t="str">
        <f>VLOOKUP(F132,'Customers (2)'!A:I,2,0)</f>
        <v>Bidget Tremellier</v>
      </c>
      <c r="H132">
        <f>VLOOKUP(F132,'Customers (2)'!A:I,3,0)</f>
        <v>0</v>
      </c>
      <c r="I132" t="str">
        <f>VLOOKUP(F132,'Customers (2)'!A:I,4,0)</f>
        <v>+353 (900) 633-2359</v>
      </c>
      <c r="J132" t="str">
        <f>VLOOKUP(F132,'Customers (2)'!A:I,6,0)</f>
        <v>Cherryville</v>
      </c>
      <c r="K132" t="str">
        <f>VLOOKUP(F132,'Customers (2)'!A:I,7,0)</f>
        <v>Ireland</v>
      </c>
      <c r="L132" t="str">
        <f>VLOOKUP(F132,'Customers (2)'!A:I,9,0)</f>
        <v>Yes</v>
      </c>
      <c r="M132" t="str">
        <f>VLOOKUP(N132,'Products (2)'!A:G,2,0)</f>
        <v>Arabica</v>
      </c>
      <c r="N132" t="s">
        <v>204</v>
      </c>
      <c r="O132" t="str">
        <f>VLOOKUP(N132,'Products (2)'!A:G,3,0)</f>
        <v>Light</v>
      </c>
      <c r="P132">
        <f>VLOOKUP(N132,'Products (2)'!A:G,7,0)</f>
        <v>2.6806499999999995</v>
      </c>
      <c r="Q132">
        <v>5</v>
      </c>
      <c r="R132">
        <f>INDEX([1]products!$A$1:$G$49,MATCH([1]orders!$D132,[1]products!$A$1:$A$49,0),MATCH([1]orders!K$1,[1]products!$A$1:$G$1,0))</f>
        <v>2.5</v>
      </c>
      <c r="S132">
        <f>INDEX([1]products!$A$1:$G$49,MATCH([1]orders!$D132,[1]products!$A$1:$A$49,0),MATCH([1]orders!L$1,[1]products!$A$1:$G$1,0))</f>
        <v>29.784999999999997</v>
      </c>
      <c r="T132">
        <f t="shared" si="13"/>
        <v>148.92499999999998</v>
      </c>
      <c r="U132">
        <f t="shared" si="16"/>
        <v>13.403249999999998</v>
      </c>
      <c r="V132">
        <f t="shared" si="17"/>
        <v>9</v>
      </c>
    </row>
    <row r="133" spans="1:22" x14ac:dyDescent="0.25">
      <c r="A133" t="s">
        <v>291</v>
      </c>
      <c r="B133">
        <v>44196</v>
      </c>
      <c r="C133" t="str">
        <f t="shared" si="14"/>
        <v>31</v>
      </c>
      <c r="D133" t="str">
        <f t="shared" si="12"/>
        <v>December</v>
      </c>
      <c r="E133" t="str">
        <f t="shared" si="15"/>
        <v>2020</v>
      </c>
      <c r="F133" t="s">
        <v>292</v>
      </c>
      <c r="G133" t="str">
        <f>VLOOKUP(F133,'Customers (2)'!A:I,2,0)</f>
        <v>Bobinette Hindsberg</v>
      </c>
      <c r="H133" t="str">
        <f>VLOOKUP(F133,'Customers (2)'!A:I,3,0)</f>
        <v>bhindsberg3n@blogs.com</v>
      </c>
      <c r="I133" t="str">
        <f>VLOOKUP(F133,'Customers (2)'!A:I,4,0)</f>
        <v>+1 (704) 888-5303</v>
      </c>
      <c r="J133" t="str">
        <f>VLOOKUP(F133,'Customers (2)'!A:I,6,0)</f>
        <v>Charlotte</v>
      </c>
      <c r="K133" t="str">
        <f>VLOOKUP(F133,'Customers (2)'!A:I,7,0)</f>
        <v>United States</v>
      </c>
      <c r="L133" t="str">
        <f>VLOOKUP(F133,'Customers (2)'!A:I,9,0)</f>
        <v>Yes</v>
      </c>
      <c r="M133" t="str">
        <f>VLOOKUP(N133,'Products (2)'!A:G,2,0)</f>
        <v>Excelsa</v>
      </c>
      <c r="N133" t="s">
        <v>16</v>
      </c>
      <c r="O133" t="str">
        <f>VLOOKUP(N133,'Products (2)'!A:G,3,0)</f>
        <v>Dark</v>
      </c>
      <c r="P133">
        <f>VLOOKUP(N133,'Products (2)'!A:G,7,0)</f>
        <v>0.80190000000000006</v>
      </c>
      <c r="Q133">
        <v>2</v>
      </c>
      <c r="R133">
        <f>INDEX([1]products!$A$1:$G$49,MATCH([1]orders!$D133,[1]products!$A$1:$A$49,0),MATCH([1]orders!K$1,[1]products!$A$1:$G$1,0))</f>
        <v>0.5</v>
      </c>
      <c r="S133">
        <f>INDEX([1]products!$A$1:$G$49,MATCH([1]orders!$D133,[1]products!$A$1:$A$49,0),MATCH([1]orders!L$1,[1]products!$A$1:$G$1,0))</f>
        <v>7.29</v>
      </c>
      <c r="T133">
        <f t="shared" si="13"/>
        <v>14.58</v>
      </c>
      <c r="U133">
        <f t="shared" si="16"/>
        <v>1.6038000000000001</v>
      </c>
      <c r="V133">
        <f t="shared" si="17"/>
        <v>11</v>
      </c>
    </row>
    <row r="134" spans="1:22" x14ac:dyDescent="0.25">
      <c r="A134" t="s">
        <v>293</v>
      </c>
      <c r="B134">
        <v>44043</v>
      </c>
      <c r="C134" t="str">
        <f t="shared" si="14"/>
        <v>31</v>
      </c>
      <c r="D134" t="str">
        <f t="shared" si="12"/>
        <v>July</v>
      </c>
      <c r="E134" t="str">
        <f t="shared" si="15"/>
        <v>2020</v>
      </c>
      <c r="F134" t="s">
        <v>294</v>
      </c>
      <c r="G134" t="str">
        <f>VLOOKUP(F134,'Customers (2)'!A:I,2,0)</f>
        <v>Osbert Robins</v>
      </c>
      <c r="H134" t="str">
        <f>VLOOKUP(F134,'Customers (2)'!A:I,3,0)</f>
        <v>orobins3o@salon.com</v>
      </c>
      <c r="I134" t="str">
        <f>VLOOKUP(F134,'Customers (2)'!A:I,4,0)</f>
        <v>+1 (256) 196-8054</v>
      </c>
      <c r="J134" t="str">
        <f>VLOOKUP(F134,'Customers (2)'!A:I,6,0)</f>
        <v>Huntsville</v>
      </c>
      <c r="K134" t="str">
        <f>VLOOKUP(F134,'Customers (2)'!A:I,7,0)</f>
        <v>United States</v>
      </c>
      <c r="L134" t="str">
        <f>VLOOKUP(F134,'Customers (2)'!A:I,9,0)</f>
        <v>Yes</v>
      </c>
      <c r="M134" t="str">
        <f>VLOOKUP(N134,'Products (2)'!A:G,2,0)</f>
        <v>Arabica</v>
      </c>
      <c r="N134" t="s">
        <v>204</v>
      </c>
      <c r="O134" t="str">
        <f>VLOOKUP(N134,'Products (2)'!A:G,3,0)</f>
        <v>Light</v>
      </c>
      <c r="P134">
        <f>VLOOKUP(N134,'Products (2)'!A:G,7,0)</f>
        <v>2.6806499999999995</v>
      </c>
      <c r="Q134">
        <v>5</v>
      </c>
      <c r="R134">
        <f>INDEX([1]products!$A$1:$G$49,MATCH([1]orders!$D134,[1]products!$A$1:$A$49,0),MATCH([1]orders!K$1,[1]products!$A$1:$G$1,0))</f>
        <v>2.5</v>
      </c>
      <c r="S134">
        <f>INDEX([1]products!$A$1:$G$49,MATCH([1]orders!$D134,[1]products!$A$1:$A$49,0),MATCH([1]orders!L$1,[1]products!$A$1:$G$1,0))</f>
        <v>29.784999999999997</v>
      </c>
      <c r="T134">
        <f t="shared" si="13"/>
        <v>148.92499999999998</v>
      </c>
      <c r="U134">
        <f t="shared" si="16"/>
        <v>13.403249999999998</v>
      </c>
      <c r="V134">
        <f t="shared" si="17"/>
        <v>9</v>
      </c>
    </row>
    <row r="135" spans="1:22" x14ac:dyDescent="0.25">
      <c r="A135" t="s">
        <v>295</v>
      </c>
      <c r="B135">
        <v>44340</v>
      </c>
      <c r="C135" t="str">
        <f t="shared" si="14"/>
        <v>24</v>
      </c>
      <c r="D135" t="str">
        <f t="shared" si="12"/>
        <v>May</v>
      </c>
      <c r="E135" t="str">
        <f t="shared" si="15"/>
        <v>2021</v>
      </c>
      <c r="F135" t="s">
        <v>296</v>
      </c>
      <c r="G135" t="str">
        <f>VLOOKUP(F135,'Customers (2)'!A:I,2,0)</f>
        <v>Othello Syseland</v>
      </c>
      <c r="H135" t="str">
        <f>VLOOKUP(F135,'Customers (2)'!A:I,3,0)</f>
        <v>osyseland3p@independent.co.uk</v>
      </c>
      <c r="I135" t="str">
        <f>VLOOKUP(F135,'Customers (2)'!A:I,4,0)</f>
        <v>+1 (714) 895-0210</v>
      </c>
      <c r="J135" t="str">
        <f>VLOOKUP(F135,'Customers (2)'!A:I,6,0)</f>
        <v>Santa Ana</v>
      </c>
      <c r="K135" t="str">
        <f>VLOOKUP(F135,'Customers (2)'!A:I,7,0)</f>
        <v>United States</v>
      </c>
      <c r="L135" t="str">
        <f>VLOOKUP(F135,'Customers (2)'!A:I,9,0)</f>
        <v>No</v>
      </c>
      <c r="M135" t="str">
        <f>VLOOKUP(N135,'Products (2)'!A:G,2,0)</f>
        <v>Liberica</v>
      </c>
      <c r="N135" t="s">
        <v>13</v>
      </c>
      <c r="O135" t="str">
        <f>VLOOKUP(N135,'Products (2)'!A:G,3,0)</f>
        <v>Dark</v>
      </c>
      <c r="P135">
        <f>VLOOKUP(N135,'Products (2)'!A:G,7,0)</f>
        <v>1.6835</v>
      </c>
      <c r="Q135">
        <v>1</v>
      </c>
      <c r="R135">
        <f>INDEX([1]products!$A$1:$G$49,MATCH([1]orders!$D135,[1]products!$A$1:$A$49,0),MATCH([1]orders!K$1,[1]products!$A$1:$G$1,0))</f>
        <v>1</v>
      </c>
      <c r="S135">
        <f>INDEX([1]products!$A$1:$G$49,MATCH([1]orders!$D135,[1]products!$A$1:$A$49,0),MATCH([1]orders!L$1,[1]products!$A$1:$G$1,0))</f>
        <v>12.95</v>
      </c>
      <c r="T135">
        <f t="shared" si="13"/>
        <v>12.95</v>
      </c>
      <c r="U135">
        <f t="shared" si="16"/>
        <v>1.6835</v>
      </c>
      <c r="V135">
        <f t="shared" si="17"/>
        <v>13</v>
      </c>
    </row>
    <row r="136" spans="1:22" x14ac:dyDescent="0.25">
      <c r="A136" t="s">
        <v>297</v>
      </c>
      <c r="B136">
        <v>44758</v>
      </c>
      <c r="C136" t="str">
        <f t="shared" si="14"/>
        <v>16</v>
      </c>
      <c r="D136" t="str">
        <f t="shared" si="12"/>
        <v>July</v>
      </c>
      <c r="E136" t="str">
        <f t="shared" si="15"/>
        <v>2022</v>
      </c>
      <c r="F136" t="s">
        <v>298</v>
      </c>
      <c r="G136" t="str">
        <f>VLOOKUP(F136,'Customers (2)'!A:I,2,0)</f>
        <v>Ewell Hanby</v>
      </c>
      <c r="H136">
        <f>VLOOKUP(F136,'Customers (2)'!A:I,3,0)</f>
        <v>0</v>
      </c>
      <c r="I136">
        <f>VLOOKUP(F136,'Customers (2)'!A:I,4,0)</f>
        <v>0</v>
      </c>
      <c r="J136" t="str">
        <f>VLOOKUP(F136,'Customers (2)'!A:I,6,0)</f>
        <v>Washington</v>
      </c>
      <c r="K136" t="str">
        <f>VLOOKUP(F136,'Customers (2)'!A:I,7,0)</f>
        <v>United States</v>
      </c>
      <c r="L136" t="str">
        <f>VLOOKUP(F136,'Customers (2)'!A:I,9,0)</f>
        <v>Yes</v>
      </c>
      <c r="M136" t="str">
        <f>VLOOKUP(N136,'Products (2)'!A:G,2,0)</f>
        <v>Excelsa</v>
      </c>
      <c r="N136" t="s">
        <v>112</v>
      </c>
      <c r="O136" t="str">
        <f>VLOOKUP(N136,'Products (2)'!A:G,3,0)</f>
        <v>Medium</v>
      </c>
      <c r="P136">
        <f>VLOOKUP(N136,'Products (2)'!A:G,7,0)</f>
        <v>3.4787499999999998</v>
      </c>
      <c r="Q136">
        <v>3</v>
      </c>
      <c r="R136">
        <f>INDEX([1]products!$A$1:$G$49,MATCH([1]orders!$D136,[1]products!$A$1:$A$49,0),MATCH([1]orders!K$1,[1]products!$A$1:$G$1,0))</f>
        <v>2.5</v>
      </c>
      <c r="S136">
        <f>INDEX([1]products!$A$1:$G$49,MATCH([1]orders!$D136,[1]products!$A$1:$A$49,0),MATCH([1]orders!L$1,[1]products!$A$1:$G$1,0))</f>
        <v>31.624999999999996</v>
      </c>
      <c r="T136">
        <f t="shared" si="13"/>
        <v>94.874999999999986</v>
      </c>
      <c r="U136">
        <f t="shared" si="16"/>
        <v>10.436249999999999</v>
      </c>
      <c r="V136">
        <f t="shared" si="17"/>
        <v>11.000000000000002</v>
      </c>
    </row>
    <row r="137" spans="1:22" x14ac:dyDescent="0.25">
      <c r="A137" t="s">
        <v>299</v>
      </c>
      <c r="B137">
        <v>44232</v>
      </c>
      <c r="C137" t="str">
        <f t="shared" si="14"/>
        <v>05</v>
      </c>
      <c r="D137" t="str">
        <f t="shared" si="12"/>
        <v>February</v>
      </c>
      <c r="E137" t="str">
        <f t="shared" si="15"/>
        <v>2021</v>
      </c>
      <c r="F137" t="s">
        <v>300</v>
      </c>
      <c r="G137" t="str">
        <f>VLOOKUP(F137,'Customers (2)'!A:I,2,0)</f>
        <v>Blancha McAmish</v>
      </c>
      <c r="H137" t="str">
        <f>VLOOKUP(F137,'Customers (2)'!A:I,3,0)</f>
        <v>bmcamish2e@tripadvisor.com</v>
      </c>
      <c r="I137">
        <f>VLOOKUP(F137,'Customers (2)'!A:I,4,0)</f>
        <v>0</v>
      </c>
      <c r="J137" t="str">
        <f>VLOOKUP(F137,'Customers (2)'!A:I,6,0)</f>
        <v>Oklahoma City</v>
      </c>
      <c r="K137" t="str">
        <f>VLOOKUP(F137,'Customers (2)'!A:I,7,0)</f>
        <v>United States</v>
      </c>
      <c r="L137" t="str">
        <f>VLOOKUP(F137,'Customers (2)'!A:I,9,0)</f>
        <v>Yes</v>
      </c>
      <c r="M137" t="str">
        <f>VLOOKUP(N137,'Products (2)'!A:G,2,0)</f>
        <v>Arabica</v>
      </c>
      <c r="N137" t="s">
        <v>192</v>
      </c>
      <c r="O137" t="str">
        <f>VLOOKUP(N137,'Products (2)'!A:G,3,0)</f>
        <v>Light</v>
      </c>
      <c r="P137">
        <f>VLOOKUP(N137,'Products (2)'!A:G,7,0)</f>
        <v>0.69929999999999992</v>
      </c>
      <c r="Q137">
        <v>5</v>
      </c>
      <c r="R137">
        <f>INDEX([1]products!$A$1:$G$49,MATCH([1]orders!$D137,[1]products!$A$1:$A$49,0),MATCH([1]orders!K$1,[1]products!$A$1:$G$1,0))</f>
        <v>0.5</v>
      </c>
      <c r="S137">
        <f>INDEX([1]products!$A$1:$G$49,MATCH([1]orders!$D137,[1]products!$A$1:$A$49,0),MATCH([1]orders!L$1,[1]products!$A$1:$G$1,0))</f>
        <v>7.77</v>
      </c>
      <c r="T137">
        <f t="shared" si="13"/>
        <v>38.849999999999994</v>
      </c>
      <c r="U137">
        <f t="shared" si="16"/>
        <v>3.4964999999999997</v>
      </c>
      <c r="V137">
        <f t="shared" si="17"/>
        <v>9.0000000000000018</v>
      </c>
    </row>
    <row r="138" spans="1:22" x14ac:dyDescent="0.25">
      <c r="A138" t="s">
        <v>301</v>
      </c>
      <c r="B138">
        <v>44406</v>
      </c>
      <c r="C138" t="str">
        <f t="shared" si="14"/>
        <v>29</v>
      </c>
      <c r="D138" t="str">
        <f t="shared" si="12"/>
        <v>July</v>
      </c>
      <c r="E138" t="str">
        <f t="shared" si="15"/>
        <v>2021</v>
      </c>
      <c r="F138" t="s">
        <v>302</v>
      </c>
      <c r="G138" t="str">
        <f>VLOOKUP(F138,'Customers (2)'!A:I,2,0)</f>
        <v>Lowell Keenleyside</v>
      </c>
      <c r="H138" t="str">
        <f>VLOOKUP(F138,'Customers (2)'!A:I,3,0)</f>
        <v>lkeenleyside3s@topsy.com</v>
      </c>
      <c r="I138" t="str">
        <f>VLOOKUP(F138,'Customers (2)'!A:I,4,0)</f>
        <v>+1 (636) 713-5124</v>
      </c>
      <c r="J138" t="str">
        <f>VLOOKUP(F138,'Customers (2)'!A:I,6,0)</f>
        <v>Saint Louis</v>
      </c>
      <c r="K138" t="str">
        <f>VLOOKUP(F138,'Customers (2)'!A:I,7,0)</f>
        <v>United States</v>
      </c>
      <c r="L138" t="str">
        <f>VLOOKUP(F138,'Customers (2)'!A:I,9,0)</f>
        <v>No</v>
      </c>
      <c r="M138" t="str">
        <f>VLOOKUP(N138,'Products (2)'!A:G,2,0)</f>
        <v>Arabica</v>
      </c>
      <c r="N138" t="s">
        <v>54</v>
      </c>
      <c r="O138" t="str">
        <f>VLOOKUP(N138,'Products (2)'!A:G,3,0)</f>
        <v>Dark</v>
      </c>
      <c r="P138">
        <f>VLOOKUP(N138,'Products (2)'!A:G,7,0)</f>
        <v>0.26865</v>
      </c>
      <c r="Q138">
        <v>4</v>
      </c>
      <c r="R138">
        <f>INDEX([1]products!$A$1:$G$49,MATCH([1]orders!$D138,[1]products!$A$1:$A$49,0),MATCH([1]orders!K$1,[1]products!$A$1:$G$1,0))</f>
        <v>0.2</v>
      </c>
      <c r="S138">
        <f>INDEX([1]products!$A$1:$G$49,MATCH([1]orders!$D138,[1]products!$A$1:$A$49,0),MATCH([1]orders!L$1,[1]products!$A$1:$G$1,0))</f>
        <v>2.9849999999999999</v>
      </c>
      <c r="T138">
        <f t="shared" si="13"/>
        <v>11.94</v>
      </c>
      <c r="U138">
        <f t="shared" si="16"/>
        <v>1.0746</v>
      </c>
      <c r="V138">
        <f t="shared" si="17"/>
        <v>9.0000000000000018</v>
      </c>
    </row>
    <row r="139" spans="1:22" x14ac:dyDescent="0.25">
      <c r="A139" t="s">
        <v>303</v>
      </c>
      <c r="B139">
        <v>44637</v>
      </c>
      <c r="C139" t="str">
        <f t="shared" si="14"/>
        <v>17</v>
      </c>
      <c r="D139" t="str">
        <f t="shared" si="12"/>
        <v>March</v>
      </c>
      <c r="E139" t="str">
        <f t="shared" si="15"/>
        <v>2022</v>
      </c>
      <c r="F139" t="s">
        <v>304</v>
      </c>
      <c r="G139" t="str">
        <f>VLOOKUP(F139,'Customers (2)'!A:I,2,0)</f>
        <v>Elonore Joliffe</v>
      </c>
      <c r="H139">
        <f>VLOOKUP(F139,'Customers (2)'!A:I,3,0)</f>
        <v>0</v>
      </c>
      <c r="I139" t="str">
        <f>VLOOKUP(F139,'Customers (2)'!A:I,4,0)</f>
        <v>+353 (994) 611-5746</v>
      </c>
      <c r="J139" t="str">
        <f>VLOOKUP(F139,'Customers (2)'!A:I,6,0)</f>
        <v>Bailieborough</v>
      </c>
      <c r="K139" t="str">
        <f>VLOOKUP(F139,'Customers (2)'!A:I,7,0)</f>
        <v>Ireland</v>
      </c>
      <c r="L139" t="str">
        <f>VLOOKUP(F139,'Customers (2)'!A:I,9,0)</f>
        <v>No</v>
      </c>
      <c r="M139" t="str">
        <f>VLOOKUP(N139,'Products (2)'!A:G,2,0)</f>
        <v>Excelsa</v>
      </c>
      <c r="N139" t="s">
        <v>30</v>
      </c>
      <c r="O139" t="str">
        <f>VLOOKUP(N139,'Products (2)'!A:G,3,0)</f>
        <v>Light</v>
      </c>
      <c r="P139">
        <f>VLOOKUP(N139,'Products (2)'!A:G,7,0)</f>
        <v>3.7570499999999996</v>
      </c>
      <c r="Q139">
        <v>3</v>
      </c>
      <c r="R139">
        <f>INDEX([1]products!$A$1:$G$49,MATCH([1]orders!$D139,[1]products!$A$1:$A$49,0),MATCH([1]orders!K$1,[1]products!$A$1:$G$1,0))</f>
        <v>2.5</v>
      </c>
      <c r="S139">
        <f>INDEX([1]products!$A$1:$G$49,MATCH([1]orders!$D139,[1]products!$A$1:$A$49,0),MATCH([1]orders!L$1,[1]products!$A$1:$G$1,0))</f>
        <v>34.154999999999994</v>
      </c>
      <c r="T139">
        <f t="shared" si="13"/>
        <v>102.46499999999997</v>
      </c>
      <c r="U139">
        <f t="shared" si="16"/>
        <v>11.271149999999999</v>
      </c>
      <c r="V139">
        <f t="shared" si="17"/>
        <v>11.000000000000002</v>
      </c>
    </row>
    <row r="140" spans="1:22" x14ac:dyDescent="0.25">
      <c r="A140" t="s">
        <v>305</v>
      </c>
      <c r="B140">
        <v>44238</v>
      </c>
      <c r="C140" t="str">
        <f t="shared" si="14"/>
        <v>11</v>
      </c>
      <c r="D140" t="str">
        <f t="shared" si="12"/>
        <v>February</v>
      </c>
      <c r="E140" t="str">
        <f t="shared" si="15"/>
        <v>2021</v>
      </c>
      <c r="F140" t="s">
        <v>306</v>
      </c>
      <c r="G140" t="str">
        <f>VLOOKUP(F140,'Customers (2)'!A:I,2,0)</f>
        <v>Abraham Coleman</v>
      </c>
      <c r="H140">
        <f>VLOOKUP(F140,'Customers (2)'!A:I,3,0)</f>
        <v>0</v>
      </c>
      <c r="I140" t="str">
        <f>VLOOKUP(F140,'Customers (2)'!A:I,4,0)</f>
        <v>+1 (808) 815-5051</v>
      </c>
      <c r="J140" t="str">
        <f>VLOOKUP(F140,'Customers (2)'!A:I,6,0)</f>
        <v>Honolulu</v>
      </c>
      <c r="K140" t="str">
        <f>VLOOKUP(F140,'Customers (2)'!A:I,7,0)</f>
        <v>United States</v>
      </c>
      <c r="L140" t="str">
        <f>VLOOKUP(F140,'Customers (2)'!A:I,9,0)</f>
        <v>No</v>
      </c>
      <c r="M140" t="str">
        <f>VLOOKUP(N140,'Products (2)'!A:G,2,0)</f>
        <v>Excelsa</v>
      </c>
      <c r="N140" t="s">
        <v>245</v>
      </c>
      <c r="O140" t="str">
        <f>VLOOKUP(N140,'Products (2)'!A:G,3,0)</f>
        <v>Dark</v>
      </c>
      <c r="P140">
        <f>VLOOKUP(N140,'Products (2)'!A:G,7,0)</f>
        <v>1.3365</v>
      </c>
      <c r="Q140">
        <v>4</v>
      </c>
      <c r="R140">
        <f>INDEX([1]products!$A$1:$G$49,MATCH([1]orders!$D140,[1]products!$A$1:$A$49,0),MATCH([1]orders!K$1,[1]products!$A$1:$G$1,0))</f>
        <v>1</v>
      </c>
      <c r="S140">
        <f>INDEX([1]products!$A$1:$G$49,MATCH([1]orders!$D140,[1]products!$A$1:$A$49,0),MATCH([1]orders!L$1,[1]products!$A$1:$G$1,0))</f>
        <v>12.15</v>
      </c>
      <c r="T140">
        <f t="shared" si="13"/>
        <v>48.6</v>
      </c>
      <c r="U140">
        <f t="shared" si="16"/>
        <v>5.3460000000000001</v>
      </c>
      <c r="V140">
        <f t="shared" si="17"/>
        <v>11</v>
      </c>
    </row>
    <row r="141" spans="1:22" x14ac:dyDescent="0.25">
      <c r="A141" t="s">
        <v>307</v>
      </c>
      <c r="B141">
        <v>43509</v>
      </c>
      <c r="C141" t="str">
        <f t="shared" si="14"/>
        <v>13</v>
      </c>
      <c r="D141" t="str">
        <f t="shared" si="12"/>
        <v>February</v>
      </c>
      <c r="E141" t="str">
        <f t="shared" si="15"/>
        <v>2019</v>
      </c>
      <c r="F141" t="s">
        <v>308</v>
      </c>
      <c r="G141" t="str">
        <f>VLOOKUP(F141,'Customers (2)'!A:I,2,0)</f>
        <v>Rivy Farington</v>
      </c>
      <c r="H141">
        <f>VLOOKUP(F141,'Customers (2)'!A:I,3,0)</f>
        <v>0</v>
      </c>
      <c r="I141" t="str">
        <f>VLOOKUP(F141,'Customers (2)'!A:I,4,0)</f>
        <v>+1 (951) 638-0879</v>
      </c>
      <c r="J141" t="str">
        <f>VLOOKUP(F141,'Customers (2)'!A:I,6,0)</f>
        <v>Corona</v>
      </c>
      <c r="K141" t="str">
        <f>VLOOKUP(F141,'Customers (2)'!A:I,7,0)</f>
        <v>United States</v>
      </c>
      <c r="L141" t="str">
        <f>VLOOKUP(F141,'Customers (2)'!A:I,9,0)</f>
        <v>Yes</v>
      </c>
      <c r="M141" t="str">
        <f>VLOOKUP(N141,'Products (2)'!A:G,2,0)</f>
        <v>Liberica</v>
      </c>
      <c r="N141" t="s">
        <v>13</v>
      </c>
      <c r="O141" t="str">
        <f>VLOOKUP(N141,'Products (2)'!A:G,3,0)</f>
        <v>Dark</v>
      </c>
      <c r="P141">
        <f>VLOOKUP(N141,'Products (2)'!A:G,7,0)</f>
        <v>1.6835</v>
      </c>
      <c r="Q141">
        <v>6</v>
      </c>
      <c r="R141">
        <f>INDEX([1]products!$A$1:$G$49,MATCH([1]orders!$D141,[1]products!$A$1:$A$49,0),MATCH([1]orders!K$1,[1]products!$A$1:$G$1,0))</f>
        <v>1</v>
      </c>
      <c r="S141">
        <f>INDEX([1]products!$A$1:$G$49,MATCH([1]orders!$D141,[1]products!$A$1:$A$49,0),MATCH([1]orders!L$1,[1]products!$A$1:$G$1,0))</f>
        <v>12.95</v>
      </c>
      <c r="T141">
        <f t="shared" si="13"/>
        <v>77.699999999999989</v>
      </c>
      <c r="U141">
        <f t="shared" si="16"/>
        <v>10.100999999999999</v>
      </c>
      <c r="V141">
        <f t="shared" si="17"/>
        <v>13</v>
      </c>
    </row>
    <row r="142" spans="1:22" x14ac:dyDescent="0.25">
      <c r="A142" t="s">
        <v>309</v>
      </c>
      <c r="B142">
        <v>44694</v>
      </c>
      <c r="C142" t="str">
        <f t="shared" si="14"/>
        <v>13</v>
      </c>
      <c r="D142" t="str">
        <f t="shared" si="12"/>
        <v>May</v>
      </c>
      <c r="E142" t="str">
        <f t="shared" si="15"/>
        <v>2022</v>
      </c>
      <c r="F142" t="s">
        <v>310</v>
      </c>
      <c r="G142" t="str">
        <f>VLOOKUP(F142,'Customers (2)'!A:I,2,0)</f>
        <v>Vallie Kundt</v>
      </c>
      <c r="H142" t="str">
        <f>VLOOKUP(F142,'Customers (2)'!A:I,3,0)</f>
        <v>vkundt3w@bigcartel.com</v>
      </c>
      <c r="I142" t="str">
        <f>VLOOKUP(F142,'Customers (2)'!A:I,4,0)</f>
        <v>+353 (472) 791-2507</v>
      </c>
      <c r="J142" t="str">
        <f>VLOOKUP(F142,'Customers (2)'!A:I,6,0)</f>
        <v>Ballivor</v>
      </c>
      <c r="K142" t="str">
        <f>VLOOKUP(F142,'Customers (2)'!A:I,7,0)</f>
        <v>Ireland</v>
      </c>
      <c r="L142" t="str">
        <f>VLOOKUP(F142,'Customers (2)'!A:I,9,0)</f>
        <v>Yes</v>
      </c>
      <c r="M142" t="str">
        <f>VLOOKUP(N142,'Products (2)'!A:G,2,0)</f>
        <v>Liberica</v>
      </c>
      <c r="N142" t="s">
        <v>109</v>
      </c>
      <c r="O142" t="str">
        <f>VLOOKUP(N142,'Products (2)'!A:G,3,0)</f>
        <v>Dark</v>
      </c>
      <c r="P142">
        <f>VLOOKUP(N142,'Products (2)'!A:G,7,0)</f>
        <v>3.8720499999999998</v>
      </c>
      <c r="Q142">
        <v>1</v>
      </c>
      <c r="R142">
        <f>INDEX([1]products!$A$1:$G$49,MATCH([1]orders!$D142,[1]products!$A$1:$A$49,0),MATCH([1]orders!K$1,[1]products!$A$1:$G$1,0))</f>
        <v>2.5</v>
      </c>
      <c r="S142">
        <f>INDEX([1]products!$A$1:$G$49,MATCH([1]orders!$D142,[1]products!$A$1:$A$49,0),MATCH([1]orders!L$1,[1]products!$A$1:$G$1,0))</f>
        <v>29.784999999999997</v>
      </c>
      <c r="T142">
        <f t="shared" si="13"/>
        <v>29.784999999999997</v>
      </c>
      <c r="U142">
        <f t="shared" si="16"/>
        <v>3.8720499999999998</v>
      </c>
      <c r="V142">
        <f t="shared" si="17"/>
        <v>13</v>
      </c>
    </row>
    <row r="143" spans="1:22" x14ac:dyDescent="0.25">
      <c r="A143" t="s">
        <v>311</v>
      </c>
      <c r="B143">
        <v>43970</v>
      </c>
      <c r="C143" t="str">
        <f t="shared" si="14"/>
        <v>19</v>
      </c>
      <c r="D143" t="str">
        <f t="shared" si="12"/>
        <v>May</v>
      </c>
      <c r="E143" t="str">
        <f t="shared" si="15"/>
        <v>2020</v>
      </c>
      <c r="F143" t="s">
        <v>312</v>
      </c>
      <c r="G143" t="str">
        <f>VLOOKUP(F143,'Customers (2)'!A:I,2,0)</f>
        <v>Boyd Bett</v>
      </c>
      <c r="H143" t="str">
        <f>VLOOKUP(F143,'Customers (2)'!A:I,3,0)</f>
        <v>bbett3x@google.de</v>
      </c>
      <c r="I143" t="str">
        <f>VLOOKUP(F143,'Customers (2)'!A:I,4,0)</f>
        <v>+1 (202) 632-9905</v>
      </c>
      <c r="J143" t="str">
        <f>VLOOKUP(F143,'Customers (2)'!A:I,6,0)</f>
        <v>Washington</v>
      </c>
      <c r="K143" t="str">
        <f>VLOOKUP(F143,'Customers (2)'!A:I,7,0)</f>
        <v>United States</v>
      </c>
      <c r="L143" t="str">
        <f>VLOOKUP(F143,'Customers (2)'!A:I,9,0)</f>
        <v>Yes</v>
      </c>
      <c r="M143" t="str">
        <f>VLOOKUP(N143,'Products (2)'!A:G,2,0)</f>
        <v>Arabica</v>
      </c>
      <c r="N143" t="s">
        <v>115</v>
      </c>
      <c r="O143" t="str">
        <f>VLOOKUP(N143,'Products (2)'!A:G,3,0)</f>
        <v>Light</v>
      </c>
      <c r="P143">
        <f>VLOOKUP(N143,'Products (2)'!A:G,7,0)</f>
        <v>0.34964999999999996</v>
      </c>
      <c r="Q143">
        <v>4</v>
      </c>
      <c r="R143">
        <f>INDEX([1]products!$A$1:$G$49,MATCH([1]orders!$D143,[1]products!$A$1:$A$49,0),MATCH([1]orders!K$1,[1]products!$A$1:$G$1,0))</f>
        <v>0.2</v>
      </c>
      <c r="S143">
        <f>INDEX([1]products!$A$1:$G$49,MATCH([1]orders!$D143,[1]products!$A$1:$A$49,0),MATCH([1]orders!L$1,[1]products!$A$1:$G$1,0))</f>
        <v>3.8849999999999998</v>
      </c>
      <c r="T143">
        <f t="shared" si="13"/>
        <v>15.54</v>
      </c>
      <c r="U143">
        <f t="shared" si="16"/>
        <v>1.3985999999999998</v>
      </c>
      <c r="V143">
        <f t="shared" si="17"/>
        <v>9</v>
      </c>
    </row>
    <row r="144" spans="1:22" x14ac:dyDescent="0.25">
      <c r="A144" t="s">
        <v>313</v>
      </c>
      <c r="B144">
        <v>44678</v>
      </c>
      <c r="C144" t="str">
        <f t="shared" si="14"/>
        <v>27</v>
      </c>
      <c r="D144" t="str">
        <f t="shared" si="12"/>
        <v>April</v>
      </c>
      <c r="E144" t="str">
        <f t="shared" si="15"/>
        <v>2022</v>
      </c>
      <c r="F144" t="s">
        <v>314</v>
      </c>
      <c r="G144" t="str">
        <f>VLOOKUP(F144,'Customers (2)'!A:I,2,0)</f>
        <v>Julio Armytage</v>
      </c>
      <c r="H144">
        <f>VLOOKUP(F144,'Customers (2)'!A:I,3,0)</f>
        <v>0</v>
      </c>
      <c r="I144">
        <f>VLOOKUP(F144,'Customers (2)'!A:I,4,0)</f>
        <v>0</v>
      </c>
      <c r="J144" t="str">
        <f>VLOOKUP(F144,'Customers (2)'!A:I,6,0)</f>
        <v>Portumna</v>
      </c>
      <c r="K144" t="str">
        <f>VLOOKUP(F144,'Customers (2)'!A:I,7,0)</f>
        <v>Ireland</v>
      </c>
      <c r="L144" t="str">
        <f>VLOOKUP(F144,'Customers (2)'!A:I,9,0)</f>
        <v>Yes</v>
      </c>
      <c r="M144" t="str">
        <f>VLOOKUP(N144,'Products (2)'!A:G,2,0)</f>
        <v>Excelsa</v>
      </c>
      <c r="N144" t="s">
        <v>30</v>
      </c>
      <c r="O144" t="str">
        <f>VLOOKUP(N144,'Products (2)'!A:G,3,0)</f>
        <v>Light</v>
      </c>
      <c r="P144">
        <f>VLOOKUP(N144,'Products (2)'!A:G,7,0)</f>
        <v>3.7570499999999996</v>
      </c>
      <c r="Q144">
        <v>4</v>
      </c>
      <c r="R144">
        <f>INDEX([1]products!$A$1:$G$49,MATCH([1]orders!$D144,[1]products!$A$1:$A$49,0),MATCH([1]orders!K$1,[1]products!$A$1:$G$1,0))</f>
        <v>2.5</v>
      </c>
      <c r="S144">
        <f>INDEX([1]products!$A$1:$G$49,MATCH([1]orders!$D144,[1]products!$A$1:$A$49,0),MATCH([1]orders!L$1,[1]products!$A$1:$G$1,0))</f>
        <v>34.154999999999994</v>
      </c>
      <c r="T144">
        <f t="shared" si="13"/>
        <v>136.61999999999998</v>
      </c>
      <c r="U144">
        <f t="shared" si="16"/>
        <v>15.028199999999998</v>
      </c>
      <c r="V144">
        <f t="shared" si="17"/>
        <v>11</v>
      </c>
    </row>
    <row r="145" spans="1:22" x14ac:dyDescent="0.25">
      <c r="A145" t="s">
        <v>315</v>
      </c>
      <c r="B145">
        <v>44083</v>
      </c>
      <c r="C145" t="str">
        <f t="shared" si="14"/>
        <v>09</v>
      </c>
      <c r="D145" t="str">
        <f t="shared" si="12"/>
        <v>September</v>
      </c>
      <c r="E145" t="str">
        <f t="shared" si="15"/>
        <v>2020</v>
      </c>
      <c r="F145" t="s">
        <v>316</v>
      </c>
      <c r="G145" t="str">
        <f>VLOOKUP(F145,'Customers (2)'!A:I,2,0)</f>
        <v>Deana Staite</v>
      </c>
      <c r="H145" t="str">
        <f>VLOOKUP(F145,'Customers (2)'!A:I,3,0)</f>
        <v>dstaite3z@scientificamerican.com</v>
      </c>
      <c r="I145" t="str">
        <f>VLOOKUP(F145,'Customers (2)'!A:I,4,0)</f>
        <v>+1 (713) 478-3937</v>
      </c>
      <c r="J145" t="str">
        <f>VLOOKUP(F145,'Customers (2)'!A:I,6,0)</f>
        <v>Houston</v>
      </c>
      <c r="K145" t="str">
        <f>VLOOKUP(F145,'Customers (2)'!A:I,7,0)</f>
        <v>United States</v>
      </c>
      <c r="L145" t="str">
        <f>VLOOKUP(F145,'Customers (2)'!A:I,9,0)</f>
        <v>No</v>
      </c>
      <c r="M145" t="str">
        <f>VLOOKUP(N145,'Products (2)'!A:G,2,0)</f>
        <v>Liberica</v>
      </c>
      <c r="N145" t="s">
        <v>78</v>
      </c>
      <c r="O145" t="str">
        <f>VLOOKUP(N145,'Products (2)'!A:G,3,0)</f>
        <v>Medium</v>
      </c>
      <c r="P145">
        <f>VLOOKUP(N145,'Products (2)'!A:G,7,0)</f>
        <v>1.1349</v>
      </c>
      <c r="Q145">
        <v>2</v>
      </c>
      <c r="R145">
        <f>INDEX([1]products!$A$1:$G$49,MATCH([1]orders!$D145,[1]products!$A$1:$A$49,0),MATCH([1]orders!K$1,[1]products!$A$1:$G$1,0))</f>
        <v>0.5</v>
      </c>
      <c r="S145">
        <f>INDEX([1]products!$A$1:$G$49,MATCH([1]orders!$D145,[1]products!$A$1:$A$49,0),MATCH([1]orders!L$1,[1]products!$A$1:$G$1,0))</f>
        <v>8.73</v>
      </c>
      <c r="T145">
        <f t="shared" si="13"/>
        <v>17.46</v>
      </c>
      <c r="U145">
        <f t="shared" si="16"/>
        <v>2.2698</v>
      </c>
      <c r="V145">
        <f t="shared" si="17"/>
        <v>13</v>
      </c>
    </row>
    <row r="146" spans="1:22" x14ac:dyDescent="0.25">
      <c r="A146" t="s">
        <v>317</v>
      </c>
      <c r="B146">
        <v>44265</v>
      </c>
      <c r="C146" t="str">
        <f t="shared" si="14"/>
        <v>10</v>
      </c>
      <c r="D146" t="str">
        <f t="shared" si="12"/>
        <v>March</v>
      </c>
      <c r="E146" t="str">
        <f t="shared" si="15"/>
        <v>2021</v>
      </c>
      <c r="F146" t="s">
        <v>318</v>
      </c>
      <c r="G146" t="str">
        <f>VLOOKUP(F146,'Customers (2)'!A:I,2,0)</f>
        <v>Winn Keyse</v>
      </c>
      <c r="H146" t="str">
        <f>VLOOKUP(F146,'Customers (2)'!A:I,3,0)</f>
        <v>wkeyse40@apple.com</v>
      </c>
      <c r="I146" t="str">
        <f>VLOOKUP(F146,'Customers (2)'!A:I,4,0)</f>
        <v>+1 (650) 947-8867</v>
      </c>
      <c r="J146" t="str">
        <f>VLOOKUP(F146,'Customers (2)'!A:I,6,0)</f>
        <v>Orange</v>
      </c>
      <c r="K146" t="str">
        <f>VLOOKUP(F146,'Customers (2)'!A:I,7,0)</f>
        <v>United States</v>
      </c>
      <c r="L146" t="str">
        <f>VLOOKUP(F146,'Customers (2)'!A:I,9,0)</f>
        <v>Yes</v>
      </c>
      <c r="M146" t="str">
        <f>VLOOKUP(N146,'Products (2)'!A:G,2,0)</f>
        <v>Excelsa</v>
      </c>
      <c r="N146" t="s">
        <v>30</v>
      </c>
      <c r="O146" t="str">
        <f>VLOOKUP(N146,'Products (2)'!A:G,3,0)</f>
        <v>Light</v>
      </c>
      <c r="P146">
        <f>VLOOKUP(N146,'Products (2)'!A:G,7,0)</f>
        <v>3.7570499999999996</v>
      </c>
      <c r="Q146">
        <v>2</v>
      </c>
      <c r="R146">
        <f>INDEX([1]products!$A$1:$G$49,MATCH([1]orders!$D146,[1]products!$A$1:$A$49,0),MATCH([1]orders!K$1,[1]products!$A$1:$G$1,0))</f>
        <v>2.5</v>
      </c>
      <c r="S146">
        <f>INDEX([1]products!$A$1:$G$49,MATCH([1]orders!$D146,[1]products!$A$1:$A$49,0),MATCH([1]orders!L$1,[1]products!$A$1:$G$1,0))</f>
        <v>34.154999999999994</v>
      </c>
      <c r="T146">
        <f t="shared" si="13"/>
        <v>68.309999999999988</v>
      </c>
      <c r="U146">
        <f t="shared" si="16"/>
        <v>7.5140999999999991</v>
      </c>
      <c r="V146">
        <f t="shared" si="17"/>
        <v>11</v>
      </c>
    </row>
    <row r="147" spans="1:22" x14ac:dyDescent="0.25">
      <c r="A147" t="s">
        <v>319</v>
      </c>
      <c r="B147">
        <v>43562</v>
      </c>
      <c r="C147" t="str">
        <f t="shared" si="14"/>
        <v>07</v>
      </c>
      <c r="D147" t="str">
        <f t="shared" si="12"/>
        <v>April</v>
      </c>
      <c r="E147" t="str">
        <f t="shared" si="15"/>
        <v>2019</v>
      </c>
      <c r="F147" t="s">
        <v>320</v>
      </c>
      <c r="G147" t="str">
        <f>VLOOKUP(F147,'Customers (2)'!A:I,2,0)</f>
        <v>Osmund Clausen-Thue</v>
      </c>
      <c r="H147" t="str">
        <f>VLOOKUP(F147,'Customers (2)'!A:I,3,0)</f>
        <v>oclausenthue41@marriott.com</v>
      </c>
      <c r="I147" t="str">
        <f>VLOOKUP(F147,'Customers (2)'!A:I,4,0)</f>
        <v>+1 (915) 558-6109</v>
      </c>
      <c r="J147" t="str">
        <f>VLOOKUP(F147,'Customers (2)'!A:I,6,0)</f>
        <v>El Paso</v>
      </c>
      <c r="K147" t="str">
        <f>VLOOKUP(F147,'Customers (2)'!A:I,7,0)</f>
        <v>United States</v>
      </c>
      <c r="L147" t="str">
        <f>VLOOKUP(F147,'Customers (2)'!A:I,9,0)</f>
        <v>No</v>
      </c>
      <c r="M147" t="str">
        <f>VLOOKUP(N147,'Products (2)'!A:G,2,0)</f>
        <v>Liberica</v>
      </c>
      <c r="N147" t="s">
        <v>77</v>
      </c>
      <c r="O147" t="str">
        <f>VLOOKUP(N147,'Products (2)'!A:G,3,0)</f>
        <v>Medium</v>
      </c>
      <c r="P147">
        <f>VLOOKUP(N147,'Products (2)'!A:G,7,0)</f>
        <v>0.56745000000000001</v>
      </c>
      <c r="Q147">
        <v>4</v>
      </c>
      <c r="R147">
        <f>INDEX([1]products!$A$1:$G$49,MATCH([1]orders!$D147,[1]products!$A$1:$A$49,0),MATCH([1]orders!K$1,[1]products!$A$1:$G$1,0))</f>
        <v>0.2</v>
      </c>
      <c r="S147">
        <f>INDEX([1]products!$A$1:$G$49,MATCH([1]orders!$D147,[1]products!$A$1:$A$49,0),MATCH([1]orders!L$1,[1]products!$A$1:$G$1,0))</f>
        <v>4.3650000000000002</v>
      </c>
      <c r="T147">
        <f t="shared" si="13"/>
        <v>17.46</v>
      </c>
      <c r="U147">
        <f t="shared" si="16"/>
        <v>2.2698</v>
      </c>
      <c r="V147">
        <f t="shared" si="17"/>
        <v>13</v>
      </c>
    </row>
    <row r="148" spans="1:22" x14ac:dyDescent="0.25">
      <c r="A148" t="s">
        <v>321</v>
      </c>
      <c r="B148">
        <v>44024</v>
      </c>
      <c r="C148" t="str">
        <f t="shared" si="14"/>
        <v>12</v>
      </c>
      <c r="D148" t="str">
        <f t="shared" si="12"/>
        <v>July</v>
      </c>
      <c r="E148" t="str">
        <f t="shared" si="15"/>
        <v>2020</v>
      </c>
      <c r="F148" t="s">
        <v>322</v>
      </c>
      <c r="G148" t="str">
        <f>VLOOKUP(F148,'Customers (2)'!A:I,2,0)</f>
        <v>Leonore Francisco</v>
      </c>
      <c r="H148" t="str">
        <f>VLOOKUP(F148,'Customers (2)'!A:I,3,0)</f>
        <v>lfrancisco42@fema.gov</v>
      </c>
      <c r="I148" t="str">
        <f>VLOOKUP(F148,'Customers (2)'!A:I,4,0)</f>
        <v>+1 (775) 346-9758</v>
      </c>
      <c r="J148" t="str">
        <f>VLOOKUP(F148,'Customers (2)'!A:I,6,0)</f>
        <v>Carson City</v>
      </c>
      <c r="K148" t="str">
        <f>VLOOKUP(F148,'Customers (2)'!A:I,7,0)</f>
        <v>United States</v>
      </c>
      <c r="L148" t="str">
        <f>VLOOKUP(F148,'Customers (2)'!A:I,9,0)</f>
        <v>No</v>
      </c>
      <c r="M148" t="str">
        <f>VLOOKUP(N148,'Products (2)'!A:G,2,0)</f>
        <v>Liberica</v>
      </c>
      <c r="N148" t="s">
        <v>96</v>
      </c>
      <c r="O148" t="str">
        <f>VLOOKUP(N148,'Products (2)'!A:G,3,0)</f>
        <v>Medium</v>
      </c>
      <c r="P148">
        <f>VLOOKUP(N148,'Products (2)'!A:G,7,0)</f>
        <v>1.8915000000000002</v>
      </c>
      <c r="Q148">
        <v>3</v>
      </c>
      <c r="R148">
        <f>INDEX([1]products!$A$1:$G$49,MATCH([1]orders!$D148,[1]products!$A$1:$A$49,0),MATCH([1]orders!K$1,[1]products!$A$1:$G$1,0))</f>
        <v>1</v>
      </c>
      <c r="S148">
        <f>INDEX([1]products!$A$1:$G$49,MATCH([1]orders!$D148,[1]products!$A$1:$A$49,0),MATCH([1]orders!L$1,[1]products!$A$1:$G$1,0))</f>
        <v>14.55</v>
      </c>
      <c r="T148">
        <f t="shared" si="13"/>
        <v>43.650000000000006</v>
      </c>
      <c r="U148">
        <f t="shared" si="16"/>
        <v>5.6745000000000001</v>
      </c>
      <c r="V148">
        <f t="shared" si="17"/>
        <v>12.999999999999998</v>
      </c>
    </row>
    <row r="149" spans="1:22" x14ac:dyDescent="0.25">
      <c r="A149" t="s">
        <v>321</v>
      </c>
      <c r="B149">
        <v>44024</v>
      </c>
      <c r="C149" t="str">
        <f t="shared" si="14"/>
        <v>12</v>
      </c>
      <c r="D149" t="str">
        <f t="shared" si="12"/>
        <v>July</v>
      </c>
      <c r="E149" t="str">
        <f t="shared" si="15"/>
        <v>2020</v>
      </c>
      <c r="F149" t="s">
        <v>322</v>
      </c>
      <c r="G149" t="str">
        <f>VLOOKUP(F149,'Customers (2)'!A:I,2,0)</f>
        <v>Leonore Francisco</v>
      </c>
      <c r="H149" t="str">
        <f>VLOOKUP(F149,'Customers (2)'!A:I,3,0)</f>
        <v>lfrancisco42@fema.gov</v>
      </c>
      <c r="I149" t="str">
        <f>VLOOKUP(F149,'Customers (2)'!A:I,4,0)</f>
        <v>+1 (775) 346-9758</v>
      </c>
      <c r="J149" t="str">
        <f>VLOOKUP(F149,'Customers (2)'!A:I,6,0)</f>
        <v>Carson City</v>
      </c>
      <c r="K149" t="str">
        <f>VLOOKUP(F149,'Customers (2)'!A:I,7,0)</f>
        <v>United States</v>
      </c>
      <c r="L149" t="str">
        <f>VLOOKUP(F149,'Customers (2)'!A:I,9,0)</f>
        <v>No</v>
      </c>
      <c r="M149" t="str">
        <f>VLOOKUP(N149,'Products (2)'!A:G,2,0)</f>
        <v>Excelsa</v>
      </c>
      <c r="N149" t="s">
        <v>9</v>
      </c>
      <c r="O149" t="str">
        <f>VLOOKUP(N149,'Products (2)'!A:G,3,0)</f>
        <v>Medium</v>
      </c>
      <c r="P149">
        <f>VLOOKUP(N149,'Products (2)'!A:G,7,0)</f>
        <v>1.5125</v>
      </c>
      <c r="Q149">
        <v>2</v>
      </c>
      <c r="R149">
        <f>INDEX([1]products!$A$1:$G$49,MATCH([1]orders!$D149,[1]products!$A$1:$A$49,0),MATCH([1]orders!K$1,[1]products!$A$1:$G$1,0))</f>
        <v>1</v>
      </c>
      <c r="S149">
        <f>INDEX([1]products!$A$1:$G$49,MATCH([1]orders!$D149,[1]products!$A$1:$A$49,0),MATCH([1]orders!L$1,[1]products!$A$1:$G$1,0))</f>
        <v>13.75</v>
      </c>
      <c r="T149">
        <f t="shared" si="13"/>
        <v>27.5</v>
      </c>
      <c r="U149">
        <f t="shared" si="16"/>
        <v>3.0249999999999999</v>
      </c>
      <c r="V149">
        <f t="shared" si="17"/>
        <v>11</v>
      </c>
    </row>
    <row r="150" spans="1:22" x14ac:dyDescent="0.25">
      <c r="A150" t="s">
        <v>323</v>
      </c>
      <c r="B150">
        <v>44551</v>
      </c>
      <c r="C150" t="str">
        <f t="shared" si="14"/>
        <v>21</v>
      </c>
      <c r="D150" t="str">
        <f t="shared" si="12"/>
        <v>December</v>
      </c>
      <c r="E150" t="str">
        <f t="shared" si="15"/>
        <v>2021</v>
      </c>
      <c r="F150" t="s">
        <v>324</v>
      </c>
      <c r="G150" t="str">
        <f>VLOOKUP(F150,'Customers (2)'!A:I,2,0)</f>
        <v>Giacobo Skingle</v>
      </c>
      <c r="H150" t="str">
        <f>VLOOKUP(F150,'Customers (2)'!A:I,3,0)</f>
        <v>gskingle44@clickbank.net</v>
      </c>
      <c r="I150" t="str">
        <f>VLOOKUP(F150,'Customers (2)'!A:I,4,0)</f>
        <v>+1 (801) 886-5886</v>
      </c>
      <c r="J150" t="str">
        <f>VLOOKUP(F150,'Customers (2)'!A:I,6,0)</f>
        <v>Provo</v>
      </c>
      <c r="K150" t="str">
        <f>VLOOKUP(F150,'Customers (2)'!A:I,7,0)</f>
        <v>United States</v>
      </c>
      <c r="L150" t="str">
        <f>VLOOKUP(F150,'Customers (2)'!A:I,9,0)</f>
        <v>Yes</v>
      </c>
      <c r="M150" t="str">
        <f>VLOOKUP(N150,'Products (2)'!A:G,2,0)</f>
        <v>Excelsa</v>
      </c>
      <c r="N150" t="s">
        <v>51</v>
      </c>
      <c r="O150" t="str">
        <f>VLOOKUP(N150,'Products (2)'!A:G,3,0)</f>
        <v>Dark</v>
      </c>
      <c r="P150">
        <f>VLOOKUP(N150,'Products (2)'!A:G,7,0)</f>
        <v>0.40095000000000003</v>
      </c>
      <c r="Q150">
        <v>5</v>
      </c>
      <c r="R150">
        <f>INDEX([1]products!$A$1:$G$49,MATCH([1]orders!$D150,[1]products!$A$1:$A$49,0),MATCH([1]orders!K$1,[1]products!$A$1:$G$1,0))</f>
        <v>0.2</v>
      </c>
      <c r="S150">
        <f>INDEX([1]products!$A$1:$G$49,MATCH([1]orders!$D150,[1]products!$A$1:$A$49,0),MATCH([1]orders!L$1,[1]products!$A$1:$G$1,0))</f>
        <v>3.645</v>
      </c>
      <c r="T150">
        <f t="shared" si="13"/>
        <v>18.225000000000001</v>
      </c>
      <c r="U150">
        <f t="shared" si="16"/>
        <v>2.00475</v>
      </c>
      <c r="V150">
        <f t="shared" si="17"/>
        <v>10.999999999999998</v>
      </c>
    </row>
    <row r="151" spans="1:22" x14ac:dyDescent="0.25">
      <c r="A151" t="s">
        <v>325</v>
      </c>
      <c r="B151">
        <v>44108</v>
      </c>
      <c r="C151" t="str">
        <f t="shared" si="14"/>
        <v>04</v>
      </c>
      <c r="D151" t="str">
        <f t="shared" si="12"/>
        <v>October</v>
      </c>
      <c r="E151" t="str">
        <f t="shared" si="15"/>
        <v>2020</v>
      </c>
      <c r="F151" t="s">
        <v>326</v>
      </c>
      <c r="G151" t="str">
        <f>VLOOKUP(F151,'Customers (2)'!A:I,2,0)</f>
        <v>Gerard Pirdy</v>
      </c>
      <c r="H151">
        <f>VLOOKUP(F151,'Customers (2)'!A:I,3,0)</f>
        <v>0</v>
      </c>
      <c r="I151" t="str">
        <f>VLOOKUP(F151,'Customers (2)'!A:I,4,0)</f>
        <v>+1 (305) 345-2788</v>
      </c>
      <c r="J151" t="str">
        <f>VLOOKUP(F151,'Customers (2)'!A:I,6,0)</f>
        <v>Boca Raton</v>
      </c>
      <c r="K151" t="str">
        <f>VLOOKUP(F151,'Customers (2)'!A:I,7,0)</f>
        <v>United States</v>
      </c>
      <c r="L151" t="str">
        <f>VLOOKUP(F151,'Customers (2)'!A:I,9,0)</f>
        <v>Yes</v>
      </c>
      <c r="M151" t="str">
        <f>VLOOKUP(N151,'Products (2)'!A:G,2,0)</f>
        <v>Arabica</v>
      </c>
      <c r="N151" t="s">
        <v>171</v>
      </c>
      <c r="O151" t="str">
        <f>VLOOKUP(N151,'Products (2)'!A:G,3,0)</f>
        <v>Medium</v>
      </c>
      <c r="P151">
        <f>VLOOKUP(N151,'Products (2)'!A:G,7,0)</f>
        <v>2.3287499999999994</v>
      </c>
      <c r="Q151">
        <v>2</v>
      </c>
      <c r="R151">
        <f>INDEX([1]products!$A$1:$G$49,MATCH([1]orders!$D151,[1]products!$A$1:$A$49,0),MATCH([1]orders!K$1,[1]products!$A$1:$G$1,0))</f>
        <v>2.5</v>
      </c>
      <c r="S151">
        <f>INDEX([1]products!$A$1:$G$49,MATCH([1]orders!$D151,[1]products!$A$1:$A$49,0),MATCH([1]orders!L$1,[1]products!$A$1:$G$1,0))</f>
        <v>25.874999999999996</v>
      </c>
      <c r="T151">
        <f t="shared" si="13"/>
        <v>51.749999999999993</v>
      </c>
      <c r="U151">
        <f t="shared" si="16"/>
        <v>4.6574999999999989</v>
      </c>
      <c r="V151">
        <f t="shared" si="17"/>
        <v>9</v>
      </c>
    </row>
    <row r="152" spans="1:22" x14ac:dyDescent="0.25">
      <c r="A152" t="s">
        <v>327</v>
      </c>
      <c r="B152">
        <v>44051</v>
      </c>
      <c r="C152" t="str">
        <f t="shared" si="14"/>
        <v>08</v>
      </c>
      <c r="D152" t="str">
        <f t="shared" si="12"/>
        <v>August</v>
      </c>
      <c r="E152" t="str">
        <f t="shared" si="15"/>
        <v>2020</v>
      </c>
      <c r="F152" t="s">
        <v>328</v>
      </c>
      <c r="G152" t="str">
        <f>VLOOKUP(F152,'Customers (2)'!A:I,2,0)</f>
        <v>Jacinthe Balsillie</v>
      </c>
      <c r="H152" t="str">
        <f>VLOOKUP(F152,'Customers (2)'!A:I,3,0)</f>
        <v>jbalsillie46@princeton.edu</v>
      </c>
      <c r="I152" t="str">
        <f>VLOOKUP(F152,'Customers (2)'!A:I,4,0)</f>
        <v>+1 (540) 905-2213</v>
      </c>
      <c r="J152" t="str">
        <f>VLOOKUP(F152,'Customers (2)'!A:I,6,0)</f>
        <v>Roanoke</v>
      </c>
      <c r="K152" t="str">
        <f>VLOOKUP(F152,'Customers (2)'!A:I,7,0)</f>
        <v>United States</v>
      </c>
      <c r="L152" t="str">
        <f>VLOOKUP(F152,'Customers (2)'!A:I,9,0)</f>
        <v>Yes</v>
      </c>
      <c r="M152" t="str">
        <f>VLOOKUP(N152,'Products (2)'!A:G,2,0)</f>
        <v>Liberica</v>
      </c>
      <c r="N152" t="s">
        <v>13</v>
      </c>
      <c r="O152" t="str">
        <f>VLOOKUP(N152,'Products (2)'!A:G,3,0)</f>
        <v>Dark</v>
      </c>
      <c r="P152">
        <f>VLOOKUP(N152,'Products (2)'!A:G,7,0)</f>
        <v>1.6835</v>
      </c>
      <c r="Q152">
        <v>1</v>
      </c>
      <c r="R152">
        <f>INDEX([1]products!$A$1:$G$49,MATCH([1]orders!$D152,[1]products!$A$1:$A$49,0),MATCH([1]orders!K$1,[1]products!$A$1:$G$1,0))</f>
        <v>1</v>
      </c>
      <c r="S152">
        <f>INDEX([1]products!$A$1:$G$49,MATCH([1]orders!$D152,[1]products!$A$1:$A$49,0),MATCH([1]orders!L$1,[1]products!$A$1:$G$1,0))</f>
        <v>12.95</v>
      </c>
      <c r="T152">
        <f t="shared" si="13"/>
        <v>12.95</v>
      </c>
      <c r="U152">
        <f t="shared" si="16"/>
        <v>1.6835</v>
      </c>
      <c r="V152">
        <f t="shared" si="17"/>
        <v>13</v>
      </c>
    </row>
    <row r="153" spans="1:22" x14ac:dyDescent="0.25">
      <c r="A153" t="s">
        <v>329</v>
      </c>
      <c r="B153">
        <v>44115</v>
      </c>
      <c r="C153" t="str">
        <f t="shared" si="14"/>
        <v>11</v>
      </c>
      <c r="D153" t="str">
        <f t="shared" si="12"/>
        <v>October</v>
      </c>
      <c r="E153" t="str">
        <f t="shared" si="15"/>
        <v>2020</v>
      </c>
      <c r="F153" t="s">
        <v>330</v>
      </c>
      <c r="G153" t="str">
        <f>VLOOKUP(F153,'Customers (2)'!A:I,2,0)</f>
        <v>Quinton Fouracres</v>
      </c>
      <c r="H153">
        <f>VLOOKUP(F153,'Customers (2)'!A:I,3,0)</f>
        <v>0</v>
      </c>
      <c r="I153" t="str">
        <f>VLOOKUP(F153,'Customers (2)'!A:I,4,0)</f>
        <v>+1 (515) 508-1573</v>
      </c>
      <c r="J153" t="str">
        <f>VLOOKUP(F153,'Customers (2)'!A:I,6,0)</f>
        <v>Des Moines</v>
      </c>
      <c r="K153" t="str">
        <f>VLOOKUP(F153,'Customers (2)'!A:I,7,0)</f>
        <v>United States</v>
      </c>
      <c r="L153" t="str">
        <f>VLOOKUP(F153,'Customers (2)'!A:I,9,0)</f>
        <v>Yes</v>
      </c>
      <c r="M153" t="str">
        <f>VLOOKUP(N153,'Products (2)'!A:G,2,0)</f>
        <v>Arabica</v>
      </c>
      <c r="N153" t="s">
        <v>61</v>
      </c>
      <c r="O153" t="str">
        <f>VLOOKUP(N153,'Products (2)'!A:G,3,0)</f>
        <v>Medium</v>
      </c>
      <c r="P153">
        <f>VLOOKUP(N153,'Products (2)'!A:G,7,0)</f>
        <v>1.0125</v>
      </c>
      <c r="Q153">
        <v>3</v>
      </c>
      <c r="R153">
        <f>INDEX([1]products!$A$1:$G$49,MATCH([1]orders!$D153,[1]products!$A$1:$A$49,0),MATCH([1]orders!K$1,[1]products!$A$1:$G$1,0))</f>
        <v>1</v>
      </c>
      <c r="S153">
        <f>INDEX([1]products!$A$1:$G$49,MATCH([1]orders!$D153,[1]products!$A$1:$A$49,0),MATCH([1]orders!L$1,[1]products!$A$1:$G$1,0))</f>
        <v>11.25</v>
      </c>
      <c r="T153">
        <f t="shared" si="13"/>
        <v>33.75</v>
      </c>
      <c r="U153">
        <f t="shared" si="16"/>
        <v>3.0374999999999996</v>
      </c>
      <c r="V153">
        <f t="shared" si="17"/>
        <v>8.9999999999999982</v>
      </c>
    </row>
    <row r="154" spans="1:22" x14ac:dyDescent="0.25">
      <c r="A154" t="s">
        <v>331</v>
      </c>
      <c r="B154">
        <v>44510</v>
      </c>
      <c r="C154" t="str">
        <f t="shared" si="14"/>
        <v>10</v>
      </c>
      <c r="D154" t="str">
        <f t="shared" si="12"/>
        <v>November</v>
      </c>
      <c r="E154" t="str">
        <f t="shared" si="15"/>
        <v>2021</v>
      </c>
      <c r="F154" t="s">
        <v>332</v>
      </c>
      <c r="G154" t="str">
        <f>VLOOKUP(F154,'Customers (2)'!A:I,2,0)</f>
        <v>Bettina Leffek</v>
      </c>
      <c r="H154" t="str">
        <f>VLOOKUP(F154,'Customers (2)'!A:I,3,0)</f>
        <v>bleffek48@ning.com</v>
      </c>
      <c r="I154" t="str">
        <f>VLOOKUP(F154,'Customers (2)'!A:I,4,0)</f>
        <v>+1 (808) 815-3474</v>
      </c>
      <c r="J154" t="str">
        <f>VLOOKUP(F154,'Customers (2)'!A:I,6,0)</f>
        <v>Honolulu</v>
      </c>
      <c r="K154" t="str">
        <f>VLOOKUP(F154,'Customers (2)'!A:I,7,0)</f>
        <v>United States</v>
      </c>
      <c r="L154" t="str">
        <f>VLOOKUP(F154,'Customers (2)'!A:I,9,0)</f>
        <v>Yes</v>
      </c>
      <c r="M154" t="str">
        <f>VLOOKUP(N154,'Products (2)'!A:G,2,0)</f>
        <v>Robusta</v>
      </c>
      <c r="N154" t="s">
        <v>41</v>
      </c>
      <c r="O154" t="str">
        <f>VLOOKUP(N154,'Products (2)'!A:G,3,0)</f>
        <v>Medium</v>
      </c>
      <c r="P154">
        <f>VLOOKUP(N154,'Products (2)'!A:G,7,0)</f>
        <v>1.3730999999999998</v>
      </c>
      <c r="Q154">
        <v>3</v>
      </c>
      <c r="R154">
        <f>INDEX([1]products!$A$1:$G$49,MATCH([1]orders!$D154,[1]products!$A$1:$A$49,0),MATCH([1]orders!K$1,[1]products!$A$1:$G$1,0))</f>
        <v>2.5</v>
      </c>
      <c r="S154">
        <f>INDEX([1]products!$A$1:$G$49,MATCH([1]orders!$D154,[1]products!$A$1:$A$49,0),MATCH([1]orders!L$1,[1]products!$A$1:$G$1,0))</f>
        <v>22.884999999999998</v>
      </c>
      <c r="T154">
        <f t="shared" si="13"/>
        <v>68.655000000000001</v>
      </c>
      <c r="U154">
        <f t="shared" si="16"/>
        <v>4.1192999999999991</v>
      </c>
      <c r="V154">
        <f t="shared" si="17"/>
        <v>5.9999999999999982</v>
      </c>
    </row>
    <row r="155" spans="1:22" x14ac:dyDescent="0.25">
      <c r="A155" t="s">
        <v>333</v>
      </c>
      <c r="B155">
        <v>44367</v>
      </c>
      <c r="C155" t="str">
        <f t="shared" si="14"/>
        <v>20</v>
      </c>
      <c r="D155" t="str">
        <f t="shared" si="12"/>
        <v>June</v>
      </c>
      <c r="E155" t="str">
        <f t="shared" si="15"/>
        <v>2021</v>
      </c>
      <c r="F155" t="s">
        <v>334</v>
      </c>
      <c r="G155" t="str">
        <f>VLOOKUP(F155,'Customers (2)'!A:I,2,0)</f>
        <v>Hetti Penson</v>
      </c>
      <c r="H155">
        <f>VLOOKUP(F155,'Customers (2)'!A:I,3,0)</f>
        <v>0</v>
      </c>
      <c r="I155" t="str">
        <f>VLOOKUP(F155,'Customers (2)'!A:I,4,0)</f>
        <v>+1 (754) 664-6126</v>
      </c>
      <c r="J155" t="str">
        <f>VLOOKUP(F155,'Customers (2)'!A:I,6,0)</f>
        <v>Fort Lauderdale</v>
      </c>
      <c r="K155" t="str">
        <f>VLOOKUP(F155,'Customers (2)'!A:I,7,0)</f>
        <v>United States</v>
      </c>
      <c r="L155" t="str">
        <f>VLOOKUP(F155,'Customers (2)'!A:I,9,0)</f>
        <v>No</v>
      </c>
      <c r="M155" t="str">
        <f>VLOOKUP(N155,'Products (2)'!A:G,2,0)</f>
        <v>Robusta</v>
      </c>
      <c r="N155" t="s">
        <v>101</v>
      </c>
      <c r="O155" t="str">
        <f>VLOOKUP(N155,'Products (2)'!A:G,3,0)</f>
        <v>Dark</v>
      </c>
      <c r="P155">
        <f>VLOOKUP(N155,'Products (2)'!A:G,7,0)</f>
        <v>0.16109999999999997</v>
      </c>
      <c r="Q155">
        <v>1</v>
      </c>
      <c r="R155">
        <f>INDEX([1]products!$A$1:$G$49,MATCH([1]orders!$D155,[1]products!$A$1:$A$49,0),MATCH([1]orders!K$1,[1]products!$A$1:$G$1,0))</f>
        <v>0.2</v>
      </c>
      <c r="S155">
        <f>INDEX([1]products!$A$1:$G$49,MATCH([1]orders!$D155,[1]products!$A$1:$A$49,0),MATCH([1]orders!L$1,[1]products!$A$1:$G$1,0))</f>
        <v>2.6849999999999996</v>
      </c>
      <c r="T155">
        <f t="shared" si="13"/>
        <v>2.6849999999999996</v>
      </c>
      <c r="U155">
        <f t="shared" si="16"/>
        <v>0.16109999999999997</v>
      </c>
      <c r="V155">
        <f t="shared" si="17"/>
        <v>6</v>
      </c>
    </row>
    <row r="156" spans="1:22" x14ac:dyDescent="0.25">
      <c r="A156" t="s">
        <v>335</v>
      </c>
      <c r="B156">
        <v>44473</v>
      </c>
      <c r="C156" t="str">
        <f t="shared" si="14"/>
        <v>04</v>
      </c>
      <c r="D156" t="str">
        <f t="shared" si="12"/>
        <v>October</v>
      </c>
      <c r="E156" t="str">
        <f t="shared" si="15"/>
        <v>2021</v>
      </c>
      <c r="F156" t="s">
        <v>336</v>
      </c>
      <c r="G156" t="str">
        <f>VLOOKUP(F156,'Customers (2)'!A:I,2,0)</f>
        <v>Jocko Pray</v>
      </c>
      <c r="H156" t="str">
        <f>VLOOKUP(F156,'Customers (2)'!A:I,3,0)</f>
        <v>jpray4a@youtube.com</v>
      </c>
      <c r="I156" t="str">
        <f>VLOOKUP(F156,'Customers (2)'!A:I,4,0)</f>
        <v>+1 (215) 771-6504</v>
      </c>
      <c r="J156" t="str">
        <f>VLOOKUP(F156,'Customers (2)'!A:I,6,0)</f>
        <v>Philadelphia</v>
      </c>
      <c r="K156" t="str">
        <f>VLOOKUP(F156,'Customers (2)'!A:I,7,0)</f>
        <v>United States</v>
      </c>
      <c r="L156" t="str">
        <f>VLOOKUP(F156,'Customers (2)'!A:I,9,0)</f>
        <v>No</v>
      </c>
      <c r="M156" t="str">
        <f>VLOOKUP(N156,'Products (2)'!A:G,2,0)</f>
        <v>Arabica</v>
      </c>
      <c r="N156" t="s">
        <v>118</v>
      </c>
      <c r="O156" t="str">
        <f>VLOOKUP(N156,'Products (2)'!A:G,3,0)</f>
        <v>Dark</v>
      </c>
      <c r="P156">
        <f>VLOOKUP(N156,'Products (2)'!A:G,7,0)</f>
        <v>2.0596499999999995</v>
      </c>
      <c r="Q156">
        <v>5</v>
      </c>
      <c r="R156">
        <f>INDEX([1]products!$A$1:$G$49,MATCH([1]orders!$D156,[1]products!$A$1:$A$49,0),MATCH([1]orders!K$1,[1]products!$A$1:$G$1,0))</f>
        <v>2.5</v>
      </c>
      <c r="S156">
        <f>INDEX([1]products!$A$1:$G$49,MATCH([1]orders!$D156,[1]products!$A$1:$A$49,0),MATCH([1]orders!L$1,[1]products!$A$1:$G$1,0))</f>
        <v>22.884999999999998</v>
      </c>
      <c r="T156">
        <f t="shared" si="13"/>
        <v>114.42499999999998</v>
      </c>
      <c r="U156">
        <f t="shared" si="16"/>
        <v>10.298249999999998</v>
      </c>
      <c r="V156">
        <f t="shared" si="17"/>
        <v>9</v>
      </c>
    </row>
    <row r="157" spans="1:22" x14ac:dyDescent="0.25">
      <c r="A157" t="s">
        <v>337</v>
      </c>
      <c r="B157">
        <v>43640</v>
      </c>
      <c r="C157" t="str">
        <f t="shared" si="14"/>
        <v>24</v>
      </c>
      <c r="D157" t="str">
        <f t="shared" si="12"/>
        <v>June</v>
      </c>
      <c r="E157" t="str">
        <f t="shared" si="15"/>
        <v>2019</v>
      </c>
      <c r="F157" t="s">
        <v>338</v>
      </c>
      <c r="G157" t="str">
        <f>VLOOKUP(F157,'Customers (2)'!A:I,2,0)</f>
        <v>Grete Holborn</v>
      </c>
      <c r="H157" t="str">
        <f>VLOOKUP(F157,'Customers (2)'!A:I,3,0)</f>
        <v>gholborn4b@ow.ly</v>
      </c>
      <c r="I157" t="str">
        <f>VLOOKUP(F157,'Customers (2)'!A:I,4,0)</f>
        <v>+1 (203) 577-5788</v>
      </c>
      <c r="J157" t="str">
        <f>VLOOKUP(F157,'Customers (2)'!A:I,6,0)</f>
        <v>Norwalk</v>
      </c>
      <c r="K157" t="str">
        <f>VLOOKUP(F157,'Customers (2)'!A:I,7,0)</f>
        <v>United States</v>
      </c>
      <c r="L157" t="str">
        <f>VLOOKUP(F157,'Customers (2)'!A:I,9,0)</f>
        <v>Yes</v>
      </c>
      <c r="M157" t="str">
        <f>VLOOKUP(N157,'Products (2)'!A:G,2,0)</f>
        <v>Arabica</v>
      </c>
      <c r="N157" t="s">
        <v>171</v>
      </c>
      <c r="O157" t="str">
        <f>VLOOKUP(N157,'Products (2)'!A:G,3,0)</f>
        <v>Medium</v>
      </c>
      <c r="P157">
        <f>VLOOKUP(N157,'Products (2)'!A:G,7,0)</f>
        <v>2.3287499999999994</v>
      </c>
      <c r="Q157">
        <v>6</v>
      </c>
      <c r="R157">
        <f>INDEX([1]products!$A$1:$G$49,MATCH([1]orders!$D157,[1]products!$A$1:$A$49,0),MATCH([1]orders!K$1,[1]products!$A$1:$G$1,0))</f>
        <v>2.5</v>
      </c>
      <c r="S157">
        <f>INDEX([1]products!$A$1:$G$49,MATCH([1]orders!$D157,[1]products!$A$1:$A$49,0),MATCH([1]orders!L$1,[1]products!$A$1:$G$1,0))</f>
        <v>25.874999999999996</v>
      </c>
      <c r="T157">
        <f t="shared" si="13"/>
        <v>155.24999999999997</v>
      </c>
      <c r="U157">
        <f t="shared" si="16"/>
        <v>13.972499999999997</v>
      </c>
      <c r="V157">
        <f t="shared" si="17"/>
        <v>9</v>
      </c>
    </row>
    <row r="158" spans="1:22" x14ac:dyDescent="0.25">
      <c r="A158" t="s">
        <v>339</v>
      </c>
      <c r="B158">
        <v>43764</v>
      </c>
      <c r="C158" t="str">
        <f t="shared" si="14"/>
        <v>26</v>
      </c>
      <c r="D158" t="str">
        <f t="shared" si="12"/>
        <v>October</v>
      </c>
      <c r="E158" t="str">
        <f t="shared" si="15"/>
        <v>2019</v>
      </c>
      <c r="F158" t="s">
        <v>340</v>
      </c>
      <c r="G158" t="str">
        <f>VLOOKUP(F158,'Customers (2)'!A:I,2,0)</f>
        <v>Fielding Keinrat</v>
      </c>
      <c r="H158" t="str">
        <f>VLOOKUP(F158,'Customers (2)'!A:I,3,0)</f>
        <v>fkeinrat4c@dailymail.co.uk</v>
      </c>
      <c r="I158" t="str">
        <f>VLOOKUP(F158,'Customers (2)'!A:I,4,0)</f>
        <v>+1 (817) 785-7050</v>
      </c>
      <c r="J158" t="str">
        <f>VLOOKUP(F158,'Customers (2)'!A:I,6,0)</f>
        <v>Arlington</v>
      </c>
      <c r="K158" t="str">
        <f>VLOOKUP(F158,'Customers (2)'!A:I,7,0)</f>
        <v>United States</v>
      </c>
      <c r="L158" t="str">
        <f>VLOOKUP(F158,'Customers (2)'!A:I,9,0)</f>
        <v>Yes</v>
      </c>
      <c r="M158" t="str">
        <f>VLOOKUP(N158,'Products (2)'!A:G,2,0)</f>
        <v>Arabica</v>
      </c>
      <c r="N158" t="s">
        <v>171</v>
      </c>
      <c r="O158" t="str">
        <f>VLOOKUP(N158,'Products (2)'!A:G,3,0)</f>
        <v>Medium</v>
      </c>
      <c r="P158">
        <f>VLOOKUP(N158,'Products (2)'!A:G,7,0)</f>
        <v>2.3287499999999994</v>
      </c>
      <c r="Q158">
        <v>3</v>
      </c>
      <c r="R158">
        <f>INDEX([1]products!$A$1:$G$49,MATCH([1]orders!$D158,[1]products!$A$1:$A$49,0),MATCH([1]orders!K$1,[1]products!$A$1:$G$1,0))</f>
        <v>2.5</v>
      </c>
      <c r="S158">
        <f>INDEX([1]products!$A$1:$G$49,MATCH([1]orders!$D158,[1]products!$A$1:$A$49,0),MATCH([1]orders!L$1,[1]products!$A$1:$G$1,0))</f>
        <v>25.874999999999996</v>
      </c>
      <c r="T158">
        <f t="shared" si="13"/>
        <v>77.624999999999986</v>
      </c>
      <c r="U158">
        <f t="shared" si="16"/>
        <v>6.9862499999999983</v>
      </c>
      <c r="V158">
        <f t="shared" si="17"/>
        <v>9</v>
      </c>
    </row>
    <row r="159" spans="1:22" x14ac:dyDescent="0.25">
      <c r="A159" t="s">
        <v>341</v>
      </c>
      <c r="B159">
        <v>44374</v>
      </c>
      <c r="C159" t="str">
        <f t="shared" si="14"/>
        <v>27</v>
      </c>
      <c r="D159" t="str">
        <f t="shared" si="12"/>
        <v>June</v>
      </c>
      <c r="E159" t="str">
        <f t="shared" si="15"/>
        <v>2021</v>
      </c>
      <c r="F159" t="s">
        <v>342</v>
      </c>
      <c r="G159" t="str">
        <f>VLOOKUP(F159,'Customers (2)'!A:I,2,0)</f>
        <v>Paulo Yea</v>
      </c>
      <c r="H159" t="str">
        <f>VLOOKUP(F159,'Customers (2)'!A:I,3,0)</f>
        <v>pyea4d@aol.com</v>
      </c>
      <c r="I159" t="str">
        <f>VLOOKUP(F159,'Customers (2)'!A:I,4,0)</f>
        <v>+353 (885) 555-9183</v>
      </c>
      <c r="J159" t="str">
        <f>VLOOKUP(F159,'Customers (2)'!A:I,6,0)</f>
        <v>Ashford</v>
      </c>
      <c r="K159" t="str">
        <f>VLOOKUP(F159,'Customers (2)'!A:I,7,0)</f>
        <v>Ireland</v>
      </c>
      <c r="L159" t="str">
        <f>VLOOKUP(F159,'Customers (2)'!A:I,9,0)</f>
        <v>No</v>
      </c>
      <c r="M159" t="str">
        <f>VLOOKUP(N159,'Products (2)'!A:G,2,0)</f>
        <v>Robusta</v>
      </c>
      <c r="N159" t="s">
        <v>35</v>
      </c>
      <c r="O159" t="str">
        <f>VLOOKUP(N159,'Products (2)'!A:G,3,0)</f>
        <v>Dark</v>
      </c>
      <c r="P159">
        <f>VLOOKUP(N159,'Products (2)'!A:G,7,0)</f>
        <v>1.2350999999999999</v>
      </c>
      <c r="Q159">
        <v>3</v>
      </c>
      <c r="R159">
        <f>INDEX([1]products!$A$1:$G$49,MATCH([1]orders!$D159,[1]products!$A$1:$A$49,0),MATCH([1]orders!K$1,[1]products!$A$1:$G$1,0))</f>
        <v>2.5</v>
      </c>
      <c r="S159">
        <f>INDEX([1]products!$A$1:$G$49,MATCH([1]orders!$D159,[1]products!$A$1:$A$49,0),MATCH([1]orders!L$1,[1]products!$A$1:$G$1,0))</f>
        <v>20.584999999999997</v>
      </c>
      <c r="T159">
        <f t="shared" si="13"/>
        <v>61.754999999999995</v>
      </c>
      <c r="U159">
        <f t="shared" si="16"/>
        <v>3.7052999999999994</v>
      </c>
      <c r="V159">
        <f t="shared" si="17"/>
        <v>5.9999999999999991</v>
      </c>
    </row>
    <row r="160" spans="1:22" x14ac:dyDescent="0.25">
      <c r="A160" t="s">
        <v>343</v>
      </c>
      <c r="B160">
        <v>43714</v>
      </c>
      <c r="C160" t="str">
        <f t="shared" si="14"/>
        <v>06</v>
      </c>
      <c r="D160" t="str">
        <f t="shared" si="12"/>
        <v>September</v>
      </c>
      <c r="E160" t="str">
        <f t="shared" si="15"/>
        <v>2019</v>
      </c>
      <c r="F160" t="s">
        <v>344</v>
      </c>
      <c r="G160" t="str">
        <f>VLOOKUP(F160,'Customers (2)'!A:I,2,0)</f>
        <v>Say Risborough</v>
      </c>
      <c r="H160">
        <f>VLOOKUP(F160,'Customers (2)'!A:I,3,0)</f>
        <v>0</v>
      </c>
      <c r="I160" t="str">
        <f>VLOOKUP(F160,'Customers (2)'!A:I,4,0)</f>
        <v>+1 (423) 485-6650</v>
      </c>
      <c r="J160" t="str">
        <f>VLOOKUP(F160,'Customers (2)'!A:I,6,0)</f>
        <v>Chattanooga</v>
      </c>
      <c r="K160" t="str">
        <f>VLOOKUP(F160,'Customers (2)'!A:I,7,0)</f>
        <v>United States</v>
      </c>
      <c r="L160" t="str">
        <f>VLOOKUP(F160,'Customers (2)'!A:I,9,0)</f>
        <v>Yes</v>
      </c>
      <c r="M160" t="str">
        <f>VLOOKUP(N160,'Products (2)'!A:G,2,0)</f>
        <v>Robusta</v>
      </c>
      <c r="N160" t="s">
        <v>35</v>
      </c>
      <c r="O160" t="str">
        <f>VLOOKUP(N160,'Products (2)'!A:G,3,0)</f>
        <v>Dark</v>
      </c>
      <c r="P160">
        <f>VLOOKUP(N160,'Products (2)'!A:G,7,0)</f>
        <v>1.2350999999999999</v>
      </c>
      <c r="Q160">
        <v>6</v>
      </c>
      <c r="R160">
        <f>INDEX([1]products!$A$1:$G$49,MATCH([1]orders!$D160,[1]products!$A$1:$A$49,0),MATCH([1]orders!K$1,[1]products!$A$1:$G$1,0))</f>
        <v>2.5</v>
      </c>
      <c r="S160">
        <f>INDEX([1]products!$A$1:$G$49,MATCH([1]orders!$D160,[1]products!$A$1:$A$49,0),MATCH([1]orders!L$1,[1]products!$A$1:$G$1,0))</f>
        <v>20.584999999999997</v>
      </c>
      <c r="T160">
        <f t="shared" si="13"/>
        <v>123.50999999999999</v>
      </c>
      <c r="U160">
        <f t="shared" si="16"/>
        <v>7.4105999999999987</v>
      </c>
      <c r="V160">
        <f t="shared" si="17"/>
        <v>5.9999999999999991</v>
      </c>
    </row>
    <row r="161" spans="1:22" x14ac:dyDescent="0.25">
      <c r="A161" t="s">
        <v>345</v>
      </c>
      <c r="B161">
        <v>44316</v>
      </c>
      <c r="C161" t="str">
        <f t="shared" si="14"/>
        <v>30</v>
      </c>
      <c r="D161" t="str">
        <f t="shared" si="12"/>
        <v>April</v>
      </c>
      <c r="E161" t="str">
        <f t="shared" si="15"/>
        <v>2021</v>
      </c>
      <c r="F161" t="s">
        <v>346</v>
      </c>
      <c r="G161" t="str">
        <f>VLOOKUP(F161,'Customers (2)'!A:I,2,0)</f>
        <v>Alexa Sizey</v>
      </c>
      <c r="H161">
        <f>VLOOKUP(F161,'Customers (2)'!A:I,3,0)</f>
        <v>0</v>
      </c>
      <c r="I161" t="str">
        <f>VLOOKUP(F161,'Customers (2)'!A:I,4,0)</f>
        <v>+1 (503) 774-7836</v>
      </c>
      <c r="J161" t="str">
        <f>VLOOKUP(F161,'Customers (2)'!A:I,6,0)</f>
        <v>Portland</v>
      </c>
      <c r="K161" t="str">
        <f>VLOOKUP(F161,'Customers (2)'!A:I,7,0)</f>
        <v>United States</v>
      </c>
      <c r="L161" t="str">
        <f>VLOOKUP(F161,'Customers (2)'!A:I,9,0)</f>
        <v>No</v>
      </c>
      <c r="M161" t="str">
        <f>VLOOKUP(N161,'Products (2)'!A:G,2,0)</f>
        <v>Liberica</v>
      </c>
      <c r="N161" t="s">
        <v>104</v>
      </c>
      <c r="O161" t="str">
        <f>VLOOKUP(N161,'Products (2)'!A:G,3,0)</f>
        <v>Light</v>
      </c>
      <c r="P161">
        <f>VLOOKUP(N161,'Products (2)'!A:G,7,0)</f>
        <v>4.7391499999999995</v>
      </c>
      <c r="Q161">
        <v>6</v>
      </c>
      <c r="R161">
        <f>INDEX([1]products!$A$1:$G$49,MATCH([1]orders!$D161,[1]products!$A$1:$A$49,0),MATCH([1]orders!K$1,[1]products!$A$1:$G$1,0))</f>
        <v>2.5</v>
      </c>
      <c r="S161">
        <f>INDEX([1]products!$A$1:$G$49,MATCH([1]orders!$D161,[1]products!$A$1:$A$49,0),MATCH([1]orders!L$1,[1]products!$A$1:$G$1,0))</f>
        <v>36.454999999999998</v>
      </c>
      <c r="T161">
        <f t="shared" si="13"/>
        <v>218.73</v>
      </c>
      <c r="U161">
        <f t="shared" si="16"/>
        <v>28.434899999999999</v>
      </c>
      <c r="V161">
        <f t="shared" si="17"/>
        <v>13</v>
      </c>
    </row>
    <row r="162" spans="1:22" x14ac:dyDescent="0.25">
      <c r="A162" t="s">
        <v>347</v>
      </c>
      <c r="B162">
        <v>43837</v>
      </c>
      <c r="C162" t="str">
        <f t="shared" si="14"/>
        <v>07</v>
      </c>
      <c r="D162" t="str">
        <f t="shared" si="12"/>
        <v>January</v>
      </c>
      <c r="E162" t="str">
        <f t="shared" si="15"/>
        <v>2020</v>
      </c>
      <c r="F162" t="s">
        <v>348</v>
      </c>
      <c r="G162" t="str">
        <f>VLOOKUP(F162,'Customers (2)'!A:I,2,0)</f>
        <v>Kari Swede</v>
      </c>
      <c r="H162" t="str">
        <f>VLOOKUP(F162,'Customers (2)'!A:I,3,0)</f>
        <v>kswede4g@addthis.com</v>
      </c>
      <c r="I162" t="str">
        <f>VLOOKUP(F162,'Customers (2)'!A:I,4,0)</f>
        <v>+1 (405) 535-0273</v>
      </c>
      <c r="J162" t="str">
        <f>VLOOKUP(F162,'Customers (2)'!A:I,6,0)</f>
        <v>Oklahoma City</v>
      </c>
      <c r="K162" t="str">
        <f>VLOOKUP(F162,'Customers (2)'!A:I,7,0)</f>
        <v>United States</v>
      </c>
      <c r="L162" t="str">
        <f>VLOOKUP(F162,'Customers (2)'!A:I,9,0)</f>
        <v>No</v>
      </c>
      <c r="M162" t="str">
        <f>VLOOKUP(N162,'Products (2)'!A:G,2,0)</f>
        <v>Excelsa</v>
      </c>
      <c r="N162" t="s">
        <v>3</v>
      </c>
      <c r="O162" t="str">
        <f>VLOOKUP(N162,'Products (2)'!A:G,3,0)</f>
        <v>Medium</v>
      </c>
      <c r="P162">
        <f>VLOOKUP(N162,'Products (2)'!A:G,7,0)</f>
        <v>0.90749999999999997</v>
      </c>
      <c r="Q162">
        <v>4</v>
      </c>
      <c r="R162">
        <f>INDEX([1]products!$A$1:$G$49,MATCH([1]orders!$D162,[1]products!$A$1:$A$49,0),MATCH([1]orders!K$1,[1]products!$A$1:$G$1,0))</f>
        <v>0.5</v>
      </c>
      <c r="S162">
        <f>INDEX([1]products!$A$1:$G$49,MATCH([1]orders!$D162,[1]products!$A$1:$A$49,0),MATCH([1]orders!L$1,[1]products!$A$1:$G$1,0))</f>
        <v>8.25</v>
      </c>
      <c r="T162">
        <f t="shared" si="13"/>
        <v>33</v>
      </c>
      <c r="U162">
        <f t="shared" si="16"/>
        <v>3.63</v>
      </c>
      <c r="V162">
        <f t="shared" si="17"/>
        <v>11</v>
      </c>
    </row>
    <row r="163" spans="1:22" x14ac:dyDescent="0.25">
      <c r="A163" t="s">
        <v>349</v>
      </c>
      <c r="B163">
        <v>44207</v>
      </c>
      <c r="C163" t="str">
        <f t="shared" si="14"/>
        <v>11</v>
      </c>
      <c r="D163" t="str">
        <f t="shared" si="12"/>
        <v>January</v>
      </c>
      <c r="E163" t="str">
        <f t="shared" si="15"/>
        <v>2021</v>
      </c>
      <c r="F163" t="s">
        <v>350</v>
      </c>
      <c r="G163" t="str">
        <f>VLOOKUP(F163,'Customers (2)'!A:I,2,0)</f>
        <v>Leontine Rubrow</v>
      </c>
      <c r="H163" t="str">
        <f>VLOOKUP(F163,'Customers (2)'!A:I,3,0)</f>
        <v>lrubrow4h@microsoft.com</v>
      </c>
      <c r="I163" t="str">
        <f>VLOOKUP(F163,'Customers (2)'!A:I,4,0)</f>
        <v>+1 (202) 503-9022</v>
      </c>
      <c r="J163" t="str">
        <f>VLOOKUP(F163,'Customers (2)'!A:I,6,0)</f>
        <v>Washington</v>
      </c>
      <c r="K163" t="str">
        <f>VLOOKUP(F163,'Customers (2)'!A:I,7,0)</f>
        <v>United States</v>
      </c>
      <c r="L163" t="str">
        <f>VLOOKUP(F163,'Customers (2)'!A:I,9,0)</f>
        <v>No</v>
      </c>
      <c r="M163" t="str">
        <f>VLOOKUP(N163,'Products (2)'!A:G,2,0)</f>
        <v>Arabica</v>
      </c>
      <c r="N163" t="s">
        <v>192</v>
      </c>
      <c r="O163" t="str">
        <f>VLOOKUP(N163,'Products (2)'!A:G,3,0)</f>
        <v>Light</v>
      </c>
      <c r="P163">
        <f>VLOOKUP(N163,'Products (2)'!A:G,7,0)</f>
        <v>0.69929999999999992</v>
      </c>
      <c r="Q163">
        <v>3</v>
      </c>
      <c r="R163">
        <f>INDEX([1]products!$A$1:$G$49,MATCH([1]orders!$D163,[1]products!$A$1:$A$49,0),MATCH([1]orders!K$1,[1]products!$A$1:$G$1,0))</f>
        <v>0.5</v>
      </c>
      <c r="S163">
        <f>INDEX([1]products!$A$1:$G$49,MATCH([1]orders!$D163,[1]products!$A$1:$A$49,0),MATCH([1]orders!L$1,[1]products!$A$1:$G$1,0))</f>
        <v>7.77</v>
      </c>
      <c r="T163">
        <f t="shared" si="13"/>
        <v>23.31</v>
      </c>
      <c r="U163">
        <f t="shared" si="16"/>
        <v>2.0978999999999997</v>
      </c>
      <c r="V163">
        <f t="shared" si="17"/>
        <v>9</v>
      </c>
    </row>
    <row r="164" spans="1:22" x14ac:dyDescent="0.25">
      <c r="A164" t="s">
        <v>351</v>
      </c>
      <c r="B164">
        <v>44515</v>
      </c>
      <c r="C164" t="str">
        <f t="shared" si="14"/>
        <v>15</v>
      </c>
      <c r="D164" t="str">
        <f t="shared" si="12"/>
        <v>November</v>
      </c>
      <c r="E164" t="str">
        <f t="shared" si="15"/>
        <v>2021</v>
      </c>
      <c r="F164" t="s">
        <v>352</v>
      </c>
      <c r="G164" t="str">
        <f>VLOOKUP(F164,'Customers (2)'!A:I,2,0)</f>
        <v>Dottie Tift</v>
      </c>
      <c r="H164" t="str">
        <f>VLOOKUP(F164,'Customers (2)'!A:I,3,0)</f>
        <v>dtift4i@netvibes.com</v>
      </c>
      <c r="I164" t="str">
        <f>VLOOKUP(F164,'Customers (2)'!A:I,4,0)</f>
        <v>+1 (336) 766-8518</v>
      </c>
      <c r="J164" t="str">
        <f>VLOOKUP(F164,'Customers (2)'!A:I,6,0)</f>
        <v>Greensboro</v>
      </c>
      <c r="K164" t="str">
        <f>VLOOKUP(F164,'Customers (2)'!A:I,7,0)</f>
        <v>United States</v>
      </c>
      <c r="L164" t="str">
        <f>VLOOKUP(F164,'Customers (2)'!A:I,9,0)</f>
        <v>Yes</v>
      </c>
      <c r="M164" t="str">
        <f>VLOOKUP(N164,'Products (2)'!A:G,2,0)</f>
        <v>Excelsa</v>
      </c>
      <c r="N164" t="s">
        <v>16</v>
      </c>
      <c r="O164" t="str">
        <f>VLOOKUP(N164,'Products (2)'!A:G,3,0)</f>
        <v>Dark</v>
      </c>
      <c r="P164">
        <f>VLOOKUP(N164,'Products (2)'!A:G,7,0)</f>
        <v>0.80190000000000006</v>
      </c>
      <c r="Q164">
        <v>3</v>
      </c>
      <c r="R164">
        <f>INDEX([1]products!$A$1:$G$49,MATCH([1]orders!$D164,[1]products!$A$1:$A$49,0),MATCH([1]orders!K$1,[1]products!$A$1:$G$1,0))</f>
        <v>0.5</v>
      </c>
      <c r="S164">
        <f>INDEX([1]products!$A$1:$G$49,MATCH([1]orders!$D164,[1]products!$A$1:$A$49,0),MATCH([1]orders!L$1,[1]products!$A$1:$G$1,0))</f>
        <v>7.29</v>
      </c>
      <c r="T164">
        <f t="shared" si="13"/>
        <v>21.87</v>
      </c>
      <c r="U164">
        <f t="shared" si="16"/>
        <v>2.4057000000000004</v>
      </c>
      <c r="V164">
        <f t="shared" si="17"/>
        <v>11.000000000000002</v>
      </c>
    </row>
    <row r="165" spans="1:22" x14ac:dyDescent="0.25">
      <c r="A165" t="s">
        <v>353</v>
      </c>
      <c r="B165">
        <v>43619</v>
      </c>
      <c r="C165" t="str">
        <f t="shared" si="14"/>
        <v>03</v>
      </c>
      <c r="D165" t="str">
        <f t="shared" si="12"/>
        <v>June</v>
      </c>
      <c r="E165" t="str">
        <f t="shared" si="15"/>
        <v>2019</v>
      </c>
      <c r="F165" t="s">
        <v>354</v>
      </c>
      <c r="G165" t="str">
        <f>VLOOKUP(F165,'Customers (2)'!A:I,2,0)</f>
        <v>Gerardo Schonfeld</v>
      </c>
      <c r="H165" t="str">
        <f>VLOOKUP(F165,'Customers (2)'!A:I,3,0)</f>
        <v>gschonfeld4j@oracle.com</v>
      </c>
      <c r="I165" t="str">
        <f>VLOOKUP(F165,'Customers (2)'!A:I,4,0)</f>
        <v>+1 (571) 238-0580</v>
      </c>
      <c r="J165" t="str">
        <f>VLOOKUP(F165,'Customers (2)'!A:I,6,0)</f>
        <v>Alexandria</v>
      </c>
      <c r="K165" t="str">
        <f>VLOOKUP(F165,'Customers (2)'!A:I,7,0)</f>
        <v>United States</v>
      </c>
      <c r="L165" t="str">
        <f>VLOOKUP(F165,'Customers (2)'!A:I,9,0)</f>
        <v>No</v>
      </c>
      <c r="M165" t="str">
        <f>VLOOKUP(N165,'Products (2)'!A:G,2,0)</f>
        <v>Robusta</v>
      </c>
      <c r="N165" t="s">
        <v>101</v>
      </c>
      <c r="O165" t="str">
        <f>VLOOKUP(N165,'Products (2)'!A:G,3,0)</f>
        <v>Dark</v>
      </c>
      <c r="P165">
        <f>VLOOKUP(N165,'Products (2)'!A:G,7,0)</f>
        <v>0.16109999999999997</v>
      </c>
      <c r="Q165">
        <v>6</v>
      </c>
      <c r="R165">
        <f>INDEX([1]products!$A$1:$G$49,MATCH([1]orders!$D165,[1]products!$A$1:$A$49,0),MATCH([1]orders!K$1,[1]products!$A$1:$G$1,0))</f>
        <v>0.2</v>
      </c>
      <c r="S165">
        <f>INDEX([1]products!$A$1:$G$49,MATCH([1]orders!$D165,[1]products!$A$1:$A$49,0),MATCH([1]orders!L$1,[1]products!$A$1:$G$1,0))</f>
        <v>2.6849999999999996</v>
      </c>
      <c r="T165">
        <f t="shared" si="13"/>
        <v>16.11</v>
      </c>
      <c r="U165">
        <f t="shared" si="16"/>
        <v>0.96659999999999979</v>
      </c>
      <c r="V165">
        <f t="shared" si="17"/>
        <v>5.9999999999999991</v>
      </c>
    </row>
    <row r="166" spans="1:22" x14ac:dyDescent="0.25">
      <c r="A166" t="s">
        <v>355</v>
      </c>
      <c r="B166">
        <v>44182</v>
      </c>
      <c r="C166" t="str">
        <f t="shared" si="14"/>
        <v>17</v>
      </c>
      <c r="D166" t="str">
        <f t="shared" si="12"/>
        <v>December</v>
      </c>
      <c r="E166" t="str">
        <f t="shared" si="15"/>
        <v>2020</v>
      </c>
      <c r="F166" t="s">
        <v>356</v>
      </c>
      <c r="G166" t="str">
        <f>VLOOKUP(F166,'Customers (2)'!A:I,2,0)</f>
        <v>Claiborne Feye</v>
      </c>
      <c r="H166" t="str">
        <f>VLOOKUP(F166,'Customers (2)'!A:I,3,0)</f>
        <v>cfeye4k@google.co.jp</v>
      </c>
      <c r="I166" t="str">
        <f>VLOOKUP(F166,'Customers (2)'!A:I,4,0)</f>
        <v>+353 (471) 184-7815</v>
      </c>
      <c r="J166" t="str">
        <f>VLOOKUP(F166,'Customers (2)'!A:I,6,0)</f>
        <v>Castlebridge</v>
      </c>
      <c r="K166" t="str">
        <f>VLOOKUP(F166,'Customers (2)'!A:I,7,0)</f>
        <v>Ireland</v>
      </c>
      <c r="L166" t="str">
        <f>VLOOKUP(F166,'Customers (2)'!A:I,9,0)</f>
        <v>No</v>
      </c>
      <c r="M166" t="str">
        <f>VLOOKUP(N166,'Products (2)'!A:G,2,0)</f>
        <v>Excelsa</v>
      </c>
      <c r="N166" t="s">
        <v>16</v>
      </c>
      <c r="O166" t="str">
        <f>VLOOKUP(N166,'Products (2)'!A:G,3,0)</f>
        <v>Dark</v>
      </c>
      <c r="P166">
        <f>VLOOKUP(N166,'Products (2)'!A:G,7,0)</f>
        <v>0.80190000000000006</v>
      </c>
      <c r="Q166">
        <v>4</v>
      </c>
      <c r="R166">
        <f>INDEX([1]products!$A$1:$G$49,MATCH([1]orders!$D166,[1]products!$A$1:$A$49,0),MATCH([1]orders!K$1,[1]products!$A$1:$G$1,0))</f>
        <v>0.5</v>
      </c>
      <c r="S166">
        <f>INDEX([1]products!$A$1:$G$49,MATCH([1]orders!$D166,[1]products!$A$1:$A$49,0),MATCH([1]orders!L$1,[1]products!$A$1:$G$1,0))</f>
        <v>7.29</v>
      </c>
      <c r="T166">
        <f t="shared" si="13"/>
        <v>29.16</v>
      </c>
      <c r="U166">
        <f t="shared" si="16"/>
        <v>3.2076000000000002</v>
      </c>
      <c r="V166">
        <f t="shared" si="17"/>
        <v>11</v>
      </c>
    </row>
    <row r="167" spans="1:22" x14ac:dyDescent="0.25">
      <c r="A167" t="s">
        <v>357</v>
      </c>
      <c r="B167">
        <v>44234</v>
      </c>
      <c r="C167" t="str">
        <f t="shared" si="14"/>
        <v>07</v>
      </c>
      <c r="D167" t="str">
        <f t="shared" si="12"/>
        <v>February</v>
      </c>
      <c r="E167" t="str">
        <f t="shared" si="15"/>
        <v>2021</v>
      </c>
      <c r="F167" t="s">
        <v>358</v>
      </c>
      <c r="G167" t="str">
        <f>VLOOKUP(F167,'Customers (2)'!A:I,2,0)</f>
        <v>Mina Elstone</v>
      </c>
      <c r="H167">
        <f>VLOOKUP(F167,'Customers (2)'!A:I,3,0)</f>
        <v>0</v>
      </c>
      <c r="I167" t="str">
        <f>VLOOKUP(F167,'Customers (2)'!A:I,4,0)</f>
        <v>+1 (262) 320-1474</v>
      </c>
      <c r="J167" t="str">
        <f>VLOOKUP(F167,'Customers (2)'!A:I,6,0)</f>
        <v>Racine</v>
      </c>
      <c r="K167" t="str">
        <f>VLOOKUP(F167,'Customers (2)'!A:I,7,0)</f>
        <v>United States</v>
      </c>
      <c r="L167" t="str">
        <f>VLOOKUP(F167,'Customers (2)'!A:I,9,0)</f>
        <v>Yes</v>
      </c>
      <c r="M167" t="str">
        <f>VLOOKUP(N167,'Products (2)'!A:G,2,0)</f>
        <v>Robusta</v>
      </c>
      <c r="N167" t="s">
        <v>179</v>
      </c>
      <c r="O167" t="str">
        <f>VLOOKUP(N167,'Products (2)'!A:G,3,0)</f>
        <v>Dark</v>
      </c>
      <c r="P167">
        <f>VLOOKUP(N167,'Products (2)'!A:G,7,0)</f>
        <v>0.53699999999999992</v>
      </c>
      <c r="Q167">
        <v>6</v>
      </c>
      <c r="R167">
        <f>INDEX([1]products!$A$1:$G$49,MATCH([1]orders!$D167,[1]products!$A$1:$A$49,0),MATCH([1]orders!K$1,[1]products!$A$1:$G$1,0))</f>
        <v>1</v>
      </c>
      <c r="S167">
        <f>INDEX([1]products!$A$1:$G$49,MATCH([1]orders!$D167,[1]products!$A$1:$A$49,0),MATCH([1]orders!L$1,[1]products!$A$1:$G$1,0))</f>
        <v>8.9499999999999993</v>
      </c>
      <c r="T167">
        <f t="shared" si="13"/>
        <v>53.699999999999996</v>
      </c>
      <c r="U167">
        <f t="shared" si="16"/>
        <v>3.2219999999999995</v>
      </c>
      <c r="V167">
        <f t="shared" si="17"/>
        <v>6</v>
      </c>
    </row>
    <row r="168" spans="1:22" x14ac:dyDescent="0.25">
      <c r="A168" t="s">
        <v>359</v>
      </c>
      <c r="B168">
        <v>44270</v>
      </c>
      <c r="C168" t="str">
        <f t="shared" si="14"/>
        <v>15</v>
      </c>
      <c r="D168" t="str">
        <f t="shared" si="12"/>
        <v>March</v>
      </c>
      <c r="E168" t="str">
        <f t="shared" si="15"/>
        <v>2021</v>
      </c>
      <c r="F168" t="s">
        <v>360</v>
      </c>
      <c r="G168" t="str">
        <f>VLOOKUP(F168,'Customers (2)'!A:I,2,0)</f>
        <v>Sherman Mewrcik</v>
      </c>
      <c r="H168">
        <f>VLOOKUP(F168,'Customers (2)'!A:I,3,0)</f>
        <v>0</v>
      </c>
      <c r="I168" t="str">
        <f>VLOOKUP(F168,'Customers (2)'!A:I,4,0)</f>
        <v>+1 (305) 419-8626</v>
      </c>
      <c r="J168" t="str">
        <f>VLOOKUP(F168,'Customers (2)'!A:I,6,0)</f>
        <v>Clearwater</v>
      </c>
      <c r="K168" t="str">
        <f>VLOOKUP(F168,'Customers (2)'!A:I,7,0)</f>
        <v>United States</v>
      </c>
      <c r="L168" t="str">
        <f>VLOOKUP(F168,'Customers (2)'!A:I,9,0)</f>
        <v>Yes</v>
      </c>
      <c r="M168" t="str">
        <f>VLOOKUP(N168,'Products (2)'!A:G,2,0)</f>
        <v>Robusta</v>
      </c>
      <c r="N168" t="s">
        <v>146</v>
      </c>
      <c r="O168" t="str">
        <f>VLOOKUP(N168,'Products (2)'!A:G,3,0)</f>
        <v>Dark</v>
      </c>
      <c r="P168">
        <f>VLOOKUP(N168,'Products (2)'!A:G,7,0)</f>
        <v>0.32219999999999993</v>
      </c>
      <c r="Q168">
        <v>5</v>
      </c>
      <c r="R168">
        <f>INDEX([1]products!$A$1:$G$49,MATCH([1]orders!$D168,[1]products!$A$1:$A$49,0),MATCH([1]orders!K$1,[1]products!$A$1:$G$1,0))</f>
        <v>0.5</v>
      </c>
      <c r="S168">
        <f>INDEX([1]products!$A$1:$G$49,MATCH([1]orders!$D168,[1]products!$A$1:$A$49,0),MATCH([1]orders!L$1,[1]products!$A$1:$G$1,0))</f>
        <v>5.3699999999999992</v>
      </c>
      <c r="T168">
        <f t="shared" si="13"/>
        <v>26.849999999999994</v>
      </c>
      <c r="U168">
        <f t="shared" si="16"/>
        <v>1.6109999999999998</v>
      </c>
      <c r="V168">
        <f t="shared" si="17"/>
        <v>6.0000000000000009</v>
      </c>
    </row>
    <row r="169" spans="1:22" x14ac:dyDescent="0.25">
      <c r="A169" t="s">
        <v>361</v>
      </c>
      <c r="B169">
        <v>44777</v>
      </c>
      <c r="C169" t="str">
        <f t="shared" si="14"/>
        <v>04</v>
      </c>
      <c r="D169" t="str">
        <f t="shared" si="12"/>
        <v>August</v>
      </c>
      <c r="E169" t="str">
        <f t="shared" si="15"/>
        <v>2022</v>
      </c>
      <c r="F169" t="s">
        <v>362</v>
      </c>
      <c r="G169" t="str">
        <f>VLOOKUP(F169,'Customers (2)'!A:I,2,0)</f>
        <v>Tamarah Fero</v>
      </c>
      <c r="H169" t="str">
        <f>VLOOKUP(F169,'Customers (2)'!A:I,3,0)</f>
        <v>tfero4n@comsenz.com</v>
      </c>
      <c r="I169" t="str">
        <f>VLOOKUP(F169,'Customers (2)'!A:I,4,0)</f>
        <v>+1 (262) 954-6859</v>
      </c>
      <c r="J169" t="str">
        <f>VLOOKUP(F169,'Customers (2)'!A:I,6,0)</f>
        <v>Racine</v>
      </c>
      <c r="K169" t="str">
        <f>VLOOKUP(F169,'Customers (2)'!A:I,7,0)</f>
        <v>United States</v>
      </c>
      <c r="L169" t="str">
        <f>VLOOKUP(F169,'Customers (2)'!A:I,9,0)</f>
        <v>Yes</v>
      </c>
      <c r="M169" t="str">
        <f>VLOOKUP(N169,'Products (2)'!A:G,2,0)</f>
        <v>Excelsa</v>
      </c>
      <c r="N169" t="s">
        <v>3</v>
      </c>
      <c r="O169" t="str">
        <f>VLOOKUP(N169,'Products (2)'!A:G,3,0)</f>
        <v>Medium</v>
      </c>
      <c r="P169">
        <f>VLOOKUP(N169,'Products (2)'!A:G,7,0)</f>
        <v>0.90749999999999997</v>
      </c>
      <c r="Q169">
        <v>5</v>
      </c>
      <c r="R169">
        <f>INDEX([1]products!$A$1:$G$49,MATCH([1]orders!$D169,[1]products!$A$1:$A$49,0),MATCH([1]orders!K$1,[1]products!$A$1:$G$1,0))</f>
        <v>0.5</v>
      </c>
      <c r="S169">
        <f>INDEX([1]products!$A$1:$G$49,MATCH([1]orders!$D169,[1]products!$A$1:$A$49,0),MATCH([1]orders!L$1,[1]products!$A$1:$G$1,0))</f>
        <v>8.25</v>
      </c>
      <c r="T169">
        <f t="shared" si="13"/>
        <v>41.25</v>
      </c>
      <c r="U169">
        <f t="shared" si="16"/>
        <v>4.5374999999999996</v>
      </c>
      <c r="V169">
        <f t="shared" si="17"/>
        <v>10.999999999999998</v>
      </c>
    </row>
    <row r="170" spans="1:22" x14ac:dyDescent="0.25">
      <c r="A170" t="s">
        <v>363</v>
      </c>
      <c r="B170">
        <v>43484</v>
      </c>
      <c r="C170" t="str">
        <f t="shared" si="14"/>
        <v>19</v>
      </c>
      <c r="D170" t="str">
        <f t="shared" si="12"/>
        <v>January</v>
      </c>
      <c r="E170" t="str">
        <f t="shared" si="15"/>
        <v>2019</v>
      </c>
      <c r="F170" t="s">
        <v>364</v>
      </c>
      <c r="G170" t="str">
        <f>VLOOKUP(F170,'Customers (2)'!A:I,2,0)</f>
        <v>Stanislaus Valsler</v>
      </c>
      <c r="H170">
        <f>VLOOKUP(F170,'Customers (2)'!A:I,3,0)</f>
        <v>0</v>
      </c>
      <c r="I170" t="str">
        <f>VLOOKUP(F170,'Customers (2)'!A:I,4,0)</f>
        <v>+353 (479) 865-9222</v>
      </c>
      <c r="J170" t="str">
        <f>VLOOKUP(F170,'Customers (2)'!A:I,6,0)</f>
        <v>Castlebridge</v>
      </c>
      <c r="K170" t="str">
        <f>VLOOKUP(F170,'Customers (2)'!A:I,7,0)</f>
        <v>Ireland</v>
      </c>
      <c r="L170" t="str">
        <f>VLOOKUP(F170,'Customers (2)'!A:I,9,0)</f>
        <v>No</v>
      </c>
      <c r="M170" t="str">
        <f>VLOOKUP(N170,'Products (2)'!A:G,2,0)</f>
        <v>Arabica</v>
      </c>
      <c r="N170" t="s">
        <v>67</v>
      </c>
      <c r="O170" t="str">
        <f>VLOOKUP(N170,'Products (2)'!A:G,3,0)</f>
        <v>Medium</v>
      </c>
      <c r="P170">
        <f>VLOOKUP(N170,'Products (2)'!A:G,7,0)</f>
        <v>0.60749999999999993</v>
      </c>
      <c r="Q170">
        <v>6</v>
      </c>
      <c r="R170">
        <f>INDEX([1]products!$A$1:$G$49,MATCH([1]orders!$D170,[1]products!$A$1:$A$49,0),MATCH([1]orders!K$1,[1]products!$A$1:$G$1,0))</f>
        <v>0.5</v>
      </c>
      <c r="S170">
        <f>INDEX([1]products!$A$1:$G$49,MATCH([1]orders!$D170,[1]products!$A$1:$A$49,0),MATCH([1]orders!L$1,[1]products!$A$1:$G$1,0))</f>
        <v>6.75</v>
      </c>
      <c r="T170">
        <f t="shared" si="13"/>
        <v>40.5</v>
      </c>
      <c r="U170">
        <f t="shared" si="16"/>
        <v>3.6449999999999996</v>
      </c>
      <c r="V170">
        <f t="shared" si="17"/>
        <v>8.9999999999999982</v>
      </c>
    </row>
    <row r="171" spans="1:22" x14ac:dyDescent="0.25">
      <c r="A171" t="s">
        <v>365</v>
      </c>
      <c r="B171">
        <v>44643</v>
      </c>
      <c r="C171" t="str">
        <f t="shared" si="14"/>
        <v>23</v>
      </c>
      <c r="D171" t="str">
        <f t="shared" si="12"/>
        <v>March</v>
      </c>
      <c r="E171" t="str">
        <f t="shared" si="15"/>
        <v>2022</v>
      </c>
      <c r="F171" t="s">
        <v>366</v>
      </c>
      <c r="G171" t="str">
        <f>VLOOKUP(F171,'Customers (2)'!A:I,2,0)</f>
        <v>Felita Dauney</v>
      </c>
      <c r="H171" t="str">
        <f>VLOOKUP(F171,'Customers (2)'!A:I,3,0)</f>
        <v>fdauney4p@sphinn.com</v>
      </c>
      <c r="I171" t="str">
        <f>VLOOKUP(F171,'Customers (2)'!A:I,4,0)</f>
        <v>+353 (669) 355-6726</v>
      </c>
      <c r="J171" t="str">
        <f>VLOOKUP(F171,'Customers (2)'!A:I,6,0)</f>
        <v>Castlebellingham</v>
      </c>
      <c r="K171" t="str">
        <f>VLOOKUP(F171,'Customers (2)'!A:I,7,0)</f>
        <v>Ireland</v>
      </c>
      <c r="L171" t="str">
        <f>VLOOKUP(F171,'Customers (2)'!A:I,9,0)</f>
        <v>No</v>
      </c>
      <c r="M171" t="str">
        <f>VLOOKUP(N171,'Products (2)'!A:G,2,0)</f>
        <v>Robusta</v>
      </c>
      <c r="N171" t="s">
        <v>179</v>
      </c>
      <c r="O171" t="str">
        <f>VLOOKUP(N171,'Products (2)'!A:G,3,0)</f>
        <v>Dark</v>
      </c>
      <c r="P171">
        <f>VLOOKUP(N171,'Products (2)'!A:G,7,0)</f>
        <v>0.53699999999999992</v>
      </c>
      <c r="Q171">
        <v>2</v>
      </c>
      <c r="R171">
        <f>INDEX([1]products!$A$1:$G$49,MATCH([1]orders!$D171,[1]products!$A$1:$A$49,0),MATCH([1]orders!K$1,[1]products!$A$1:$G$1,0))</f>
        <v>1</v>
      </c>
      <c r="S171">
        <f>INDEX([1]products!$A$1:$G$49,MATCH([1]orders!$D171,[1]products!$A$1:$A$49,0),MATCH([1]orders!L$1,[1]products!$A$1:$G$1,0))</f>
        <v>8.9499999999999993</v>
      </c>
      <c r="T171">
        <f t="shared" si="13"/>
        <v>17.899999999999999</v>
      </c>
      <c r="U171">
        <f t="shared" si="16"/>
        <v>1.0739999999999998</v>
      </c>
      <c r="V171">
        <f t="shared" si="17"/>
        <v>6</v>
      </c>
    </row>
    <row r="172" spans="1:22" x14ac:dyDescent="0.25">
      <c r="A172" t="s">
        <v>367</v>
      </c>
      <c r="B172">
        <v>44476</v>
      </c>
      <c r="C172" t="str">
        <f t="shared" si="14"/>
        <v>07</v>
      </c>
      <c r="D172" t="str">
        <f t="shared" si="12"/>
        <v>October</v>
      </c>
      <c r="E172" t="str">
        <f t="shared" si="15"/>
        <v>2021</v>
      </c>
      <c r="F172" t="s">
        <v>368</v>
      </c>
      <c r="G172" t="str">
        <f>VLOOKUP(F172,'Customers (2)'!A:I,2,0)</f>
        <v>Serena Earley</v>
      </c>
      <c r="H172" t="str">
        <f>VLOOKUP(F172,'Customers (2)'!A:I,3,0)</f>
        <v>searley4q@youku.com</v>
      </c>
      <c r="I172">
        <f>VLOOKUP(F172,'Customers (2)'!A:I,4,0)</f>
        <v>0</v>
      </c>
      <c r="J172" t="str">
        <f>VLOOKUP(F172,'Customers (2)'!A:I,6,0)</f>
        <v>Craigavon</v>
      </c>
      <c r="K172" t="str">
        <f>VLOOKUP(F172,'Customers (2)'!A:I,7,0)</f>
        <v>United Kingdom</v>
      </c>
      <c r="L172" t="str">
        <f>VLOOKUP(F172,'Customers (2)'!A:I,9,0)</f>
        <v>No</v>
      </c>
      <c r="M172" t="str">
        <f>VLOOKUP(N172,'Products (2)'!A:G,2,0)</f>
        <v>Excelsa</v>
      </c>
      <c r="N172" t="s">
        <v>30</v>
      </c>
      <c r="O172" t="str">
        <f>VLOOKUP(N172,'Products (2)'!A:G,3,0)</f>
        <v>Light</v>
      </c>
      <c r="P172">
        <f>VLOOKUP(N172,'Products (2)'!A:G,7,0)</f>
        <v>3.7570499999999996</v>
      </c>
      <c r="Q172">
        <v>2</v>
      </c>
      <c r="R172">
        <f>INDEX([1]products!$A$1:$G$49,MATCH([1]orders!$D172,[1]products!$A$1:$A$49,0),MATCH([1]orders!K$1,[1]products!$A$1:$G$1,0))</f>
        <v>2.5</v>
      </c>
      <c r="S172">
        <f>INDEX([1]products!$A$1:$G$49,MATCH([1]orders!$D172,[1]products!$A$1:$A$49,0),MATCH([1]orders!L$1,[1]products!$A$1:$G$1,0))</f>
        <v>34.154999999999994</v>
      </c>
      <c r="T172">
        <f t="shared" si="13"/>
        <v>68.309999999999988</v>
      </c>
      <c r="U172">
        <f t="shared" si="16"/>
        <v>7.5140999999999991</v>
      </c>
      <c r="V172">
        <f t="shared" si="17"/>
        <v>11</v>
      </c>
    </row>
    <row r="173" spans="1:22" x14ac:dyDescent="0.25">
      <c r="A173" t="s">
        <v>369</v>
      </c>
      <c r="B173">
        <v>43544</v>
      </c>
      <c r="C173" t="str">
        <f t="shared" si="14"/>
        <v>20</v>
      </c>
      <c r="D173" t="str">
        <f t="shared" si="12"/>
        <v>March</v>
      </c>
      <c r="E173" t="str">
        <f t="shared" si="15"/>
        <v>2019</v>
      </c>
      <c r="F173" t="s">
        <v>370</v>
      </c>
      <c r="G173" t="str">
        <f>VLOOKUP(F173,'Customers (2)'!A:I,2,0)</f>
        <v>Minny Chamberlayne</v>
      </c>
      <c r="H173" t="str">
        <f>VLOOKUP(F173,'Customers (2)'!A:I,3,0)</f>
        <v>mchamberlayne4r@bigcartel.com</v>
      </c>
      <c r="I173" t="str">
        <f>VLOOKUP(F173,'Customers (2)'!A:I,4,0)</f>
        <v>+1 (813) 801-0026</v>
      </c>
      <c r="J173" t="str">
        <f>VLOOKUP(F173,'Customers (2)'!A:I,6,0)</f>
        <v>Tampa</v>
      </c>
      <c r="K173" t="str">
        <f>VLOOKUP(F173,'Customers (2)'!A:I,7,0)</f>
        <v>United States</v>
      </c>
      <c r="L173" t="str">
        <f>VLOOKUP(F173,'Customers (2)'!A:I,9,0)</f>
        <v>Yes</v>
      </c>
      <c r="M173" t="str">
        <f>VLOOKUP(N173,'Products (2)'!A:G,2,0)</f>
        <v>Excelsa</v>
      </c>
      <c r="N173" t="s">
        <v>112</v>
      </c>
      <c r="O173" t="str">
        <f>VLOOKUP(N173,'Products (2)'!A:G,3,0)</f>
        <v>Medium</v>
      </c>
      <c r="P173">
        <f>VLOOKUP(N173,'Products (2)'!A:G,7,0)</f>
        <v>3.4787499999999998</v>
      </c>
      <c r="Q173">
        <v>2</v>
      </c>
      <c r="R173">
        <f>INDEX([1]products!$A$1:$G$49,MATCH([1]orders!$D173,[1]products!$A$1:$A$49,0),MATCH([1]orders!K$1,[1]products!$A$1:$G$1,0))</f>
        <v>2.5</v>
      </c>
      <c r="S173">
        <f>INDEX([1]products!$A$1:$G$49,MATCH([1]orders!$D173,[1]products!$A$1:$A$49,0),MATCH([1]orders!L$1,[1]products!$A$1:$G$1,0))</f>
        <v>31.624999999999996</v>
      </c>
      <c r="T173">
        <f t="shared" si="13"/>
        <v>63.249999999999993</v>
      </c>
      <c r="U173">
        <f t="shared" si="16"/>
        <v>6.9574999999999996</v>
      </c>
      <c r="V173">
        <f t="shared" si="17"/>
        <v>11</v>
      </c>
    </row>
    <row r="174" spans="1:22" x14ac:dyDescent="0.25">
      <c r="A174" t="s">
        <v>371</v>
      </c>
      <c r="B174">
        <v>44545</v>
      </c>
      <c r="C174" t="str">
        <f t="shared" si="14"/>
        <v>15</v>
      </c>
      <c r="D174" t="str">
        <f t="shared" si="12"/>
        <v>December</v>
      </c>
      <c r="E174" t="str">
        <f t="shared" si="15"/>
        <v>2021</v>
      </c>
      <c r="F174" t="s">
        <v>372</v>
      </c>
      <c r="G174" t="str">
        <f>VLOOKUP(F174,'Customers (2)'!A:I,2,0)</f>
        <v>Bartholemy Flaherty</v>
      </c>
      <c r="H174" t="str">
        <f>VLOOKUP(F174,'Customers (2)'!A:I,3,0)</f>
        <v>bflaherty4s@moonfruit.com</v>
      </c>
      <c r="I174">
        <f>VLOOKUP(F174,'Customers (2)'!A:I,4,0)</f>
        <v>0</v>
      </c>
      <c r="J174" t="str">
        <f>VLOOKUP(F174,'Customers (2)'!A:I,6,0)</f>
        <v>Eadestown</v>
      </c>
      <c r="K174" t="str">
        <f>VLOOKUP(F174,'Customers (2)'!A:I,7,0)</f>
        <v>Ireland</v>
      </c>
      <c r="L174" t="str">
        <f>VLOOKUP(F174,'Customers (2)'!A:I,9,0)</f>
        <v>No</v>
      </c>
      <c r="M174" t="str">
        <f>VLOOKUP(N174,'Products (2)'!A:G,2,0)</f>
        <v>Excelsa</v>
      </c>
      <c r="N174" t="s">
        <v>16</v>
      </c>
      <c r="O174" t="str">
        <f>VLOOKUP(N174,'Products (2)'!A:G,3,0)</f>
        <v>Dark</v>
      </c>
      <c r="P174">
        <f>VLOOKUP(N174,'Products (2)'!A:G,7,0)</f>
        <v>0.80190000000000006</v>
      </c>
      <c r="Q174">
        <v>3</v>
      </c>
      <c r="R174">
        <f>INDEX([1]products!$A$1:$G$49,MATCH([1]orders!$D174,[1]products!$A$1:$A$49,0),MATCH([1]orders!K$1,[1]products!$A$1:$G$1,0))</f>
        <v>0.5</v>
      </c>
      <c r="S174">
        <f>INDEX([1]products!$A$1:$G$49,MATCH([1]orders!$D174,[1]products!$A$1:$A$49,0),MATCH([1]orders!L$1,[1]products!$A$1:$G$1,0))</f>
        <v>7.29</v>
      </c>
      <c r="T174">
        <f t="shared" si="13"/>
        <v>21.87</v>
      </c>
      <c r="U174">
        <f t="shared" si="16"/>
        <v>2.4057000000000004</v>
      </c>
      <c r="V174">
        <f t="shared" si="17"/>
        <v>11.000000000000002</v>
      </c>
    </row>
    <row r="175" spans="1:22" x14ac:dyDescent="0.25">
      <c r="A175" t="s">
        <v>373</v>
      </c>
      <c r="B175">
        <v>44720</v>
      </c>
      <c r="C175" t="str">
        <f t="shared" si="14"/>
        <v>08</v>
      </c>
      <c r="D175" t="str">
        <f t="shared" si="12"/>
        <v>June</v>
      </c>
      <c r="E175" t="str">
        <f t="shared" si="15"/>
        <v>2022</v>
      </c>
      <c r="F175" t="s">
        <v>374</v>
      </c>
      <c r="G175" t="str">
        <f>VLOOKUP(F175,'Customers (2)'!A:I,2,0)</f>
        <v>Oran Colbeck</v>
      </c>
      <c r="H175" t="str">
        <f>VLOOKUP(F175,'Customers (2)'!A:I,3,0)</f>
        <v>ocolbeck4t@sina.com.cn</v>
      </c>
      <c r="I175" t="str">
        <f>VLOOKUP(F175,'Customers (2)'!A:I,4,0)</f>
        <v>+1 (334) 441-4420</v>
      </c>
      <c r="J175" t="str">
        <f>VLOOKUP(F175,'Customers (2)'!A:I,6,0)</f>
        <v>Montgomery</v>
      </c>
      <c r="K175" t="str">
        <f>VLOOKUP(F175,'Customers (2)'!A:I,7,0)</f>
        <v>United States</v>
      </c>
      <c r="L175" t="str">
        <f>VLOOKUP(F175,'Customers (2)'!A:I,9,0)</f>
        <v>No</v>
      </c>
      <c r="M175" t="str">
        <f>VLOOKUP(N175,'Products (2)'!A:G,2,0)</f>
        <v>Robusta</v>
      </c>
      <c r="N175" t="s">
        <v>41</v>
      </c>
      <c r="O175" t="str">
        <f>VLOOKUP(N175,'Products (2)'!A:G,3,0)</f>
        <v>Medium</v>
      </c>
      <c r="P175">
        <f>VLOOKUP(N175,'Products (2)'!A:G,7,0)</f>
        <v>1.3730999999999998</v>
      </c>
      <c r="Q175">
        <v>4</v>
      </c>
      <c r="R175">
        <f>INDEX([1]products!$A$1:$G$49,MATCH([1]orders!$D175,[1]products!$A$1:$A$49,0),MATCH([1]orders!K$1,[1]products!$A$1:$G$1,0))</f>
        <v>2.5</v>
      </c>
      <c r="S175">
        <f>INDEX([1]products!$A$1:$G$49,MATCH([1]orders!$D175,[1]products!$A$1:$A$49,0),MATCH([1]orders!L$1,[1]products!$A$1:$G$1,0))</f>
        <v>22.884999999999998</v>
      </c>
      <c r="T175">
        <f t="shared" si="13"/>
        <v>91.539999999999992</v>
      </c>
      <c r="U175">
        <f t="shared" si="16"/>
        <v>5.4923999999999991</v>
      </c>
      <c r="V175">
        <f t="shared" si="17"/>
        <v>6</v>
      </c>
    </row>
    <row r="176" spans="1:22" x14ac:dyDescent="0.25">
      <c r="A176" t="s">
        <v>375</v>
      </c>
      <c r="B176">
        <v>43813</v>
      </c>
      <c r="C176" t="str">
        <f t="shared" si="14"/>
        <v>14</v>
      </c>
      <c r="D176" t="str">
        <f t="shared" si="12"/>
        <v>December</v>
      </c>
      <c r="E176" t="str">
        <f t="shared" si="15"/>
        <v>2019</v>
      </c>
      <c r="F176" t="s">
        <v>376</v>
      </c>
      <c r="G176" t="str">
        <f>VLOOKUP(F176,'Customers (2)'!A:I,2,0)</f>
        <v>Elysee Sketch</v>
      </c>
      <c r="H176">
        <f>VLOOKUP(F176,'Customers (2)'!A:I,3,0)</f>
        <v>0</v>
      </c>
      <c r="I176" t="str">
        <f>VLOOKUP(F176,'Customers (2)'!A:I,4,0)</f>
        <v>+1 (775) 947-1470</v>
      </c>
      <c r="J176" t="str">
        <f>VLOOKUP(F176,'Customers (2)'!A:I,6,0)</f>
        <v>Sparks</v>
      </c>
      <c r="K176" t="str">
        <f>VLOOKUP(F176,'Customers (2)'!A:I,7,0)</f>
        <v>United States</v>
      </c>
      <c r="L176" t="str">
        <f>VLOOKUP(F176,'Customers (2)'!A:I,9,0)</f>
        <v>Yes</v>
      </c>
      <c r="M176" t="str">
        <f>VLOOKUP(N176,'Products (2)'!A:G,2,0)</f>
        <v>Excelsa</v>
      </c>
      <c r="N176" t="s">
        <v>30</v>
      </c>
      <c r="O176" t="str">
        <f>VLOOKUP(N176,'Products (2)'!A:G,3,0)</f>
        <v>Light</v>
      </c>
      <c r="P176">
        <f>VLOOKUP(N176,'Products (2)'!A:G,7,0)</f>
        <v>3.7570499999999996</v>
      </c>
      <c r="Q176">
        <v>6</v>
      </c>
      <c r="R176">
        <f>INDEX([1]products!$A$1:$G$49,MATCH([1]orders!$D176,[1]products!$A$1:$A$49,0),MATCH([1]orders!K$1,[1]products!$A$1:$G$1,0))</f>
        <v>2.5</v>
      </c>
      <c r="S176">
        <f>INDEX([1]products!$A$1:$G$49,MATCH([1]orders!$D176,[1]products!$A$1:$A$49,0),MATCH([1]orders!L$1,[1]products!$A$1:$G$1,0))</f>
        <v>34.154999999999994</v>
      </c>
      <c r="T176">
        <f t="shared" si="13"/>
        <v>204.92999999999995</v>
      </c>
      <c r="U176">
        <f t="shared" si="16"/>
        <v>22.542299999999997</v>
      </c>
      <c r="V176">
        <f t="shared" si="17"/>
        <v>11.000000000000002</v>
      </c>
    </row>
    <row r="177" spans="1:22" x14ac:dyDescent="0.25">
      <c r="A177" t="s">
        <v>377</v>
      </c>
      <c r="B177">
        <v>44296</v>
      </c>
      <c r="C177" t="str">
        <f t="shared" si="14"/>
        <v>10</v>
      </c>
      <c r="D177" t="str">
        <f t="shared" si="12"/>
        <v>April</v>
      </c>
      <c r="E177" t="str">
        <f t="shared" si="15"/>
        <v>2021</v>
      </c>
      <c r="F177" t="s">
        <v>378</v>
      </c>
      <c r="G177" t="str">
        <f>VLOOKUP(F177,'Customers (2)'!A:I,2,0)</f>
        <v>Ethelda Hobbing</v>
      </c>
      <c r="H177" t="str">
        <f>VLOOKUP(F177,'Customers (2)'!A:I,3,0)</f>
        <v>ehobbing4v@nsw.gov.au</v>
      </c>
      <c r="I177" t="str">
        <f>VLOOKUP(F177,'Customers (2)'!A:I,4,0)</f>
        <v>+1 (478) 206-7670</v>
      </c>
      <c r="J177" t="str">
        <f>VLOOKUP(F177,'Customers (2)'!A:I,6,0)</f>
        <v>Macon</v>
      </c>
      <c r="K177" t="str">
        <f>VLOOKUP(F177,'Customers (2)'!A:I,7,0)</f>
        <v>United States</v>
      </c>
      <c r="L177" t="str">
        <f>VLOOKUP(F177,'Customers (2)'!A:I,9,0)</f>
        <v>Yes</v>
      </c>
      <c r="M177" t="str">
        <f>VLOOKUP(N177,'Products (2)'!A:G,2,0)</f>
        <v>Excelsa</v>
      </c>
      <c r="N177" t="s">
        <v>112</v>
      </c>
      <c r="O177" t="str">
        <f>VLOOKUP(N177,'Products (2)'!A:G,3,0)</f>
        <v>Medium</v>
      </c>
      <c r="P177">
        <f>VLOOKUP(N177,'Products (2)'!A:G,7,0)</f>
        <v>3.4787499999999998</v>
      </c>
      <c r="Q177">
        <v>2</v>
      </c>
      <c r="R177">
        <f>INDEX([1]products!$A$1:$G$49,MATCH([1]orders!$D177,[1]products!$A$1:$A$49,0),MATCH([1]orders!K$1,[1]products!$A$1:$G$1,0))</f>
        <v>2.5</v>
      </c>
      <c r="S177">
        <f>INDEX([1]products!$A$1:$G$49,MATCH([1]orders!$D177,[1]products!$A$1:$A$49,0),MATCH([1]orders!L$1,[1]products!$A$1:$G$1,0))</f>
        <v>31.624999999999996</v>
      </c>
      <c r="T177">
        <f t="shared" si="13"/>
        <v>63.249999999999993</v>
      </c>
      <c r="U177">
        <f t="shared" si="16"/>
        <v>6.9574999999999996</v>
      </c>
      <c r="V177">
        <f t="shared" si="17"/>
        <v>11</v>
      </c>
    </row>
    <row r="178" spans="1:22" x14ac:dyDescent="0.25">
      <c r="A178" t="s">
        <v>379</v>
      </c>
      <c r="B178">
        <v>43900</v>
      </c>
      <c r="C178" t="str">
        <f t="shared" si="14"/>
        <v>10</v>
      </c>
      <c r="D178" t="str">
        <f t="shared" si="12"/>
        <v>March</v>
      </c>
      <c r="E178" t="str">
        <f t="shared" si="15"/>
        <v>2020</v>
      </c>
      <c r="F178" t="s">
        <v>380</v>
      </c>
      <c r="G178" t="str">
        <f>VLOOKUP(F178,'Customers (2)'!A:I,2,0)</f>
        <v>Odille Thynne</v>
      </c>
      <c r="H178" t="str">
        <f>VLOOKUP(F178,'Customers (2)'!A:I,3,0)</f>
        <v>othynne4w@auda.org.au</v>
      </c>
      <c r="I178" t="str">
        <f>VLOOKUP(F178,'Customers (2)'!A:I,4,0)</f>
        <v>+1 (562) 132-7323</v>
      </c>
      <c r="J178" t="str">
        <f>VLOOKUP(F178,'Customers (2)'!A:I,6,0)</f>
        <v>Whittier</v>
      </c>
      <c r="K178" t="str">
        <f>VLOOKUP(F178,'Customers (2)'!A:I,7,0)</f>
        <v>United States</v>
      </c>
      <c r="L178" t="str">
        <f>VLOOKUP(F178,'Customers (2)'!A:I,9,0)</f>
        <v>Yes</v>
      </c>
      <c r="M178" t="str">
        <f>VLOOKUP(N178,'Products (2)'!A:G,2,0)</f>
        <v>Excelsa</v>
      </c>
      <c r="N178" t="s">
        <v>30</v>
      </c>
      <c r="O178" t="str">
        <f>VLOOKUP(N178,'Products (2)'!A:G,3,0)</f>
        <v>Light</v>
      </c>
      <c r="P178">
        <f>VLOOKUP(N178,'Products (2)'!A:G,7,0)</f>
        <v>3.7570499999999996</v>
      </c>
      <c r="Q178">
        <v>1</v>
      </c>
      <c r="R178">
        <f>INDEX([1]products!$A$1:$G$49,MATCH([1]orders!$D178,[1]products!$A$1:$A$49,0),MATCH([1]orders!K$1,[1]products!$A$1:$G$1,0))</f>
        <v>2.5</v>
      </c>
      <c r="S178">
        <f>INDEX([1]products!$A$1:$G$49,MATCH([1]orders!$D178,[1]products!$A$1:$A$49,0),MATCH([1]orders!L$1,[1]products!$A$1:$G$1,0))</f>
        <v>34.154999999999994</v>
      </c>
      <c r="T178">
        <f t="shared" si="13"/>
        <v>34.154999999999994</v>
      </c>
      <c r="U178">
        <f t="shared" si="16"/>
        <v>3.7570499999999996</v>
      </c>
      <c r="V178">
        <f t="shared" si="17"/>
        <v>11</v>
      </c>
    </row>
    <row r="179" spans="1:22" x14ac:dyDescent="0.25">
      <c r="A179" t="s">
        <v>381</v>
      </c>
      <c r="B179">
        <v>44120</v>
      </c>
      <c r="C179" t="str">
        <f t="shared" si="14"/>
        <v>16</v>
      </c>
      <c r="D179" t="str">
        <f t="shared" si="12"/>
        <v>October</v>
      </c>
      <c r="E179" t="str">
        <f t="shared" si="15"/>
        <v>2020</v>
      </c>
      <c r="F179" t="s">
        <v>382</v>
      </c>
      <c r="G179" t="str">
        <f>VLOOKUP(F179,'Customers (2)'!A:I,2,0)</f>
        <v>Emlynne Heining</v>
      </c>
      <c r="H179" t="str">
        <f>VLOOKUP(F179,'Customers (2)'!A:I,3,0)</f>
        <v>eheining4x@flickr.com</v>
      </c>
      <c r="I179">
        <f>VLOOKUP(F179,'Customers (2)'!A:I,4,0)</f>
        <v>0</v>
      </c>
      <c r="J179" t="str">
        <f>VLOOKUP(F179,'Customers (2)'!A:I,6,0)</f>
        <v>Johnson City</v>
      </c>
      <c r="K179" t="str">
        <f>VLOOKUP(F179,'Customers (2)'!A:I,7,0)</f>
        <v>United States</v>
      </c>
      <c r="L179" t="str">
        <f>VLOOKUP(F179,'Customers (2)'!A:I,9,0)</f>
        <v>Yes</v>
      </c>
      <c r="M179" t="str">
        <f>VLOOKUP(N179,'Products (2)'!A:G,2,0)</f>
        <v>Robusta</v>
      </c>
      <c r="N179" t="s">
        <v>10</v>
      </c>
      <c r="O179" t="str">
        <f>VLOOKUP(N179,'Products (2)'!A:G,3,0)</f>
        <v>Light</v>
      </c>
      <c r="P179">
        <f>VLOOKUP(N179,'Products (2)'!A:G,7,0)</f>
        <v>1.6490999999999998</v>
      </c>
      <c r="Q179">
        <v>4</v>
      </c>
      <c r="R179">
        <f>INDEX([1]products!$A$1:$G$49,MATCH([1]orders!$D179,[1]products!$A$1:$A$49,0),MATCH([1]orders!K$1,[1]products!$A$1:$G$1,0))</f>
        <v>2.5</v>
      </c>
      <c r="S179">
        <f>INDEX([1]products!$A$1:$G$49,MATCH([1]orders!$D179,[1]products!$A$1:$A$49,0),MATCH([1]orders!L$1,[1]products!$A$1:$G$1,0))</f>
        <v>27.484999999999996</v>
      </c>
      <c r="T179">
        <f t="shared" si="13"/>
        <v>109.93999999999998</v>
      </c>
      <c r="U179">
        <f t="shared" si="16"/>
        <v>6.5963999999999992</v>
      </c>
      <c r="V179">
        <f t="shared" si="17"/>
        <v>6.0000000000000009</v>
      </c>
    </row>
    <row r="180" spans="1:22" x14ac:dyDescent="0.25">
      <c r="A180" t="s">
        <v>383</v>
      </c>
      <c r="B180">
        <v>43746</v>
      </c>
      <c r="C180" t="str">
        <f t="shared" si="14"/>
        <v>08</v>
      </c>
      <c r="D180" t="str">
        <f t="shared" si="12"/>
        <v>October</v>
      </c>
      <c r="E180" t="str">
        <f t="shared" si="15"/>
        <v>2019</v>
      </c>
      <c r="F180" t="s">
        <v>384</v>
      </c>
      <c r="G180" t="str">
        <f>VLOOKUP(F180,'Customers (2)'!A:I,2,0)</f>
        <v>Katerina Melloi</v>
      </c>
      <c r="H180" t="str">
        <f>VLOOKUP(F180,'Customers (2)'!A:I,3,0)</f>
        <v>kmelloi4y@imdb.com</v>
      </c>
      <c r="I180" t="str">
        <f>VLOOKUP(F180,'Customers (2)'!A:I,4,0)</f>
        <v>+1 (315) 525-0805</v>
      </c>
      <c r="J180" t="str">
        <f>VLOOKUP(F180,'Customers (2)'!A:I,6,0)</f>
        <v>Rochester</v>
      </c>
      <c r="K180" t="str">
        <f>VLOOKUP(F180,'Customers (2)'!A:I,7,0)</f>
        <v>United States</v>
      </c>
      <c r="L180" t="str">
        <f>VLOOKUP(F180,'Customers (2)'!A:I,9,0)</f>
        <v>No</v>
      </c>
      <c r="M180" t="str">
        <f>VLOOKUP(N180,'Products (2)'!A:G,2,0)</f>
        <v>Arabica</v>
      </c>
      <c r="N180" t="s">
        <v>6</v>
      </c>
      <c r="O180" t="str">
        <f>VLOOKUP(N180,'Products (2)'!A:G,3,0)</f>
        <v>Light</v>
      </c>
      <c r="P180">
        <f>VLOOKUP(N180,'Products (2)'!A:G,7,0)</f>
        <v>1.1655</v>
      </c>
      <c r="Q180">
        <v>2</v>
      </c>
      <c r="R180">
        <f>INDEX([1]products!$A$1:$G$49,MATCH([1]orders!$D180,[1]products!$A$1:$A$49,0),MATCH([1]orders!K$1,[1]products!$A$1:$G$1,0))</f>
        <v>1</v>
      </c>
      <c r="S180">
        <f>INDEX([1]products!$A$1:$G$49,MATCH([1]orders!$D180,[1]products!$A$1:$A$49,0),MATCH([1]orders!L$1,[1]products!$A$1:$G$1,0))</f>
        <v>12.95</v>
      </c>
      <c r="T180">
        <f t="shared" si="13"/>
        <v>25.9</v>
      </c>
      <c r="U180">
        <f t="shared" si="16"/>
        <v>2.331</v>
      </c>
      <c r="V180">
        <f t="shared" si="17"/>
        <v>9</v>
      </c>
    </row>
    <row r="181" spans="1:22" x14ac:dyDescent="0.25">
      <c r="A181" t="s">
        <v>385</v>
      </c>
      <c r="B181">
        <v>43830</v>
      </c>
      <c r="C181" t="str">
        <f t="shared" si="14"/>
        <v>31</v>
      </c>
      <c r="D181" t="str">
        <f t="shared" si="12"/>
        <v>December</v>
      </c>
      <c r="E181" t="str">
        <f t="shared" si="15"/>
        <v>2019</v>
      </c>
      <c r="F181" t="s">
        <v>386</v>
      </c>
      <c r="G181" t="str">
        <f>VLOOKUP(F181,'Customers (2)'!A:I,2,0)</f>
        <v>Tiffany Scardafield</v>
      </c>
      <c r="H181">
        <f>VLOOKUP(F181,'Customers (2)'!A:I,3,0)</f>
        <v>0</v>
      </c>
      <c r="I181" t="str">
        <f>VLOOKUP(F181,'Customers (2)'!A:I,4,0)</f>
        <v>+353 (232) 652-5145</v>
      </c>
      <c r="J181" t="str">
        <f>VLOOKUP(F181,'Customers (2)'!A:I,6,0)</f>
        <v>Portarlington</v>
      </c>
      <c r="K181" t="str">
        <f>VLOOKUP(F181,'Customers (2)'!A:I,7,0)</f>
        <v>Ireland</v>
      </c>
      <c r="L181" t="str">
        <f>VLOOKUP(F181,'Customers (2)'!A:I,9,0)</f>
        <v>No</v>
      </c>
      <c r="M181" t="str">
        <f>VLOOKUP(N181,'Products (2)'!A:G,2,0)</f>
        <v>Arabica</v>
      </c>
      <c r="N181" t="s">
        <v>54</v>
      </c>
      <c r="O181" t="str">
        <f>VLOOKUP(N181,'Products (2)'!A:G,3,0)</f>
        <v>Dark</v>
      </c>
      <c r="P181">
        <f>VLOOKUP(N181,'Products (2)'!A:G,7,0)</f>
        <v>0.26865</v>
      </c>
      <c r="Q181">
        <v>1</v>
      </c>
      <c r="R181">
        <f>INDEX([1]products!$A$1:$G$49,MATCH([1]orders!$D181,[1]products!$A$1:$A$49,0),MATCH([1]orders!K$1,[1]products!$A$1:$G$1,0))</f>
        <v>0.2</v>
      </c>
      <c r="S181">
        <f>INDEX([1]products!$A$1:$G$49,MATCH([1]orders!$D181,[1]products!$A$1:$A$49,0),MATCH([1]orders!L$1,[1]products!$A$1:$G$1,0))</f>
        <v>2.9849999999999999</v>
      </c>
      <c r="T181">
        <f t="shared" si="13"/>
        <v>2.9849999999999999</v>
      </c>
      <c r="U181">
        <f t="shared" si="16"/>
        <v>0.26865</v>
      </c>
      <c r="V181">
        <f t="shared" si="17"/>
        <v>9.0000000000000018</v>
      </c>
    </row>
    <row r="182" spans="1:22" x14ac:dyDescent="0.25">
      <c r="A182" t="s">
        <v>387</v>
      </c>
      <c r="B182">
        <v>43910</v>
      </c>
      <c r="C182" t="str">
        <f t="shared" si="14"/>
        <v>20</v>
      </c>
      <c r="D182" t="str">
        <f t="shared" si="12"/>
        <v>March</v>
      </c>
      <c r="E182" t="str">
        <f t="shared" si="15"/>
        <v>2020</v>
      </c>
      <c r="F182" t="s">
        <v>388</v>
      </c>
      <c r="G182" t="str">
        <f>VLOOKUP(F182,'Customers (2)'!A:I,2,0)</f>
        <v>Abrahan Mussen</v>
      </c>
      <c r="H182" t="str">
        <f>VLOOKUP(F182,'Customers (2)'!A:I,3,0)</f>
        <v>amussen50@51.la</v>
      </c>
      <c r="I182" t="str">
        <f>VLOOKUP(F182,'Customers (2)'!A:I,4,0)</f>
        <v>+1 (212) 630-8669</v>
      </c>
      <c r="J182" t="str">
        <f>VLOOKUP(F182,'Customers (2)'!A:I,6,0)</f>
        <v>Brooklyn</v>
      </c>
      <c r="K182" t="str">
        <f>VLOOKUP(F182,'Customers (2)'!A:I,7,0)</f>
        <v>United States</v>
      </c>
      <c r="L182" t="str">
        <f>VLOOKUP(F182,'Customers (2)'!A:I,9,0)</f>
        <v>No</v>
      </c>
      <c r="M182" t="str">
        <f>VLOOKUP(N182,'Products (2)'!A:G,2,0)</f>
        <v>Excelsa</v>
      </c>
      <c r="N182" t="s">
        <v>254</v>
      </c>
      <c r="O182" t="str">
        <f>VLOOKUP(N182,'Products (2)'!A:G,3,0)</f>
        <v>Light</v>
      </c>
      <c r="P182">
        <f>VLOOKUP(N182,'Products (2)'!A:G,7,0)</f>
        <v>0.49004999999999999</v>
      </c>
      <c r="Q182">
        <v>5</v>
      </c>
      <c r="R182">
        <f>INDEX([1]products!$A$1:$G$49,MATCH([1]orders!$D182,[1]products!$A$1:$A$49,0),MATCH([1]orders!K$1,[1]products!$A$1:$G$1,0))</f>
        <v>0.2</v>
      </c>
      <c r="S182">
        <f>INDEX([1]products!$A$1:$G$49,MATCH([1]orders!$D182,[1]products!$A$1:$A$49,0),MATCH([1]orders!L$1,[1]products!$A$1:$G$1,0))</f>
        <v>4.4550000000000001</v>
      </c>
      <c r="T182">
        <f t="shared" si="13"/>
        <v>22.274999999999999</v>
      </c>
      <c r="U182">
        <f t="shared" si="16"/>
        <v>2.45025</v>
      </c>
      <c r="V182">
        <f t="shared" si="17"/>
        <v>11.000000000000002</v>
      </c>
    </row>
    <row r="183" spans="1:22" x14ac:dyDescent="0.25">
      <c r="A183" t="s">
        <v>387</v>
      </c>
      <c r="B183">
        <v>43910</v>
      </c>
      <c r="C183" t="str">
        <f t="shared" si="14"/>
        <v>20</v>
      </c>
      <c r="D183" t="str">
        <f t="shared" si="12"/>
        <v>March</v>
      </c>
      <c r="E183" t="str">
        <f t="shared" si="15"/>
        <v>2020</v>
      </c>
      <c r="F183" t="s">
        <v>388</v>
      </c>
      <c r="G183" t="str">
        <f>VLOOKUP(F183,'Customers (2)'!A:I,2,0)</f>
        <v>Abrahan Mussen</v>
      </c>
      <c r="H183" t="str">
        <f>VLOOKUP(F183,'Customers (2)'!A:I,3,0)</f>
        <v>amussen50@51.la</v>
      </c>
      <c r="I183" t="str">
        <f>VLOOKUP(F183,'Customers (2)'!A:I,4,0)</f>
        <v>+1 (212) 630-8669</v>
      </c>
      <c r="J183" t="str">
        <f>VLOOKUP(F183,'Customers (2)'!A:I,6,0)</f>
        <v>Brooklyn</v>
      </c>
      <c r="K183" t="str">
        <f>VLOOKUP(F183,'Customers (2)'!A:I,7,0)</f>
        <v>United States</v>
      </c>
      <c r="L183" t="str">
        <f>VLOOKUP(F183,'Customers (2)'!A:I,9,0)</f>
        <v>No</v>
      </c>
      <c r="M183" t="str">
        <f>VLOOKUP(N183,'Products (2)'!A:G,2,0)</f>
        <v>Arabica</v>
      </c>
      <c r="N183" t="s">
        <v>72</v>
      </c>
      <c r="O183" t="str">
        <f>VLOOKUP(N183,'Products (2)'!A:G,3,0)</f>
        <v>Dark</v>
      </c>
      <c r="P183">
        <f>VLOOKUP(N183,'Products (2)'!A:G,7,0)</f>
        <v>0.5373</v>
      </c>
      <c r="Q183">
        <v>5</v>
      </c>
      <c r="R183">
        <f>INDEX([1]products!$A$1:$G$49,MATCH([1]orders!$D183,[1]products!$A$1:$A$49,0),MATCH([1]orders!K$1,[1]products!$A$1:$G$1,0))</f>
        <v>0.5</v>
      </c>
      <c r="S183">
        <f>INDEX([1]products!$A$1:$G$49,MATCH([1]orders!$D183,[1]products!$A$1:$A$49,0),MATCH([1]orders!L$1,[1]products!$A$1:$G$1,0))</f>
        <v>5.97</v>
      </c>
      <c r="T183">
        <f t="shared" si="13"/>
        <v>29.849999999999998</v>
      </c>
      <c r="U183">
        <f t="shared" si="16"/>
        <v>2.6865000000000001</v>
      </c>
      <c r="V183">
        <f t="shared" si="17"/>
        <v>9.0000000000000018</v>
      </c>
    </row>
    <row r="184" spans="1:22" x14ac:dyDescent="0.25">
      <c r="A184" t="s">
        <v>389</v>
      </c>
      <c r="B184">
        <v>44284</v>
      </c>
      <c r="C184" t="str">
        <f t="shared" si="14"/>
        <v>29</v>
      </c>
      <c r="D184" t="str">
        <f t="shared" si="12"/>
        <v>March</v>
      </c>
      <c r="E184" t="str">
        <f t="shared" si="15"/>
        <v>2021</v>
      </c>
      <c r="F184" t="s">
        <v>390</v>
      </c>
      <c r="G184" t="str">
        <f>VLOOKUP(F184,'Customers (2)'!A:I,2,0)</f>
        <v>Anny Mundford</v>
      </c>
      <c r="H184" t="str">
        <f>VLOOKUP(F184,'Customers (2)'!A:I,3,0)</f>
        <v>amundford52@nbcnews.com</v>
      </c>
      <c r="I184" t="str">
        <f>VLOOKUP(F184,'Customers (2)'!A:I,4,0)</f>
        <v>+1 (434) 738-7279</v>
      </c>
      <c r="J184" t="str">
        <f>VLOOKUP(F184,'Customers (2)'!A:I,6,0)</f>
        <v>Charlottesville</v>
      </c>
      <c r="K184" t="str">
        <f>VLOOKUP(F184,'Customers (2)'!A:I,7,0)</f>
        <v>United States</v>
      </c>
      <c r="L184" t="str">
        <f>VLOOKUP(F184,'Customers (2)'!A:I,9,0)</f>
        <v>No</v>
      </c>
      <c r="M184" t="str">
        <f>VLOOKUP(N184,'Products (2)'!A:G,2,0)</f>
        <v>Robusta</v>
      </c>
      <c r="N184" t="s">
        <v>146</v>
      </c>
      <c r="O184" t="str">
        <f>VLOOKUP(N184,'Products (2)'!A:G,3,0)</f>
        <v>Dark</v>
      </c>
      <c r="P184">
        <f>VLOOKUP(N184,'Products (2)'!A:G,7,0)</f>
        <v>0.32219999999999993</v>
      </c>
      <c r="Q184">
        <v>6</v>
      </c>
      <c r="R184">
        <f>INDEX([1]products!$A$1:$G$49,MATCH([1]orders!$D184,[1]products!$A$1:$A$49,0),MATCH([1]orders!K$1,[1]products!$A$1:$G$1,0))</f>
        <v>0.5</v>
      </c>
      <c r="S184">
        <f>INDEX([1]products!$A$1:$G$49,MATCH([1]orders!$D184,[1]products!$A$1:$A$49,0),MATCH([1]orders!L$1,[1]products!$A$1:$G$1,0))</f>
        <v>5.3699999999999992</v>
      </c>
      <c r="T184">
        <f t="shared" si="13"/>
        <v>32.22</v>
      </c>
      <c r="U184">
        <f t="shared" si="16"/>
        <v>1.9331999999999996</v>
      </c>
      <c r="V184">
        <f t="shared" si="17"/>
        <v>5.9999999999999991</v>
      </c>
    </row>
    <row r="185" spans="1:22" x14ac:dyDescent="0.25">
      <c r="A185" t="s">
        <v>391</v>
      </c>
      <c r="B185">
        <v>44512</v>
      </c>
      <c r="C185" t="str">
        <f t="shared" si="14"/>
        <v>12</v>
      </c>
      <c r="D185" t="str">
        <f t="shared" si="12"/>
        <v>November</v>
      </c>
      <c r="E185" t="str">
        <f t="shared" si="15"/>
        <v>2021</v>
      </c>
      <c r="F185" t="s">
        <v>392</v>
      </c>
      <c r="G185" t="str">
        <f>VLOOKUP(F185,'Customers (2)'!A:I,2,0)</f>
        <v>Tory Walas</v>
      </c>
      <c r="H185" t="str">
        <f>VLOOKUP(F185,'Customers (2)'!A:I,3,0)</f>
        <v>twalas53@google.ca</v>
      </c>
      <c r="I185" t="str">
        <f>VLOOKUP(F185,'Customers (2)'!A:I,4,0)</f>
        <v>+1 (214) 205-7809</v>
      </c>
      <c r="J185" t="str">
        <f>VLOOKUP(F185,'Customers (2)'!A:I,6,0)</f>
        <v>Garland</v>
      </c>
      <c r="K185" t="str">
        <f>VLOOKUP(F185,'Customers (2)'!A:I,7,0)</f>
        <v>United States</v>
      </c>
      <c r="L185" t="str">
        <f>VLOOKUP(F185,'Customers (2)'!A:I,9,0)</f>
        <v>No</v>
      </c>
      <c r="M185" t="str">
        <f>VLOOKUP(N185,'Products (2)'!A:G,2,0)</f>
        <v>Excelsa</v>
      </c>
      <c r="N185" t="s">
        <v>64</v>
      </c>
      <c r="O185" t="str">
        <f>VLOOKUP(N185,'Products (2)'!A:G,3,0)</f>
        <v>Medium</v>
      </c>
      <c r="P185">
        <f>VLOOKUP(N185,'Products (2)'!A:G,7,0)</f>
        <v>0.45374999999999999</v>
      </c>
      <c r="Q185">
        <v>2</v>
      </c>
      <c r="R185">
        <f>INDEX([1]products!$A$1:$G$49,MATCH([1]orders!$D185,[1]products!$A$1:$A$49,0),MATCH([1]orders!K$1,[1]products!$A$1:$G$1,0))</f>
        <v>0.2</v>
      </c>
      <c r="S185">
        <f>INDEX([1]products!$A$1:$G$49,MATCH([1]orders!$D185,[1]products!$A$1:$A$49,0),MATCH([1]orders!L$1,[1]products!$A$1:$G$1,0))</f>
        <v>4.125</v>
      </c>
      <c r="T185">
        <f t="shared" si="13"/>
        <v>8.25</v>
      </c>
      <c r="U185">
        <f t="shared" si="16"/>
        <v>0.90749999999999997</v>
      </c>
      <c r="V185">
        <f t="shared" si="17"/>
        <v>11</v>
      </c>
    </row>
    <row r="186" spans="1:22" x14ac:dyDescent="0.25">
      <c r="A186" t="s">
        <v>393</v>
      </c>
      <c r="B186">
        <v>44397</v>
      </c>
      <c r="C186" t="str">
        <f t="shared" si="14"/>
        <v>20</v>
      </c>
      <c r="D186" t="str">
        <f t="shared" si="12"/>
        <v>July</v>
      </c>
      <c r="E186" t="str">
        <f t="shared" si="15"/>
        <v>2021</v>
      </c>
      <c r="F186" t="s">
        <v>394</v>
      </c>
      <c r="G186" t="str">
        <f>VLOOKUP(F186,'Customers (2)'!A:I,2,0)</f>
        <v>Isa Blazewicz</v>
      </c>
      <c r="H186" t="str">
        <f>VLOOKUP(F186,'Customers (2)'!A:I,3,0)</f>
        <v>iblazewicz54@thetimes.co.uk</v>
      </c>
      <c r="I186" t="str">
        <f>VLOOKUP(F186,'Customers (2)'!A:I,4,0)</f>
        <v>+1 (612) 683-3450</v>
      </c>
      <c r="J186" t="str">
        <f>VLOOKUP(F186,'Customers (2)'!A:I,6,0)</f>
        <v>Minneapolis</v>
      </c>
      <c r="K186" t="str">
        <f>VLOOKUP(F186,'Customers (2)'!A:I,7,0)</f>
        <v>United States</v>
      </c>
      <c r="L186" t="str">
        <f>VLOOKUP(F186,'Customers (2)'!A:I,9,0)</f>
        <v>No</v>
      </c>
      <c r="M186" t="str">
        <f>VLOOKUP(N186,'Products (2)'!A:G,2,0)</f>
        <v>Arabica</v>
      </c>
      <c r="N186" t="s">
        <v>192</v>
      </c>
      <c r="O186" t="str">
        <f>VLOOKUP(N186,'Products (2)'!A:G,3,0)</f>
        <v>Light</v>
      </c>
      <c r="P186">
        <f>VLOOKUP(N186,'Products (2)'!A:G,7,0)</f>
        <v>0.69929999999999992</v>
      </c>
      <c r="Q186">
        <v>4</v>
      </c>
      <c r="R186">
        <f>INDEX([1]products!$A$1:$G$49,MATCH([1]orders!$D186,[1]products!$A$1:$A$49,0),MATCH([1]orders!K$1,[1]products!$A$1:$G$1,0))</f>
        <v>0.5</v>
      </c>
      <c r="S186">
        <f>INDEX([1]products!$A$1:$G$49,MATCH([1]orders!$D186,[1]products!$A$1:$A$49,0),MATCH([1]orders!L$1,[1]products!$A$1:$G$1,0))</f>
        <v>7.77</v>
      </c>
      <c r="T186">
        <f t="shared" si="13"/>
        <v>31.08</v>
      </c>
      <c r="U186">
        <f t="shared" si="16"/>
        <v>2.7971999999999997</v>
      </c>
      <c r="V186">
        <f t="shared" si="17"/>
        <v>9</v>
      </c>
    </row>
    <row r="187" spans="1:22" x14ac:dyDescent="0.25">
      <c r="A187" t="s">
        <v>395</v>
      </c>
      <c r="B187">
        <v>43483</v>
      </c>
      <c r="C187" t="str">
        <f t="shared" si="14"/>
        <v>18</v>
      </c>
      <c r="D187" t="str">
        <f t="shared" si="12"/>
        <v>January</v>
      </c>
      <c r="E187" t="str">
        <f t="shared" si="15"/>
        <v>2019</v>
      </c>
      <c r="F187" t="s">
        <v>396</v>
      </c>
      <c r="G187" t="str">
        <f>VLOOKUP(F187,'Customers (2)'!A:I,2,0)</f>
        <v>Angie Rizzetti</v>
      </c>
      <c r="H187" t="str">
        <f>VLOOKUP(F187,'Customers (2)'!A:I,3,0)</f>
        <v>arizzetti55@naver.com</v>
      </c>
      <c r="I187" t="str">
        <f>VLOOKUP(F187,'Customers (2)'!A:I,4,0)</f>
        <v>+1 (517) 237-7606</v>
      </c>
      <c r="J187" t="str">
        <f>VLOOKUP(F187,'Customers (2)'!A:I,6,0)</f>
        <v>Lansing</v>
      </c>
      <c r="K187" t="str">
        <f>VLOOKUP(F187,'Customers (2)'!A:I,7,0)</f>
        <v>United States</v>
      </c>
      <c r="L187" t="str">
        <f>VLOOKUP(F187,'Customers (2)'!A:I,9,0)</f>
        <v>Yes</v>
      </c>
      <c r="M187" t="str">
        <f>VLOOKUP(N187,'Products (2)'!A:G,2,0)</f>
        <v>Excelsa</v>
      </c>
      <c r="N187" t="s">
        <v>16</v>
      </c>
      <c r="O187" t="str">
        <f>VLOOKUP(N187,'Products (2)'!A:G,3,0)</f>
        <v>Dark</v>
      </c>
      <c r="P187">
        <f>VLOOKUP(N187,'Products (2)'!A:G,7,0)</f>
        <v>0.80190000000000006</v>
      </c>
      <c r="Q187">
        <v>5</v>
      </c>
      <c r="R187">
        <f>INDEX([1]products!$A$1:$G$49,MATCH([1]orders!$D187,[1]products!$A$1:$A$49,0),MATCH([1]orders!K$1,[1]products!$A$1:$G$1,0))</f>
        <v>0.5</v>
      </c>
      <c r="S187">
        <f>INDEX([1]products!$A$1:$G$49,MATCH([1]orders!$D187,[1]products!$A$1:$A$49,0),MATCH([1]orders!L$1,[1]products!$A$1:$G$1,0))</f>
        <v>7.29</v>
      </c>
      <c r="T187">
        <f t="shared" si="13"/>
        <v>36.450000000000003</v>
      </c>
      <c r="U187">
        <f t="shared" si="16"/>
        <v>4.0095000000000001</v>
      </c>
      <c r="V187">
        <f t="shared" si="17"/>
        <v>10.999999999999998</v>
      </c>
    </row>
    <row r="188" spans="1:22" x14ac:dyDescent="0.25">
      <c r="A188" t="s">
        <v>397</v>
      </c>
      <c r="B188">
        <v>43684</v>
      </c>
      <c r="C188" t="str">
        <f t="shared" si="14"/>
        <v>07</v>
      </c>
      <c r="D188" t="str">
        <f t="shared" si="12"/>
        <v>August</v>
      </c>
      <c r="E188" t="str">
        <f t="shared" si="15"/>
        <v>2019</v>
      </c>
      <c r="F188" t="s">
        <v>398</v>
      </c>
      <c r="G188" t="str">
        <f>VLOOKUP(F188,'Customers (2)'!A:I,2,0)</f>
        <v>Mord Meriet</v>
      </c>
      <c r="H188" t="str">
        <f>VLOOKUP(F188,'Customers (2)'!A:I,3,0)</f>
        <v>mmeriet56@noaa.gov</v>
      </c>
      <c r="I188" t="str">
        <f>VLOOKUP(F188,'Customers (2)'!A:I,4,0)</f>
        <v>+1 (701) 560-2604</v>
      </c>
      <c r="J188" t="str">
        <f>VLOOKUP(F188,'Customers (2)'!A:I,6,0)</f>
        <v>Grand Forks</v>
      </c>
      <c r="K188" t="str">
        <f>VLOOKUP(F188,'Customers (2)'!A:I,7,0)</f>
        <v>United States</v>
      </c>
      <c r="L188" t="str">
        <f>VLOOKUP(F188,'Customers (2)'!A:I,9,0)</f>
        <v>No</v>
      </c>
      <c r="M188" t="str">
        <f>VLOOKUP(N188,'Products (2)'!A:G,2,0)</f>
        <v>Robusta</v>
      </c>
      <c r="N188" t="s">
        <v>41</v>
      </c>
      <c r="O188" t="str">
        <f>VLOOKUP(N188,'Products (2)'!A:G,3,0)</f>
        <v>Medium</v>
      </c>
      <c r="P188">
        <f>VLOOKUP(N188,'Products (2)'!A:G,7,0)</f>
        <v>1.3730999999999998</v>
      </c>
      <c r="Q188">
        <v>3</v>
      </c>
      <c r="R188">
        <f>INDEX([1]products!$A$1:$G$49,MATCH([1]orders!$D188,[1]products!$A$1:$A$49,0),MATCH([1]orders!K$1,[1]products!$A$1:$G$1,0))</f>
        <v>2.5</v>
      </c>
      <c r="S188">
        <f>INDEX([1]products!$A$1:$G$49,MATCH([1]orders!$D188,[1]products!$A$1:$A$49,0),MATCH([1]orders!L$1,[1]products!$A$1:$G$1,0))</f>
        <v>22.884999999999998</v>
      </c>
      <c r="T188">
        <f t="shared" si="13"/>
        <v>68.655000000000001</v>
      </c>
      <c r="U188">
        <f t="shared" si="16"/>
        <v>4.1192999999999991</v>
      </c>
      <c r="V188">
        <f t="shared" si="17"/>
        <v>5.9999999999999982</v>
      </c>
    </row>
    <row r="189" spans="1:22" x14ac:dyDescent="0.25">
      <c r="A189" t="s">
        <v>399</v>
      </c>
      <c r="B189">
        <v>44633</v>
      </c>
      <c r="C189" t="str">
        <f t="shared" si="14"/>
        <v>13</v>
      </c>
      <c r="D189" t="str">
        <f t="shared" si="12"/>
        <v>March</v>
      </c>
      <c r="E189" t="str">
        <f t="shared" si="15"/>
        <v>2022</v>
      </c>
      <c r="F189" t="s">
        <v>400</v>
      </c>
      <c r="G189" t="str">
        <f>VLOOKUP(F189,'Customers (2)'!A:I,2,0)</f>
        <v>Lawrence Pratt</v>
      </c>
      <c r="H189" t="str">
        <f>VLOOKUP(F189,'Customers (2)'!A:I,3,0)</f>
        <v>lpratt57@netvibes.com</v>
      </c>
      <c r="I189">
        <f>VLOOKUP(F189,'Customers (2)'!A:I,4,0)</f>
        <v>0</v>
      </c>
      <c r="J189" t="str">
        <f>VLOOKUP(F189,'Customers (2)'!A:I,6,0)</f>
        <v>Anchorage</v>
      </c>
      <c r="K189" t="str">
        <f>VLOOKUP(F189,'Customers (2)'!A:I,7,0)</f>
        <v>United States</v>
      </c>
      <c r="L189" t="str">
        <f>VLOOKUP(F189,'Customers (2)'!A:I,9,0)</f>
        <v>Yes</v>
      </c>
      <c r="M189" t="str">
        <f>VLOOKUP(N189,'Products (2)'!A:G,2,0)</f>
        <v>Liberica</v>
      </c>
      <c r="N189" t="s">
        <v>78</v>
      </c>
      <c r="O189" t="str">
        <f>VLOOKUP(N189,'Products (2)'!A:G,3,0)</f>
        <v>Medium</v>
      </c>
      <c r="P189">
        <f>VLOOKUP(N189,'Products (2)'!A:G,7,0)</f>
        <v>1.1349</v>
      </c>
      <c r="Q189">
        <v>5</v>
      </c>
      <c r="R189">
        <f>INDEX([1]products!$A$1:$G$49,MATCH([1]orders!$D189,[1]products!$A$1:$A$49,0),MATCH([1]orders!K$1,[1]products!$A$1:$G$1,0))</f>
        <v>0.5</v>
      </c>
      <c r="S189">
        <f>INDEX([1]products!$A$1:$G$49,MATCH([1]orders!$D189,[1]products!$A$1:$A$49,0),MATCH([1]orders!L$1,[1]products!$A$1:$G$1,0))</f>
        <v>8.73</v>
      </c>
      <c r="T189">
        <f t="shared" si="13"/>
        <v>43.650000000000006</v>
      </c>
      <c r="U189">
        <f t="shared" si="16"/>
        <v>5.6745000000000001</v>
      </c>
      <c r="V189">
        <f t="shared" si="17"/>
        <v>12.999999999999998</v>
      </c>
    </row>
    <row r="190" spans="1:22" x14ac:dyDescent="0.25">
      <c r="A190" t="s">
        <v>401</v>
      </c>
      <c r="B190">
        <v>44698</v>
      </c>
      <c r="C190" t="str">
        <f t="shared" si="14"/>
        <v>17</v>
      </c>
      <c r="D190" t="str">
        <f t="shared" si="12"/>
        <v>May</v>
      </c>
      <c r="E190" t="str">
        <f t="shared" si="15"/>
        <v>2022</v>
      </c>
      <c r="F190" t="s">
        <v>402</v>
      </c>
      <c r="G190" t="str">
        <f>VLOOKUP(F190,'Customers (2)'!A:I,2,0)</f>
        <v>Astrix Kitchingham</v>
      </c>
      <c r="H190" t="str">
        <f>VLOOKUP(F190,'Customers (2)'!A:I,3,0)</f>
        <v>akitchingham58@com.com</v>
      </c>
      <c r="I190" t="str">
        <f>VLOOKUP(F190,'Customers (2)'!A:I,4,0)</f>
        <v>+1 (405) 645-2204</v>
      </c>
      <c r="J190" t="str">
        <f>VLOOKUP(F190,'Customers (2)'!A:I,6,0)</f>
        <v>Oklahoma City</v>
      </c>
      <c r="K190" t="str">
        <f>VLOOKUP(F190,'Customers (2)'!A:I,7,0)</f>
        <v>United States</v>
      </c>
      <c r="L190" t="str">
        <f>VLOOKUP(F190,'Customers (2)'!A:I,9,0)</f>
        <v>Yes</v>
      </c>
      <c r="M190" t="str">
        <f>VLOOKUP(N190,'Products (2)'!A:G,2,0)</f>
        <v>Excelsa</v>
      </c>
      <c r="N190" t="s">
        <v>254</v>
      </c>
      <c r="O190" t="str">
        <f>VLOOKUP(N190,'Products (2)'!A:G,3,0)</f>
        <v>Light</v>
      </c>
      <c r="P190">
        <f>VLOOKUP(N190,'Products (2)'!A:G,7,0)</f>
        <v>0.49004999999999999</v>
      </c>
      <c r="Q190">
        <v>1</v>
      </c>
      <c r="R190">
        <f>INDEX([1]products!$A$1:$G$49,MATCH([1]orders!$D190,[1]products!$A$1:$A$49,0),MATCH([1]orders!K$1,[1]products!$A$1:$G$1,0))</f>
        <v>0.2</v>
      </c>
      <c r="S190">
        <f>INDEX([1]products!$A$1:$G$49,MATCH([1]orders!$D190,[1]products!$A$1:$A$49,0),MATCH([1]orders!L$1,[1]products!$A$1:$G$1,0))</f>
        <v>4.4550000000000001</v>
      </c>
      <c r="T190">
        <f t="shared" si="13"/>
        <v>4.4550000000000001</v>
      </c>
      <c r="U190">
        <f t="shared" si="16"/>
        <v>0.49004999999999999</v>
      </c>
      <c r="V190">
        <f t="shared" si="17"/>
        <v>11</v>
      </c>
    </row>
    <row r="191" spans="1:22" x14ac:dyDescent="0.25">
      <c r="A191" t="s">
        <v>403</v>
      </c>
      <c r="B191">
        <v>43813</v>
      </c>
      <c r="C191" t="str">
        <f t="shared" si="14"/>
        <v>14</v>
      </c>
      <c r="D191" t="str">
        <f t="shared" si="12"/>
        <v>December</v>
      </c>
      <c r="E191" t="str">
        <f t="shared" si="15"/>
        <v>2019</v>
      </c>
      <c r="F191" t="s">
        <v>404</v>
      </c>
      <c r="G191" t="str">
        <f>VLOOKUP(F191,'Customers (2)'!A:I,2,0)</f>
        <v>Burnard Bartholin</v>
      </c>
      <c r="H191" t="str">
        <f>VLOOKUP(F191,'Customers (2)'!A:I,3,0)</f>
        <v>bbartholin59@xinhuanet.com</v>
      </c>
      <c r="I191" t="str">
        <f>VLOOKUP(F191,'Customers (2)'!A:I,4,0)</f>
        <v>+1 (918) 720-2715</v>
      </c>
      <c r="J191" t="str">
        <f>VLOOKUP(F191,'Customers (2)'!A:I,6,0)</f>
        <v>Tulsa</v>
      </c>
      <c r="K191" t="str">
        <f>VLOOKUP(F191,'Customers (2)'!A:I,7,0)</f>
        <v>United States</v>
      </c>
      <c r="L191" t="str">
        <f>VLOOKUP(F191,'Customers (2)'!A:I,9,0)</f>
        <v>Yes</v>
      </c>
      <c r="M191" t="str">
        <f>VLOOKUP(N191,'Products (2)'!A:G,2,0)</f>
        <v>Liberica</v>
      </c>
      <c r="N191" t="s">
        <v>96</v>
      </c>
      <c r="O191" t="str">
        <f>VLOOKUP(N191,'Products (2)'!A:G,3,0)</f>
        <v>Medium</v>
      </c>
      <c r="P191">
        <f>VLOOKUP(N191,'Products (2)'!A:G,7,0)</f>
        <v>1.8915000000000002</v>
      </c>
      <c r="Q191">
        <v>3</v>
      </c>
      <c r="R191">
        <f>INDEX([1]products!$A$1:$G$49,MATCH([1]orders!$D191,[1]products!$A$1:$A$49,0),MATCH([1]orders!K$1,[1]products!$A$1:$G$1,0))</f>
        <v>1</v>
      </c>
      <c r="S191">
        <f>INDEX([1]products!$A$1:$G$49,MATCH([1]orders!$D191,[1]products!$A$1:$A$49,0),MATCH([1]orders!L$1,[1]products!$A$1:$G$1,0))</f>
        <v>14.55</v>
      </c>
      <c r="T191">
        <f t="shared" si="13"/>
        <v>43.650000000000006</v>
      </c>
      <c r="U191">
        <f t="shared" si="16"/>
        <v>5.6745000000000001</v>
      </c>
      <c r="V191">
        <f t="shared" si="17"/>
        <v>12.999999999999998</v>
      </c>
    </row>
    <row r="192" spans="1:22" x14ac:dyDescent="0.25">
      <c r="A192" t="s">
        <v>405</v>
      </c>
      <c r="B192">
        <v>43845</v>
      </c>
      <c r="C192" t="str">
        <f t="shared" si="14"/>
        <v>15</v>
      </c>
      <c r="D192" t="str">
        <f t="shared" si="12"/>
        <v>January</v>
      </c>
      <c r="E192" t="str">
        <f t="shared" si="15"/>
        <v>2020</v>
      </c>
      <c r="F192" t="s">
        <v>406</v>
      </c>
      <c r="G192" t="str">
        <f>VLOOKUP(F192,'Customers (2)'!A:I,2,0)</f>
        <v>Madelene Prinn</v>
      </c>
      <c r="H192" t="str">
        <f>VLOOKUP(F192,'Customers (2)'!A:I,3,0)</f>
        <v>mprinn5a@usa.gov</v>
      </c>
      <c r="I192" t="str">
        <f>VLOOKUP(F192,'Customers (2)'!A:I,4,0)</f>
        <v>+1 (734) 909-6836</v>
      </c>
      <c r="J192" t="str">
        <f>VLOOKUP(F192,'Customers (2)'!A:I,6,0)</f>
        <v>Detroit</v>
      </c>
      <c r="K192" t="str">
        <f>VLOOKUP(F192,'Customers (2)'!A:I,7,0)</f>
        <v>United States</v>
      </c>
      <c r="L192" t="str">
        <f>VLOOKUP(F192,'Customers (2)'!A:I,9,0)</f>
        <v>Yes</v>
      </c>
      <c r="M192" t="str">
        <f>VLOOKUP(N192,'Products (2)'!A:G,2,0)</f>
        <v>Liberica</v>
      </c>
      <c r="N192" t="s">
        <v>197</v>
      </c>
      <c r="O192" t="str">
        <f>VLOOKUP(N192,'Products (2)'!A:G,3,0)</f>
        <v>Medium</v>
      </c>
      <c r="P192">
        <f>VLOOKUP(N192,'Products (2)'!A:G,7,0)</f>
        <v>4.3504499999999995</v>
      </c>
      <c r="Q192">
        <v>1</v>
      </c>
      <c r="R192">
        <f>INDEX([1]products!$A$1:$G$49,MATCH([1]orders!$D192,[1]products!$A$1:$A$49,0),MATCH([1]orders!K$1,[1]products!$A$1:$G$1,0))</f>
        <v>2.5</v>
      </c>
      <c r="S192">
        <f>INDEX([1]products!$A$1:$G$49,MATCH([1]orders!$D192,[1]products!$A$1:$A$49,0),MATCH([1]orders!L$1,[1]products!$A$1:$G$1,0))</f>
        <v>33.464999999999996</v>
      </c>
      <c r="T192">
        <f t="shared" si="13"/>
        <v>33.464999999999996</v>
      </c>
      <c r="U192">
        <f t="shared" si="16"/>
        <v>4.3504499999999995</v>
      </c>
      <c r="V192">
        <f t="shared" si="17"/>
        <v>13</v>
      </c>
    </row>
    <row r="193" spans="1:22" x14ac:dyDescent="0.25">
      <c r="A193" t="s">
        <v>407</v>
      </c>
      <c r="B193">
        <v>43567</v>
      </c>
      <c r="C193" t="str">
        <f t="shared" si="14"/>
        <v>12</v>
      </c>
      <c r="D193" t="str">
        <f t="shared" si="12"/>
        <v>April</v>
      </c>
      <c r="E193" t="str">
        <f t="shared" si="15"/>
        <v>2019</v>
      </c>
      <c r="F193" t="s">
        <v>408</v>
      </c>
      <c r="G193" t="str">
        <f>VLOOKUP(F193,'Customers (2)'!A:I,2,0)</f>
        <v>Alisun Baudino</v>
      </c>
      <c r="H193" t="str">
        <f>VLOOKUP(F193,'Customers (2)'!A:I,3,0)</f>
        <v>abaudino5b@netvibes.com</v>
      </c>
      <c r="I193" t="str">
        <f>VLOOKUP(F193,'Customers (2)'!A:I,4,0)</f>
        <v>+1 (202) 328-7869</v>
      </c>
      <c r="J193" t="str">
        <f>VLOOKUP(F193,'Customers (2)'!A:I,6,0)</f>
        <v>Washington</v>
      </c>
      <c r="K193" t="str">
        <f>VLOOKUP(F193,'Customers (2)'!A:I,7,0)</f>
        <v>United States</v>
      </c>
      <c r="L193" t="str">
        <f>VLOOKUP(F193,'Customers (2)'!A:I,9,0)</f>
        <v>Yes</v>
      </c>
      <c r="M193" t="str">
        <f>VLOOKUP(N193,'Products (2)'!A:G,2,0)</f>
        <v>Liberica</v>
      </c>
      <c r="N193" t="s">
        <v>38</v>
      </c>
      <c r="O193" t="str">
        <f>VLOOKUP(N193,'Products (2)'!A:G,3,0)</f>
        <v>Dark</v>
      </c>
      <c r="P193">
        <f>VLOOKUP(N193,'Products (2)'!A:G,7,0)</f>
        <v>0.50505</v>
      </c>
      <c r="Q193">
        <v>5</v>
      </c>
      <c r="R193">
        <f>INDEX([1]products!$A$1:$G$49,MATCH([1]orders!$D193,[1]products!$A$1:$A$49,0),MATCH([1]orders!K$1,[1]products!$A$1:$G$1,0))</f>
        <v>0.2</v>
      </c>
      <c r="S193">
        <f>INDEX([1]products!$A$1:$G$49,MATCH([1]orders!$D193,[1]products!$A$1:$A$49,0),MATCH([1]orders!L$1,[1]products!$A$1:$G$1,0))</f>
        <v>3.8849999999999998</v>
      </c>
      <c r="T193">
        <f t="shared" si="13"/>
        <v>19.424999999999997</v>
      </c>
      <c r="U193">
        <f t="shared" si="16"/>
        <v>2.5252499999999998</v>
      </c>
      <c r="V193">
        <f t="shared" si="17"/>
        <v>13</v>
      </c>
    </row>
    <row r="194" spans="1:22" x14ac:dyDescent="0.25">
      <c r="A194" t="s">
        <v>409</v>
      </c>
      <c r="B194">
        <v>43919</v>
      </c>
      <c r="C194" t="str">
        <f t="shared" si="14"/>
        <v>29</v>
      </c>
      <c r="D194" t="str">
        <f t="shared" ref="D194:D257" si="18">TEXT(B:B,"MMMM")</f>
        <v>March</v>
      </c>
      <c r="E194" t="str">
        <f t="shared" si="15"/>
        <v>2020</v>
      </c>
      <c r="F194" t="s">
        <v>410</v>
      </c>
      <c r="G194" t="str">
        <f>VLOOKUP(F194,'Customers (2)'!A:I,2,0)</f>
        <v>Philipa Petrushanko</v>
      </c>
      <c r="H194" t="str">
        <f>VLOOKUP(F194,'Customers (2)'!A:I,3,0)</f>
        <v>ppetrushanko5c@blinklist.com</v>
      </c>
      <c r="I194" t="str">
        <f>VLOOKUP(F194,'Customers (2)'!A:I,4,0)</f>
        <v>+353 (540) 480-2145</v>
      </c>
      <c r="J194" t="str">
        <f>VLOOKUP(F194,'Customers (2)'!A:I,6,0)</f>
        <v>Nenagh</v>
      </c>
      <c r="K194" t="str">
        <f>VLOOKUP(F194,'Customers (2)'!A:I,7,0)</f>
        <v>Ireland</v>
      </c>
      <c r="L194" t="str">
        <f>VLOOKUP(F194,'Customers (2)'!A:I,9,0)</f>
        <v>Yes</v>
      </c>
      <c r="M194" t="str">
        <f>VLOOKUP(N194,'Products (2)'!A:G,2,0)</f>
        <v>Excelsa</v>
      </c>
      <c r="N194" t="s">
        <v>245</v>
      </c>
      <c r="O194" t="str">
        <f>VLOOKUP(N194,'Products (2)'!A:G,3,0)</f>
        <v>Dark</v>
      </c>
      <c r="P194">
        <f>VLOOKUP(N194,'Products (2)'!A:G,7,0)</f>
        <v>1.3365</v>
      </c>
      <c r="Q194">
        <v>6</v>
      </c>
      <c r="R194">
        <f>INDEX([1]products!$A$1:$G$49,MATCH([1]orders!$D194,[1]products!$A$1:$A$49,0),MATCH([1]orders!K$1,[1]products!$A$1:$G$1,0))</f>
        <v>1</v>
      </c>
      <c r="S194">
        <f>INDEX([1]products!$A$1:$G$49,MATCH([1]orders!$D194,[1]products!$A$1:$A$49,0),MATCH([1]orders!L$1,[1]products!$A$1:$G$1,0))</f>
        <v>12.15</v>
      </c>
      <c r="T194">
        <f t="shared" ref="T194:T257" si="19">Q194*S194</f>
        <v>72.900000000000006</v>
      </c>
      <c r="U194">
        <f t="shared" si="16"/>
        <v>8.0190000000000001</v>
      </c>
      <c r="V194">
        <f t="shared" si="17"/>
        <v>10.999999999999998</v>
      </c>
    </row>
    <row r="195" spans="1:22" x14ac:dyDescent="0.25">
      <c r="A195" t="s">
        <v>411</v>
      </c>
      <c r="B195">
        <v>44644</v>
      </c>
      <c r="C195" t="str">
        <f t="shared" ref="C195:C258" si="20">TEXT(B:B,"DD")</f>
        <v>24</v>
      </c>
      <c r="D195" t="str">
        <f t="shared" si="18"/>
        <v>March</v>
      </c>
      <c r="E195" t="str">
        <f t="shared" ref="E195:E258" si="21">TEXT(B:B,"yyyy")</f>
        <v>2022</v>
      </c>
      <c r="F195" t="s">
        <v>412</v>
      </c>
      <c r="G195" t="str">
        <f>VLOOKUP(F195,'Customers (2)'!A:I,2,0)</f>
        <v>Kimberli Mustchin</v>
      </c>
      <c r="H195">
        <f>VLOOKUP(F195,'Customers (2)'!A:I,3,0)</f>
        <v>0</v>
      </c>
      <c r="I195" t="str">
        <f>VLOOKUP(F195,'Customers (2)'!A:I,4,0)</f>
        <v>+1 (602) 411-5038</v>
      </c>
      <c r="J195" t="str">
        <f>VLOOKUP(F195,'Customers (2)'!A:I,6,0)</f>
        <v>Mesa</v>
      </c>
      <c r="K195" t="str">
        <f>VLOOKUP(F195,'Customers (2)'!A:I,7,0)</f>
        <v>United States</v>
      </c>
      <c r="L195" t="str">
        <f>VLOOKUP(F195,'Customers (2)'!A:I,9,0)</f>
        <v>No</v>
      </c>
      <c r="M195" t="str">
        <f>VLOOKUP(N195,'Products (2)'!A:G,2,0)</f>
        <v>Excelsa</v>
      </c>
      <c r="N195" t="s">
        <v>137</v>
      </c>
      <c r="O195" t="str">
        <f>VLOOKUP(N195,'Products (2)'!A:G,3,0)</f>
        <v>Light</v>
      </c>
      <c r="P195">
        <f>VLOOKUP(N195,'Products (2)'!A:G,7,0)</f>
        <v>1.6335</v>
      </c>
      <c r="Q195">
        <v>3</v>
      </c>
      <c r="R195">
        <f>INDEX([1]products!$A$1:$G$49,MATCH([1]orders!$D195,[1]products!$A$1:$A$49,0),MATCH([1]orders!K$1,[1]products!$A$1:$G$1,0))</f>
        <v>1</v>
      </c>
      <c r="S195">
        <f>INDEX([1]products!$A$1:$G$49,MATCH([1]orders!$D195,[1]products!$A$1:$A$49,0),MATCH([1]orders!L$1,[1]products!$A$1:$G$1,0))</f>
        <v>14.85</v>
      </c>
      <c r="T195">
        <f t="shared" si="19"/>
        <v>44.55</v>
      </c>
      <c r="U195">
        <f t="shared" ref="U195:U258" si="22">Q195*P195</f>
        <v>4.9005000000000001</v>
      </c>
      <c r="V195">
        <f t="shared" ref="V195:V258" si="23">U195/T195*100</f>
        <v>11.000000000000002</v>
      </c>
    </row>
    <row r="196" spans="1:22" x14ac:dyDescent="0.25">
      <c r="A196" t="s">
        <v>413</v>
      </c>
      <c r="B196">
        <v>44398</v>
      </c>
      <c r="C196" t="str">
        <f t="shared" si="20"/>
        <v>21</v>
      </c>
      <c r="D196" t="str">
        <f t="shared" si="18"/>
        <v>July</v>
      </c>
      <c r="E196" t="str">
        <f t="shared" si="21"/>
        <v>2021</v>
      </c>
      <c r="F196" t="s">
        <v>414</v>
      </c>
      <c r="G196" t="str">
        <f>VLOOKUP(F196,'Customers (2)'!A:I,2,0)</f>
        <v>Emlynne Laird</v>
      </c>
      <c r="H196" t="str">
        <f>VLOOKUP(F196,'Customers (2)'!A:I,3,0)</f>
        <v>elaird5e@bing.com</v>
      </c>
      <c r="I196" t="str">
        <f>VLOOKUP(F196,'Customers (2)'!A:I,4,0)</f>
        <v>+1 (330) 112-0053</v>
      </c>
      <c r="J196" t="str">
        <f>VLOOKUP(F196,'Customers (2)'!A:I,6,0)</f>
        <v>Warren</v>
      </c>
      <c r="K196" t="str">
        <f>VLOOKUP(F196,'Customers (2)'!A:I,7,0)</f>
        <v>United States</v>
      </c>
      <c r="L196" t="str">
        <f>VLOOKUP(F196,'Customers (2)'!A:I,9,0)</f>
        <v>No</v>
      </c>
      <c r="M196" t="str">
        <f>VLOOKUP(N196,'Products (2)'!A:G,2,0)</f>
        <v>Excelsa</v>
      </c>
      <c r="N196" t="s">
        <v>16</v>
      </c>
      <c r="O196" t="str">
        <f>VLOOKUP(N196,'Products (2)'!A:G,3,0)</f>
        <v>Dark</v>
      </c>
      <c r="P196">
        <f>VLOOKUP(N196,'Products (2)'!A:G,7,0)</f>
        <v>0.80190000000000006</v>
      </c>
      <c r="Q196">
        <v>5</v>
      </c>
      <c r="R196">
        <f>INDEX([1]products!$A$1:$G$49,MATCH([1]orders!$D196,[1]products!$A$1:$A$49,0),MATCH([1]orders!K$1,[1]products!$A$1:$G$1,0))</f>
        <v>0.5</v>
      </c>
      <c r="S196">
        <f>INDEX([1]products!$A$1:$G$49,MATCH([1]orders!$D196,[1]products!$A$1:$A$49,0),MATCH([1]orders!L$1,[1]products!$A$1:$G$1,0))</f>
        <v>7.29</v>
      </c>
      <c r="T196">
        <f t="shared" si="19"/>
        <v>36.450000000000003</v>
      </c>
      <c r="U196">
        <f t="shared" si="22"/>
        <v>4.0095000000000001</v>
      </c>
      <c r="V196">
        <f t="shared" si="23"/>
        <v>10.999999999999998</v>
      </c>
    </row>
    <row r="197" spans="1:22" x14ac:dyDescent="0.25">
      <c r="A197" t="s">
        <v>415</v>
      </c>
      <c r="B197">
        <v>43683</v>
      </c>
      <c r="C197" t="str">
        <f t="shared" si="20"/>
        <v>06</v>
      </c>
      <c r="D197" t="str">
        <f t="shared" si="18"/>
        <v>August</v>
      </c>
      <c r="E197" t="str">
        <f t="shared" si="21"/>
        <v>2019</v>
      </c>
      <c r="F197" t="s">
        <v>416</v>
      </c>
      <c r="G197" t="str">
        <f>VLOOKUP(F197,'Customers (2)'!A:I,2,0)</f>
        <v>Marlena Howsden</v>
      </c>
      <c r="H197" t="str">
        <f>VLOOKUP(F197,'Customers (2)'!A:I,3,0)</f>
        <v>mhowsden5f@infoseek.co.jp</v>
      </c>
      <c r="I197" t="str">
        <f>VLOOKUP(F197,'Customers (2)'!A:I,4,0)</f>
        <v>+1 (901) 806-9640</v>
      </c>
      <c r="J197" t="str">
        <f>VLOOKUP(F197,'Customers (2)'!A:I,6,0)</f>
        <v>Memphis</v>
      </c>
      <c r="K197" t="str">
        <f>VLOOKUP(F197,'Customers (2)'!A:I,7,0)</f>
        <v>United States</v>
      </c>
      <c r="L197" t="str">
        <f>VLOOKUP(F197,'Customers (2)'!A:I,9,0)</f>
        <v>No</v>
      </c>
      <c r="M197" t="str">
        <f>VLOOKUP(N197,'Products (2)'!A:G,2,0)</f>
        <v>Arabica</v>
      </c>
      <c r="N197" t="s">
        <v>6</v>
      </c>
      <c r="O197" t="str">
        <f>VLOOKUP(N197,'Products (2)'!A:G,3,0)</f>
        <v>Light</v>
      </c>
      <c r="P197">
        <f>VLOOKUP(N197,'Products (2)'!A:G,7,0)</f>
        <v>1.1655</v>
      </c>
      <c r="Q197">
        <v>3</v>
      </c>
      <c r="R197">
        <f>INDEX([1]products!$A$1:$G$49,MATCH([1]orders!$D197,[1]products!$A$1:$A$49,0),MATCH([1]orders!K$1,[1]products!$A$1:$G$1,0))</f>
        <v>1</v>
      </c>
      <c r="S197">
        <f>INDEX([1]products!$A$1:$G$49,MATCH([1]orders!$D197,[1]products!$A$1:$A$49,0),MATCH([1]orders!L$1,[1]products!$A$1:$G$1,0))</f>
        <v>12.95</v>
      </c>
      <c r="T197">
        <f t="shared" si="19"/>
        <v>38.849999999999994</v>
      </c>
      <c r="U197">
        <f t="shared" si="22"/>
        <v>3.4965000000000002</v>
      </c>
      <c r="V197">
        <f t="shared" si="23"/>
        <v>9.0000000000000018</v>
      </c>
    </row>
    <row r="198" spans="1:22" x14ac:dyDescent="0.25">
      <c r="A198" t="s">
        <v>417</v>
      </c>
      <c r="B198">
        <v>44339</v>
      </c>
      <c r="C198" t="str">
        <f t="shared" si="20"/>
        <v>23</v>
      </c>
      <c r="D198" t="str">
        <f t="shared" si="18"/>
        <v>May</v>
      </c>
      <c r="E198" t="str">
        <f t="shared" si="21"/>
        <v>2021</v>
      </c>
      <c r="F198" t="s">
        <v>418</v>
      </c>
      <c r="G198" t="str">
        <f>VLOOKUP(F198,'Customers (2)'!A:I,2,0)</f>
        <v>Nealson Cuttler</v>
      </c>
      <c r="H198" t="str">
        <f>VLOOKUP(F198,'Customers (2)'!A:I,3,0)</f>
        <v>ncuttler5g@parallels.com</v>
      </c>
      <c r="I198">
        <f>VLOOKUP(F198,'Customers (2)'!A:I,4,0)</f>
        <v>0</v>
      </c>
      <c r="J198" t="str">
        <f>VLOOKUP(F198,'Customers (2)'!A:I,6,0)</f>
        <v>Washington</v>
      </c>
      <c r="K198" t="str">
        <f>VLOOKUP(F198,'Customers (2)'!A:I,7,0)</f>
        <v>United States</v>
      </c>
      <c r="L198" t="str">
        <f>VLOOKUP(F198,'Customers (2)'!A:I,9,0)</f>
        <v>No</v>
      </c>
      <c r="M198" t="str">
        <f>VLOOKUP(N198,'Products (2)'!A:G,2,0)</f>
        <v>Excelsa</v>
      </c>
      <c r="N198" t="s">
        <v>176</v>
      </c>
      <c r="O198" t="str">
        <f>VLOOKUP(N198,'Products (2)'!A:G,3,0)</f>
        <v>Light</v>
      </c>
      <c r="P198">
        <f>VLOOKUP(N198,'Products (2)'!A:G,7,0)</f>
        <v>0.98009999999999997</v>
      </c>
      <c r="Q198">
        <v>6</v>
      </c>
      <c r="R198">
        <f>INDEX([1]products!$A$1:$G$49,MATCH([1]orders!$D198,[1]products!$A$1:$A$49,0),MATCH([1]orders!K$1,[1]products!$A$1:$G$1,0))</f>
        <v>0.5</v>
      </c>
      <c r="S198">
        <f>INDEX([1]products!$A$1:$G$49,MATCH([1]orders!$D198,[1]products!$A$1:$A$49,0),MATCH([1]orders!L$1,[1]products!$A$1:$G$1,0))</f>
        <v>8.91</v>
      </c>
      <c r="T198">
        <f t="shared" si="19"/>
        <v>53.46</v>
      </c>
      <c r="U198">
        <f t="shared" si="22"/>
        <v>5.8805999999999994</v>
      </c>
      <c r="V198">
        <f t="shared" si="23"/>
        <v>10.999999999999998</v>
      </c>
    </row>
    <row r="199" spans="1:22" x14ac:dyDescent="0.25">
      <c r="A199" t="s">
        <v>417</v>
      </c>
      <c r="B199">
        <v>44339</v>
      </c>
      <c r="C199" t="str">
        <f t="shared" si="20"/>
        <v>23</v>
      </c>
      <c r="D199" t="str">
        <f t="shared" si="18"/>
        <v>May</v>
      </c>
      <c r="E199" t="str">
        <f t="shared" si="21"/>
        <v>2021</v>
      </c>
      <c r="F199" t="s">
        <v>418</v>
      </c>
      <c r="G199" t="str">
        <f>VLOOKUP(F199,'Customers (2)'!A:I,2,0)</f>
        <v>Nealson Cuttler</v>
      </c>
      <c r="H199" t="str">
        <f>VLOOKUP(F199,'Customers (2)'!A:I,3,0)</f>
        <v>ncuttler5g@parallels.com</v>
      </c>
      <c r="I199">
        <f>VLOOKUP(F199,'Customers (2)'!A:I,4,0)</f>
        <v>0</v>
      </c>
      <c r="J199" t="str">
        <f>VLOOKUP(F199,'Customers (2)'!A:I,6,0)</f>
        <v>Washington</v>
      </c>
      <c r="K199" t="str">
        <f>VLOOKUP(F199,'Customers (2)'!A:I,7,0)</f>
        <v>United States</v>
      </c>
      <c r="L199" t="str">
        <f>VLOOKUP(F199,'Customers (2)'!A:I,9,0)</f>
        <v>No</v>
      </c>
      <c r="M199" t="str">
        <f>VLOOKUP(N199,'Products (2)'!A:G,2,0)</f>
        <v>Liberica</v>
      </c>
      <c r="N199" t="s">
        <v>109</v>
      </c>
      <c r="O199" t="str">
        <f>VLOOKUP(N199,'Products (2)'!A:G,3,0)</f>
        <v>Dark</v>
      </c>
      <c r="P199">
        <f>VLOOKUP(N199,'Products (2)'!A:G,7,0)</f>
        <v>3.8720499999999998</v>
      </c>
      <c r="Q199">
        <v>2</v>
      </c>
      <c r="R199">
        <f>INDEX([1]products!$A$1:$G$49,MATCH([1]orders!$D199,[1]products!$A$1:$A$49,0),MATCH([1]orders!K$1,[1]products!$A$1:$G$1,0))</f>
        <v>2.5</v>
      </c>
      <c r="S199">
        <f>INDEX([1]products!$A$1:$G$49,MATCH([1]orders!$D199,[1]products!$A$1:$A$49,0),MATCH([1]orders!L$1,[1]products!$A$1:$G$1,0))</f>
        <v>29.784999999999997</v>
      </c>
      <c r="T199">
        <f t="shared" si="19"/>
        <v>59.569999999999993</v>
      </c>
      <c r="U199">
        <f t="shared" si="22"/>
        <v>7.7440999999999995</v>
      </c>
      <c r="V199">
        <f t="shared" si="23"/>
        <v>13</v>
      </c>
    </row>
    <row r="200" spans="1:22" x14ac:dyDescent="0.25">
      <c r="A200" t="s">
        <v>417</v>
      </c>
      <c r="B200">
        <v>44339</v>
      </c>
      <c r="C200" t="str">
        <f t="shared" si="20"/>
        <v>23</v>
      </c>
      <c r="D200" t="str">
        <f t="shared" si="18"/>
        <v>May</v>
      </c>
      <c r="E200" t="str">
        <f t="shared" si="21"/>
        <v>2021</v>
      </c>
      <c r="F200" t="s">
        <v>418</v>
      </c>
      <c r="G200" t="str">
        <f>VLOOKUP(F200,'Customers (2)'!A:I,2,0)</f>
        <v>Nealson Cuttler</v>
      </c>
      <c r="H200" t="str">
        <f>VLOOKUP(F200,'Customers (2)'!A:I,3,0)</f>
        <v>ncuttler5g@parallels.com</v>
      </c>
      <c r="I200">
        <f>VLOOKUP(F200,'Customers (2)'!A:I,4,0)</f>
        <v>0</v>
      </c>
      <c r="J200" t="str">
        <f>VLOOKUP(F200,'Customers (2)'!A:I,6,0)</f>
        <v>Washington</v>
      </c>
      <c r="K200" t="str">
        <f>VLOOKUP(F200,'Customers (2)'!A:I,7,0)</f>
        <v>United States</v>
      </c>
      <c r="L200" t="str">
        <f>VLOOKUP(F200,'Customers (2)'!A:I,9,0)</f>
        <v>No</v>
      </c>
      <c r="M200" t="str">
        <f>VLOOKUP(N200,'Products (2)'!A:G,2,0)</f>
        <v>Liberica</v>
      </c>
      <c r="N200" t="s">
        <v>109</v>
      </c>
      <c r="O200" t="str">
        <f>VLOOKUP(N200,'Products (2)'!A:G,3,0)</f>
        <v>Dark</v>
      </c>
      <c r="P200">
        <f>VLOOKUP(N200,'Products (2)'!A:G,7,0)</f>
        <v>3.8720499999999998</v>
      </c>
      <c r="Q200">
        <v>3</v>
      </c>
      <c r="R200">
        <f>INDEX([1]products!$A$1:$G$49,MATCH([1]orders!$D200,[1]products!$A$1:$A$49,0),MATCH([1]orders!K$1,[1]products!$A$1:$G$1,0))</f>
        <v>2.5</v>
      </c>
      <c r="S200">
        <f>INDEX([1]products!$A$1:$G$49,MATCH([1]orders!$D200,[1]products!$A$1:$A$49,0),MATCH([1]orders!L$1,[1]products!$A$1:$G$1,0))</f>
        <v>29.784999999999997</v>
      </c>
      <c r="T200">
        <f t="shared" si="19"/>
        <v>89.35499999999999</v>
      </c>
      <c r="U200">
        <f t="shared" si="22"/>
        <v>11.616149999999999</v>
      </c>
      <c r="V200">
        <f t="shared" si="23"/>
        <v>13</v>
      </c>
    </row>
    <row r="201" spans="1:22" x14ac:dyDescent="0.25">
      <c r="A201" t="s">
        <v>417</v>
      </c>
      <c r="B201">
        <v>44339</v>
      </c>
      <c r="C201" t="str">
        <f t="shared" si="20"/>
        <v>23</v>
      </c>
      <c r="D201" t="str">
        <f t="shared" si="18"/>
        <v>May</v>
      </c>
      <c r="E201" t="str">
        <f t="shared" si="21"/>
        <v>2021</v>
      </c>
      <c r="F201" t="s">
        <v>418</v>
      </c>
      <c r="G201" t="str">
        <f>VLOOKUP(F201,'Customers (2)'!A:I,2,0)</f>
        <v>Nealson Cuttler</v>
      </c>
      <c r="H201" t="str">
        <f>VLOOKUP(F201,'Customers (2)'!A:I,3,0)</f>
        <v>ncuttler5g@parallels.com</v>
      </c>
      <c r="I201">
        <f>VLOOKUP(F201,'Customers (2)'!A:I,4,0)</f>
        <v>0</v>
      </c>
      <c r="J201" t="str">
        <f>VLOOKUP(F201,'Customers (2)'!A:I,6,0)</f>
        <v>Washington</v>
      </c>
      <c r="K201" t="str">
        <f>VLOOKUP(F201,'Customers (2)'!A:I,7,0)</f>
        <v>United States</v>
      </c>
      <c r="L201" t="str">
        <f>VLOOKUP(F201,'Customers (2)'!A:I,9,0)</f>
        <v>No</v>
      </c>
      <c r="M201" t="str">
        <f>VLOOKUP(N201,'Products (2)'!A:G,2,0)</f>
        <v>Liberica</v>
      </c>
      <c r="N201" t="s">
        <v>83</v>
      </c>
      <c r="O201" t="str">
        <f>VLOOKUP(N201,'Products (2)'!A:G,3,0)</f>
        <v>Light</v>
      </c>
      <c r="P201">
        <f>VLOOKUP(N201,'Products (2)'!A:G,7,0)</f>
        <v>1.2363</v>
      </c>
      <c r="Q201">
        <v>4</v>
      </c>
      <c r="R201">
        <f>INDEX([1]products!$A$1:$G$49,MATCH([1]orders!$D201,[1]products!$A$1:$A$49,0),MATCH([1]orders!K$1,[1]products!$A$1:$G$1,0))</f>
        <v>0.5</v>
      </c>
      <c r="S201">
        <f>INDEX([1]products!$A$1:$G$49,MATCH([1]orders!$D201,[1]products!$A$1:$A$49,0),MATCH([1]orders!L$1,[1]products!$A$1:$G$1,0))</f>
        <v>9.51</v>
      </c>
      <c r="T201">
        <f t="shared" si="19"/>
        <v>38.04</v>
      </c>
      <c r="U201">
        <f t="shared" si="22"/>
        <v>4.9451999999999998</v>
      </c>
      <c r="V201">
        <f t="shared" si="23"/>
        <v>13</v>
      </c>
    </row>
    <row r="202" spans="1:22" x14ac:dyDescent="0.25">
      <c r="A202" t="s">
        <v>417</v>
      </c>
      <c r="B202">
        <v>44339</v>
      </c>
      <c r="C202" t="str">
        <f t="shared" si="20"/>
        <v>23</v>
      </c>
      <c r="D202" t="str">
        <f t="shared" si="18"/>
        <v>May</v>
      </c>
      <c r="E202" t="str">
        <f t="shared" si="21"/>
        <v>2021</v>
      </c>
      <c r="F202" t="s">
        <v>418</v>
      </c>
      <c r="G202" t="str">
        <f>VLOOKUP(F202,'Customers (2)'!A:I,2,0)</f>
        <v>Nealson Cuttler</v>
      </c>
      <c r="H202" t="str">
        <f>VLOOKUP(F202,'Customers (2)'!A:I,3,0)</f>
        <v>ncuttler5g@parallels.com</v>
      </c>
      <c r="I202">
        <f>VLOOKUP(F202,'Customers (2)'!A:I,4,0)</f>
        <v>0</v>
      </c>
      <c r="J202" t="str">
        <f>VLOOKUP(F202,'Customers (2)'!A:I,6,0)</f>
        <v>Washington</v>
      </c>
      <c r="K202" t="str">
        <f>VLOOKUP(F202,'Customers (2)'!A:I,7,0)</f>
        <v>United States</v>
      </c>
      <c r="L202" t="str">
        <f>VLOOKUP(F202,'Customers (2)'!A:I,9,0)</f>
        <v>No</v>
      </c>
      <c r="M202" t="str">
        <f>VLOOKUP(N202,'Products (2)'!A:G,2,0)</f>
        <v>Excelsa</v>
      </c>
      <c r="N202" t="s">
        <v>9</v>
      </c>
      <c r="O202" t="str">
        <f>VLOOKUP(N202,'Products (2)'!A:G,3,0)</f>
        <v>Medium</v>
      </c>
      <c r="P202">
        <f>VLOOKUP(N202,'Products (2)'!A:G,7,0)</f>
        <v>1.5125</v>
      </c>
      <c r="Q202">
        <v>3</v>
      </c>
      <c r="R202">
        <f>INDEX([1]products!$A$1:$G$49,MATCH([1]orders!$D202,[1]products!$A$1:$A$49,0),MATCH([1]orders!K$1,[1]products!$A$1:$G$1,0))</f>
        <v>1</v>
      </c>
      <c r="S202">
        <f>INDEX([1]products!$A$1:$G$49,MATCH([1]orders!$D202,[1]products!$A$1:$A$49,0),MATCH([1]orders!L$1,[1]products!$A$1:$G$1,0))</f>
        <v>13.75</v>
      </c>
      <c r="T202">
        <f t="shared" si="19"/>
        <v>41.25</v>
      </c>
      <c r="U202">
        <f t="shared" si="22"/>
        <v>4.5374999999999996</v>
      </c>
      <c r="V202">
        <f t="shared" si="23"/>
        <v>10.999999999999998</v>
      </c>
    </row>
    <row r="203" spans="1:22" x14ac:dyDescent="0.25">
      <c r="A203" t="s">
        <v>419</v>
      </c>
      <c r="B203">
        <v>44294</v>
      </c>
      <c r="C203" t="str">
        <f t="shared" si="20"/>
        <v>08</v>
      </c>
      <c r="D203" t="str">
        <f t="shared" si="18"/>
        <v>April</v>
      </c>
      <c r="E203" t="str">
        <f t="shared" si="21"/>
        <v>2021</v>
      </c>
      <c r="F203" t="s">
        <v>420</v>
      </c>
      <c r="G203" t="str">
        <f>VLOOKUP(F203,'Customers (2)'!A:I,2,0)</f>
        <v>Adriana Lazarus</v>
      </c>
      <c r="H203">
        <f>VLOOKUP(F203,'Customers (2)'!A:I,3,0)</f>
        <v>0</v>
      </c>
      <c r="I203" t="str">
        <f>VLOOKUP(F203,'Customers (2)'!A:I,4,0)</f>
        <v>+1 (801) 581-0444</v>
      </c>
      <c r="J203" t="str">
        <f>VLOOKUP(F203,'Customers (2)'!A:I,6,0)</f>
        <v>Ogden</v>
      </c>
      <c r="K203" t="str">
        <f>VLOOKUP(F203,'Customers (2)'!A:I,7,0)</f>
        <v>United States</v>
      </c>
      <c r="L203" t="str">
        <f>VLOOKUP(F203,'Customers (2)'!A:I,9,0)</f>
        <v>No</v>
      </c>
      <c r="M203" t="str">
        <f>VLOOKUP(N203,'Products (2)'!A:G,2,0)</f>
        <v>Liberica</v>
      </c>
      <c r="N203" t="s">
        <v>83</v>
      </c>
      <c r="O203" t="str">
        <f>VLOOKUP(N203,'Products (2)'!A:G,3,0)</f>
        <v>Light</v>
      </c>
      <c r="P203">
        <f>VLOOKUP(N203,'Products (2)'!A:G,7,0)</f>
        <v>1.2363</v>
      </c>
      <c r="Q203">
        <v>6</v>
      </c>
      <c r="R203">
        <f>INDEX([1]products!$A$1:$G$49,MATCH([1]orders!$D203,[1]products!$A$1:$A$49,0),MATCH([1]orders!K$1,[1]products!$A$1:$G$1,0))</f>
        <v>0.5</v>
      </c>
      <c r="S203">
        <f>INDEX([1]products!$A$1:$G$49,MATCH([1]orders!$D203,[1]products!$A$1:$A$49,0),MATCH([1]orders!L$1,[1]products!$A$1:$G$1,0))</f>
        <v>9.51</v>
      </c>
      <c r="T203">
        <f t="shared" si="19"/>
        <v>57.06</v>
      </c>
      <c r="U203">
        <f t="shared" si="22"/>
        <v>7.4177999999999997</v>
      </c>
      <c r="V203">
        <f t="shared" si="23"/>
        <v>12.999999999999998</v>
      </c>
    </row>
    <row r="204" spans="1:22" x14ac:dyDescent="0.25">
      <c r="A204" t="s">
        <v>421</v>
      </c>
      <c r="B204">
        <v>44486</v>
      </c>
      <c r="C204" t="str">
        <f t="shared" si="20"/>
        <v>17</v>
      </c>
      <c r="D204" t="str">
        <f t="shared" si="18"/>
        <v>October</v>
      </c>
      <c r="E204" t="str">
        <f t="shared" si="21"/>
        <v>2021</v>
      </c>
      <c r="F204" t="s">
        <v>422</v>
      </c>
      <c r="G204" t="str">
        <f>VLOOKUP(F204,'Customers (2)'!A:I,2,0)</f>
        <v>Tallie felip</v>
      </c>
      <c r="H204" t="str">
        <f>VLOOKUP(F204,'Customers (2)'!A:I,3,0)</f>
        <v>tfelip5m@typepad.com</v>
      </c>
      <c r="I204" t="str">
        <f>VLOOKUP(F204,'Customers (2)'!A:I,4,0)</f>
        <v>+1 (518) 651-0940</v>
      </c>
      <c r="J204" t="str">
        <f>VLOOKUP(F204,'Customers (2)'!A:I,6,0)</f>
        <v>Albany</v>
      </c>
      <c r="K204" t="str">
        <f>VLOOKUP(F204,'Customers (2)'!A:I,7,0)</f>
        <v>United States</v>
      </c>
      <c r="L204" t="str">
        <f>VLOOKUP(F204,'Customers (2)'!A:I,9,0)</f>
        <v>Yes</v>
      </c>
      <c r="M204" t="str">
        <f>VLOOKUP(N204,'Products (2)'!A:G,2,0)</f>
        <v>Liberica</v>
      </c>
      <c r="N204" t="s">
        <v>109</v>
      </c>
      <c r="O204" t="str">
        <f>VLOOKUP(N204,'Products (2)'!A:G,3,0)</f>
        <v>Dark</v>
      </c>
      <c r="P204">
        <f>VLOOKUP(N204,'Products (2)'!A:G,7,0)</f>
        <v>3.8720499999999998</v>
      </c>
      <c r="Q204">
        <v>6</v>
      </c>
      <c r="R204">
        <f>INDEX([1]products!$A$1:$G$49,MATCH([1]orders!$D204,[1]products!$A$1:$A$49,0),MATCH([1]orders!K$1,[1]products!$A$1:$G$1,0))</f>
        <v>2.5</v>
      </c>
      <c r="S204">
        <f>INDEX([1]products!$A$1:$G$49,MATCH([1]orders!$D204,[1]products!$A$1:$A$49,0),MATCH([1]orders!L$1,[1]products!$A$1:$G$1,0))</f>
        <v>29.784999999999997</v>
      </c>
      <c r="T204">
        <f t="shared" si="19"/>
        <v>178.70999999999998</v>
      </c>
      <c r="U204">
        <f t="shared" si="22"/>
        <v>23.232299999999999</v>
      </c>
      <c r="V204">
        <f t="shared" si="23"/>
        <v>13</v>
      </c>
    </row>
    <row r="205" spans="1:22" x14ac:dyDescent="0.25">
      <c r="A205" t="s">
        <v>423</v>
      </c>
      <c r="B205">
        <v>44608</v>
      </c>
      <c r="C205" t="str">
        <f t="shared" si="20"/>
        <v>16</v>
      </c>
      <c r="D205" t="str">
        <f t="shared" si="18"/>
        <v>February</v>
      </c>
      <c r="E205" t="str">
        <f t="shared" si="21"/>
        <v>2022</v>
      </c>
      <c r="F205" t="s">
        <v>424</v>
      </c>
      <c r="G205" t="str">
        <f>VLOOKUP(F205,'Customers (2)'!A:I,2,0)</f>
        <v>Vanna Le - Count</v>
      </c>
      <c r="H205" t="str">
        <f>VLOOKUP(F205,'Customers (2)'!A:I,3,0)</f>
        <v>vle5n@disqus.com</v>
      </c>
      <c r="I205" t="str">
        <f>VLOOKUP(F205,'Customers (2)'!A:I,4,0)</f>
        <v>+1 (864) 694-6658</v>
      </c>
      <c r="J205" t="str">
        <f>VLOOKUP(F205,'Customers (2)'!A:I,6,0)</f>
        <v>Spartanburg</v>
      </c>
      <c r="K205" t="str">
        <f>VLOOKUP(F205,'Customers (2)'!A:I,7,0)</f>
        <v>United States</v>
      </c>
      <c r="L205" t="str">
        <f>VLOOKUP(F205,'Customers (2)'!A:I,9,0)</f>
        <v>No</v>
      </c>
      <c r="M205" t="str">
        <f>VLOOKUP(N205,'Products (2)'!A:G,2,0)</f>
        <v>Liberica</v>
      </c>
      <c r="N205" t="s">
        <v>19</v>
      </c>
      <c r="O205" t="str">
        <f>VLOOKUP(N205,'Products (2)'!A:G,3,0)</f>
        <v>Light</v>
      </c>
      <c r="P205">
        <f>VLOOKUP(N205,'Products (2)'!A:G,7,0)</f>
        <v>0.61814999999999998</v>
      </c>
      <c r="Q205">
        <v>1</v>
      </c>
      <c r="R205">
        <f>INDEX([1]products!$A$1:$G$49,MATCH([1]orders!$D205,[1]products!$A$1:$A$49,0),MATCH([1]orders!K$1,[1]products!$A$1:$G$1,0))</f>
        <v>0.2</v>
      </c>
      <c r="S205">
        <f>INDEX([1]products!$A$1:$G$49,MATCH([1]orders!$D205,[1]products!$A$1:$A$49,0),MATCH([1]orders!L$1,[1]products!$A$1:$G$1,0))</f>
        <v>4.7549999999999999</v>
      </c>
      <c r="T205">
        <f t="shared" si="19"/>
        <v>4.7549999999999999</v>
      </c>
      <c r="U205">
        <f t="shared" si="22"/>
        <v>0.61814999999999998</v>
      </c>
      <c r="V205">
        <f t="shared" si="23"/>
        <v>13</v>
      </c>
    </row>
    <row r="206" spans="1:22" x14ac:dyDescent="0.25">
      <c r="A206" t="s">
        <v>425</v>
      </c>
      <c r="B206">
        <v>44027</v>
      </c>
      <c r="C206" t="str">
        <f t="shared" si="20"/>
        <v>15</v>
      </c>
      <c r="D206" t="str">
        <f t="shared" si="18"/>
        <v>July</v>
      </c>
      <c r="E206" t="str">
        <f t="shared" si="21"/>
        <v>2020</v>
      </c>
      <c r="F206" t="s">
        <v>426</v>
      </c>
      <c r="G206" t="str">
        <f>VLOOKUP(F206,'Customers (2)'!A:I,2,0)</f>
        <v>Sarette Ducarel</v>
      </c>
      <c r="H206">
        <f>VLOOKUP(F206,'Customers (2)'!A:I,3,0)</f>
        <v>0</v>
      </c>
      <c r="I206" t="str">
        <f>VLOOKUP(F206,'Customers (2)'!A:I,4,0)</f>
        <v>+1 (914) 915-4328</v>
      </c>
      <c r="J206" t="str">
        <f>VLOOKUP(F206,'Customers (2)'!A:I,6,0)</f>
        <v>Staten Island</v>
      </c>
      <c r="K206" t="str">
        <f>VLOOKUP(F206,'Customers (2)'!A:I,7,0)</f>
        <v>United States</v>
      </c>
      <c r="L206" t="str">
        <f>VLOOKUP(F206,'Customers (2)'!A:I,9,0)</f>
        <v>No</v>
      </c>
      <c r="M206" t="str">
        <f>VLOOKUP(N206,'Products (2)'!A:G,2,0)</f>
        <v>Excelsa</v>
      </c>
      <c r="N206" t="s">
        <v>9</v>
      </c>
      <c r="O206" t="str">
        <f>VLOOKUP(N206,'Products (2)'!A:G,3,0)</f>
        <v>Medium</v>
      </c>
      <c r="P206">
        <f>VLOOKUP(N206,'Products (2)'!A:G,7,0)</f>
        <v>1.5125</v>
      </c>
      <c r="Q206">
        <v>6</v>
      </c>
      <c r="R206">
        <f>INDEX([1]products!$A$1:$G$49,MATCH([1]orders!$D206,[1]products!$A$1:$A$49,0),MATCH([1]orders!K$1,[1]products!$A$1:$G$1,0))</f>
        <v>1</v>
      </c>
      <c r="S206">
        <f>INDEX([1]products!$A$1:$G$49,MATCH([1]orders!$D206,[1]products!$A$1:$A$49,0),MATCH([1]orders!L$1,[1]products!$A$1:$G$1,0))</f>
        <v>13.75</v>
      </c>
      <c r="T206">
        <f t="shared" si="19"/>
        <v>82.5</v>
      </c>
      <c r="U206">
        <f t="shared" si="22"/>
        <v>9.0749999999999993</v>
      </c>
      <c r="V206">
        <f t="shared" si="23"/>
        <v>10.999999999999998</v>
      </c>
    </row>
    <row r="207" spans="1:22" x14ac:dyDescent="0.25">
      <c r="A207" t="s">
        <v>427</v>
      </c>
      <c r="B207">
        <v>43883</v>
      </c>
      <c r="C207" t="str">
        <f t="shared" si="20"/>
        <v>22</v>
      </c>
      <c r="D207" t="str">
        <f t="shared" si="18"/>
        <v>February</v>
      </c>
      <c r="E207" t="str">
        <f t="shared" si="21"/>
        <v>2020</v>
      </c>
      <c r="F207" t="s">
        <v>428</v>
      </c>
      <c r="G207" t="str">
        <f>VLOOKUP(F207,'Customers (2)'!A:I,2,0)</f>
        <v>Kendra Glison</v>
      </c>
      <c r="H207">
        <f>VLOOKUP(F207,'Customers (2)'!A:I,3,0)</f>
        <v>0</v>
      </c>
      <c r="I207" t="str">
        <f>VLOOKUP(F207,'Customers (2)'!A:I,4,0)</f>
        <v>+1 (202) 137-6867</v>
      </c>
      <c r="J207" t="str">
        <f>VLOOKUP(F207,'Customers (2)'!A:I,6,0)</f>
        <v>Washington</v>
      </c>
      <c r="K207" t="str">
        <f>VLOOKUP(F207,'Customers (2)'!A:I,7,0)</f>
        <v>United States</v>
      </c>
      <c r="L207" t="str">
        <f>VLOOKUP(F207,'Customers (2)'!A:I,9,0)</f>
        <v>Yes</v>
      </c>
      <c r="M207" t="str">
        <f>VLOOKUP(N207,'Products (2)'!A:G,2,0)</f>
        <v>Robusta</v>
      </c>
      <c r="N207" t="s">
        <v>101</v>
      </c>
      <c r="O207" t="str">
        <f>VLOOKUP(N207,'Products (2)'!A:G,3,0)</f>
        <v>Dark</v>
      </c>
      <c r="P207">
        <f>VLOOKUP(N207,'Products (2)'!A:G,7,0)</f>
        <v>0.16109999999999997</v>
      </c>
      <c r="Q207">
        <v>3</v>
      </c>
      <c r="R207">
        <f>INDEX([1]products!$A$1:$G$49,MATCH([1]orders!$D207,[1]products!$A$1:$A$49,0),MATCH([1]orders!K$1,[1]products!$A$1:$G$1,0))</f>
        <v>0.2</v>
      </c>
      <c r="S207">
        <f>INDEX([1]products!$A$1:$G$49,MATCH([1]orders!$D207,[1]products!$A$1:$A$49,0),MATCH([1]orders!L$1,[1]products!$A$1:$G$1,0))</f>
        <v>2.6849999999999996</v>
      </c>
      <c r="T207">
        <f t="shared" si="19"/>
        <v>8.0549999999999997</v>
      </c>
      <c r="U207">
        <f t="shared" si="22"/>
        <v>0.4832999999999999</v>
      </c>
      <c r="V207">
        <f t="shared" si="23"/>
        <v>5.9999999999999991</v>
      </c>
    </row>
    <row r="208" spans="1:22" x14ac:dyDescent="0.25">
      <c r="A208" t="s">
        <v>429</v>
      </c>
      <c r="B208">
        <v>44211</v>
      </c>
      <c r="C208" t="str">
        <f t="shared" si="20"/>
        <v>15</v>
      </c>
      <c r="D208" t="str">
        <f t="shared" si="18"/>
        <v>January</v>
      </c>
      <c r="E208" t="str">
        <f t="shared" si="21"/>
        <v>2021</v>
      </c>
      <c r="F208" t="s">
        <v>430</v>
      </c>
      <c r="G208" t="str">
        <f>VLOOKUP(F208,'Customers (2)'!A:I,2,0)</f>
        <v>Nertie Poolman</v>
      </c>
      <c r="H208" t="str">
        <f>VLOOKUP(F208,'Customers (2)'!A:I,3,0)</f>
        <v>npoolman5q@howstuffworks.com</v>
      </c>
      <c r="I208">
        <f>VLOOKUP(F208,'Customers (2)'!A:I,4,0)</f>
        <v>0</v>
      </c>
      <c r="J208" t="str">
        <f>VLOOKUP(F208,'Customers (2)'!A:I,6,0)</f>
        <v>Charlotte</v>
      </c>
      <c r="K208" t="str">
        <f>VLOOKUP(F208,'Customers (2)'!A:I,7,0)</f>
        <v>United States</v>
      </c>
      <c r="L208" t="str">
        <f>VLOOKUP(F208,'Customers (2)'!A:I,9,0)</f>
        <v>No</v>
      </c>
      <c r="M208" t="str">
        <f>VLOOKUP(N208,'Products (2)'!A:G,2,0)</f>
        <v>Arabica</v>
      </c>
      <c r="N208" t="s">
        <v>61</v>
      </c>
      <c r="O208" t="str">
        <f>VLOOKUP(N208,'Products (2)'!A:G,3,0)</f>
        <v>Medium</v>
      </c>
      <c r="P208">
        <f>VLOOKUP(N208,'Products (2)'!A:G,7,0)</f>
        <v>1.0125</v>
      </c>
      <c r="Q208">
        <v>2</v>
      </c>
      <c r="R208">
        <f>INDEX([1]products!$A$1:$G$49,MATCH([1]orders!$D208,[1]products!$A$1:$A$49,0),MATCH([1]orders!K$1,[1]products!$A$1:$G$1,0))</f>
        <v>1</v>
      </c>
      <c r="S208">
        <f>INDEX([1]products!$A$1:$G$49,MATCH([1]orders!$D208,[1]products!$A$1:$A$49,0),MATCH([1]orders!L$1,[1]products!$A$1:$G$1,0))</f>
        <v>11.25</v>
      </c>
      <c r="T208">
        <f t="shared" si="19"/>
        <v>22.5</v>
      </c>
      <c r="U208">
        <f t="shared" si="22"/>
        <v>2.0249999999999999</v>
      </c>
      <c r="V208">
        <f t="shared" si="23"/>
        <v>9</v>
      </c>
    </row>
    <row r="209" spans="1:22" x14ac:dyDescent="0.25">
      <c r="A209" t="s">
        <v>431</v>
      </c>
      <c r="B209">
        <v>44207</v>
      </c>
      <c r="C209" t="str">
        <f t="shared" si="20"/>
        <v>11</v>
      </c>
      <c r="D209" t="str">
        <f t="shared" si="18"/>
        <v>January</v>
      </c>
      <c r="E209" t="str">
        <f t="shared" si="21"/>
        <v>2021</v>
      </c>
      <c r="F209" t="s">
        <v>432</v>
      </c>
      <c r="G209" t="str">
        <f>VLOOKUP(F209,'Customers (2)'!A:I,2,0)</f>
        <v>Orbadiah Duny</v>
      </c>
      <c r="H209" t="str">
        <f>VLOOKUP(F209,'Customers (2)'!A:I,3,0)</f>
        <v>oduny5r@constantcontact.com</v>
      </c>
      <c r="I209" t="str">
        <f>VLOOKUP(F209,'Customers (2)'!A:I,4,0)</f>
        <v>+1 (806) 181-9003</v>
      </c>
      <c r="J209" t="str">
        <f>VLOOKUP(F209,'Customers (2)'!A:I,6,0)</f>
        <v>Lubbock</v>
      </c>
      <c r="K209" t="str">
        <f>VLOOKUP(F209,'Customers (2)'!A:I,7,0)</f>
        <v>United States</v>
      </c>
      <c r="L209" t="str">
        <f>VLOOKUP(F209,'Customers (2)'!A:I,9,0)</f>
        <v>Yes</v>
      </c>
      <c r="M209" t="str">
        <f>VLOOKUP(N209,'Products (2)'!A:G,2,0)</f>
        <v>Arabica</v>
      </c>
      <c r="N209" t="s">
        <v>67</v>
      </c>
      <c r="O209" t="str">
        <f>VLOOKUP(N209,'Products (2)'!A:G,3,0)</f>
        <v>Medium</v>
      </c>
      <c r="P209">
        <f>VLOOKUP(N209,'Products (2)'!A:G,7,0)</f>
        <v>0.60749999999999993</v>
      </c>
      <c r="Q209">
        <v>6</v>
      </c>
      <c r="R209">
        <f>INDEX([1]products!$A$1:$G$49,MATCH([1]orders!$D209,[1]products!$A$1:$A$49,0),MATCH([1]orders!K$1,[1]products!$A$1:$G$1,0))</f>
        <v>0.5</v>
      </c>
      <c r="S209">
        <f>INDEX([1]products!$A$1:$G$49,MATCH([1]orders!$D209,[1]products!$A$1:$A$49,0),MATCH([1]orders!L$1,[1]products!$A$1:$G$1,0))</f>
        <v>6.75</v>
      </c>
      <c r="T209">
        <f t="shared" si="19"/>
        <v>40.5</v>
      </c>
      <c r="U209">
        <f t="shared" si="22"/>
        <v>3.6449999999999996</v>
      </c>
      <c r="V209">
        <f t="shared" si="23"/>
        <v>8.9999999999999982</v>
      </c>
    </row>
    <row r="210" spans="1:22" x14ac:dyDescent="0.25">
      <c r="A210" t="s">
        <v>433</v>
      </c>
      <c r="B210">
        <v>44659</v>
      </c>
      <c r="C210" t="str">
        <f t="shared" si="20"/>
        <v>08</v>
      </c>
      <c r="D210" t="str">
        <f t="shared" si="18"/>
        <v>April</v>
      </c>
      <c r="E210" t="str">
        <f t="shared" si="21"/>
        <v>2022</v>
      </c>
      <c r="F210" t="s">
        <v>434</v>
      </c>
      <c r="G210" t="str">
        <f>VLOOKUP(F210,'Customers (2)'!A:I,2,0)</f>
        <v>Constance Halfhide</v>
      </c>
      <c r="H210" t="str">
        <f>VLOOKUP(F210,'Customers (2)'!A:I,3,0)</f>
        <v>chalfhide5s@google.ru</v>
      </c>
      <c r="I210" t="str">
        <f>VLOOKUP(F210,'Customers (2)'!A:I,4,0)</f>
        <v>+353 (885) 827-8865</v>
      </c>
      <c r="J210" t="str">
        <f>VLOOKUP(F210,'Customers (2)'!A:I,6,0)</f>
        <v>Fermoy</v>
      </c>
      <c r="K210" t="str">
        <f>VLOOKUP(F210,'Customers (2)'!A:I,7,0)</f>
        <v>Ireland</v>
      </c>
      <c r="L210" t="str">
        <f>VLOOKUP(F210,'Customers (2)'!A:I,9,0)</f>
        <v>Yes</v>
      </c>
      <c r="M210" t="str">
        <f>VLOOKUP(N210,'Products (2)'!A:G,2,0)</f>
        <v>Excelsa</v>
      </c>
      <c r="N210" t="s">
        <v>16</v>
      </c>
      <c r="O210" t="str">
        <f>VLOOKUP(N210,'Products (2)'!A:G,3,0)</f>
        <v>Dark</v>
      </c>
      <c r="P210">
        <f>VLOOKUP(N210,'Products (2)'!A:G,7,0)</f>
        <v>0.80190000000000006</v>
      </c>
      <c r="Q210">
        <v>4</v>
      </c>
      <c r="R210">
        <f>INDEX([1]products!$A$1:$G$49,MATCH([1]orders!$D210,[1]products!$A$1:$A$49,0),MATCH([1]orders!K$1,[1]products!$A$1:$G$1,0))</f>
        <v>0.5</v>
      </c>
      <c r="S210">
        <f>INDEX([1]products!$A$1:$G$49,MATCH([1]orders!$D210,[1]products!$A$1:$A$49,0),MATCH([1]orders!L$1,[1]products!$A$1:$G$1,0))</f>
        <v>7.29</v>
      </c>
      <c r="T210">
        <f t="shared" si="19"/>
        <v>29.16</v>
      </c>
      <c r="U210">
        <f t="shared" si="22"/>
        <v>3.2076000000000002</v>
      </c>
      <c r="V210">
        <f t="shared" si="23"/>
        <v>11</v>
      </c>
    </row>
    <row r="211" spans="1:22" x14ac:dyDescent="0.25">
      <c r="A211" t="s">
        <v>435</v>
      </c>
      <c r="B211">
        <v>44105</v>
      </c>
      <c r="C211" t="str">
        <f t="shared" si="20"/>
        <v>01</v>
      </c>
      <c r="D211" t="str">
        <f t="shared" si="18"/>
        <v>October</v>
      </c>
      <c r="E211" t="str">
        <f t="shared" si="21"/>
        <v>2020</v>
      </c>
      <c r="F211" t="s">
        <v>436</v>
      </c>
      <c r="G211" t="str">
        <f>VLOOKUP(F211,'Customers (2)'!A:I,2,0)</f>
        <v>Fransisco Malecky</v>
      </c>
      <c r="H211" t="str">
        <f>VLOOKUP(F211,'Customers (2)'!A:I,3,0)</f>
        <v>fmalecky5t@list-manage.com</v>
      </c>
      <c r="I211" t="str">
        <f>VLOOKUP(F211,'Customers (2)'!A:I,4,0)</f>
        <v>+44 (738) 660-4264</v>
      </c>
      <c r="J211" t="str">
        <f>VLOOKUP(F211,'Customers (2)'!A:I,6,0)</f>
        <v>Whitwell</v>
      </c>
      <c r="K211" t="str">
        <f>VLOOKUP(F211,'Customers (2)'!A:I,7,0)</f>
        <v>United Kingdom</v>
      </c>
      <c r="L211" t="str">
        <f>VLOOKUP(F211,'Customers (2)'!A:I,9,0)</f>
        <v>No</v>
      </c>
      <c r="M211" t="str">
        <f>VLOOKUP(N211,'Products (2)'!A:G,2,0)</f>
        <v>Arabica</v>
      </c>
      <c r="N211" t="s">
        <v>67</v>
      </c>
      <c r="O211" t="str">
        <f>VLOOKUP(N211,'Products (2)'!A:G,3,0)</f>
        <v>Medium</v>
      </c>
      <c r="P211">
        <f>VLOOKUP(N211,'Products (2)'!A:G,7,0)</f>
        <v>0.60749999999999993</v>
      </c>
      <c r="Q211">
        <v>1</v>
      </c>
      <c r="R211">
        <f>INDEX([1]products!$A$1:$G$49,MATCH([1]orders!$D211,[1]products!$A$1:$A$49,0),MATCH([1]orders!K$1,[1]products!$A$1:$G$1,0))</f>
        <v>0.5</v>
      </c>
      <c r="S211">
        <f>INDEX([1]products!$A$1:$G$49,MATCH([1]orders!$D211,[1]products!$A$1:$A$49,0),MATCH([1]orders!L$1,[1]products!$A$1:$G$1,0))</f>
        <v>6.75</v>
      </c>
      <c r="T211">
        <f t="shared" si="19"/>
        <v>6.75</v>
      </c>
      <c r="U211">
        <f t="shared" si="22"/>
        <v>0.60749999999999993</v>
      </c>
      <c r="V211">
        <f t="shared" si="23"/>
        <v>8.9999999999999982</v>
      </c>
    </row>
    <row r="212" spans="1:22" x14ac:dyDescent="0.25">
      <c r="A212" t="s">
        <v>437</v>
      </c>
      <c r="B212">
        <v>43766</v>
      </c>
      <c r="C212" t="str">
        <f t="shared" si="20"/>
        <v>28</v>
      </c>
      <c r="D212" t="str">
        <f t="shared" si="18"/>
        <v>October</v>
      </c>
      <c r="E212" t="str">
        <f t="shared" si="21"/>
        <v>2019</v>
      </c>
      <c r="F212" t="s">
        <v>438</v>
      </c>
      <c r="G212" t="str">
        <f>VLOOKUP(F212,'Customers (2)'!A:I,2,0)</f>
        <v>Anselma Attwater</v>
      </c>
      <c r="H212" t="str">
        <f>VLOOKUP(F212,'Customers (2)'!A:I,3,0)</f>
        <v>aattwater5u@wikia.com</v>
      </c>
      <c r="I212" t="str">
        <f>VLOOKUP(F212,'Customers (2)'!A:I,4,0)</f>
        <v>+1 (434) 821-8618</v>
      </c>
      <c r="J212" t="str">
        <f>VLOOKUP(F212,'Customers (2)'!A:I,6,0)</f>
        <v>Charlottesville</v>
      </c>
      <c r="K212" t="str">
        <f>VLOOKUP(F212,'Customers (2)'!A:I,7,0)</f>
        <v>United States</v>
      </c>
      <c r="L212" t="str">
        <f>VLOOKUP(F212,'Customers (2)'!A:I,9,0)</f>
        <v>Yes</v>
      </c>
      <c r="M212" t="str">
        <f>VLOOKUP(N212,'Products (2)'!A:G,2,0)</f>
        <v>Liberica</v>
      </c>
      <c r="N212" t="s">
        <v>13</v>
      </c>
      <c r="O212" t="str">
        <f>VLOOKUP(N212,'Products (2)'!A:G,3,0)</f>
        <v>Dark</v>
      </c>
      <c r="P212">
        <f>VLOOKUP(N212,'Products (2)'!A:G,7,0)</f>
        <v>1.6835</v>
      </c>
      <c r="Q212">
        <v>4</v>
      </c>
      <c r="R212">
        <f>INDEX([1]products!$A$1:$G$49,MATCH([1]orders!$D212,[1]products!$A$1:$A$49,0),MATCH([1]orders!K$1,[1]products!$A$1:$G$1,0))</f>
        <v>1</v>
      </c>
      <c r="S212">
        <f>INDEX([1]products!$A$1:$G$49,MATCH([1]orders!$D212,[1]products!$A$1:$A$49,0),MATCH([1]orders!L$1,[1]products!$A$1:$G$1,0))</f>
        <v>12.95</v>
      </c>
      <c r="T212">
        <f t="shared" si="19"/>
        <v>51.8</v>
      </c>
      <c r="U212">
        <f t="shared" si="22"/>
        <v>6.734</v>
      </c>
      <c r="V212">
        <f t="shared" si="23"/>
        <v>13</v>
      </c>
    </row>
    <row r="213" spans="1:22" x14ac:dyDescent="0.25">
      <c r="A213" t="s">
        <v>439</v>
      </c>
      <c r="B213">
        <v>44283</v>
      </c>
      <c r="C213" t="str">
        <f t="shared" si="20"/>
        <v>28</v>
      </c>
      <c r="D213" t="str">
        <f t="shared" si="18"/>
        <v>March</v>
      </c>
      <c r="E213" t="str">
        <f t="shared" si="21"/>
        <v>2021</v>
      </c>
      <c r="F213" t="s">
        <v>440</v>
      </c>
      <c r="G213" t="str">
        <f>VLOOKUP(F213,'Customers (2)'!A:I,2,0)</f>
        <v>Minette Whellans</v>
      </c>
      <c r="H213" t="str">
        <f>VLOOKUP(F213,'Customers (2)'!A:I,3,0)</f>
        <v>mwhellans5v@mapquest.com</v>
      </c>
      <c r="I213">
        <f>VLOOKUP(F213,'Customers (2)'!A:I,4,0)</f>
        <v>0</v>
      </c>
      <c r="J213" t="str">
        <f>VLOOKUP(F213,'Customers (2)'!A:I,6,0)</f>
        <v>New York City</v>
      </c>
      <c r="K213" t="str">
        <f>VLOOKUP(F213,'Customers (2)'!A:I,7,0)</f>
        <v>United States</v>
      </c>
      <c r="L213" t="str">
        <f>VLOOKUP(F213,'Customers (2)'!A:I,9,0)</f>
        <v>No</v>
      </c>
      <c r="M213" t="str">
        <f>VLOOKUP(N213,'Products (2)'!A:G,2,0)</f>
        <v>Excelsa</v>
      </c>
      <c r="N213" t="s">
        <v>176</v>
      </c>
      <c r="O213" t="str">
        <f>VLOOKUP(N213,'Products (2)'!A:G,3,0)</f>
        <v>Light</v>
      </c>
      <c r="P213">
        <f>VLOOKUP(N213,'Products (2)'!A:G,7,0)</f>
        <v>0.98009999999999997</v>
      </c>
      <c r="Q213">
        <v>6</v>
      </c>
      <c r="R213">
        <f>INDEX([1]products!$A$1:$G$49,MATCH([1]orders!$D213,[1]products!$A$1:$A$49,0),MATCH([1]orders!K$1,[1]products!$A$1:$G$1,0))</f>
        <v>0.5</v>
      </c>
      <c r="S213">
        <f>INDEX([1]products!$A$1:$G$49,MATCH([1]orders!$D213,[1]products!$A$1:$A$49,0),MATCH([1]orders!L$1,[1]products!$A$1:$G$1,0))</f>
        <v>8.91</v>
      </c>
      <c r="T213">
        <f t="shared" si="19"/>
        <v>53.46</v>
      </c>
      <c r="U213">
        <f t="shared" si="22"/>
        <v>5.8805999999999994</v>
      </c>
      <c r="V213">
        <f t="shared" si="23"/>
        <v>10.999999999999998</v>
      </c>
    </row>
    <row r="214" spans="1:22" x14ac:dyDescent="0.25">
      <c r="A214" t="s">
        <v>441</v>
      </c>
      <c r="B214">
        <v>43921</v>
      </c>
      <c r="C214" t="str">
        <f t="shared" si="20"/>
        <v>31</v>
      </c>
      <c r="D214" t="str">
        <f t="shared" si="18"/>
        <v>March</v>
      </c>
      <c r="E214" t="str">
        <f t="shared" si="21"/>
        <v>2020</v>
      </c>
      <c r="F214" t="s">
        <v>442</v>
      </c>
      <c r="G214" t="str">
        <f>VLOOKUP(F214,'Customers (2)'!A:I,2,0)</f>
        <v>Dael Camilletti</v>
      </c>
      <c r="H214" t="str">
        <f>VLOOKUP(F214,'Customers (2)'!A:I,3,0)</f>
        <v>dcamilletti5w@businesswire.com</v>
      </c>
      <c r="I214" t="str">
        <f>VLOOKUP(F214,'Customers (2)'!A:I,4,0)</f>
        <v>+1 (540) 722-6065</v>
      </c>
      <c r="J214" t="str">
        <f>VLOOKUP(F214,'Customers (2)'!A:I,6,0)</f>
        <v>Roanoke</v>
      </c>
      <c r="K214" t="str">
        <f>VLOOKUP(F214,'Customers (2)'!A:I,7,0)</f>
        <v>United States</v>
      </c>
      <c r="L214" t="str">
        <f>VLOOKUP(F214,'Customers (2)'!A:I,9,0)</f>
        <v>Yes</v>
      </c>
      <c r="M214" t="str">
        <f>VLOOKUP(N214,'Products (2)'!A:G,2,0)</f>
        <v>Excelsa</v>
      </c>
      <c r="N214" t="s">
        <v>51</v>
      </c>
      <c r="O214" t="str">
        <f>VLOOKUP(N214,'Products (2)'!A:G,3,0)</f>
        <v>Dark</v>
      </c>
      <c r="P214">
        <f>VLOOKUP(N214,'Products (2)'!A:G,7,0)</f>
        <v>0.40095000000000003</v>
      </c>
      <c r="Q214">
        <v>4</v>
      </c>
      <c r="R214">
        <f>INDEX([1]products!$A$1:$G$49,MATCH([1]orders!$D214,[1]products!$A$1:$A$49,0),MATCH([1]orders!K$1,[1]products!$A$1:$G$1,0))</f>
        <v>0.2</v>
      </c>
      <c r="S214">
        <f>INDEX([1]products!$A$1:$G$49,MATCH([1]orders!$D214,[1]products!$A$1:$A$49,0),MATCH([1]orders!L$1,[1]products!$A$1:$G$1,0))</f>
        <v>3.645</v>
      </c>
      <c r="T214">
        <f t="shared" si="19"/>
        <v>14.58</v>
      </c>
      <c r="U214">
        <f t="shared" si="22"/>
        <v>1.6038000000000001</v>
      </c>
      <c r="V214">
        <f t="shared" si="23"/>
        <v>11</v>
      </c>
    </row>
    <row r="215" spans="1:22" x14ac:dyDescent="0.25">
      <c r="A215" t="s">
        <v>443</v>
      </c>
      <c r="B215">
        <v>44646</v>
      </c>
      <c r="C215" t="str">
        <f t="shared" si="20"/>
        <v>26</v>
      </c>
      <c r="D215" t="str">
        <f t="shared" si="18"/>
        <v>March</v>
      </c>
      <c r="E215" t="str">
        <f t="shared" si="21"/>
        <v>2022</v>
      </c>
      <c r="F215" t="s">
        <v>444</v>
      </c>
      <c r="G215" t="str">
        <f>VLOOKUP(F215,'Customers (2)'!A:I,2,0)</f>
        <v>Emiline Galgey</v>
      </c>
      <c r="H215" t="str">
        <f>VLOOKUP(F215,'Customers (2)'!A:I,3,0)</f>
        <v>egalgey5x@wufoo.com</v>
      </c>
      <c r="I215" t="str">
        <f>VLOOKUP(F215,'Customers (2)'!A:I,4,0)</f>
        <v>+1 (718) 311-6732</v>
      </c>
      <c r="J215" t="str">
        <f>VLOOKUP(F215,'Customers (2)'!A:I,6,0)</f>
        <v>New York City</v>
      </c>
      <c r="K215" t="str">
        <f>VLOOKUP(F215,'Customers (2)'!A:I,7,0)</f>
        <v>United States</v>
      </c>
      <c r="L215" t="str">
        <f>VLOOKUP(F215,'Customers (2)'!A:I,9,0)</f>
        <v>No</v>
      </c>
      <c r="M215" t="str">
        <f>VLOOKUP(N215,'Products (2)'!A:G,2,0)</f>
        <v>Robusta</v>
      </c>
      <c r="N215" t="s">
        <v>35</v>
      </c>
      <c r="O215" t="str">
        <f>VLOOKUP(N215,'Products (2)'!A:G,3,0)</f>
        <v>Dark</v>
      </c>
      <c r="P215">
        <f>VLOOKUP(N215,'Products (2)'!A:G,7,0)</f>
        <v>1.2350999999999999</v>
      </c>
      <c r="Q215">
        <v>1</v>
      </c>
      <c r="R215">
        <f>INDEX([1]products!$A$1:$G$49,MATCH([1]orders!$D215,[1]products!$A$1:$A$49,0),MATCH([1]orders!K$1,[1]products!$A$1:$G$1,0))</f>
        <v>2.5</v>
      </c>
      <c r="S215">
        <f>INDEX([1]products!$A$1:$G$49,MATCH([1]orders!$D215,[1]products!$A$1:$A$49,0),MATCH([1]orders!L$1,[1]products!$A$1:$G$1,0))</f>
        <v>20.584999999999997</v>
      </c>
      <c r="T215">
        <f t="shared" si="19"/>
        <v>20.584999999999997</v>
      </c>
      <c r="U215">
        <f t="shared" si="22"/>
        <v>1.2350999999999999</v>
      </c>
      <c r="V215">
        <f t="shared" si="23"/>
        <v>6.0000000000000009</v>
      </c>
    </row>
    <row r="216" spans="1:22" x14ac:dyDescent="0.25">
      <c r="A216" t="s">
        <v>445</v>
      </c>
      <c r="B216">
        <v>43775</v>
      </c>
      <c r="C216" t="str">
        <f t="shared" si="20"/>
        <v>06</v>
      </c>
      <c r="D216" t="str">
        <f t="shared" si="18"/>
        <v>November</v>
      </c>
      <c r="E216" t="str">
        <f t="shared" si="21"/>
        <v>2019</v>
      </c>
      <c r="F216" t="s">
        <v>446</v>
      </c>
      <c r="G216" t="str">
        <f>VLOOKUP(F216,'Customers (2)'!A:I,2,0)</f>
        <v>Murdock Hame</v>
      </c>
      <c r="H216" t="str">
        <f>VLOOKUP(F216,'Customers (2)'!A:I,3,0)</f>
        <v>mhame5y@newsvine.com</v>
      </c>
      <c r="I216" t="str">
        <f>VLOOKUP(F216,'Customers (2)'!A:I,4,0)</f>
        <v>+353 (649) 297-0884</v>
      </c>
      <c r="J216" t="str">
        <f>VLOOKUP(F216,'Customers (2)'!A:I,6,0)</f>
        <v>Balally</v>
      </c>
      <c r="K216" t="str">
        <f>VLOOKUP(F216,'Customers (2)'!A:I,7,0)</f>
        <v>Ireland</v>
      </c>
      <c r="L216" t="str">
        <f>VLOOKUP(F216,'Customers (2)'!A:I,9,0)</f>
        <v>No</v>
      </c>
      <c r="M216" t="str">
        <f>VLOOKUP(N216,'Products (2)'!A:G,2,0)</f>
        <v>Liberica</v>
      </c>
      <c r="N216" t="s">
        <v>132</v>
      </c>
      <c r="O216" t="str">
        <f>VLOOKUP(N216,'Products (2)'!A:G,3,0)</f>
        <v>Light</v>
      </c>
      <c r="P216">
        <f>VLOOKUP(N216,'Products (2)'!A:G,7,0)</f>
        <v>2.0605000000000002</v>
      </c>
      <c r="Q216">
        <v>2</v>
      </c>
      <c r="R216">
        <f>INDEX([1]products!$A$1:$G$49,MATCH([1]orders!$D216,[1]products!$A$1:$A$49,0),MATCH([1]orders!K$1,[1]products!$A$1:$G$1,0))</f>
        <v>1</v>
      </c>
      <c r="S216">
        <f>INDEX([1]products!$A$1:$G$49,MATCH([1]orders!$D216,[1]products!$A$1:$A$49,0),MATCH([1]orders!L$1,[1]products!$A$1:$G$1,0))</f>
        <v>15.85</v>
      </c>
      <c r="T216">
        <f t="shared" si="19"/>
        <v>31.7</v>
      </c>
      <c r="U216">
        <f t="shared" si="22"/>
        <v>4.1210000000000004</v>
      </c>
      <c r="V216">
        <f t="shared" si="23"/>
        <v>13</v>
      </c>
    </row>
    <row r="217" spans="1:22" x14ac:dyDescent="0.25">
      <c r="A217" t="s">
        <v>447</v>
      </c>
      <c r="B217">
        <v>43829</v>
      </c>
      <c r="C217" t="str">
        <f t="shared" si="20"/>
        <v>30</v>
      </c>
      <c r="D217" t="str">
        <f t="shared" si="18"/>
        <v>December</v>
      </c>
      <c r="E217" t="str">
        <f t="shared" si="21"/>
        <v>2019</v>
      </c>
      <c r="F217" t="s">
        <v>448</v>
      </c>
      <c r="G217" t="str">
        <f>VLOOKUP(F217,'Customers (2)'!A:I,2,0)</f>
        <v>Ilka Gurnee</v>
      </c>
      <c r="H217" t="str">
        <f>VLOOKUP(F217,'Customers (2)'!A:I,3,0)</f>
        <v>igurnee5z@usnews.com</v>
      </c>
      <c r="I217" t="str">
        <f>VLOOKUP(F217,'Customers (2)'!A:I,4,0)</f>
        <v>+1 (801) 642-0352</v>
      </c>
      <c r="J217" t="str">
        <f>VLOOKUP(F217,'Customers (2)'!A:I,6,0)</f>
        <v>Salt Lake City</v>
      </c>
      <c r="K217" t="str">
        <f>VLOOKUP(F217,'Customers (2)'!A:I,7,0)</f>
        <v>United States</v>
      </c>
      <c r="L217" t="str">
        <f>VLOOKUP(F217,'Customers (2)'!A:I,9,0)</f>
        <v>No</v>
      </c>
      <c r="M217" t="str">
        <f>VLOOKUP(N217,'Products (2)'!A:G,2,0)</f>
        <v>Liberica</v>
      </c>
      <c r="N217" t="s">
        <v>38</v>
      </c>
      <c r="O217" t="str">
        <f>VLOOKUP(N217,'Products (2)'!A:G,3,0)</f>
        <v>Dark</v>
      </c>
      <c r="P217">
        <f>VLOOKUP(N217,'Products (2)'!A:G,7,0)</f>
        <v>0.50505</v>
      </c>
      <c r="Q217">
        <v>6</v>
      </c>
      <c r="R217">
        <f>INDEX([1]products!$A$1:$G$49,MATCH([1]orders!$D217,[1]products!$A$1:$A$49,0),MATCH([1]orders!K$1,[1]products!$A$1:$G$1,0))</f>
        <v>0.2</v>
      </c>
      <c r="S217">
        <f>INDEX([1]products!$A$1:$G$49,MATCH([1]orders!$D217,[1]products!$A$1:$A$49,0),MATCH([1]orders!L$1,[1]products!$A$1:$G$1,0))</f>
        <v>3.8849999999999998</v>
      </c>
      <c r="T217">
        <f t="shared" si="19"/>
        <v>23.31</v>
      </c>
      <c r="U217">
        <f t="shared" si="22"/>
        <v>3.0303</v>
      </c>
      <c r="V217">
        <f t="shared" si="23"/>
        <v>13</v>
      </c>
    </row>
    <row r="218" spans="1:22" x14ac:dyDescent="0.25">
      <c r="A218" t="s">
        <v>449</v>
      </c>
      <c r="B218">
        <v>44470</v>
      </c>
      <c r="C218" t="str">
        <f t="shared" si="20"/>
        <v>01</v>
      </c>
      <c r="D218" t="str">
        <f t="shared" si="18"/>
        <v>October</v>
      </c>
      <c r="E218" t="str">
        <f t="shared" si="21"/>
        <v>2021</v>
      </c>
      <c r="F218" t="s">
        <v>450</v>
      </c>
      <c r="G218" t="str">
        <f>VLOOKUP(F218,'Customers (2)'!A:I,2,0)</f>
        <v>Alfy Snowding</v>
      </c>
      <c r="H218" t="str">
        <f>VLOOKUP(F218,'Customers (2)'!A:I,3,0)</f>
        <v>asnowding60@comsenz.com</v>
      </c>
      <c r="I218" t="str">
        <f>VLOOKUP(F218,'Customers (2)'!A:I,4,0)</f>
        <v>+1 (419) 996-2492</v>
      </c>
      <c r="J218" t="str">
        <f>VLOOKUP(F218,'Customers (2)'!A:I,6,0)</f>
        <v>Toledo</v>
      </c>
      <c r="K218" t="str">
        <f>VLOOKUP(F218,'Customers (2)'!A:I,7,0)</f>
        <v>United States</v>
      </c>
      <c r="L218" t="str">
        <f>VLOOKUP(F218,'Customers (2)'!A:I,9,0)</f>
        <v>Yes</v>
      </c>
      <c r="M218" t="str">
        <f>VLOOKUP(N218,'Products (2)'!A:G,2,0)</f>
        <v>Liberica</v>
      </c>
      <c r="N218" t="s">
        <v>96</v>
      </c>
      <c r="O218" t="str">
        <f>VLOOKUP(N218,'Products (2)'!A:G,3,0)</f>
        <v>Medium</v>
      </c>
      <c r="P218">
        <f>VLOOKUP(N218,'Products (2)'!A:G,7,0)</f>
        <v>1.8915000000000002</v>
      </c>
      <c r="Q218">
        <v>4</v>
      </c>
      <c r="R218">
        <f>INDEX([1]products!$A$1:$G$49,MATCH([1]orders!$D218,[1]products!$A$1:$A$49,0),MATCH([1]orders!K$1,[1]products!$A$1:$G$1,0))</f>
        <v>1</v>
      </c>
      <c r="S218">
        <f>INDEX([1]products!$A$1:$G$49,MATCH([1]orders!$D218,[1]products!$A$1:$A$49,0),MATCH([1]orders!L$1,[1]products!$A$1:$G$1,0))</f>
        <v>14.55</v>
      </c>
      <c r="T218">
        <f t="shared" si="19"/>
        <v>58.2</v>
      </c>
      <c r="U218">
        <f t="shared" si="22"/>
        <v>7.5660000000000007</v>
      </c>
      <c r="V218">
        <f t="shared" si="23"/>
        <v>13</v>
      </c>
    </row>
    <row r="219" spans="1:22" x14ac:dyDescent="0.25">
      <c r="A219" t="s">
        <v>451</v>
      </c>
      <c r="B219">
        <v>44174</v>
      </c>
      <c r="C219" t="str">
        <f t="shared" si="20"/>
        <v>09</v>
      </c>
      <c r="D219" t="str">
        <f t="shared" si="18"/>
        <v>December</v>
      </c>
      <c r="E219" t="str">
        <f t="shared" si="21"/>
        <v>2020</v>
      </c>
      <c r="F219" t="s">
        <v>452</v>
      </c>
      <c r="G219" t="str">
        <f>VLOOKUP(F219,'Customers (2)'!A:I,2,0)</f>
        <v>Godfry Poinsett</v>
      </c>
      <c r="H219" t="str">
        <f>VLOOKUP(F219,'Customers (2)'!A:I,3,0)</f>
        <v>gpoinsett61@berkeley.edu</v>
      </c>
      <c r="I219" t="str">
        <f>VLOOKUP(F219,'Customers (2)'!A:I,4,0)</f>
        <v>+1 (626) 451-7397</v>
      </c>
      <c r="J219" t="str">
        <f>VLOOKUP(F219,'Customers (2)'!A:I,6,0)</f>
        <v>Pasadena</v>
      </c>
      <c r="K219" t="str">
        <f>VLOOKUP(F219,'Customers (2)'!A:I,7,0)</f>
        <v>United States</v>
      </c>
      <c r="L219" t="str">
        <f>VLOOKUP(F219,'Customers (2)'!A:I,9,0)</f>
        <v>No</v>
      </c>
      <c r="M219" t="str">
        <f>VLOOKUP(N219,'Products (2)'!A:G,2,0)</f>
        <v>Excelsa</v>
      </c>
      <c r="N219" t="s">
        <v>176</v>
      </c>
      <c r="O219" t="str">
        <f>VLOOKUP(N219,'Products (2)'!A:G,3,0)</f>
        <v>Light</v>
      </c>
      <c r="P219">
        <f>VLOOKUP(N219,'Products (2)'!A:G,7,0)</f>
        <v>0.98009999999999997</v>
      </c>
      <c r="Q219">
        <v>4</v>
      </c>
      <c r="R219">
        <f>INDEX([1]products!$A$1:$G$49,MATCH([1]orders!$D219,[1]products!$A$1:$A$49,0),MATCH([1]orders!K$1,[1]products!$A$1:$G$1,0))</f>
        <v>0.5</v>
      </c>
      <c r="S219">
        <f>INDEX([1]products!$A$1:$G$49,MATCH([1]orders!$D219,[1]products!$A$1:$A$49,0),MATCH([1]orders!L$1,[1]products!$A$1:$G$1,0))</f>
        <v>8.91</v>
      </c>
      <c r="T219">
        <f t="shared" si="19"/>
        <v>35.64</v>
      </c>
      <c r="U219">
        <f t="shared" si="22"/>
        <v>3.9203999999999999</v>
      </c>
      <c r="V219">
        <f t="shared" si="23"/>
        <v>11</v>
      </c>
    </row>
    <row r="220" spans="1:22" x14ac:dyDescent="0.25">
      <c r="A220" t="s">
        <v>453</v>
      </c>
      <c r="B220">
        <v>44317</v>
      </c>
      <c r="C220" t="str">
        <f t="shared" si="20"/>
        <v>01</v>
      </c>
      <c r="D220" t="str">
        <f t="shared" si="18"/>
        <v>May</v>
      </c>
      <c r="E220" t="str">
        <f t="shared" si="21"/>
        <v>2021</v>
      </c>
      <c r="F220" t="s">
        <v>454</v>
      </c>
      <c r="G220" t="str">
        <f>VLOOKUP(F220,'Customers (2)'!A:I,2,0)</f>
        <v>Rem Furman</v>
      </c>
      <c r="H220" t="str">
        <f>VLOOKUP(F220,'Customers (2)'!A:I,3,0)</f>
        <v>rfurman62@t.co</v>
      </c>
      <c r="I220" t="str">
        <f>VLOOKUP(F220,'Customers (2)'!A:I,4,0)</f>
        <v>+353 (829) 808-4788</v>
      </c>
      <c r="J220" t="str">
        <f>VLOOKUP(F220,'Customers (2)'!A:I,6,0)</f>
        <v>Kinsale</v>
      </c>
      <c r="K220" t="str">
        <f>VLOOKUP(F220,'Customers (2)'!A:I,7,0)</f>
        <v>Ireland</v>
      </c>
      <c r="L220" t="str">
        <f>VLOOKUP(F220,'Customers (2)'!A:I,9,0)</f>
        <v>Yes</v>
      </c>
      <c r="M220" t="str">
        <f>VLOOKUP(N220,'Products (2)'!A:G,2,0)</f>
        <v>Arabica</v>
      </c>
      <c r="N220" t="s">
        <v>61</v>
      </c>
      <c r="O220" t="str">
        <f>VLOOKUP(N220,'Products (2)'!A:G,3,0)</f>
        <v>Medium</v>
      </c>
      <c r="P220">
        <f>VLOOKUP(N220,'Products (2)'!A:G,7,0)</f>
        <v>1.0125</v>
      </c>
      <c r="Q220">
        <v>5</v>
      </c>
      <c r="R220">
        <f>INDEX([1]products!$A$1:$G$49,MATCH([1]orders!$D220,[1]products!$A$1:$A$49,0),MATCH([1]orders!K$1,[1]products!$A$1:$G$1,0))</f>
        <v>1</v>
      </c>
      <c r="S220">
        <f>INDEX([1]products!$A$1:$G$49,MATCH([1]orders!$D220,[1]products!$A$1:$A$49,0),MATCH([1]orders!L$1,[1]products!$A$1:$G$1,0))</f>
        <v>11.25</v>
      </c>
      <c r="T220">
        <f t="shared" si="19"/>
        <v>56.25</v>
      </c>
      <c r="U220">
        <f t="shared" si="22"/>
        <v>5.0625</v>
      </c>
      <c r="V220">
        <f t="shared" si="23"/>
        <v>9</v>
      </c>
    </row>
    <row r="221" spans="1:22" x14ac:dyDescent="0.25">
      <c r="A221" t="s">
        <v>455</v>
      </c>
      <c r="B221">
        <v>44777</v>
      </c>
      <c r="C221" t="str">
        <f t="shared" si="20"/>
        <v>04</v>
      </c>
      <c r="D221" t="str">
        <f t="shared" si="18"/>
        <v>August</v>
      </c>
      <c r="E221" t="str">
        <f t="shared" si="21"/>
        <v>2022</v>
      </c>
      <c r="F221" t="s">
        <v>456</v>
      </c>
      <c r="G221" t="str">
        <f>VLOOKUP(F221,'Customers (2)'!A:I,2,0)</f>
        <v>Charis Crosier</v>
      </c>
      <c r="H221" t="str">
        <f>VLOOKUP(F221,'Customers (2)'!A:I,3,0)</f>
        <v>ccrosier63@xrea.com</v>
      </c>
      <c r="I221" t="str">
        <f>VLOOKUP(F221,'Customers (2)'!A:I,4,0)</f>
        <v>+1 (816) 578-2743</v>
      </c>
      <c r="J221" t="str">
        <f>VLOOKUP(F221,'Customers (2)'!A:I,6,0)</f>
        <v>Lees Summit</v>
      </c>
      <c r="K221" t="str">
        <f>VLOOKUP(F221,'Customers (2)'!A:I,7,0)</f>
        <v>United States</v>
      </c>
      <c r="L221" t="str">
        <f>VLOOKUP(F221,'Customers (2)'!A:I,9,0)</f>
        <v>No</v>
      </c>
      <c r="M221" t="str">
        <f>VLOOKUP(N221,'Products (2)'!A:G,2,0)</f>
        <v>Robusta</v>
      </c>
      <c r="N221" t="s">
        <v>182</v>
      </c>
      <c r="O221" t="str">
        <f>VLOOKUP(N221,'Products (2)'!A:G,3,0)</f>
        <v>Light</v>
      </c>
      <c r="P221">
        <f>VLOOKUP(N221,'Products (2)'!A:G,7,0)</f>
        <v>0.21509999999999996</v>
      </c>
      <c r="Q221">
        <v>3</v>
      </c>
      <c r="R221">
        <f>INDEX([1]products!$A$1:$G$49,MATCH([1]orders!$D221,[1]products!$A$1:$A$49,0),MATCH([1]orders!K$1,[1]products!$A$1:$G$1,0))</f>
        <v>0.2</v>
      </c>
      <c r="S221">
        <f>INDEX([1]products!$A$1:$G$49,MATCH([1]orders!$D221,[1]products!$A$1:$A$49,0),MATCH([1]orders!L$1,[1]products!$A$1:$G$1,0))</f>
        <v>3.5849999999999995</v>
      </c>
      <c r="T221">
        <f t="shared" si="19"/>
        <v>10.754999999999999</v>
      </c>
      <c r="U221">
        <f t="shared" si="22"/>
        <v>0.64529999999999987</v>
      </c>
      <c r="V221">
        <f t="shared" si="23"/>
        <v>5.9999999999999991</v>
      </c>
    </row>
    <row r="222" spans="1:22" x14ac:dyDescent="0.25">
      <c r="A222" t="s">
        <v>455</v>
      </c>
      <c r="B222">
        <v>44777</v>
      </c>
      <c r="C222" t="str">
        <f t="shared" si="20"/>
        <v>04</v>
      </c>
      <c r="D222" t="str">
        <f t="shared" si="18"/>
        <v>August</v>
      </c>
      <c r="E222" t="str">
        <f t="shared" si="21"/>
        <v>2022</v>
      </c>
      <c r="F222" t="s">
        <v>456</v>
      </c>
      <c r="G222" t="str">
        <f>VLOOKUP(F222,'Customers (2)'!A:I,2,0)</f>
        <v>Charis Crosier</v>
      </c>
      <c r="H222" t="str">
        <f>VLOOKUP(F222,'Customers (2)'!A:I,3,0)</f>
        <v>ccrosier63@xrea.com</v>
      </c>
      <c r="I222" t="str">
        <f>VLOOKUP(F222,'Customers (2)'!A:I,4,0)</f>
        <v>+1 (816) 578-2743</v>
      </c>
      <c r="J222" t="str">
        <f>VLOOKUP(F222,'Customers (2)'!A:I,6,0)</f>
        <v>Lees Summit</v>
      </c>
      <c r="K222" t="str">
        <f>VLOOKUP(F222,'Customers (2)'!A:I,7,0)</f>
        <v>United States</v>
      </c>
      <c r="L222" t="str">
        <f>VLOOKUP(F222,'Customers (2)'!A:I,9,0)</f>
        <v>No</v>
      </c>
      <c r="M222" t="str">
        <f>VLOOKUP(N222,'Products (2)'!A:G,2,0)</f>
        <v>Robusta</v>
      </c>
      <c r="N222" t="s">
        <v>162</v>
      </c>
      <c r="O222" t="str">
        <f>VLOOKUP(N222,'Products (2)'!A:G,3,0)</f>
        <v>Medium</v>
      </c>
      <c r="P222">
        <f>VLOOKUP(N222,'Products (2)'!A:G,7,0)</f>
        <v>0.17909999999999998</v>
      </c>
      <c r="Q222">
        <v>5</v>
      </c>
      <c r="R222">
        <f>INDEX([1]products!$A$1:$G$49,MATCH([1]orders!$D222,[1]products!$A$1:$A$49,0),MATCH([1]orders!K$1,[1]products!$A$1:$G$1,0))</f>
        <v>0.2</v>
      </c>
      <c r="S222">
        <f>INDEX([1]products!$A$1:$G$49,MATCH([1]orders!$D222,[1]products!$A$1:$A$49,0),MATCH([1]orders!L$1,[1]products!$A$1:$G$1,0))</f>
        <v>2.9849999999999999</v>
      </c>
      <c r="T222">
        <f t="shared" si="19"/>
        <v>14.924999999999999</v>
      </c>
      <c r="U222">
        <f t="shared" si="22"/>
        <v>0.89549999999999996</v>
      </c>
      <c r="V222">
        <f t="shared" si="23"/>
        <v>6.0000000000000009</v>
      </c>
    </row>
    <row r="223" spans="1:22" x14ac:dyDescent="0.25">
      <c r="A223" t="s">
        <v>457</v>
      </c>
      <c r="B223">
        <v>44513</v>
      </c>
      <c r="C223" t="str">
        <f t="shared" si="20"/>
        <v>13</v>
      </c>
      <c r="D223" t="str">
        <f t="shared" si="18"/>
        <v>November</v>
      </c>
      <c r="E223" t="str">
        <f t="shared" si="21"/>
        <v>2021</v>
      </c>
      <c r="F223" t="s">
        <v>458</v>
      </c>
      <c r="G223" t="str">
        <f>VLOOKUP(F223,'Customers (2)'!A:I,2,0)</f>
        <v>Lenka Rushmer</v>
      </c>
      <c r="H223" t="str">
        <f>VLOOKUP(F223,'Customers (2)'!A:I,3,0)</f>
        <v>lrushmer65@europa.eu</v>
      </c>
      <c r="I223" t="str">
        <f>VLOOKUP(F223,'Customers (2)'!A:I,4,0)</f>
        <v>+1 (949) 869-7598</v>
      </c>
      <c r="J223" t="str">
        <f>VLOOKUP(F223,'Customers (2)'!A:I,6,0)</f>
        <v>Irvine</v>
      </c>
      <c r="K223" t="str">
        <f>VLOOKUP(F223,'Customers (2)'!A:I,7,0)</f>
        <v>United States</v>
      </c>
      <c r="L223" t="str">
        <f>VLOOKUP(F223,'Customers (2)'!A:I,9,0)</f>
        <v>Yes</v>
      </c>
      <c r="M223" t="str">
        <f>VLOOKUP(N223,'Products (2)'!A:G,2,0)</f>
        <v>Arabica</v>
      </c>
      <c r="N223" t="s">
        <v>6</v>
      </c>
      <c r="O223" t="str">
        <f>VLOOKUP(N223,'Products (2)'!A:G,3,0)</f>
        <v>Light</v>
      </c>
      <c r="P223">
        <f>VLOOKUP(N223,'Products (2)'!A:G,7,0)</f>
        <v>1.1655</v>
      </c>
      <c r="Q223">
        <v>6</v>
      </c>
      <c r="R223">
        <f>INDEX([1]products!$A$1:$G$49,MATCH([1]orders!$D223,[1]products!$A$1:$A$49,0),MATCH([1]orders!K$1,[1]products!$A$1:$G$1,0))</f>
        <v>1</v>
      </c>
      <c r="S223">
        <f>INDEX([1]products!$A$1:$G$49,MATCH([1]orders!$D223,[1]products!$A$1:$A$49,0),MATCH([1]orders!L$1,[1]products!$A$1:$G$1,0))</f>
        <v>12.95</v>
      </c>
      <c r="T223">
        <f t="shared" si="19"/>
        <v>77.699999999999989</v>
      </c>
      <c r="U223">
        <f t="shared" si="22"/>
        <v>6.9930000000000003</v>
      </c>
      <c r="V223">
        <f t="shared" si="23"/>
        <v>9.0000000000000018</v>
      </c>
    </row>
    <row r="224" spans="1:22" x14ac:dyDescent="0.25">
      <c r="A224" t="s">
        <v>459</v>
      </c>
      <c r="B224">
        <v>44090</v>
      </c>
      <c r="C224" t="str">
        <f t="shared" si="20"/>
        <v>16</v>
      </c>
      <c r="D224" t="str">
        <f t="shared" si="18"/>
        <v>September</v>
      </c>
      <c r="E224" t="str">
        <f t="shared" si="21"/>
        <v>2020</v>
      </c>
      <c r="F224" t="s">
        <v>460</v>
      </c>
      <c r="G224" t="str">
        <f>VLOOKUP(F224,'Customers (2)'!A:I,2,0)</f>
        <v>Waneta Edinborough</v>
      </c>
      <c r="H224" t="str">
        <f>VLOOKUP(F224,'Customers (2)'!A:I,3,0)</f>
        <v>wedinborough66@github.io</v>
      </c>
      <c r="I224" t="str">
        <f>VLOOKUP(F224,'Customers (2)'!A:I,4,0)</f>
        <v>+1 (516) 445-4950</v>
      </c>
      <c r="J224" t="str">
        <f>VLOOKUP(F224,'Customers (2)'!A:I,6,0)</f>
        <v>Hicksville</v>
      </c>
      <c r="K224" t="str">
        <f>VLOOKUP(F224,'Customers (2)'!A:I,7,0)</f>
        <v>United States</v>
      </c>
      <c r="L224" t="str">
        <f>VLOOKUP(F224,'Customers (2)'!A:I,9,0)</f>
        <v>No</v>
      </c>
      <c r="M224" t="str">
        <f>VLOOKUP(N224,'Products (2)'!A:G,2,0)</f>
        <v>Liberica</v>
      </c>
      <c r="N224" t="s">
        <v>123</v>
      </c>
      <c r="O224" t="str">
        <f>VLOOKUP(N224,'Products (2)'!A:G,3,0)</f>
        <v>Dark</v>
      </c>
      <c r="P224">
        <f>VLOOKUP(N224,'Products (2)'!A:G,7,0)</f>
        <v>1.0101</v>
      </c>
      <c r="Q224">
        <v>3</v>
      </c>
      <c r="R224">
        <f>INDEX([1]products!$A$1:$G$49,MATCH([1]orders!$D224,[1]products!$A$1:$A$49,0),MATCH([1]orders!K$1,[1]products!$A$1:$G$1,0))</f>
        <v>0.5</v>
      </c>
      <c r="S224">
        <f>INDEX([1]products!$A$1:$G$49,MATCH([1]orders!$D224,[1]products!$A$1:$A$49,0),MATCH([1]orders!L$1,[1]products!$A$1:$G$1,0))</f>
        <v>7.77</v>
      </c>
      <c r="T224">
        <f t="shared" si="19"/>
        <v>23.31</v>
      </c>
      <c r="U224">
        <f t="shared" si="22"/>
        <v>3.0303</v>
      </c>
      <c r="V224">
        <f t="shared" si="23"/>
        <v>13</v>
      </c>
    </row>
    <row r="225" spans="1:22" x14ac:dyDescent="0.25">
      <c r="A225" t="s">
        <v>461</v>
      </c>
      <c r="B225">
        <v>44109</v>
      </c>
      <c r="C225" t="str">
        <f t="shared" si="20"/>
        <v>05</v>
      </c>
      <c r="D225" t="str">
        <f t="shared" si="18"/>
        <v>October</v>
      </c>
      <c r="E225" t="str">
        <f t="shared" si="21"/>
        <v>2020</v>
      </c>
      <c r="F225" t="s">
        <v>462</v>
      </c>
      <c r="G225" t="str">
        <f>VLOOKUP(F225,'Customers (2)'!A:I,2,0)</f>
        <v>Bobbe Piggott</v>
      </c>
      <c r="H225">
        <f>VLOOKUP(F225,'Customers (2)'!A:I,3,0)</f>
        <v>0</v>
      </c>
      <c r="I225" t="str">
        <f>VLOOKUP(F225,'Customers (2)'!A:I,4,0)</f>
        <v>+1 (202) 650-1803</v>
      </c>
      <c r="J225" t="str">
        <f>VLOOKUP(F225,'Customers (2)'!A:I,6,0)</f>
        <v>Washington</v>
      </c>
      <c r="K225" t="str">
        <f>VLOOKUP(F225,'Customers (2)'!A:I,7,0)</f>
        <v>United States</v>
      </c>
      <c r="L225" t="str">
        <f>VLOOKUP(F225,'Customers (2)'!A:I,9,0)</f>
        <v>Yes</v>
      </c>
      <c r="M225" t="str">
        <f>VLOOKUP(N225,'Products (2)'!A:G,2,0)</f>
        <v>Excelsa</v>
      </c>
      <c r="N225" t="s">
        <v>137</v>
      </c>
      <c r="O225" t="str">
        <f>VLOOKUP(N225,'Products (2)'!A:G,3,0)</f>
        <v>Light</v>
      </c>
      <c r="P225">
        <f>VLOOKUP(N225,'Products (2)'!A:G,7,0)</f>
        <v>1.6335</v>
      </c>
      <c r="Q225">
        <v>4</v>
      </c>
      <c r="R225">
        <f>INDEX([1]products!$A$1:$G$49,MATCH([1]orders!$D225,[1]products!$A$1:$A$49,0),MATCH([1]orders!K$1,[1]products!$A$1:$G$1,0))</f>
        <v>1</v>
      </c>
      <c r="S225">
        <f>INDEX([1]products!$A$1:$G$49,MATCH([1]orders!$D225,[1]products!$A$1:$A$49,0),MATCH([1]orders!L$1,[1]products!$A$1:$G$1,0))</f>
        <v>14.85</v>
      </c>
      <c r="T225">
        <f t="shared" si="19"/>
        <v>59.4</v>
      </c>
      <c r="U225">
        <f t="shared" si="22"/>
        <v>6.5339999999999998</v>
      </c>
      <c r="V225">
        <f t="shared" si="23"/>
        <v>11</v>
      </c>
    </row>
    <row r="226" spans="1:22" x14ac:dyDescent="0.25">
      <c r="A226" t="s">
        <v>463</v>
      </c>
      <c r="B226">
        <v>43836</v>
      </c>
      <c r="C226" t="str">
        <f t="shared" si="20"/>
        <v>06</v>
      </c>
      <c r="D226" t="str">
        <f t="shared" si="18"/>
        <v>January</v>
      </c>
      <c r="E226" t="str">
        <f t="shared" si="21"/>
        <v>2020</v>
      </c>
      <c r="F226" t="s">
        <v>464</v>
      </c>
      <c r="G226" t="str">
        <f>VLOOKUP(F226,'Customers (2)'!A:I,2,0)</f>
        <v>Ketty Bromehead</v>
      </c>
      <c r="H226" t="str">
        <f>VLOOKUP(F226,'Customers (2)'!A:I,3,0)</f>
        <v>kbromehead68@un.org</v>
      </c>
      <c r="I226" t="str">
        <f>VLOOKUP(F226,'Customers (2)'!A:I,4,0)</f>
        <v>+1 (646) 586-9964</v>
      </c>
      <c r="J226" t="str">
        <f>VLOOKUP(F226,'Customers (2)'!A:I,6,0)</f>
        <v>New York City</v>
      </c>
      <c r="K226" t="str">
        <f>VLOOKUP(F226,'Customers (2)'!A:I,7,0)</f>
        <v>United States</v>
      </c>
      <c r="L226" t="str">
        <f>VLOOKUP(F226,'Customers (2)'!A:I,9,0)</f>
        <v>Yes</v>
      </c>
      <c r="M226" t="str">
        <f>VLOOKUP(N226,'Products (2)'!A:G,2,0)</f>
        <v>Liberica</v>
      </c>
      <c r="N226" t="s">
        <v>109</v>
      </c>
      <c r="O226" t="str">
        <f>VLOOKUP(N226,'Products (2)'!A:G,3,0)</f>
        <v>Dark</v>
      </c>
      <c r="P226">
        <f>VLOOKUP(N226,'Products (2)'!A:G,7,0)</f>
        <v>3.8720499999999998</v>
      </c>
      <c r="Q226">
        <v>4</v>
      </c>
      <c r="R226">
        <f>INDEX([1]products!$A$1:$G$49,MATCH([1]orders!$D226,[1]products!$A$1:$A$49,0),MATCH([1]orders!K$1,[1]products!$A$1:$G$1,0))</f>
        <v>2.5</v>
      </c>
      <c r="S226">
        <f>INDEX([1]products!$A$1:$G$49,MATCH([1]orders!$D226,[1]products!$A$1:$A$49,0),MATCH([1]orders!L$1,[1]products!$A$1:$G$1,0))</f>
        <v>29.784999999999997</v>
      </c>
      <c r="T226">
        <f t="shared" si="19"/>
        <v>119.13999999999999</v>
      </c>
      <c r="U226">
        <f t="shared" si="22"/>
        <v>15.488199999999999</v>
      </c>
      <c r="V226">
        <f t="shared" si="23"/>
        <v>13</v>
      </c>
    </row>
    <row r="227" spans="1:22" x14ac:dyDescent="0.25">
      <c r="A227" t="s">
        <v>465</v>
      </c>
      <c r="B227">
        <v>44337</v>
      </c>
      <c r="C227" t="str">
        <f t="shared" si="20"/>
        <v>21</v>
      </c>
      <c r="D227" t="str">
        <f t="shared" si="18"/>
        <v>May</v>
      </c>
      <c r="E227" t="str">
        <f t="shared" si="21"/>
        <v>2021</v>
      </c>
      <c r="F227" t="s">
        <v>466</v>
      </c>
      <c r="G227" t="str">
        <f>VLOOKUP(F227,'Customers (2)'!A:I,2,0)</f>
        <v>Elsbeth Westerman</v>
      </c>
      <c r="H227" t="str">
        <f>VLOOKUP(F227,'Customers (2)'!A:I,3,0)</f>
        <v>ewesterman69@si.edu</v>
      </c>
      <c r="I227" t="str">
        <f>VLOOKUP(F227,'Customers (2)'!A:I,4,0)</f>
        <v>+353 (343) 455-4020</v>
      </c>
      <c r="J227" t="str">
        <f>VLOOKUP(F227,'Customers (2)'!A:I,6,0)</f>
        <v>Newmarket on Fergus</v>
      </c>
      <c r="K227" t="str">
        <f>VLOOKUP(F227,'Customers (2)'!A:I,7,0)</f>
        <v>Ireland</v>
      </c>
      <c r="L227" t="str">
        <f>VLOOKUP(F227,'Customers (2)'!A:I,9,0)</f>
        <v>No</v>
      </c>
      <c r="M227" t="str">
        <f>VLOOKUP(N227,'Products (2)'!A:G,2,0)</f>
        <v>Robusta</v>
      </c>
      <c r="N227" t="s">
        <v>182</v>
      </c>
      <c r="O227" t="str">
        <f>VLOOKUP(N227,'Products (2)'!A:G,3,0)</f>
        <v>Light</v>
      </c>
      <c r="P227">
        <f>VLOOKUP(N227,'Products (2)'!A:G,7,0)</f>
        <v>0.21509999999999996</v>
      </c>
      <c r="Q227">
        <v>4</v>
      </c>
      <c r="R227">
        <f>INDEX([1]products!$A$1:$G$49,MATCH([1]orders!$D227,[1]products!$A$1:$A$49,0),MATCH([1]orders!K$1,[1]products!$A$1:$G$1,0))</f>
        <v>0.2</v>
      </c>
      <c r="S227">
        <f>INDEX([1]products!$A$1:$G$49,MATCH([1]orders!$D227,[1]products!$A$1:$A$49,0),MATCH([1]orders!L$1,[1]products!$A$1:$G$1,0))</f>
        <v>3.5849999999999995</v>
      </c>
      <c r="T227">
        <f t="shared" si="19"/>
        <v>14.339999999999998</v>
      </c>
      <c r="U227">
        <f t="shared" si="22"/>
        <v>0.86039999999999983</v>
      </c>
      <c r="V227">
        <f t="shared" si="23"/>
        <v>6</v>
      </c>
    </row>
    <row r="228" spans="1:22" x14ac:dyDescent="0.25">
      <c r="A228" t="s">
        <v>467</v>
      </c>
      <c r="B228">
        <v>43887</v>
      </c>
      <c r="C228" t="str">
        <f t="shared" si="20"/>
        <v>26</v>
      </c>
      <c r="D228" t="str">
        <f t="shared" si="18"/>
        <v>February</v>
      </c>
      <c r="E228" t="str">
        <f t="shared" si="21"/>
        <v>2020</v>
      </c>
      <c r="F228" t="s">
        <v>468</v>
      </c>
      <c r="G228" t="str">
        <f>VLOOKUP(F228,'Customers (2)'!A:I,2,0)</f>
        <v>Anabelle Hutchens</v>
      </c>
      <c r="H228" t="str">
        <f>VLOOKUP(F228,'Customers (2)'!A:I,3,0)</f>
        <v>ahutchens6a@amazonaws.com</v>
      </c>
      <c r="I228" t="str">
        <f>VLOOKUP(F228,'Customers (2)'!A:I,4,0)</f>
        <v>+1 (913) 108-5997</v>
      </c>
      <c r="J228" t="str">
        <f>VLOOKUP(F228,'Customers (2)'!A:I,6,0)</f>
        <v>Shawnee Mission</v>
      </c>
      <c r="K228" t="str">
        <f>VLOOKUP(F228,'Customers (2)'!A:I,7,0)</f>
        <v>United States</v>
      </c>
      <c r="L228" t="str">
        <f>VLOOKUP(F228,'Customers (2)'!A:I,9,0)</f>
        <v>No</v>
      </c>
      <c r="M228" t="str">
        <f>VLOOKUP(N228,'Products (2)'!A:G,2,0)</f>
        <v>Arabica</v>
      </c>
      <c r="N228" t="s">
        <v>171</v>
      </c>
      <c r="O228" t="str">
        <f>VLOOKUP(N228,'Products (2)'!A:G,3,0)</f>
        <v>Medium</v>
      </c>
      <c r="P228">
        <f>VLOOKUP(N228,'Products (2)'!A:G,7,0)</f>
        <v>2.3287499999999994</v>
      </c>
      <c r="Q228">
        <v>5</v>
      </c>
      <c r="R228">
        <f>INDEX([1]products!$A$1:$G$49,MATCH([1]orders!$D228,[1]products!$A$1:$A$49,0),MATCH([1]orders!K$1,[1]products!$A$1:$G$1,0))</f>
        <v>2.5</v>
      </c>
      <c r="S228">
        <f>INDEX([1]products!$A$1:$G$49,MATCH([1]orders!$D228,[1]products!$A$1:$A$49,0),MATCH([1]orders!L$1,[1]products!$A$1:$G$1,0))</f>
        <v>25.874999999999996</v>
      </c>
      <c r="T228">
        <f t="shared" si="19"/>
        <v>129.37499999999997</v>
      </c>
      <c r="U228">
        <f t="shared" si="22"/>
        <v>11.643749999999997</v>
      </c>
      <c r="V228">
        <f t="shared" si="23"/>
        <v>9</v>
      </c>
    </row>
    <row r="229" spans="1:22" x14ac:dyDescent="0.25">
      <c r="A229" t="s">
        <v>469</v>
      </c>
      <c r="B229">
        <v>43880</v>
      </c>
      <c r="C229" t="str">
        <f t="shared" si="20"/>
        <v>19</v>
      </c>
      <c r="D229" t="str">
        <f t="shared" si="18"/>
        <v>February</v>
      </c>
      <c r="E229" t="str">
        <f t="shared" si="21"/>
        <v>2020</v>
      </c>
      <c r="F229" t="s">
        <v>470</v>
      </c>
      <c r="G229" t="str">
        <f>VLOOKUP(F229,'Customers (2)'!A:I,2,0)</f>
        <v>Noak Wyvill</v>
      </c>
      <c r="H229" t="str">
        <f>VLOOKUP(F229,'Customers (2)'!A:I,3,0)</f>
        <v>nwyvill6b@naver.com</v>
      </c>
      <c r="I229" t="str">
        <f>VLOOKUP(F229,'Customers (2)'!A:I,4,0)</f>
        <v>+44 (872) 383-2829</v>
      </c>
      <c r="J229" t="str">
        <f>VLOOKUP(F229,'Customers (2)'!A:I,6,0)</f>
        <v>Edinburgh</v>
      </c>
      <c r="K229" t="str">
        <f>VLOOKUP(F229,'Customers (2)'!A:I,7,0)</f>
        <v>United Kingdom</v>
      </c>
      <c r="L229" t="str">
        <f>VLOOKUP(F229,'Customers (2)'!A:I,9,0)</f>
        <v>Yes</v>
      </c>
      <c r="M229" t="str">
        <f>VLOOKUP(N229,'Products (2)'!A:G,2,0)</f>
        <v>Robusta</v>
      </c>
      <c r="N229" t="s">
        <v>101</v>
      </c>
      <c r="O229" t="str">
        <f>VLOOKUP(N229,'Products (2)'!A:G,3,0)</f>
        <v>Dark</v>
      </c>
      <c r="P229">
        <f>VLOOKUP(N229,'Products (2)'!A:G,7,0)</f>
        <v>0.16109999999999997</v>
      </c>
      <c r="Q229">
        <v>6</v>
      </c>
      <c r="R229">
        <f>INDEX([1]products!$A$1:$G$49,MATCH([1]orders!$D229,[1]products!$A$1:$A$49,0),MATCH([1]orders!K$1,[1]products!$A$1:$G$1,0))</f>
        <v>0.2</v>
      </c>
      <c r="S229">
        <f>INDEX([1]products!$A$1:$G$49,MATCH([1]orders!$D229,[1]products!$A$1:$A$49,0),MATCH([1]orders!L$1,[1]products!$A$1:$G$1,0))</f>
        <v>2.6849999999999996</v>
      </c>
      <c r="T229">
        <f t="shared" si="19"/>
        <v>16.11</v>
      </c>
      <c r="U229">
        <f t="shared" si="22"/>
        <v>0.96659999999999979</v>
      </c>
      <c r="V229">
        <f t="shared" si="23"/>
        <v>5.9999999999999991</v>
      </c>
    </row>
    <row r="230" spans="1:22" x14ac:dyDescent="0.25">
      <c r="A230" t="s">
        <v>471</v>
      </c>
      <c r="B230">
        <v>44376</v>
      </c>
      <c r="C230" t="str">
        <f t="shared" si="20"/>
        <v>29</v>
      </c>
      <c r="D230" t="str">
        <f t="shared" si="18"/>
        <v>June</v>
      </c>
      <c r="E230" t="str">
        <f t="shared" si="21"/>
        <v>2021</v>
      </c>
      <c r="F230" t="s">
        <v>472</v>
      </c>
      <c r="G230" t="str">
        <f>VLOOKUP(F230,'Customers (2)'!A:I,2,0)</f>
        <v>Beltran Mathon</v>
      </c>
      <c r="H230" t="str">
        <f>VLOOKUP(F230,'Customers (2)'!A:I,3,0)</f>
        <v>bmathon6c@barnesandnoble.com</v>
      </c>
      <c r="I230" t="str">
        <f>VLOOKUP(F230,'Customers (2)'!A:I,4,0)</f>
        <v>+1 (916) 915-5069</v>
      </c>
      <c r="J230" t="str">
        <f>VLOOKUP(F230,'Customers (2)'!A:I,6,0)</f>
        <v>Sacramento</v>
      </c>
      <c r="K230" t="str">
        <f>VLOOKUP(F230,'Customers (2)'!A:I,7,0)</f>
        <v>United States</v>
      </c>
      <c r="L230" t="str">
        <f>VLOOKUP(F230,'Customers (2)'!A:I,9,0)</f>
        <v>No</v>
      </c>
      <c r="M230" t="str">
        <f>VLOOKUP(N230,'Products (2)'!A:G,2,0)</f>
        <v>Robusta</v>
      </c>
      <c r="N230" t="s">
        <v>182</v>
      </c>
      <c r="O230" t="str">
        <f>VLOOKUP(N230,'Products (2)'!A:G,3,0)</f>
        <v>Light</v>
      </c>
      <c r="P230">
        <f>VLOOKUP(N230,'Products (2)'!A:G,7,0)</f>
        <v>0.21509999999999996</v>
      </c>
      <c r="Q230">
        <v>5</v>
      </c>
      <c r="R230">
        <f>INDEX([1]products!$A$1:$G$49,MATCH([1]orders!$D230,[1]products!$A$1:$A$49,0),MATCH([1]orders!K$1,[1]products!$A$1:$G$1,0))</f>
        <v>0.2</v>
      </c>
      <c r="S230">
        <f>INDEX([1]products!$A$1:$G$49,MATCH([1]orders!$D230,[1]products!$A$1:$A$49,0),MATCH([1]orders!L$1,[1]products!$A$1:$G$1,0))</f>
        <v>3.5849999999999995</v>
      </c>
      <c r="T230">
        <f t="shared" si="19"/>
        <v>17.924999999999997</v>
      </c>
      <c r="U230">
        <f t="shared" si="22"/>
        <v>1.0754999999999999</v>
      </c>
      <c r="V230">
        <f t="shared" si="23"/>
        <v>6.0000000000000009</v>
      </c>
    </row>
    <row r="231" spans="1:22" x14ac:dyDescent="0.25">
      <c r="A231" t="s">
        <v>473</v>
      </c>
      <c r="B231">
        <v>44282</v>
      </c>
      <c r="C231" t="str">
        <f t="shared" si="20"/>
        <v>27</v>
      </c>
      <c r="D231" t="str">
        <f t="shared" si="18"/>
        <v>March</v>
      </c>
      <c r="E231" t="str">
        <f t="shared" si="21"/>
        <v>2021</v>
      </c>
      <c r="F231" t="s">
        <v>474</v>
      </c>
      <c r="G231" t="str">
        <f>VLOOKUP(F231,'Customers (2)'!A:I,2,0)</f>
        <v>Kristos Streight</v>
      </c>
      <c r="H231" t="str">
        <f>VLOOKUP(F231,'Customers (2)'!A:I,3,0)</f>
        <v>kstreight6d@about.com</v>
      </c>
      <c r="I231" t="str">
        <f>VLOOKUP(F231,'Customers (2)'!A:I,4,0)</f>
        <v>+1 (570) 873-3891</v>
      </c>
      <c r="J231" t="str">
        <f>VLOOKUP(F231,'Customers (2)'!A:I,6,0)</f>
        <v>Wilkes Barre</v>
      </c>
      <c r="K231" t="str">
        <f>VLOOKUP(F231,'Customers (2)'!A:I,7,0)</f>
        <v>United States</v>
      </c>
      <c r="L231" t="str">
        <f>VLOOKUP(F231,'Customers (2)'!A:I,9,0)</f>
        <v>No</v>
      </c>
      <c r="M231" t="str">
        <f>VLOOKUP(N231,'Products (2)'!A:G,2,0)</f>
        <v>Liberica</v>
      </c>
      <c r="N231" t="s">
        <v>77</v>
      </c>
      <c r="O231" t="str">
        <f>VLOOKUP(N231,'Products (2)'!A:G,3,0)</f>
        <v>Medium</v>
      </c>
      <c r="P231">
        <f>VLOOKUP(N231,'Products (2)'!A:G,7,0)</f>
        <v>0.56745000000000001</v>
      </c>
      <c r="Q231">
        <v>2</v>
      </c>
      <c r="R231">
        <f>INDEX([1]products!$A$1:$G$49,MATCH([1]orders!$D231,[1]products!$A$1:$A$49,0),MATCH([1]orders!K$1,[1]products!$A$1:$G$1,0))</f>
        <v>0.2</v>
      </c>
      <c r="S231">
        <f>INDEX([1]products!$A$1:$G$49,MATCH([1]orders!$D231,[1]products!$A$1:$A$49,0),MATCH([1]orders!L$1,[1]products!$A$1:$G$1,0))</f>
        <v>4.3650000000000002</v>
      </c>
      <c r="T231">
        <f t="shared" si="19"/>
        <v>8.73</v>
      </c>
      <c r="U231">
        <f t="shared" si="22"/>
        <v>1.1349</v>
      </c>
      <c r="V231">
        <f t="shared" si="23"/>
        <v>13</v>
      </c>
    </row>
    <row r="232" spans="1:22" x14ac:dyDescent="0.25">
      <c r="A232" t="s">
        <v>475</v>
      </c>
      <c r="B232">
        <v>44496</v>
      </c>
      <c r="C232" t="str">
        <f t="shared" si="20"/>
        <v>27</v>
      </c>
      <c r="D232" t="str">
        <f t="shared" si="18"/>
        <v>October</v>
      </c>
      <c r="E232" t="str">
        <f t="shared" si="21"/>
        <v>2021</v>
      </c>
      <c r="F232" t="s">
        <v>476</v>
      </c>
      <c r="G232" t="str">
        <f>VLOOKUP(F232,'Customers (2)'!A:I,2,0)</f>
        <v>Portie Cutchie</v>
      </c>
      <c r="H232" t="str">
        <f>VLOOKUP(F232,'Customers (2)'!A:I,3,0)</f>
        <v>pcutchie6e@globo.com</v>
      </c>
      <c r="I232" t="str">
        <f>VLOOKUP(F232,'Customers (2)'!A:I,4,0)</f>
        <v>+1 (336) 679-7755</v>
      </c>
      <c r="J232" t="str">
        <f>VLOOKUP(F232,'Customers (2)'!A:I,6,0)</f>
        <v>Greensboro</v>
      </c>
      <c r="K232" t="str">
        <f>VLOOKUP(F232,'Customers (2)'!A:I,7,0)</f>
        <v>United States</v>
      </c>
      <c r="L232" t="str">
        <f>VLOOKUP(F232,'Customers (2)'!A:I,9,0)</f>
        <v>No</v>
      </c>
      <c r="M232" t="str">
        <f>VLOOKUP(N232,'Products (2)'!A:G,2,0)</f>
        <v>Arabica</v>
      </c>
      <c r="N232" t="s">
        <v>171</v>
      </c>
      <c r="O232" t="str">
        <f>VLOOKUP(N232,'Products (2)'!A:G,3,0)</f>
        <v>Medium</v>
      </c>
      <c r="P232">
        <f>VLOOKUP(N232,'Products (2)'!A:G,7,0)</f>
        <v>2.3287499999999994</v>
      </c>
      <c r="Q232">
        <v>2</v>
      </c>
      <c r="R232">
        <f>INDEX([1]products!$A$1:$G$49,MATCH([1]orders!$D232,[1]products!$A$1:$A$49,0),MATCH([1]orders!K$1,[1]products!$A$1:$G$1,0))</f>
        <v>2.5</v>
      </c>
      <c r="S232">
        <f>INDEX([1]products!$A$1:$G$49,MATCH([1]orders!$D232,[1]products!$A$1:$A$49,0),MATCH([1]orders!L$1,[1]products!$A$1:$G$1,0))</f>
        <v>25.874999999999996</v>
      </c>
      <c r="T232">
        <f t="shared" si="19"/>
        <v>51.749999999999993</v>
      </c>
      <c r="U232">
        <f t="shared" si="22"/>
        <v>4.6574999999999989</v>
      </c>
      <c r="V232">
        <f t="shared" si="23"/>
        <v>9</v>
      </c>
    </row>
    <row r="233" spans="1:22" x14ac:dyDescent="0.25">
      <c r="A233" t="s">
        <v>477</v>
      </c>
      <c r="B233">
        <v>43628</v>
      </c>
      <c r="C233" t="str">
        <f t="shared" si="20"/>
        <v>12</v>
      </c>
      <c r="D233" t="str">
        <f t="shared" si="18"/>
        <v>June</v>
      </c>
      <c r="E233" t="str">
        <f t="shared" si="21"/>
        <v>2019</v>
      </c>
      <c r="F233" t="s">
        <v>478</v>
      </c>
      <c r="G233" t="str">
        <f>VLOOKUP(F233,'Customers (2)'!A:I,2,0)</f>
        <v>Sinclare Edsell</v>
      </c>
      <c r="H233">
        <f>VLOOKUP(F233,'Customers (2)'!A:I,3,0)</f>
        <v>0</v>
      </c>
      <c r="I233" t="str">
        <f>VLOOKUP(F233,'Customers (2)'!A:I,4,0)</f>
        <v>+1 (302) 746-8950</v>
      </c>
      <c r="J233" t="str">
        <f>VLOOKUP(F233,'Customers (2)'!A:I,6,0)</f>
        <v>Newark</v>
      </c>
      <c r="K233" t="str">
        <f>VLOOKUP(F233,'Customers (2)'!A:I,7,0)</f>
        <v>United States</v>
      </c>
      <c r="L233" t="str">
        <f>VLOOKUP(F233,'Customers (2)'!A:I,9,0)</f>
        <v>Yes</v>
      </c>
      <c r="M233" t="str">
        <f>VLOOKUP(N233,'Products (2)'!A:G,2,0)</f>
        <v>Liberica</v>
      </c>
      <c r="N233" t="s">
        <v>77</v>
      </c>
      <c r="O233" t="str">
        <f>VLOOKUP(N233,'Products (2)'!A:G,3,0)</f>
        <v>Medium</v>
      </c>
      <c r="P233">
        <f>VLOOKUP(N233,'Products (2)'!A:G,7,0)</f>
        <v>0.56745000000000001</v>
      </c>
      <c r="Q233">
        <v>2</v>
      </c>
      <c r="R233">
        <f>INDEX([1]products!$A$1:$G$49,MATCH([1]orders!$D233,[1]products!$A$1:$A$49,0),MATCH([1]orders!K$1,[1]products!$A$1:$G$1,0))</f>
        <v>0.2</v>
      </c>
      <c r="S233">
        <f>INDEX([1]products!$A$1:$G$49,MATCH([1]orders!$D233,[1]products!$A$1:$A$49,0),MATCH([1]orders!L$1,[1]products!$A$1:$G$1,0))</f>
        <v>4.3650000000000002</v>
      </c>
      <c r="T233">
        <f t="shared" si="19"/>
        <v>8.73</v>
      </c>
      <c r="U233">
        <f t="shared" si="22"/>
        <v>1.1349</v>
      </c>
      <c r="V233">
        <f t="shared" si="23"/>
        <v>13</v>
      </c>
    </row>
    <row r="234" spans="1:22" x14ac:dyDescent="0.25">
      <c r="A234" t="s">
        <v>479</v>
      </c>
      <c r="B234">
        <v>44010</v>
      </c>
      <c r="C234" t="str">
        <f t="shared" si="20"/>
        <v>28</v>
      </c>
      <c r="D234" t="str">
        <f t="shared" si="18"/>
        <v>June</v>
      </c>
      <c r="E234" t="str">
        <f t="shared" si="21"/>
        <v>2020</v>
      </c>
      <c r="F234" t="s">
        <v>480</v>
      </c>
      <c r="G234" t="str">
        <f>VLOOKUP(F234,'Customers (2)'!A:I,2,0)</f>
        <v>Conny Gheraldi</v>
      </c>
      <c r="H234" t="str">
        <f>VLOOKUP(F234,'Customers (2)'!A:I,3,0)</f>
        <v>cgheraldi6g@opera.com</v>
      </c>
      <c r="I234" t="str">
        <f>VLOOKUP(F234,'Customers (2)'!A:I,4,0)</f>
        <v>+44 (494) 875-2364</v>
      </c>
      <c r="J234" t="str">
        <f>VLOOKUP(F234,'Customers (2)'!A:I,6,0)</f>
        <v>Kinloch</v>
      </c>
      <c r="K234" t="str">
        <f>VLOOKUP(F234,'Customers (2)'!A:I,7,0)</f>
        <v>United Kingdom</v>
      </c>
      <c r="L234" t="str">
        <f>VLOOKUP(F234,'Customers (2)'!A:I,9,0)</f>
        <v>No</v>
      </c>
      <c r="M234" t="str">
        <f>VLOOKUP(N234,'Products (2)'!A:G,2,0)</f>
        <v>Liberica</v>
      </c>
      <c r="N234" t="s">
        <v>19</v>
      </c>
      <c r="O234" t="str">
        <f>VLOOKUP(N234,'Products (2)'!A:G,3,0)</f>
        <v>Light</v>
      </c>
      <c r="P234">
        <f>VLOOKUP(N234,'Products (2)'!A:G,7,0)</f>
        <v>0.61814999999999998</v>
      </c>
      <c r="Q234">
        <v>5</v>
      </c>
      <c r="R234">
        <f>INDEX([1]products!$A$1:$G$49,MATCH([1]orders!$D234,[1]products!$A$1:$A$49,0),MATCH([1]orders!K$1,[1]products!$A$1:$G$1,0))</f>
        <v>0.2</v>
      </c>
      <c r="S234">
        <f>INDEX([1]products!$A$1:$G$49,MATCH([1]orders!$D234,[1]products!$A$1:$A$49,0),MATCH([1]orders!L$1,[1]products!$A$1:$G$1,0))</f>
        <v>4.7549999999999999</v>
      </c>
      <c r="T234">
        <f t="shared" si="19"/>
        <v>23.774999999999999</v>
      </c>
      <c r="U234">
        <f t="shared" si="22"/>
        <v>3.0907499999999999</v>
      </c>
      <c r="V234">
        <f t="shared" si="23"/>
        <v>13</v>
      </c>
    </row>
    <row r="235" spans="1:22" x14ac:dyDescent="0.25">
      <c r="A235" t="s">
        <v>481</v>
      </c>
      <c r="B235">
        <v>44278</v>
      </c>
      <c r="C235" t="str">
        <f t="shared" si="20"/>
        <v>23</v>
      </c>
      <c r="D235" t="str">
        <f t="shared" si="18"/>
        <v>March</v>
      </c>
      <c r="E235" t="str">
        <f t="shared" si="21"/>
        <v>2021</v>
      </c>
      <c r="F235" t="s">
        <v>482</v>
      </c>
      <c r="G235" t="str">
        <f>VLOOKUP(F235,'Customers (2)'!A:I,2,0)</f>
        <v>Beryle Kenwell</v>
      </c>
      <c r="H235" t="str">
        <f>VLOOKUP(F235,'Customers (2)'!A:I,3,0)</f>
        <v>bkenwell6h@over-blog.com</v>
      </c>
      <c r="I235" t="str">
        <f>VLOOKUP(F235,'Customers (2)'!A:I,4,0)</f>
        <v>+1 (808) 836-6023</v>
      </c>
      <c r="J235" t="str">
        <f>VLOOKUP(F235,'Customers (2)'!A:I,6,0)</f>
        <v>Honolulu</v>
      </c>
      <c r="K235" t="str">
        <f>VLOOKUP(F235,'Customers (2)'!A:I,7,0)</f>
        <v>United States</v>
      </c>
      <c r="L235" t="str">
        <f>VLOOKUP(F235,'Customers (2)'!A:I,9,0)</f>
        <v>No</v>
      </c>
      <c r="M235" t="str">
        <f>VLOOKUP(N235,'Products (2)'!A:G,2,0)</f>
        <v>Excelsa</v>
      </c>
      <c r="N235" t="s">
        <v>64</v>
      </c>
      <c r="O235" t="str">
        <f>VLOOKUP(N235,'Products (2)'!A:G,3,0)</f>
        <v>Medium</v>
      </c>
      <c r="P235">
        <f>VLOOKUP(N235,'Products (2)'!A:G,7,0)</f>
        <v>0.45374999999999999</v>
      </c>
      <c r="Q235">
        <v>5</v>
      </c>
      <c r="R235">
        <f>INDEX([1]products!$A$1:$G$49,MATCH([1]orders!$D235,[1]products!$A$1:$A$49,0),MATCH([1]orders!K$1,[1]products!$A$1:$G$1,0))</f>
        <v>0.2</v>
      </c>
      <c r="S235">
        <f>INDEX([1]products!$A$1:$G$49,MATCH([1]orders!$D235,[1]products!$A$1:$A$49,0),MATCH([1]orders!L$1,[1]products!$A$1:$G$1,0))</f>
        <v>4.125</v>
      </c>
      <c r="T235">
        <f t="shared" si="19"/>
        <v>20.625</v>
      </c>
      <c r="U235">
        <f t="shared" si="22"/>
        <v>2.2687499999999998</v>
      </c>
      <c r="V235">
        <f t="shared" si="23"/>
        <v>10.999999999999998</v>
      </c>
    </row>
    <row r="236" spans="1:22" x14ac:dyDescent="0.25">
      <c r="A236" t="s">
        <v>483</v>
      </c>
      <c r="B236">
        <v>44602</v>
      </c>
      <c r="C236" t="str">
        <f t="shared" si="20"/>
        <v>10</v>
      </c>
      <c r="D236" t="str">
        <f t="shared" si="18"/>
        <v>February</v>
      </c>
      <c r="E236" t="str">
        <f t="shared" si="21"/>
        <v>2022</v>
      </c>
      <c r="F236" t="s">
        <v>484</v>
      </c>
      <c r="G236" t="str">
        <f>VLOOKUP(F236,'Customers (2)'!A:I,2,0)</f>
        <v>Tomas Sutty</v>
      </c>
      <c r="H236" t="str">
        <f>VLOOKUP(F236,'Customers (2)'!A:I,3,0)</f>
        <v>tsutty6i@google.es</v>
      </c>
      <c r="I236" t="str">
        <f>VLOOKUP(F236,'Customers (2)'!A:I,4,0)</f>
        <v>+1 (212) 586-1957</v>
      </c>
      <c r="J236" t="str">
        <f>VLOOKUP(F236,'Customers (2)'!A:I,6,0)</f>
        <v>New York City</v>
      </c>
      <c r="K236" t="str">
        <f>VLOOKUP(F236,'Customers (2)'!A:I,7,0)</f>
        <v>United States</v>
      </c>
      <c r="L236" t="str">
        <f>VLOOKUP(F236,'Customers (2)'!A:I,9,0)</f>
        <v>No</v>
      </c>
      <c r="M236" t="str">
        <f>VLOOKUP(N236,'Products (2)'!A:G,2,0)</f>
        <v>Liberica</v>
      </c>
      <c r="N236" t="s">
        <v>104</v>
      </c>
      <c r="O236" t="str">
        <f>VLOOKUP(N236,'Products (2)'!A:G,3,0)</f>
        <v>Light</v>
      </c>
      <c r="P236">
        <f>VLOOKUP(N236,'Products (2)'!A:G,7,0)</f>
        <v>4.7391499999999995</v>
      </c>
      <c r="Q236">
        <v>1</v>
      </c>
      <c r="R236">
        <f>INDEX([1]products!$A$1:$G$49,MATCH([1]orders!$D236,[1]products!$A$1:$A$49,0),MATCH([1]orders!K$1,[1]products!$A$1:$G$1,0))</f>
        <v>2.5</v>
      </c>
      <c r="S236">
        <f>INDEX([1]products!$A$1:$G$49,MATCH([1]orders!$D236,[1]products!$A$1:$A$49,0),MATCH([1]orders!L$1,[1]products!$A$1:$G$1,0))</f>
        <v>36.454999999999998</v>
      </c>
      <c r="T236">
        <f t="shared" si="19"/>
        <v>36.454999999999998</v>
      </c>
      <c r="U236">
        <f t="shared" si="22"/>
        <v>4.7391499999999995</v>
      </c>
      <c r="V236">
        <f t="shared" si="23"/>
        <v>13</v>
      </c>
    </row>
    <row r="237" spans="1:22" x14ac:dyDescent="0.25">
      <c r="A237" t="s">
        <v>485</v>
      </c>
      <c r="B237">
        <v>43571</v>
      </c>
      <c r="C237" t="str">
        <f t="shared" si="20"/>
        <v>16</v>
      </c>
      <c r="D237" t="str">
        <f t="shared" si="18"/>
        <v>April</v>
      </c>
      <c r="E237" t="str">
        <f t="shared" si="21"/>
        <v>2019</v>
      </c>
      <c r="F237" t="s">
        <v>486</v>
      </c>
      <c r="G237" t="str">
        <f>VLOOKUP(F237,'Customers (2)'!A:I,2,0)</f>
        <v>Samuele Ales0</v>
      </c>
      <c r="H237">
        <f>VLOOKUP(F237,'Customers (2)'!A:I,3,0)</f>
        <v>0</v>
      </c>
      <c r="I237">
        <f>VLOOKUP(F237,'Customers (2)'!A:I,4,0)</f>
        <v>0</v>
      </c>
      <c r="J237" t="str">
        <f>VLOOKUP(F237,'Customers (2)'!A:I,6,0)</f>
        <v>Ballinroad</v>
      </c>
      <c r="K237" t="str">
        <f>VLOOKUP(F237,'Customers (2)'!A:I,7,0)</f>
        <v>Ireland</v>
      </c>
      <c r="L237" t="str">
        <f>VLOOKUP(F237,'Customers (2)'!A:I,9,0)</f>
        <v>No</v>
      </c>
      <c r="M237" t="str">
        <f>VLOOKUP(N237,'Products (2)'!A:G,2,0)</f>
        <v>Liberica</v>
      </c>
      <c r="N237" t="s">
        <v>104</v>
      </c>
      <c r="O237" t="str">
        <f>VLOOKUP(N237,'Products (2)'!A:G,3,0)</f>
        <v>Light</v>
      </c>
      <c r="P237">
        <f>VLOOKUP(N237,'Products (2)'!A:G,7,0)</f>
        <v>4.7391499999999995</v>
      </c>
      <c r="Q237">
        <v>5</v>
      </c>
      <c r="R237">
        <f>INDEX([1]products!$A$1:$G$49,MATCH([1]orders!$D237,[1]products!$A$1:$A$49,0),MATCH([1]orders!K$1,[1]products!$A$1:$G$1,0))</f>
        <v>2.5</v>
      </c>
      <c r="S237">
        <f>INDEX([1]products!$A$1:$G$49,MATCH([1]orders!$D237,[1]products!$A$1:$A$49,0),MATCH([1]orders!L$1,[1]products!$A$1:$G$1,0))</f>
        <v>36.454999999999998</v>
      </c>
      <c r="T237">
        <f t="shared" si="19"/>
        <v>182.27499999999998</v>
      </c>
      <c r="U237">
        <f t="shared" si="22"/>
        <v>23.695749999999997</v>
      </c>
      <c r="V237">
        <f t="shared" si="23"/>
        <v>13</v>
      </c>
    </row>
    <row r="238" spans="1:22" x14ac:dyDescent="0.25">
      <c r="A238" t="s">
        <v>487</v>
      </c>
      <c r="B238">
        <v>43873</v>
      </c>
      <c r="C238" t="str">
        <f t="shared" si="20"/>
        <v>12</v>
      </c>
      <c r="D238" t="str">
        <f t="shared" si="18"/>
        <v>February</v>
      </c>
      <c r="E238" t="str">
        <f t="shared" si="21"/>
        <v>2020</v>
      </c>
      <c r="F238" t="s">
        <v>488</v>
      </c>
      <c r="G238" t="str">
        <f>VLOOKUP(F238,'Customers (2)'!A:I,2,0)</f>
        <v>Carlie Harce</v>
      </c>
      <c r="H238" t="str">
        <f>VLOOKUP(F238,'Customers (2)'!A:I,3,0)</f>
        <v>charce6k@cafepress.com</v>
      </c>
      <c r="I238" t="str">
        <f>VLOOKUP(F238,'Customers (2)'!A:I,4,0)</f>
        <v>+353 (444) 423-0673</v>
      </c>
      <c r="J238" t="str">
        <f>VLOOKUP(F238,'Customers (2)'!A:I,6,0)</f>
        <v>D煤n Laoghaire</v>
      </c>
      <c r="K238" t="str">
        <f>VLOOKUP(F238,'Customers (2)'!A:I,7,0)</f>
        <v>Ireland</v>
      </c>
      <c r="L238" t="str">
        <f>VLOOKUP(F238,'Customers (2)'!A:I,9,0)</f>
        <v>No</v>
      </c>
      <c r="M238" t="str">
        <f>VLOOKUP(N238,'Products (2)'!A:G,2,0)</f>
        <v>Liberica</v>
      </c>
      <c r="N238" t="s">
        <v>109</v>
      </c>
      <c r="O238" t="str">
        <f>VLOOKUP(N238,'Products (2)'!A:G,3,0)</f>
        <v>Dark</v>
      </c>
      <c r="P238">
        <f>VLOOKUP(N238,'Products (2)'!A:G,7,0)</f>
        <v>3.8720499999999998</v>
      </c>
      <c r="Q238">
        <v>3</v>
      </c>
      <c r="R238">
        <f>INDEX([1]products!$A$1:$G$49,MATCH([1]orders!$D238,[1]products!$A$1:$A$49,0),MATCH([1]orders!K$1,[1]products!$A$1:$G$1,0))</f>
        <v>2.5</v>
      </c>
      <c r="S238">
        <f>INDEX([1]products!$A$1:$G$49,MATCH([1]orders!$D238,[1]products!$A$1:$A$49,0),MATCH([1]orders!L$1,[1]products!$A$1:$G$1,0))</f>
        <v>29.784999999999997</v>
      </c>
      <c r="T238">
        <f t="shared" si="19"/>
        <v>89.35499999999999</v>
      </c>
      <c r="U238">
        <f t="shared" si="22"/>
        <v>11.616149999999999</v>
      </c>
      <c r="V238">
        <f t="shared" si="23"/>
        <v>13</v>
      </c>
    </row>
    <row r="239" spans="1:22" x14ac:dyDescent="0.25">
      <c r="A239" t="s">
        <v>489</v>
      </c>
      <c r="B239">
        <v>44563</v>
      </c>
      <c r="C239" t="str">
        <f t="shared" si="20"/>
        <v>02</v>
      </c>
      <c r="D239" t="str">
        <f t="shared" si="18"/>
        <v>January</v>
      </c>
      <c r="E239" t="str">
        <f t="shared" si="21"/>
        <v>2022</v>
      </c>
      <c r="F239" t="s">
        <v>490</v>
      </c>
      <c r="G239" t="str">
        <f>VLOOKUP(F239,'Customers (2)'!A:I,2,0)</f>
        <v>Craggy Bril</v>
      </c>
      <c r="H239">
        <f>VLOOKUP(F239,'Customers (2)'!A:I,3,0)</f>
        <v>0</v>
      </c>
      <c r="I239" t="str">
        <f>VLOOKUP(F239,'Customers (2)'!A:I,4,0)</f>
        <v>+1 (513) 461-0440</v>
      </c>
      <c r="J239" t="str">
        <f>VLOOKUP(F239,'Customers (2)'!A:I,6,0)</f>
        <v>Cincinnati</v>
      </c>
      <c r="K239" t="str">
        <f>VLOOKUP(F239,'Customers (2)'!A:I,7,0)</f>
        <v>United States</v>
      </c>
      <c r="L239" t="str">
        <f>VLOOKUP(F239,'Customers (2)'!A:I,9,0)</f>
        <v>Yes</v>
      </c>
      <c r="M239" t="str">
        <f>VLOOKUP(N239,'Products (2)'!A:G,2,0)</f>
        <v>Robusta</v>
      </c>
      <c r="N239" t="s">
        <v>182</v>
      </c>
      <c r="O239" t="str">
        <f>VLOOKUP(N239,'Products (2)'!A:G,3,0)</f>
        <v>Light</v>
      </c>
      <c r="P239">
        <f>VLOOKUP(N239,'Products (2)'!A:G,7,0)</f>
        <v>0.21509999999999996</v>
      </c>
      <c r="Q239">
        <v>1</v>
      </c>
      <c r="R239">
        <f>INDEX([1]products!$A$1:$G$49,MATCH([1]orders!$D239,[1]products!$A$1:$A$49,0),MATCH([1]orders!K$1,[1]products!$A$1:$G$1,0))</f>
        <v>0.2</v>
      </c>
      <c r="S239">
        <f>INDEX([1]products!$A$1:$G$49,MATCH([1]orders!$D239,[1]products!$A$1:$A$49,0),MATCH([1]orders!L$1,[1]products!$A$1:$G$1,0))</f>
        <v>3.5849999999999995</v>
      </c>
      <c r="T239">
        <f t="shared" si="19"/>
        <v>3.5849999999999995</v>
      </c>
      <c r="U239">
        <f t="shared" si="22"/>
        <v>0.21509999999999996</v>
      </c>
      <c r="V239">
        <f t="shared" si="23"/>
        <v>6</v>
      </c>
    </row>
    <row r="240" spans="1:22" x14ac:dyDescent="0.25">
      <c r="A240" t="s">
        <v>491</v>
      </c>
      <c r="B240">
        <v>44172</v>
      </c>
      <c r="C240" t="str">
        <f t="shared" si="20"/>
        <v>07</v>
      </c>
      <c r="D240" t="str">
        <f t="shared" si="18"/>
        <v>December</v>
      </c>
      <c r="E240" t="str">
        <f t="shared" si="21"/>
        <v>2020</v>
      </c>
      <c r="F240" t="s">
        <v>492</v>
      </c>
      <c r="G240" t="str">
        <f>VLOOKUP(F240,'Customers (2)'!A:I,2,0)</f>
        <v>Friederike Drysdale</v>
      </c>
      <c r="H240" t="str">
        <f>VLOOKUP(F240,'Customers (2)'!A:I,3,0)</f>
        <v>fdrysdale6m@symantec.com</v>
      </c>
      <c r="I240" t="str">
        <f>VLOOKUP(F240,'Customers (2)'!A:I,4,0)</f>
        <v>+1 (989) 215-5282</v>
      </c>
      <c r="J240" t="str">
        <f>VLOOKUP(F240,'Customers (2)'!A:I,6,0)</f>
        <v>Midland</v>
      </c>
      <c r="K240" t="str">
        <f>VLOOKUP(F240,'Customers (2)'!A:I,7,0)</f>
        <v>United States</v>
      </c>
      <c r="L240" t="str">
        <f>VLOOKUP(F240,'Customers (2)'!A:I,9,0)</f>
        <v>Yes</v>
      </c>
      <c r="M240" t="str">
        <f>VLOOKUP(N240,'Products (2)'!A:G,2,0)</f>
        <v>Robusta</v>
      </c>
      <c r="N240" t="s">
        <v>41</v>
      </c>
      <c r="O240" t="str">
        <f>VLOOKUP(N240,'Products (2)'!A:G,3,0)</f>
        <v>Medium</v>
      </c>
      <c r="P240">
        <f>VLOOKUP(N240,'Products (2)'!A:G,7,0)</f>
        <v>1.3730999999999998</v>
      </c>
      <c r="Q240">
        <v>2</v>
      </c>
      <c r="R240">
        <f>INDEX([1]products!$A$1:$G$49,MATCH([1]orders!$D240,[1]products!$A$1:$A$49,0),MATCH([1]orders!K$1,[1]products!$A$1:$G$1,0))</f>
        <v>2.5</v>
      </c>
      <c r="S240">
        <f>INDEX([1]products!$A$1:$G$49,MATCH([1]orders!$D240,[1]products!$A$1:$A$49,0),MATCH([1]orders!L$1,[1]products!$A$1:$G$1,0))</f>
        <v>22.884999999999998</v>
      </c>
      <c r="T240">
        <f t="shared" si="19"/>
        <v>45.769999999999996</v>
      </c>
      <c r="U240">
        <f t="shared" si="22"/>
        <v>2.7461999999999995</v>
      </c>
      <c r="V240">
        <f t="shared" si="23"/>
        <v>6</v>
      </c>
    </row>
    <row r="241" spans="1:22" x14ac:dyDescent="0.25">
      <c r="A241" t="s">
        <v>493</v>
      </c>
      <c r="B241">
        <v>43881</v>
      </c>
      <c r="C241" t="str">
        <f t="shared" si="20"/>
        <v>20</v>
      </c>
      <c r="D241" t="str">
        <f t="shared" si="18"/>
        <v>February</v>
      </c>
      <c r="E241" t="str">
        <f t="shared" si="21"/>
        <v>2020</v>
      </c>
      <c r="F241" t="s">
        <v>494</v>
      </c>
      <c r="G241" t="str">
        <f>VLOOKUP(F241,'Customers (2)'!A:I,2,0)</f>
        <v>Devon Magowan</v>
      </c>
      <c r="H241" t="str">
        <f>VLOOKUP(F241,'Customers (2)'!A:I,3,0)</f>
        <v>dmagowan6n@fc2.com</v>
      </c>
      <c r="I241" t="str">
        <f>VLOOKUP(F241,'Customers (2)'!A:I,4,0)</f>
        <v>+1 (307) 159-5237</v>
      </c>
      <c r="J241" t="str">
        <f>VLOOKUP(F241,'Customers (2)'!A:I,6,0)</f>
        <v>Cheyenne</v>
      </c>
      <c r="K241" t="str">
        <f>VLOOKUP(F241,'Customers (2)'!A:I,7,0)</f>
        <v>United States</v>
      </c>
      <c r="L241" t="str">
        <f>VLOOKUP(F241,'Customers (2)'!A:I,9,0)</f>
        <v>No</v>
      </c>
      <c r="M241" t="str">
        <f>VLOOKUP(N241,'Products (2)'!A:G,2,0)</f>
        <v>Excelsa</v>
      </c>
      <c r="N241" t="s">
        <v>137</v>
      </c>
      <c r="O241" t="str">
        <f>VLOOKUP(N241,'Products (2)'!A:G,3,0)</f>
        <v>Light</v>
      </c>
      <c r="P241">
        <f>VLOOKUP(N241,'Products (2)'!A:G,7,0)</f>
        <v>1.6335</v>
      </c>
      <c r="Q241">
        <v>4</v>
      </c>
      <c r="R241">
        <f>INDEX([1]products!$A$1:$G$49,MATCH([1]orders!$D241,[1]products!$A$1:$A$49,0),MATCH([1]orders!K$1,[1]products!$A$1:$G$1,0))</f>
        <v>1</v>
      </c>
      <c r="S241">
        <f>INDEX([1]products!$A$1:$G$49,MATCH([1]orders!$D241,[1]products!$A$1:$A$49,0),MATCH([1]orders!L$1,[1]products!$A$1:$G$1,0))</f>
        <v>14.85</v>
      </c>
      <c r="T241">
        <f t="shared" si="19"/>
        <v>59.4</v>
      </c>
      <c r="U241">
        <f t="shared" si="22"/>
        <v>6.5339999999999998</v>
      </c>
      <c r="V241">
        <f t="shared" si="23"/>
        <v>11</v>
      </c>
    </row>
    <row r="242" spans="1:22" x14ac:dyDescent="0.25">
      <c r="A242" t="s">
        <v>495</v>
      </c>
      <c r="B242">
        <v>43993</v>
      </c>
      <c r="C242" t="str">
        <f t="shared" si="20"/>
        <v>11</v>
      </c>
      <c r="D242" t="str">
        <f t="shared" si="18"/>
        <v>June</v>
      </c>
      <c r="E242" t="str">
        <f t="shared" si="21"/>
        <v>2020</v>
      </c>
      <c r="F242" t="s">
        <v>496</v>
      </c>
      <c r="G242" t="str">
        <f>VLOOKUP(F242,'Customers (2)'!A:I,2,0)</f>
        <v>Codi Littrell</v>
      </c>
      <c r="H242">
        <f>VLOOKUP(F242,'Customers (2)'!A:I,3,0)</f>
        <v>0</v>
      </c>
      <c r="I242">
        <f>VLOOKUP(F242,'Customers (2)'!A:I,4,0)</f>
        <v>0</v>
      </c>
      <c r="J242" t="str">
        <f>VLOOKUP(F242,'Customers (2)'!A:I,6,0)</f>
        <v>Atlanta</v>
      </c>
      <c r="K242" t="str">
        <f>VLOOKUP(F242,'Customers (2)'!A:I,7,0)</f>
        <v>United States</v>
      </c>
      <c r="L242" t="str">
        <f>VLOOKUP(F242,'Customers (2)'!A:I,9,0)</f>
        <v>Yes</v>
      </c>
      <c r="M242" t="str">
        <f>VLOOKUP(N242,'Products (2)'!A:G,2,0)</f>
        <v>Arabica</v>
      </c>
      <c r="N242" t="s">
        <v>171</v>
      </c>
      <c r="O242" t="str">
        <f>VLOOKUP(N242,'Products (2)'!A:G,3,0)</f>
        <v>Medium</v>
      </c>
      <c r="P242">
        <f>VLOOKUP(N242,'Products (2)'!A:G,7,0)</f>
        <v>2.3287499999999994</v>
      </c>
      <c r="Q242">
        <v>6</v>
      </c>
      <c r="R242">
        <f>INDEX([1]products!$A$1:$G$49,MATCH([1]orders!$D242,[1]products!$A$1:$A$49,0),MATCH([1]orders!K$1,[1]products!$A$1:$G$1,0))</f>
        <v>2.5</v>
      </c>
      <c r="S242">
        <f>INDEX([1]products!$A$1:$G$49,MATCH([1]orders!$D242,[1]products!$A$1:$A$49,0),MATCH([1]orders!L$1,[1]products!$A$1:$G$1,0))</f>
        <v>25.874999999999996</v>
      </c>
      <c r="T242">
        <f t="shared" si="19"/>
        <v>155.24999999999997</v>
      </c>
      <c r="U242">
        <f t="shared" si="22"/>
        <v>13.972499999999997</v>
      </c>
      <c r="V242">
        <f t="shared" si="23"/>
        <v>9</v>
      </c>
    </row>
    <row r="243" spans="1:22" x14ac:dyDescent="0.25">
      <c r="A243" t="s">
        <v>497</v>
      </c>
      <c r="B243">
        <v>44082</v>
      </c>
      <c r="C243" t="str">
        <f t="shared" si="20"/>
        <v>08</v>
      </c>
      <c r="D243" t="str">
        <f t="shared" si="18"/>
        <v>September</v>
      </c>
      <c r="E243" t="str">
        <f t="shared" si="21"/>
        <v>2020</v>
      </c>
      <c r="F243" t="s">
        <v>498</v>
      </c>
      <c r="G243" t="str">
        <f>VLOOKUP(F243,'Customers (2)'!A:I,2,0)</f>
        <v>Christel Speak</v>
      </c>
      <c r="H243">
        <f>VLOOKUP(F243,'Customers (2)'!A:I,3,0)</f>
        <v>0</v>
      </c>
      <c r="I243" t="str">
        <f>VLOOKUP(F243,'Customers (2)'!A:I,4,0)</f>
        <v>+1 (678) 222-0967</v>
      </c>
      <c r="J243" t="str">
        <f>VLOOKUP(F243,'Customers (2)'!A:I,6,0)</f>
        <v>Duluth</v>
      </c>
      <c r="K243" t="str">
        <f>VLOOKUP(F243,'Customers (2)'!A:I,7,0)</f>
        <v>United States</v>
      </c>
      <c r="L243" t="str">
        <f>VLOOKUP(F243,'Customers (2)'!A:I,9,0)</f>
        <v>No</v>
      </c>
      <c r="M243" t="str">
        <f>VLOOKUP(N243,'Products (2)'!A:G,2,0)</f>
        <v>Robusta</v>
      </c>
      <c r="N243" t="s">
        <v>41</v>
      </c>
      <c r="O243" t="str">
        <f>VLOOKUP(N243,'Products (2)'!A:G,3,0)</f>
        <v>Medium</v>
      </c>
      <c r="P243">
        <f>VLOOKUP(N243,'Products (2)'!A:G,7,0)</f>
        <v>1.3730999999999998</v>
      </c>
      <c r="Q243">
        <v>2</v>
      </c>
      <c r="R243">
        <f>INDEX([1]products!$A$1:$G$49,MATCH([1]orders!$D243,[1]products!$A$1:$A$49,0),MATCH([1]orders!K$1,[1]products!$A$1:$G$1,0))</f>
        <v>2.5</v>
      </c>
      <c r="S243">
        <f>INDEX([1]products!$A$1:$G$49,MATCH([1]orders!$D243,[1]products!$A$1:$A$49,0),MATCH([1]orders!L$1,[1]products!$A$1:$G$1,0))</f>
        <v>22.884999999999998</v>
      </c>
      <c r="T243">
        <f t="shared" si="19"/>
        <v>45.769999999999996</v>
      </c>
      <c r="U243">
        <f t="shared" si="22"/>
        <v>2.7461999999999995</v>
      </c>
      <c r="V243">
        <f t="shared" si="23"/>
        <v>6</v>
      </c>
    </row>
    <row r="244" spans="1:22" x14ac:dyDescent="0.25">
      <c r="A244" t="s">
        <v>499</v>
      </c>
      <c r="B244">
        <v>43918</v>
      </c>
      <c r="C244" t="str">
        <f t="shared" si="20"/>
        <v>28</v>
      </c>
      <c r="D244" t="str">
        <f t="shared" si="18"/>
        <v>March</v>
      </c>
      <c r="E244" t="str">
        <f t="shared" si="21"/>
        <v>2020</v>
      </c>
      <c r="F244" t="s">
        <v>500</v>
      </c>
      <c r="G244" t="str">
        <f>VLOOKUP(F244,'Customers (2)'!A:I,2,0)</f>
        <v>Sibella Rushbrooke</v>
      </c>
      <c r="H244" t="str">
        <f>VLOOKUP(F244,'Customers (2)'!A:I,3,0)</f>
        <v>srushbrooke6q@youku.com</v>
      </c>
      <c r="I244" t="str">
        <f>VLOOKUP(F244,'Customers (2)'!A:I,4,0)</f>
        <v>+1 (916) 214-5665</v>
      </c>
      <c r="J244" t="str">
        <f>VLOOKUP(F244,'Customers (2)'!A:I,6,0)</f>
        <v>Sacramento</v>
      </c>
      <c r="K244" t="str">
        <f>VLOOKUP(F244,'Customers (2)'!A:I,7,0)</f>
        <v>United States</v>
      </c>
      <c r="L244" t="str">
        <f>VLOOKUP(F244,'Customers (2)'!A:I,9,0)</f>
        <v>Yes</v>
      </c>
      <c r="M244" t="str">
        <f>VLOOKUP(N244,'Products (2)'!A:G,2,0)</f>
        <v>Excelsa</v>
      </c>
      <c r="N244" t="s">
        <v>245</v>
      </c>
      <c r="O244" t="str">
        <f>VLOOKUP(N244,'Products (2)'!A:G,3,0)</f>
        <v>Dark</v>
      </c>
      <c r="P244">
        <f>VLOOKUP(N244,'Products (2)'!A:G,7,0)</f>
        <v>1.3365</v>
      </c>
      <c r="Q244">
        <v>3</v>
      </c>
      <c r="R244">
        <f>INDEX([1]products!$A$1:$G$49,MATCH([1]orders!$D244,[1]products!$A$1:$A$49,0),MATCH([1]orders!K$1,[1]products!$A$1:$G$1,0))</f>
        <v>1</v>
      </c>
      <c r="S244">
        <f>INDEX([1]products!$A$1:$G$49,MATCH([1]orders!$D244,[1]products!$A$1:$A$49,0),MATCH([1]orders!L$1,[1]products!$A$1:$G$1,0))</f>
        <v>12.15</v>
      </c>
      <c r="T244">
        <f t="shared" si="19"/>
        <v>36.450000000000003</v>
      </c>
      <c r="U244">
        <f t="shared" si="22"/>
        <v>4.0095000000000001</v>
      </c>
      <c r="V244">
        <f t="shared" si="23"/>
        <v>10.999999999999998</v>
      </c>
    </row>
    <row r="245" spans="1:22" x14ac:dyDescent="0.25">
      <c r="A245" t="s">
        <v>501</v>
      </c>
      <c r="B245">
        <v>44114</v>
      </c>
      <c r="C245" t="str">
        <f t="shared" si="20"/>
        <v>10</v>
      </c>
      <c r="D245" t="str">
        <f t="shared" si="18"/>
        <v>October</v>
      </c>
      <c r="E245" t="str">
        <f t="shared" si="21"/>
        <v>2020</v>
      </c>
      <c r="F245" t="s">
        <v>502</v>
      </c>
      <c r="G245" t="str">
        <f>VLOOKUP(F245,'Customers (2)'!A:I,2,0)</f>
        <v>Tammie Drynan</v>
      </c>
      <c r="H245" t="str">
        <f>VLOOKUP(F245,'Customers (2)'!A:I,3,0)</f>
        <v>tdrynan6r@deviantart.com</v>
      </c>
      <c r="I245" t="str">
        <f>VLOOKUP(F245,'Customers (2)'!A:I,4,0)</f>
        <v>+1 (813) 619-0579</v>
      </c>
      <c r="J245" t="str">
        <f>VLOOKUP(F245,'Customers (2)'!A:I,6,0)</f>
        <v>Tampa</v>
      </c>
      <c r="K245" t="str">
        <f>VLOOKUP(F245,'Customers (2)'!A:I,7,0)</f>
        <v>United States</v>
      </c>
      <c r="L245" t="str">
        <f>VLOOKUP(F245,'Customers (2)'!A:I,9,0)</f>
        <v>Yes</v>
      </c>
      <c r="M245" t="str">
        <f>VLOOKUP(N245,'Products (2)'!A:G,2,0)</f>
        <v>Excelsa</v>
      </c>
      <c r="N245" t="s">
        <v>16</v>
      </c>
      <c r="O245" t="str">
        <f>VLOOKUP(N245,'Products (2)'!A:G,3,0)</f>
        <v>Dark</v>
      </c>
      <c r="P245">
        <f>VLOOKUP(N245,'Products (2)'!A:G,7,0)</f>
        <v>0.80190000000000006</v>
      </c>
      <c r="Q245">
        <v>4</v>
      </c>
      <c r="R245">
        <f>INDEX([1]products!$A$1:$G$49,MATCH([1]orders!$D245,[1]products!$A$1:$A$49,0),MATCH([1]orders!K$1,[1]products!$A$1:$G$1,0))</f>
        <v>0.5</v>
      </c>
      <c r="S245">
        <f>INDEX([1]products!$A$1:$G$49,MATCH([1]orders!$D245,[1]products!$A$1:$A$49,0),MATCH([1]orders!L$1,[1]products!$A$1:$G$1,0))</f>
        <v>7.29</v>
      </c>
      <c r="T245">
        <f t="shared" si="19"/>
        <v>29.16</v>
      </c>
      <c r="U245">
        <f t="shared" si="22"/>
        <v>3.2076000000000002</v>
      </c>
      <c r="V245">
        <f t="shared" si="23"/>
        <v>11</v>
      </c>
    </row>
    <row r="246" spans="1:22" x14ac:dyDescent="0.25">
      <c r="A246" t="s">
        <v>503</v>
      </c>
      <c r="B246">
        <v>44702</v>
      </c>
      <c r="C246" t="str">
        <f t="shared" si="20"/>
        <v>21</v>
      </c>
      <c r="D246" t="str">
        <f t="shared" si="18"/>
        <v>May</v>
      </c>
      <c r="E246" t="str">
        <f t="shared" si="21"/>
        <v>2022</v>
      </c>
      <c r="F246" t="s">
        <v>504</v>
      </c>
      <c r="G246" t="str">
        <f>VLOOKUP(F246,'Customers (2)'!A:I,2,0)</f>
        <v>Effie Yurkov</v>
      </c>
      <c r="H246" t="str">
        <f>VLOOKUP(F246,'Customers (2)'!A:I,3,0)</f>
        <v>eyurkov6s@hud.gov</v>
      </c>
      <c r="I246" t="str">
        <f>VLOOKUP(F246,'Customers (2)'!A:I,4,0)</f>
        <v>+1 (808) 320-5976</v>
      </c>
      <c r="J246" t="str">
        <f>VLOOKUP(F246,'Customers (2)'!A:I,6,0)</f>
        <v>Honolulu</v>
      </c>
      <c r="K246" t="str">
        <f>VLOOKUP(F246,'Customers (2)'!A:I,7,0)</f>
        <v>United States</v>
      </c>
      <c r="L246" t="str">
        <f>VLOOKUP(F246,'Customers (2)'!A:I,9,0)</f>
        <v>No</v>
      </c>
      <c r="M246" t="str">
        <f>VLOOKUP(N246,'Products (2)'!A:G,2,0)</f>
        <v>Liberica</v>
      </c>
      <c r="N246" t="s">
        <v>197</v>
      </c>
      <c r="O246" t="str">
        <f>VLOOKUP(N246,'Products (2)'!A:G,3,0)</f>
        <v>Medium</v>
      </c>
      <c r="P246">
        <f>VLOOKUP(N246,'Products (2)'!A:G,7,0)</f>
        <v>4.3504499999999995</v>
      </c>
      <c r="Q246">
        <v>4</v>
      </c>
      <c r="R246">
        <f>INDEX([1]products!$A$1:$G$49,MATCH([1]orders!$D246,[1]products!$A$1:$A$49,0),MATCH([1]orders!K$1,[1]products!$A$1:$G$1,0))</f>
        <v>2.5</v>
      </c>
      <c r="S246">
        <f>INDEX([1]products!$A$1:$G$49,MATCH([1]orders!$D246,[1]products!$A$1:$A$49,0),MATCH([1]orders!L$1,[1]products!$A$1:$G$1,0))</f>
        <v>33.464999999999996</v>
      </c>
      <c r="T246">
        <f t="shared" si="19"/>
        <v>133.85999999999999</v>
      </c>
      <c r="U246">
        <f t="shared" si="22"/>
        <v>17.401799999999998</v>
      </c>
      <c r="V246">
        <f t="shared" si="23"/>
        <v>13</v>
      </c>
    </row>
    <row r="247" spans="1:22" x14ac:dyDescent="0.25">
      <c r="A247" t="s">
        <v>505</v>
      </c>
      <c r="B247">
        <v>43951</v>
      </c>
      <c r="C247" t="str">
        <f t="shared" si="20"/>
        <v>30</v>
      </c>
      <c r="D247" t="str">
        <f t="shared" si="18"/>
        <v>April</v>
      </c>
      <c r="E247" t="str">
        <f t="shared" si="21"/>
        <v>2020</v>
      </c>
      <c r="F247" t="s">
        <v>506</v>
      </c>
      <c r="G247" t="str">
        <f>VLOOKUP(F247,'Customers (2)'!A:I,2,0)</f>
        <v>Lexie Mallan</v>
      </c>
      <c r="H247" t="str">
        <f>VLOOKUP(F247,'Customers (2)'!A:I,3,0)</f>
        <v>lmallan6t@state.gov</v>
      </c>
      <c r="I247" t="str">
        <f>VLOOKUP(F247,'Customers (2)'!A:I,4,0)</f>
        <v>+1 (225) 484-4771</v>
      </c>
      <c r="J247" t="str">
        <f>VLOOKUP(F247,'Customers (2)'!A:I,6,0)</f>
        <v>Baton Rouge</v>
      </c>
      <c r="K247" t="str">
        <f>VLOOKUP(F247,'Customers (2)'!A:I,7,0)</f>
        <v>United States</v>
      </c>
      <c r="L247" t="str">
        <f>VLOOKUP(F247,'Customers (2)'!A:I,9,0)</f>
        <v>Yes</v>
      </c>
      <c r="M247" t="str">
        <f>VLOOKUP(N247,'Products (2)'!A:G,2,0)</f>
        <v>Liberica</v>
      </c>
      <c r="N247" t="s">
        <v>19</v>
      </c>
      <c r="O247" t="str">
        <f>VLOOKUP(N247,'Products (2)'!A:G,3,0)</f>
        <v>Light</v>
      </c>
      <c r="P247">
        <f>VLOOKUP(N247,'Products (2)'!A:G,7,0)</f>
        <v>0.61814999999999998</v>
      </c>
      <c r="Q247">
        <v>5</v>
      </c>
      <c r="R247">
        <f>INDEX([1]products!$A$1:$G$49,MATCH([1]orders!$D247,[1]products!$A$1:$A$49,0),MATCH([1]orders!K$1,[1]products!$A$1:$G$1,0))</f>
        <v>0.2</v>
      </c>
      <c r="S247">
        <f>INDEX([1]products!$A$1:$G$49,MATCH([1]orders!$D247,[1]products!$A$1:$A$49,0),MATCH([1]orders!L$1,[1]products!$A$1:$G$1,0))</f>
        <v>4.7549999999999999</v>
      </c>
      <c r="T247">
        <f t="shared" si="19"/>
        <v>23.774999999999999</v>
      </c>
      <c r="U247">
        <f t="shared" si="22"/>
        <v>3.0907499999999999</v>
      </c>
      <c r="V247">
        <f t="shared" si="23"/>
        <v>13</v>
      </c>
    </row>
    <row r="248" spans="1:22" x14ac:dyDescent="0.25">
      <c r="A248" t="s">
        <v>507</v>
      </c>
      <c r="B248">
        <v>44542</v>
      </c>
      <c r="C248" t="str">
        <f t="shared" si="20"/>
        <v>12</v>
      </c>
      <c r="D248" t="str">
        <f t="shared" si="18"/>
        <v>December</v>
      </c>
      <c r="E248" t="str">
        <f t="shared" si="21"/>
        <v>2021</v>
      </c>
      <c r="F248" t="s">
        <v>508</v>
      </c>
      <c r="G248" t="str">
        <f>VLOOKUP(F248,'Customers (2)'!A:I,2,0)</f>
        <v>Georgena Bentjens</v>
      </c>
      <c r="H248" t="str">
        <f>VLOOKUP(F248,'Customers (2)'!A:I,3,0)</f>
        <v>gbentjens6u@netlog.com</v>
      </c>
      <c r="I248" t="str">
        <f>VLOOKUP(F248,'Customers (2)'!A:I,4,0)</f>
        <v>+44 (610) 153-1208</v>
      </c>
      <c r="J248" t="str">
        <f>VLOOKUP(F248,'Customers (2)'!A:I,6,0)</f>
        <v>Newbiggin</v>
      </c>
      <c r="K248" t="str">
        <f>VLOOKUP(F248,'Customers (2)'!A:I,7,0)</f>
        <v>United Kingdom</v>
      </c>
      <c r="L248" t="str">
        <f>VLOOKUP(F248,'Customers (2)'!A:I,9,0)</f>
        <v>No</v>
      </c>
      <c r="M248" t="str">
        <f>VLOOKUP(N248,'Products (2)'!A:G,2,0)</f>
        <v>Liberica</v>
      </c>
      <c r="N248" t="s">
        <v>13</v>
      </c>
      <c r="O248" t="str">
        <f>VLOOKUP(N248,'Products (2)'!A:G,3,0)</f>
        <v>Dark</v>
      </c>
      <c r="P248">
        <f>VLOOKUP(N248,'Products (2)'!A:G,7,0)</f>
        <v>1.6835</v>
      </c>
      <c r="Q248">
        <v>3</v>
      </c>
      <c r="R248">
        <f>INDEX([1]products!$A$1:$G$49,MATCH([1]orders!$D248,[1]products!$A$1:$A$49,0),MATCH([1]orders!K$1,[1]products!$A$1:$G$1,0))</f>
        <v>1</v>
      </c>
      <c r="S248">
        <f>INDEX([1]products!$A$1:$G$49,MATCH([1]orders!$D248,[1]products!$A$1:$A$49,0),MATCH([1]orders!L$1,[1]products!$A$1:$G$1,0))</f>
        <v>12.95</v>
      </c>
      <c r="T248">
        <f t="shared" si="19"/>
        <v>38.849999999999994</v>
      </c>
      <c r="U248">
        <f t="shared" si="22"/>
        <v>5.0504999999999995</v>
      </c>
      <c r="V248">
        <f t="shared" si="23"/>
        <v>13</v>
      </c>
    </row>
    <row r="249" spans="1:22" x14ac:dyDescent="0.25">
      <c r="A249" t="s">
        <v>509</v>
      </c>
      <c r="B249">
        <v>44131</v>
      </c>
      <c r="C249" t="str">
        <f t="shared" si="20"/>
        <v>27</v>
      </c>
      <c r="D249" t="str">
        <f t="shared" si="18"/>
        <v>October</v>
      </c>
      <c r="E249" t="str">
        <f t="shared" si="21"/>
        <v>2020</v>
      </c>
      <c r="F249" t="s">
        <v>510</v>
      </c>
      <c r="G249" t="str">
        <f>VLOOKUP(F249,'Customers (2)'!A:I,2,0)</f>
        <v>Delmar Beasant</v>
      </c>
      <c r="H249">
        <f>VLOOKUP(F249,'Customers (2)'!A:I,3,0)</f>
        <v>0</v>
      </c>
      <c r="I249" t="str">
        <f>VLOOKUP(F249,'Customers (2)'!A:I,4,0)</f>
        <v>+353 (382) 208-0531</v>
      </c>
      <c r="J249" t="str">
        <f>VLOOKUP(F249,'Customers (2)'!A:I,6,0)</f>
        <v>Kilkenny</v>
      </c>
      <c r="K249" t="str">
        <f>VLOOKUP(F249,'Customers (2)'!A:I,7,0)</f>
        <v>Ireland</v>
      </c>
      <c r="L249" t="str">
        <f>VLOOKUP(F249,'Customers (2)'!A:I,9,0)</f>
        <v>Yes</v>
      </c>
      <c r="M249" t="str">
        <f>VLOOKUP(N249,'Products (2)'!A:G,2,0)</f>
        <v>Robusta</v>
      </c>
      <c r="N249" t="s">
        <v>182</v>
      </c>
      <c r="O249" t="str">
        <f>VLOOKUP(N249,'Products (2)'!A:G,3,0)</f>
        <v>Light</v>
      </c>
      <c r="P249">
        <f>VLOOKUP(N249,'Products (2)'!A:G,7,0)</f>
        <v>0.21509999999999996</v>
      </c>
      <c r="Q249">
        <v>6</v>
      </c>
      <c r="R249">
        <f>INDEX([1]products!$A$1:$G$49,MATCH([1]orders!$D249,[1]products!$A$1:$A$49,0),MATCH([1]orders!K$1,[1]products!$A$1:$G$1,0))</f>
        <v>0.2</v>
      </c>
      <c r="S249">
        <f>INDEX([1]products!$A$1:$G$49,MATCH([1]orders!$D249,[1]products!$A$1:$A$49,0),MATCH([1]orders!L$1,[1]products!$A$1:$G$1,0))</f>
        <v>3.5849999999999995</v>
      </c>
      <c r="T249">
        <f t="shared" si="19"/>
        <v>21.509999999999998</v>
      </c>
      <c r="U249">
        <f t="shared" si="22"/>
        <v>1.2905999999999997</v>
      </c>
      <c r="V249">
        <f t="shared" si="23"/>
        <v>5.9999999999999991</v>
      </c>
    </row>
    <row r="250" spans="1:22" x14ac:dyDescent="0.25">
      <c r="A250" t="s">
        <v>511</v>
      </c>
      <c r="B250">
        <v>44019</v>
      </c>
      <c r="C250" t="str">
        <f t="shared" si="20"/>
        <v>07</v>
      </c>
      <c r="D250" t="str">
        <f t="shared" si="18"/>
        <v>July</v>
      </c>
      <c r="E250" t="str">
        <f t="shared" si="21"/>
        <v>2020</v>
      </c>
      <c r="F250" t="s">
        <v>512</v>
      </c>
      <c r="G250" t="str">
        <f>VLOOKUP(F250,'Customers (2)'!A:I,2,0)</f>
        <v>Lyn Entwistle</v>
      </c>
      <c r="H250" t="str">
        <f>VLOOKUP(F250,'Customers (2)'!A:I,3,0)</f>
        <v>lentwistle6w@omniture.com</v>
      </c>
      <c r="I250" t="str">
        <f>VLOOKUP(F250,'Customers (2)'!A:I,4,0)</f>
        <v>+1 (612) 972-1256</v>
      </c>
      <c r="J250" t="str">
        <f>VLOOKUP(F250,'Customers (2)'!A:I,6,0)</f>
        <v>Minneapolis</v>
      </c>
      <c r="K250" t="str">
        <f>VLOOKUP(F250,'Customers (2)'!A:I,7,0)</f>
        <v>United States</v>
      </c>
      <c r="L250" t="str">
        <f>VLOOKUP(F250,'Customers (2)'!A:I,9,0)</f>
        <v>Yes</v>
      </c>
      <c r="M250" t="str">
        <f>VLOOKUP(N250,'Products (2)'!A:G,2,0)</f>
        <v>Arabica</v>
      </c>
      <c r="N250" t="s">
        <v>27</v>
      </c>
      <c r="O250" t="str">
        <f>VLOOKUP(N250,'Products (2)'!A:G,3,0)</f>
        <v>Dark</v>
      </c>
      <c r="P250">
        <f>VLOOKUP(N250,'Products (2)'!A:G,7,0)</f>
        <v>0.89549999999999985</v>
      </c>
      <c r="Q250">
        <v>1</v>
      </c>
      <c r="R250">
        <f>INDEX([1]products!$A$1:$G$49,MATCH([1]orders!$D250,[1]products!$A$1:$A$49,0),MATCH([1]orders!K$1,[1]products!$A$1:$G$1,0))</f>
        <v>1</v>
      </c>
      <c r="S250">
        <f>INDEX([1]products!$A$1:$G$49,MATCH([1]orders!$D250,[1]products!$A$1:$A$49,0),MATCH([1]orders!L$1,[1]products!$A$1:$G$1,0))</f>
        <v>9.9499999999999993</v>
      </c>
      <c r="T250">
        <f t="shared" si="19"/>
        <v>9.9499999999999993</v>
      </c>
      <c r="U250">
        <f t="shared" si="22"/>
        <v>0.89549999999999985</v>
      </c>
      <c r="V250">
        <f t="shared" si="23"/>
        <v>9</v>
      </c>
    </row>
    <row r="251" spans="1:22" x14ac:dyDescent="0.25">
      <c r="A251" t="s">
        <v>513</v>
      </c>
      <c r="B251">
        <v>43861</v>
      </c>
      <c r="C251" t="str">
        <f t="shared" si="20"/>
        <v>31</v>
      </c>
      <c r="D251" t="str">
        <f t="shared" si="18"/>
        <v>January</v>
      </c>
      <c r="E251" t="str">
        <f t="shared" si="21"/>
        <v>2020</v>
      </c>
      <c r="F251" t="s">
        <v>514</v>
      </c>
      <c r="G251" t="str">
        <f>VLOOKUP(F251,'Customers (2)'!A:I,2,0)</f>
        <v>Zacharias Kiffe</v>
      </c>
      <c r="H251" t="str">
        <f>VLOOKUP(F251,'Customers (2)'!A:I,3,0)</f>
        <v>zkiffe74@cyberchimps.com</v>
      </c>
      <c r="I251" t="str">
        <f>VLOOKUP(F251,'Customers (2)'!A:I,4,0)</f>
        <v>+1 (414) 703-7269</v>
      </c>
      <c r="J251" t="str">
        <f>VLOOKUP(F251,'Customers (2)'!A:I,6,0)</f>
        <v>Milwaukee</v>
      </c>
      <c r="K251" t="str">
        <f>VLOOKUP(F251,'Customers (2)'!A:I,7,0)</f>
        <v>United States</v>
      </c>
      <c r="L251" t="str">
        <f>VLOOKUP(F251,'Customers (2)'!A:I,9,0)</f>
        <v>Yes</v>
      </c>
      <c r="M251" t="str">
        <f>VLOOKUP(N251,'Products (2)'!A:G,2,0)</f>
        <v>Liberica</v>
      </c>
      <c r="N251" t="s">
        <v>132</v>
      </c>
      <c r="O251" t="str">
        <f>VLOOKUP(N251,'Products (2)'!A:G,3,0)</f>
        <v>Light</v>
      </c>
      <c r="P251">
        <f>VLOOKUP(N251,'Products (2)'!A:G,7,0)</f>
        <v>2.0605000000000002</v>
      </c>
      <c r="Q251">
        <v>1</v>
      </c>
      <c r="R251">
        <f>INDEX([1]products!$A$1:$G$49,MATCH([1]orders!$D251,[1]products!$A$1:$A$49,0),MATCH([1]orders!K$1,[1]products!$A$1:$G$1,0))</f>
        <v>1</v>
      </c>
      <c r="S251">
        <f>INDEX([1]products!$A$1:$G$49,MATCH([1]orders!$D251,[1]products!$A$1:$A$49,0),MATCH([1]orders!L$1,[1]products!$A$1:$G$1,0))</f>
        <v>15.85</v>
      </c>
      <c r="T251">
        <f t="shared" si="19"/>
        <v>15.85</v>
      </c>
      <c r="U251">
        <f t="shared" si="22"/>
        <v>2.0605000000000002</v>
      </c>
      <c r="V251">
        <f t="shared" si="23"/>
        <v>13</v>
      </c>
    </row>
    <row r="252" spans="1:22" x14ac:dyDescent="0.25">
      <c r="A252" t="s">
        <v>515</v>
      </c>
      <c r="B252">
        <v>43879</v>
      </c>
      <c r="C252" t="str">
        <f t="shared" si="20"/>
        <v>18</v>
      </c>
      <c r="D252" t="str">
        <f t="shared" si="18"/>
        <v>February</v>
      </c>
      <c r="E252" t="str">
        <f t="shared" si="21"/>
        <v>2020</v>
      </c>
      <c r="F252" t="s">
        <v>516</v>
      </c>
      <c r="G252" t="str">
        <f>VLOOKUP(F252,'Customers (2)'!A:I,2,0)</f>
        <v>Mercedes Acott</v>
      </c>
      <c r="H252" t="str">
        <f>VLOOKUP(F252,'Customers (2)'!A:I,3,0)</f>
        <v>macott6y@pagesperso-orange.fr</v>
      </c>
      <c r="I252" t="str">
        <f>VLOOKUP(F252,'Customers (2)'!A:I,4,0)</f>
        <v>+1 (704) 892-0605</v>
      </c>
      <c r="J252" t="str">
        <f>VLOOKUP(F252,'Customers (2)'!A:I,6,0)</f>
        <v>Charlotte</v>
      </c>
      <c r="K252" t="str">
        <f>VLOOKUP(F252,'Customers (2)'!A:I,7,0)</f>
        <v>United States</v>
      </c>
      <c r="L252" t="str">
        <f>VLOOKUP(F252,'Customers (2)'!A:I,9,0)</f>
        <v>Yes</v>
      </c>
      <c r="M252" t="str">
        <f>VLOOKUP(N252,'Products (2)'!A:G,2,0)</f>
        <v>Robusta</v>
      </c>
      <c r="N252" t="s">
        <v>162</v>
      </c>
      <c r="O252" t="str">
        <f>VLOOKUP(N252,'Products (2)'!A:G,3,0)</f>
        <v>Medium</v>
      </c>
      <c r="P252">
        <f>VLOOKUP(N252,'Products (2)'!A:G,7,0)</f>
        <v>0.17909999999999998</v>
      </c>
      <c r="Q252">
        <v>1</v>
      </c>
      <c r="R252">
        <f>INDEX([1]products!$A$1:$G$49,MATCH([1]orders!$D252,[1]products!$A$1:$A$49,0),MATCH([1]orders!K$1,[1]products!$A$1:$G$1,0))</f>
        <v>0.2</v>
      </c>
      <c r="S252">
        <f>INDEX([1]products!$A$1:$G$49,MATCH([1]orders!$D252,[1]products!$A$1:$A$49,0),MATCH([1]orders!L$1,[1]products!$A$1:$G$1,0))</f>
        <v>2.9849999999999999</v>
      </c>
      <c r="T252">
        <f t="shared" si="19"/>
        <v>2.9849999999999999</v>
      </c>
      <c r="U252">
        <f t="shared" si="22"/>
        <v>0.17909999999999998</v>
      </c>
      <c r="V252">
        <f t="shared" si="23"/>
        <v>6</v>
      </c>
    </row>
    <row r="253" spans="1:22" x14ac:dyDescent="0.25">
      <c r="A253" t="s">
        <v>517</v>
      </c>
      <c r="B253">
        <v>44360</v>
      </c>
      <c r="C253" t="str">
        <f t="shared" si="20"/>
        <v>13</v>
      </c>
      <c r="D253" t="str">
        <f t="shared" si="18"/>
        <v>June</v>
      </c>
      <c r="E253" t="str">
        <f t="shared" si="21"/>
        <v>2021</v>
      </c>
      <c r="F253" t="s">
        <v>518</v>
      </c>
      <c r="G253" t="str">
        <f>VLOOKUP(F253,'Customers (2)'!A:I,2,0)</f>
        <v>Connor Heaviside</v>
      </c>
      <c r="H253" t="str">
        <f>VLOOKUP(F253,'Customers (2)'!A:I,3,0)</f>
        <v>cheaviside6z@rediff.com</v>
      </c>
      <c r="I253" t="str">
        <f>VLOOKUP(F253,'Customers (2)'!A:I,4,0)</f>
        <v>+1 (602) 260-2399</v>
      </c>
      <c r="J253" t="str">
        <f>VLOOKUP(F253,'Customers (2)'!A:I,6,0)</f>
        <v>Phoenix</v>
      </c>
      <c r="K253" t="str">
        <f>VLOOKUP(F253,'Customers (2)'!A:I,7,0)</f>
        <v>United States</v>
      </c>
      <c r="L253" t="str">
        <f>VLOOKUP(F253,'Customers (2)'!A:I,9,0)</f>
        <v>Yes</v>
      </c>
      <c r="M253" t="str">
        <f>VLOOKUP(N253,'Products (2)'!A:G,2,0)</f>
        <v>Excelsa</v>
      </c>
      <c r="N253" t="s">
        <v>9</v>
      </c>
      <c r="O253" t="str">
        <f>VLOOKUP(N253,'Products (2)'!A:G,3,0)</f>
        <v>Medium</v>
      </c>
      <c r="P253">
        <f>VLOOKUP(N253,'Products (2)'!A:G,7,0)</f>
        <v>1.5125</v>
      </c>
      <c r="Q253">
        <v>5</v>
      </c>
      <c r="R253">
        <f>INDEX([1]products!$A$1:$G$49,MATCH([1]orders!$D253,[1]products!$A$1:$A$49,0),MATCH([1]orders!K$1,[1]products!$A$1:$G$1,0))</f>
        <v>1</v>
      </c>
      <c r="S253">
        <f>INDEX([1]products!$A$1:$G$49,MATCH([1]orders!$D253,[1]products!$A$1:$A$49,0),MATCH([1]orders!L$1,[1]products!$A$1:$G$1,0))</f>
        <v>13.75</v>
      </c>
      <c r="T253">
        <f t="shared" si="19"/>
        <v>68.75</v>
      </c>
      <c r="U253">
        <f t="shared" si="22"/>
        <v>7.5625</v>
      </c>
      <c r="V253">
        <f t="shared" si="23"/>
        <v>11</v>
      </c>
    </row>
    <row r="254" spans="1:22" x14ac:dyDescent="0.25">
      <c r="A254" t="s">
        <v>519</v>
      </c>
      <c r="B254">
        <v>44779</v>
      </c>
      <c r="C254" t="str">
        <f t="shared" si="20"/>
        <v>06</v>
      </c>
      <c r="D254" t="str">
        <f t="shared" si="18"/>
        <v>August</v>
      </c>
      <c r="E254" t="str">
        <f t="shared" si="21"/>
        <v>2022</v>
      </c>
      <c r="F254" t="s">
        <v>520</v>
      </c>
      <c r="G254" t="str">
        <f>VLOOKUP(F254,'Customers (2)'!A:I,2,0)</f>
        <v>Devy Bulbrook</v>
      </c>
      <c r="H254">
        <f>VLOOKUP(F254,'Customers (2)'!A:I,3,0)</f>
        <v>0</v>
      </c>
      <c r="I254" t="str">
        <f>VLOOKUP(F254,'Customers (2)'!A:I,4,0)</f>
        <v>+1 (212) 360-7479</v>
      </c>
      <c r="J254" t="str">
        <f>VLOOKUP(F254,'Customers (2)'!A:I,6,0)</f>
        <v>Jamaica</v>
      </c>
      <c r="K254" t="str">
        <f>VLOOKUP(F254,'Customers (2)'!A:I,7,0)</f>
        <v>United States</v>
      </c>
      <c r="L254" t="str">
        <f>VLOOKUP(F254,'Customers (2)'!A:I,9,0)</f>
        <v>No</v>
      </c>
      <c r="M254" t="str">
        <f>VLOOKUP(N254,'Products (2)'!A:G,2,0)</f>
        <v>Arabica</v>
      </c>
      <c r="N254" t="s">
        <v>27</v>
      </c>
      <c r="O254" t="str">
        <f>VLOOKUP(N254,'Products (2)'!A:G,3,0)</f>
        <v>Dark</v>
      </c>
      <c r="P254">
        <f>VLOOKUP(N254,'Products (2)'!A:G,7,0)</f>
        <v>0.89549999999999985</v>
      </c>
      <c r="Q254">
        <v>3</v>
      </c>
      <c r="R254">
        <f>INDEX([1]products!$A$1:$G$49,MATCH([1]orders!$D254,[1]products!$A$1:$A$49,0),MATCH([1]orders!K$1,[1]products!$A$1:$G$1,0))</f>
        <v>1</v>
      </c>
      <c r="S254">
        <f>INDEX([1]products!$A$1:$G$49,MATCH([1]orders!$D254,[1]products!$A$1:$A$49,0),MATCH([1]orders!L$1,[1]products!$A$1:$G$1,0))</f>
        <v>9.9499999999999993</v>
      </c>
      <c r="T254">
        <f t="shared" si="19"/>
        <v>29.849999999999998</v>
      </c>
      <c r="U254">
        <f t="shared" si="22"/>
        <v>2.6864999999999997</v>
      </c>
      <c r="V254">
        <f t="shared" si="23"/>
        <v>9</v>
      </c>
    </row>
    <row r="255" spans="1:22" x14ac:dyDescent="0.25">
      <c r="A255" t="s">
        <v>521</v>
      </c>
      <c r="B255">
        <v>44523</v>
      </c>
      <c r="C255" t="str">
        <f t="shared" si="20"/>
        <v>23</v>
      </c>
      <c r="D255" t="str">
        <f t="shared" si="18"/>
        <v>November</v>
      </c>
      <c r="E255" t="str">
        <f t="shared" si="21"/>
        <v>2021</v>
      </c>
      <c r="F255" t="s">
        <v>522</v>
      </c>
      <c r="G255" t="str">
        <f>VLOOKUP(F255,'Customers (2)'!A:I,2,0)</f>
        <v>Leia Kernan</v>
      </c>
      <c r="H255" t="str">
        <f>VLOOKUP(F255,'Customers (2)'!A:I,3,0)</f>
        <v>lkernan71@wsj.com</v>
      </c>
      <c r="I255" t="str">
        <f>VLOOKUP(F255,'Customers (2)'!A:I,4,0)</f>
        <v>+1 (217) 146-0949</v>
      </c>
      <c r="J255" t="str">
        <f>VLOOKUP(F255,'Customers (2)'!A:I,6,0)</f>
        <v>Champaign</v>
      </c>
      <c r="K255" t="str">
        <f>VLOOKUP(F255,'Customers (2)'!A:I,7,0)</f>
        <v>United States</v>
      </c>
      <c r="L255" t="str">
        <f>VLOOKUP(F255,'Customers (2)'!A:I,9,0)</f>
        <v>No</v>
      </c>
      <c r="M255" t="str">
        <f>VLOOKUP(N255,'Products (2)'!A:G,2,0)</f>
        <v>Liberica</v>
      </c>
      <c r="N255" t="s">
        <v>96</v>
      </c>
      <c r="O255" t="str">
        <f>VLOOKUP(N255,'Products (2)'!A:G,3,0)</f>
        <v>Medium</v>
      </c>
      <c r="P255">
        <f>VLOOKUP(N255,'Products (2)'!A:G,7,0)</f>
        <v>1.8915000000000002</v>
      </c>
      <c r="Q255">
        <v>4</v>
      </c>
      <c r="R255">
        <f>INDEX([1]products!$A$1:$G$49,MATCH([1]orders!$D255,[1]products!$A$1:$A$49,0),MATCH([1]orders!K$1,[1]products!$A$1:$G$1,0))</f>
        <v>1</v>
      </c>
      <c r="S255">
        <f>INDEX([1]products!$A$1:$G$49,MATCH([1]orders!$D255,[1]products!$A$1:$A$49,0),MATCH([1]orders!L$1,[1]products!$A$1:$G$1,0))</f>
        <v>14.55</v>
      </c>
      <c r="T255">
        <f t="shared" si="19"/>
        <v>58.2</v>
      </c>
      <c r="U255">
        <f t="shared" si="22"/>
        <v>7.5660000000000007</v>
      </c>
      <c r="V255">
        <f t="shared" si="23"/>
        <v>13</v>
      </c>
    </row>
    <row r="256" spans="1:22" x14ac:dyDescent="0.25">
      <c r="A256" t="s">
        <v>523</v>
      </c>
      <c r="B256">
        <v>44482</v>
      </c>
      <c r="C256" t="str">
        <f t="shared" si="20"/>
        <v>13</v>
      </c>
      <c r="D256" t="str">
        <f t="shared" si="18"/>
        <v>October</v>
      </c>
      <c r="E256" t="str">
        <f t="shared" si="21"/>
        <v>2021</v>
      </c>
      <c r="F256" t="s">
        <v>524</v>
      </c>
      <c r="G256" t="str">
        <f>VLOOKUP(F256,'Customers (2)'!A:I,2,0)</f>
        <v>Rosaline McLae</v>
      </c>
      <c r="H256" t="str">
        <f>VLOOKUP(F256,'Customers (2)'!A:I,3,0)</f>
        <v>rmclae72@dailymotion.com</v>
      </c>
      <c r="I256">
        <f>VLOOKUP(F256,'Customers (2)'!A:I,4,0)</f>
        <v>0</v>
      </c>
      <c r="J256" t="str">
        <f>VLOOKUP(F256,'Customers (2)'!A:I,6,0)</f>
        <v>Swindon</v>
      </c>
      <c r="K256" t="str">
        <f>VLOOKUP(F256,'Customers (2)'!A:I,7,0)</f>
        <v>United Kingdom</v>
      </c>
      <c r="L256" t="str">
        <f>VLOOKUP(F256,'Customers (2)'!A:I,9,0)</f>
        <v>No</v>
      </c>
      <c r="M256" t="str">
        <f>VLOOKUP(N256,'Products (2)'!A:G,2,0)</f>
        <v>Robusta</v>
      </c>
      <c r="N256" t="s">
        <v>157</v>
      </c>
      <c r="O256" t="str">
        <f>VLOOKUP(N256,'Products (2)'!A:G,3,0)</f>
        <v>Light</v>
      </c>
      <c r="P256">
        <f>VLOOKUP(N256,'Products (2)'!A:G,7,0)</f>
        <v>0.43019999999999992</v>
      </c>
      <c r="Q256">
        <v>4</v>
      </c>
      <c r="R256">
        <f>INDEX([1]products!$A$1:$G$49,MATCH([1]orders!$D256,[1]products!$A$1:$A$49,0),MATCH([1]orders!K$1,[1]products!$A$1:$G$1,0))</f>
        <v>0.5</v>
      </c>
      <c r="S256">
        <f>INDEX([1]products!$A$1:$G$49,MATCH([1]orders!$D256,[1]products!$A$1:$A$49,0),MATCH([1]orders!L$1,[1]products!$A$1:$G$1,0))</f>
        <v>7.169999999999999</v>
      </c>
      <c r="T256">
        <f t="shared" si="19"/>
        <v>28.679999999999996</v>
      </c>
      <c r="U256">
        <f t="shared" si="22"/>
        <v>1.7207999999999997</v>
      </c>
      <c r="V256">
        <f t="shared" si="23"/>
        <v>6</v>
      </c>
    </row>
    <row r="257" spans="1:22" x14ac:dyDescent="0.25">
      <c r="A257" t="s">
        <v>525</v>
      </c>
      <c r="B257">
        <v>44439</v>
      </c>
      <c r="C257" t="str">
        <f t="shared" si="20"/>
        <v>31</v>
      </c>
      <c r="D257" t="str">
        <f t="shared" si="18"/>
        <v>August</v>
      </c>
      <c r="E257" t="str">
        <f t="shared" si="21"/>
        <v>2021</v>
      </c>
      <c r="F257" t="s">
        <v>526</v>
      </c>
      <c r="G257" t="str">
        <f>VLOOKUP(F257,'Customers (2)'!A:I,2,0)</f>
        <v>Cleve Blowfelde</v>
      </c>
      <c r="H257" t="str">
        <f>VLOOKUP(F257,'Customers (2)'!A:I,3,0)</f>
        <v>cblowfelde73@ustream.tv</v>
      </c>
      <c r="I257" t="str">
        <f>VLOOKUP(F257,'Customers (2)'!A:I,4,0)</f>
        <v>+1 (520) 951-0585</v>
      </c>
      <c r="J257" t="str">
        <f>VLOOKUP(F257,'Customers (2)'!A:I,6,0)</f>
        <v>Tucson</v>
      </c>
      <c r="K257" t="str">
        <f>VLOOKUP(F257,'Customers (2)'!A:I,7,0)</f>
        <v>United States</v>
      </c>
      <c r="L257" t="str">
        <f>VLOOKUP(F257,'Customers (2)'!A:I,9,0)</f>
        <v>No</v>
      </c>
      <c r="M257" t="str">
        <f>VLOOKUP(N257,'Products (2)'!A:G,2,0)</f>
        <v>Robusta</v>
      </c>
      <c r="N257" t="s">
        <v>157</v>
      </c>
      <c r="O257" t="str">
        <f>VLOOKUP(N257,'Products (2)'!A:G,3,0)</f>
        <v>Light</v>
      </c>
      <c r="P257">
        <f>VLOOKUP(N257,'Products (2)'!A:G,7,0)</f>
        <v>0.43019999999999992</v>
      </c>
      <c r="Q257">
        <v>3</v>
      </c>
      <c r="R257">
        <f>INDEX([1]products!$A$1:$G$49,MATCH([1]orders!$D257,[1]products!$A$1:$A$49,0),MATCH([1]orders!K$1,[1]products!$A$1:$G$1,0))</f>
        <v>0.5</v>
      </c>
      <c r="S257">
        <f>INDEX([1]products!$A$1:$G$49,MATCH([1]orders!$D257,[1]products!$A$1:$A$49,0),MATCH([1]orders!L$1,[1]products!$A$1:$G$1,0))</f>
        <v>7.169999999999999</v>
      </c>
      <c r="T257">
        <f t="shared" si="19"/>
        <v>21.509999999999998</v>
      </c>
      <c r="U257">
        <f t="shared" si="22"/>
        <v>1.2905999999999997</v>
      </c>
      <c r="V257">
        <f t="shared" si="23"/>
        <v>5.9999999999999991</v>
      </c>
    </row>
    <row r="258" spans="1:22" x14ac:dyDescent="0.25">
      <c r="A258" t="s">
        <v>527</v>
      </c>
      <c r="B258">
        <v>43846</v>
      </c>
      <c r="C258" t="str">
        <f t="shared" si="20"/>
        <v>16</v>
      </c>
      <c r="D258" t="str">
        <f t="shared" ref="D258:D321" si="24">TEXT(B:B,"MMMM")</f>
        <v>January</v>
      </c>
      <c r="E258" t="str">
        <f t="shared" si="21"/>
        <v>2020</v>
      </c>
      <c r="F258" t="s">
        <v>514</v>
      </c>
      <c r="G258" t="str">
        <f>VLOOKUP(F258,'Customers (2)'!A:I,2,0)</f>
        <v>Zacharias Kiffe</v>
      </c>
      <c r="H258" t="str">
        <f>VLOOKUP(F258,'Customers (2)'!A:I,3,0)</f>
        <v>zkiffe74@cyberchimps.com</v>
      </c>
      <c r="I258" t="str">
        <f>VLOOKUP(F258,'Customers (2)'!A:I,4,0)</f>
        <v>+1 (414) 703-7269</v>
      </c>
      <c r="J258" t="str">
        <f>VLOOKUP(F258,'Customers (2)'!A:I,6,0)</f>
        <v>Milwaukee</v>
      </c>
      <c r="K258" t="str">
        <f>VLOOKUP(F258,'Customers (2)'!A:I,7,0)</f>
        <v>United States</v>
      </c>
      <c r="L258" t="str">
        <f>VLOOKUP(F258,'Customers (2)'!A:I,9,0)</f>
        <v>Yes</v>
      </c>
      <c r="M258" t="str">
        <f>VLOOKUP(N258,'Products (2)'!A:G,2,0)</f>
        <v>Liberica</v>
      </c>
      <c r="N258" t="s">
        <v>78</v>
      </c>
      <c r="O258" t="str">
        <f>VLOOKUP(N258,'Products (2)'!A:G,3,0)</f>
        <v>Medium</v>
      </c>
      <c r="P258">
        <f>VLOOKUP(N258,'Products (2)'!A:G,7,0)</f>
        <v>1.1349</v>
      </c>
      <c r="Q258">
        <v>2</v>
      </c>
      <c r="R258">
        <f>INDEX([1]products!$A$1:$G$49,MATCH([1]orders!$D258,[1]products!$A$1:$A$49,0),MATCH([1]orders!K$1,[1]products!$A$1:$G$1,0))</f>
        <v>0.5</v>
      </c>
      <c r="S258">
        <f>INDEX([1]products!$A$1:$G$49,MATCH([1]orders!$D258,[1]products!$A$1:$A$49,0),MATCH([1]orders!L$1,[1]products!$A$1:$G$1,0))</f>
        <v>8.73</v>
      </c>
      <c r="T258">
        <f t="shared" ref="T258:T321" si="25">Q258*S258</f>
        <v>17.46</v>
      </c>
      <c r="U258">
        <f t="shared" si="22"/>
        <v>2.2698</v>
      </c>
      <c r="V258">
        <f t="shared" si="23"/>
        <v>13</v>
      </c>
    </row>
    <row r="259" spans="1:22" x14ac:dyDescent="0.25">
      <c r="A259" t="s">
        <v>528</v>
      </c>
      <c r="B259">
        <v>44676</v>
      </c>
      <c r="C259" t="str">
        <f t="shared" ref="C259:C322" si="26">TEXT(B:B,"DD")</f>
        <v>25</v>
      </c>
      <c r="D259" t="str">
        <f t="shared" si="24"/>
        <v>April</v>
      </c>
      <c r="E259" t="str">
        <f t="shared" ref="E259:E322" si="27">TEXT(B:B,"yyyy")</f>
        <v>2022</v>
      </c>
      <c r="F259" t="s">
        <v>529</v>
      </c>
      <c r="G259" t="str">
        <f>VLOOKUP(F259,'Customers (2)'!A:I,2,0)</f>
        <v>Denyse O'Calleran</v>
      </c>
      <c r="H259" t="str">
        <f>VLOOKUP(F259,'Customers (2)'!A:I,3,0)</f>
        <v>docalleran75@ucla.edu</v>
      </c>
      <c r="I259" t="str">
        <f>VLOOKUP(F259,'Customers (2)'!A:I,4,0)</f>
        <v>+1 (954) 368-3867</v>
      </c>
      <c r="J259" t="str">
        <f>VLOOKUP(F259,'Customers (2)'!A:I,6,0)</f>
        <v>Pompano Beach</v>
      </c>
      <c r="K259" t="str">
        <f>VLOOKUP(F259,'Customers (2)'!A:I,7,0)</f>
        <v>United States</v>
      </c>
      <c r="L259" t="str">
        <f>VLOOKUP(F259,'Customers (2)'!A:I,9,0)</f>
        <v>Yes</v>
      </c>
      <c r="M259" t="str">
        <f>VLOOKUP(N259,'Products (2)'!A:G,2,0)</f>
        <v>Excelsa</v>
      </c>
      <c r="N259" t="s">
        <v>530</v>
      </c>
      <c r="O259" t="str">
        <f>VLOOKUP(N259,'Products (2)'!A:G,3,0)</f>
        <v>Dark</v>
      </c>
      <c r="P259">
        <f>VLOOKUP(N259,'Products (2)'!A:G,7,0)</f>
        <v>3.07395</v>
      </c>
      <c r="Q259">
        <v>1</v>
      </c>
      <c r="R259">
        <f>INDEX([1]products!$A$1:$G$49,MATCH([1]orders!$D259,[1]products!$A$1:$A$49,0),MATCH([1]orders!K$1,[1]products!$A$1:$G$1,0))</f>
        <v>2.5</v>
      </c>
      <c r="S259">
        <f>INDEX([1]products!$A$1:$G$49,MATCH([1]orders!$D259,[1]products!$A$1:$A$49,0),MATCH([1]orders!L$1,[1]products!$A$1:$G$1,0))</f>
        <v>27.945</v>
      </c>
      <c r="T259">
        <f t="shared" si="25"/>
        <v>27.945</v>
      </c>
      <c r="U259">
        <f t="shared" ref="U259:U322" si="28">Q259*P259</f>
        <v>3.07395</v>
      </c>
      <c r="V259">
        <f t="shared" ref="V259:V322" si="29">U259/T259*100</f>
        <v>11</v>
      </c>
    </row>
    <row r="260" spans="1:22" x14ac:dyDescent="0.25">
      <c r="A260" t="s">
        <v>531</v>
      </c>
      <c r="B260">
        <v>44513</v>
      </c>
      <c r="C260" t="str">
        <f t="shared" si="26"/>
        <v>13</v>
      </c>
      <c r="D260" t="str">
        <f t="shared" si="24"/>
        <v>November</v>
      </c>
      <c r="E260" t="str">
        <f t="shared" si="27"/>
        <v>2021</v>
      </c>
      <c r="F260" t="s">
        <v>532</v>
      </c>
      <c r="G260" t="str">
        <f>VLOOKUP(F260,'Customers (2)'!A:I,2,0)</f>
        <v>Cobby Cromwell</v>
      </c>
      <c r="H260" t="str">
        <f>VLOOKUP(F260,'Customers (2)'!A:I,3,0)</f>
        <v>ccromwell76@desdev.cn</v>
      </c>
      <c r="I260" t="str">
        <f>VLOOKUP(F260,'Customers (2)'!A:I,4,0)</f>
        <v>+1 (562) 516-6052</v>
      </c>
      <c r="J260" t="str">
        <f>VLOOKUP(F260,'Customers (2)'!A:I,6,0)</f>
        <v>Whittier</v>
      </c>
      <c r="K260" t="str">
        <f>VLOOKUP(F260,'Customers (2)'!A:I,7,0)</f>
        <v>United States</v>
      </c>
      <c r="L260" t="str">
        <f>VLOOKUP(F260,'Customers (2)'!A:I,9,0)</f>
        <v>No</v>
      </c>
      <c r="M260" t="str">
        <f>VLOOKUP(N260,'Products (2)'!A:G,2,0)</f>
        <v>Excelsa</v>
      </c>
      <c r="N260" t="s">
        <v>530</v>
      </c>
      <c r="O260" t="str">
        <f>VLOOKUP(N260,'Products (2)'!A:G,3,0)</f>
        <v>Dark</v>
      </c>
      <c r="P260">
        <f>VLOOKUP(N260,'Products (2)'!A:G,7,0)</f>
        <v>3.07395</v>
      </c>
      <c r="Q260">
        <v>5</v>
      </c>
      <c r="R260">
        <f>INDEX([1]products!$A$1:$G$49,MATCH([1]orders!$D260,[1]products!$A$1:$A$49,0),MATCH([1]orders!K$1,[1]products!$A$1:$G$1,0))</f>
        <v>2.5</v>
      </c>
      <c r="S260">
        <f>INDEX([1]products!$A$1:$G$49,MATCH([1]orders!$D260,[1]products!$A$1:$A$49,0),MATCH([1]orders!L$1,[1]products!$A$1:$G$1,0))</f>
        <v>27.945</v>
      </c>
      <c r="T260">
        <f t="shared" si="25"/>
        <v>139.72499999999999</v>
      </c>
      <c r="U260">
        <f t="shared" si="28"/>
        <v>15.36975</v>
      </c>
      <c r="V260">
        <f t="shared" si="29"/>
        <v>11</v>
      </c>
    </row>
    <row r="261" spans="1:22" x14ac:dyDescent="0.25">
      <c r="A261" t="s">
        <v>533</v>
      </c>
      <c r="B261">
        <v>44355</v>
      </c>
      <c r="C261" t="str">
        <f t="shared" si="26"/>
        <v>08</v>
      </c>
      <c r="D261" t="str">
        <f t="shared" si="24"/>
        <v>June</v>
      </c>
      <c r="E261" t="str">
        <f t="shared" si="27"/>
        <v>2021</v>
      </c>
      <c r="F261" t="s">
        <v>534</v>
      </c>
      <c r="G261" t="str">
        <f>VLOOKUP(F261,'Customers (2)'!A:I,2,0)</f>
        <v>Irv Hay</v>
      </c>
      <c r="H261" t="str">
        <f>VLOOKUP(F261,'Customers (2)'!A:I,3,0)</f>
        <v>ihay77@lulu.com</v>
      </c>
      <c r="I261" t="str">
        <f>VLOOKUP(F261,'Customers (2)'!A:I,4,0)</f>
        <v>+44 (878) 199-6257</v>
      </c>
      <c r="J261" t="str">
        <f>VLOOKUP(F261,'Customers (2)'!A:I,6,0)</f>
        <v>Sheffield</v>
      </c>
      <c r="K261" t="str">
        <f>VLOOKUP(F261,'Customers (2)'!A:I,7,0)</f>
        <v>United Kingdom</v>
      </c>
      <c r="L261" t="str">
        <f>VLOOKUP(F261,'Customers (2)'!A:I,9,0)</f>
        <v>No</v>
      </c>
      <c r="M261" t="str">
        <f>VLOOKUP(N261,'Products (2)'!A:G,2,0)</f>
        <v>Robusta</v>
      </c>
      <c r="N261" t="s">
        <v>162</v>
      </c>
      <c r="O261" t="str">
        <f>VLOOKUP(N261,'Products (2)'!A:G,3,0)</f>
        <v>Medium</v>
      </c>
      <c r="P261">
        <f>VLOOKUP(N261,'Products (2)'!A:G,7,0)</f>
        <v>0.17909999999999998</v>
      </c>
      <c r="Q261">
        <v>2</v>
      </c>
      <c r="R261">
        <f>INDEX([1]products!$A$1:$G$49,MATCH([1]orders!$D261,[1]products!$A$1:$A$49,0),MATCH([1]orders!K$1,[1]products!$A$1:$G$1,0))</f>
        <v>0.2</v>
      </c>
      <c r="S261">
        <f>INDEX([1]products!$A$1:$G$49,MATCH([1]orders!$D261,[1]products!$A$1:$A$49,0),MATCH([1]orders!L$1,[1]products!$A$1:$G$1,0))</f>
        <v>2.9849999999999999</v>
      </c>
      <c r="T261">
        <f t="shared" si="25"/>
        <v>5.97</v>
      </c>
      <c r="U261">
        <f t="shared" si="28"/>
        <v>0.35819999999999996</v>
      </c>
      <c r="V261">
        <f t="shared" si="29"/>
        <v>6</v>
      </c>
    </row>
    <row r="262" spans="1:22" x14ac:dyDescent="0.25">
      <c r="A262" t="s">
        <v>535</v>
      </c>
      <c r="B262">
        <v>44156</v>
      </c>
      <c r="C262" t="str">
        <f t="shared" si="26"/>
        <v>21</v>
      </c>
      <c r="D262" t="str">
        <f t="shared" si="24"/>
        <v>November</v>
      </c>
      <c r="E262" t="str">
        <f t="shared" si="27"/>
        <v>2020</v>
      </c>
      <c r="F262" t="s">
        <v>536</v>
      </c>
      <c r="G262" t="str">
        <f>VLOOKUP(F262,'Customers (2)'!A:I,2,0)</f>
        <v>Tani Taffarello</v>
      </c>
      <c r="H262" t="str">
        <f>VLOOKUP(F262,'Customers (2)'!A:I,3,0)</f>
        <v>ttaffarello78@sciencedaily.com</v>
      </c>
      <c r="I262">
        <f>VLOOKUP(F262,'Customers (2)'!A:I,4,0)</f>
        <v>0</v>
      </c>
      <c r="J262" t="str">
        <f>VLOOKUP(F262,'Customers (2)'!A:I,6,0)</f>
        <v>Saint Louis</v>
      </c>
      <c r="K262" t="str">
        <f>VLOOKUP(F262,'Customers (2)'!A:I,7,0)</f>
        <v>United States</v>
      </c>
      <c r="L262" t="str">
        <f>VLOOKUP(F262,'Customers (2)'!A:I,9,0)</f>
        <v>Yes</v>
      </c>
      <c r="M262" t="str">
        <f>VLOOKUP(N262,'Products (2)'!A:G,2,0)</f>
        <v>Robusta</v>
      </c>
      <c r="N262" t="s">
        <v>10</v>
      </c>
      <c r="O262" t="str">
        <f>VLOOKUP(N262,'Products (2)'!A:G,3,0)</f>
        <v>Light</v>
      </c>
      <c r="P262">
        <f>VLOOKUP(N262,'Products (2)'!A:G,7,0)</f>
        <v>1.6490999999999998</v>
      </c>
      <c r="Q262">
        <v>1</v>
      </c>
      <c r="R262">
        <f>INDEX([1]products!$A$1:$G$49,MATCH([1]orders!$D262,[1]products!$A$1:$A$49,0),MATCH([1]orders!K$1,[1]products!$A$1:$G$1,0))</f>
        <v>2.5</v>
      </c>
      <c r="S262">
        <f>INDEX([1]products!$A$1:$G$49,MATCH([1]orders!$D262,[1]products!$A$1:$A$49,0),MATCH([1]orders!L$1,[1]products!$A$1:$G$1,0))</f>
        <v>27.484999999999996</v>
      </c>
      <c r="T262">
        <f t="shared" si="25"/>
        <v>27.484999999999996</v>
      </c>
      <c r="U262">
        <f t="shared" si="28"/>
        <v>1.6490999999999998</v>
      </c>
      <c r="V262">
        <f t="shared" si="29"/>
        <v>6.0000000000000009</v>
      </c>
    </row>
    <row r="263" spans="1:22" x14ac:dyDescent="0.25">
      <c r="A263" t="s">
        <v>537</v>
      </c>
      <c r="B263">
        <v>43538</v>
      </c>
      <c r="C263" t="str">
        <f t="shared" si="26"/>
        <v>14</v>
      </c>
      <c r="D263" t="str">
        <f t="shared" si="24"/>
        <v>March</v>
      </c>
      <c r="E263" t="str">
        <f t="shared" si="27"/>
        <v>2019</v>
      </c>
      <c r="F263" t="s">
        <v>538</v>
      </c>
      <c r="G263" t="str">
        <f>VLOOKUP(F263,'Customers (2)'!A:I,2,0)</f>
        <v>Monique Canty</v>
      </c>
      <c r="H263" t="str">
        <f>VLOOKUP(F263,'Customers (2)'!A:I,3,0)</f>
        <v>mcanty79@jigsy.com</v>
      </c>
      <c r="I263" t="str">
        <f>VLOOKUP(F263,'Customers (2)'!A:I,4,0)</f>
        <v>+1 (814) 215-3753</v>
      </c>
      <c r="J263" t="str">
        <f>VLOOKUP(F263,'Customers (2)'!A:I,6,0)</f>
        <v>Erie</v>
      </c>
      <c r="K263" t="str">
        <f>VLOOKUP(F263,'Customers (2)'!A:I,7,0)</f>
        <v>United States</v>
      </c>
      <c r="L263" t="str">
        <f>VLOOKUP(F263,'Customers (2)'!A:I,9,0)</f>
        <v>Yes</v>
      </c>
      <c r="M263" t="str">
        <f>VLOOKUP(N263,'Products (2)'!A:G,2,0)</f>
        <v>Robusta</v>
      </c>
      <c r="N263" t="s">
        <v>189</v>
      </c>
      <c r="O263" t="str">
        <f>VLOOKUP(N263,'Products (2)'!A:G,3,0)</f>
        <v>Light</v>
      </c>
      <c r="P263">
        <f>VLOOKUP(N263,'Products (2)'!A:G,7,0)</f>
        <v>0.71699999999999997</v>
      </c>
      <c r="Q263">
        <v>5</v>
      </c>
      <c r="R263">
        <f>INDEX([1]products!$A$1:$G$49,MATCH([1]orders!$D263,[1]products!$A$1:$A$49,0),MATCH([1]orders!K$1,[1]products!$A$1:$G$1,0))</f>
        <v>1</v>
      </c>
      <c r="S263">
        <f>INDEX([1]products!$A$1:$G$49,MATCH([1]orders!$D263,[1]products!$A$1:$A$49,0),MATCH([1]orders!L$1,[1]products!$A$1:$G$1,0))</f>
        <v>11.95</v>
      </c>
      <c r="T263">
        <f t="shared" si="25"/>
        <v>59.75</v>
      </c>
      <c r="U263">
        <f t="shared" si="28"/>
        <v>3.585</v>
      </c>
      <c r="V263">
        <f t="shared" si="29"/>
        <v>6</v>
      </c>
    </row>
    <row r="264" spans="1:22" x14ac:dyDescent="0.25">
      <c r="A264" t="s">
        <v>539</v>
      </c>
      <c r="B264">
        <v>43693</v>
      </c>
      <c r="C264" t="str">
        <f t="shared" si="26"/>
        <v>16</v>
      </c>
      <c r="D264" t="str">
        <f t="shared" si="24"/>
        <v>August</v>
      </c>
      <c r="E264" t="str">
        <f t="shared" si="27"/>
        <v>2019</v>
      </c>
      <c r="F264" t="s">
        <v>540</v>
      </c>
      <c r="G264" t="str">
        <f>VLOOKUP(F264,'Customers (2)'!A:I,2,0)</f>
        <v>Javier Kopke</v>
      </c>
      <c r="H264" t="str">
        <f>VLOOKUP(F264,'Customers (2)'!A:I,3,0)</f>
        <v>jkopke7a@auda.org.au</v>
      </c>
      <c r="I264" t="str">
        <f>VLOOKUP(F264,'Customers (2)'!A:I,4,0)</f>
        <v>+1 (253) 638-4435</v>
      </c>
      <c r="J264" t="str">
        <f>VLOOKUP(F264,'Customers (2)'!A:I,6,0)</f>
        <v>Tacoma</v>
      </c>
      <c r="K264" t="str">
        <f>VLOOKUP(F264,'Customers (2)'!A:I,7,0)</f>
        <v>United States</v>
      </c>
      <c r="L264" t="str">
        <f>VLOOKUP(F264,'Customers (2)'!A:I,9,0)</f>
        <v>No</v>
      </c>
      <c r="M264" t="str">
        <f>VLOOKUP(N264,'Products (2)'!A:G,2,0)</f>
        <v>Excelsa</v>
      </c>
      <c r="N264" t="s">
        <v>9</v>
      </c>
      <c r="O264" t="str">
        <f>VLOOKUP(N264,'Products (2)'!A:G,3,0)</f>
        <v>Medium</v>
      </c>
      <c r="P264">
        <f>VLOOKUP(N264,'Products (2)'!A:G,7,0)</f>
        <v>1.5125</v>
      </c>
      <c r="Q264">
        <v>3</v>
      </c>
      <c r="R264">
        <f>INDEX([1]products!$A$1:$G$49,MATCH([1]orders!$D264,[1]products!$A$1:$A$49,0),MATCH([1]orders!K$1,[1]products!$A$1:$G$1,0))</f>
        <v>1</v>
      </c>
      <c r="S264">
        <f>INDEX([1]products!$A$1:$G$49,MATCH([1]orders!$D264,[1]products!$A$1:$A$49,0),MATCH([1]orders!L$1,[1]products!$A$1:$G$1,0))</f>
        <v>13.75</v>
      </c>
      <c r="T264">
        <f t="shared" si="25"/>
        <v>41.25</v>
      </c>
      <c r="U264">
        <f t="shared" si="28"/>
        <v>4.5374999999999996</v>
      </c>
      <c r="V264">
        <f t="shared" si="29"/>
        <v>10.999999999999998</v>
      </c>
    </row>
    <row r="265" spans="1:22" x14ac:dyDescent="0.25">
      <c r="A265" t="s">
        <v>541</v>
      </c>
      <c r="B265">
        <v>43577</v>
      </c>
      <c r="C265" t="str">
        <f t="shared" si="26"/>
        <v>22</v>
      </c>
      <c r="D265" t="str">
        <f t="shared" si="24"/>
        <v>April</v>
      </c>
      <c r="E265" t="str">
        <f t="shared" si="27"/>
        <v>2019</v>
      </c>
      <c r="F265" t="s">
        <v>542</v>
      </c>
      <c r="G265" t="str">
        <f>VLOOKUP(F265,'Customers (2)'!A:I,2,0)</f>
        <v>Mar McIver</v>
      </c>
      <c r="H265">
        <f>VLOOKUP(F265,'Customers (2)'!A:I,3,0)</f>
        <v>0</v>
      </c>
      <c r="I265" t="str">
        <f>VLOOKUP(F265,'Customers (2)'!A:I,4,0)</f>
        <v>+1 (571) 479-3812</v>
      </c>
      <c r="J265" t="str">
        <f>VLOOKUP(F265,'Customers (2)'!A:I,6,0)</f>
        <v>Richmond</v>
      </c>
      <c r="K265" t="str">
        <f>VLOOKUP(F265,'Customers (2)'!A:I,7,0)</f>
        <v>United States</v>
      </c>
      <c r="L265" t="str">
        <f>VLOOKUP(F265,'Customers (2)'!A:I,9,0)</f>
        <v>No</v>
      </c>
      <c r="M265" t="str">
        <f>VLOOKUP(N265,'Products (2)'!A:G,2,0)</f>
        <v>Liberica</v>
      </c>
      <c r="N265" t="s">
        <v>197</v>
      </c>
      <c r="O265" t="str">
        <f>VLOOKUP(N265,'Products (2)'!A:G,3,0)</f>
        <v>Medium</v>
      </c>
      <c r="P265">
        <f>VLOOKUP(N265,'Products (2)'!A:G,7,0)</f>
        <v>4.3504499999999995</v>
      </c>
      <c r="Q265">
        <v>4</v>
      </c>
      <c r="R265">
        <f>INDEX([1]products!$A$1:$G$49,MATCH([1]orders!$D265,[1]products!$A$1:$A$49,0),MATCH([1]orders!K$1,[1]products!$A$1:$G$1,0))</f>
        <v>2.5</v>
      </c>
      <c r="S265">
        <f>INDEX([1]products!$A$1:$G$49,MATCH([1]orders!$D265,[1]products!$A$1:$A$49,0),MATCH([1]orders!L$1,[1]products!$A$1:$G$1,0))</f>
        <v>33.464999999999996</v>
      </c>
      <c r="T265">
        <f t="shared" si="25"/>
        <v>133.85999999999999</v>
      </c>
      <c r="U265">
        <f t="shared" si="28"/>
        <v>17.401799999999998</v>
      </c>
      <c r="V265">
        <f t="shared" si="29"/>
        <v>13</v>
      </c>
    </row>
    <row r="266" spans="1:22" x14ac:dyDescent="0.25">
      <c r="A266" t="s">
        <v>543</v>
      </c>
      <c r="B266">
        <v>44683</v>
      </c>
      <c r="C266" t="str">
        <f t="shared" si="26"/>
        <v>02</v>
      </c>
      <c r="D266" t="str">
        <f t="shared" si="24"/>
        <v>May</v>
      </c>
      <c r="E266" t="str">
        <f t="shared" si="27"/>
        <v>2022</v>
      </c>
      <c r="F266" t="s">
        <v>544</v>
      </c>
      <c r="G266" t="str">
        <f>VLOOKUP(F266,'Customers (2)'!A:I,2,0)</f>
        <v>Arabella Fransewich</v>
      </c>
      <c r="H266">
        <f>VLOOKUP(F266,'Customers (2)'!A:I,3,0)</f>
        <v>0</v>
      </c>
      <c r="I266" t="str">
        <f>VLOOKUP(F266,'Customers (2)'!A:I,4,0)</f>
        <v>+353 (336) 656-6944</v>
      </c>
      <c r="J266" t="str">
        <f>VLOOKUP(F266,'Customers (2)'!A:I,6,0)</f>
        <v>Kinsealy-Drinan</v>
      </c>
      <c r="K266" t="str">
        <f>VLOOKUP(F266,'Customers (2)'!A:I,7,0)</f>
        <v>Ireland</v>
      </c>
      <c r="L266" t="str">
        <f>VLOOKUP(F266,'Customers (2)'!A:I,9,0)</f>
        <v>Yes</v>
      </c>
      <c r="M266" t="str">
        <f>VLOOKUP(N266,'Products (2)'!A:G,2,0)</f>
        <v>Robusta</v>
      </c>
      <c r="N266" t="s">
        <v>189</v>
      </c>
      <c r="O266" t="str">
        <f>VLOOKUP(N266,'Products (2)'!A:G,3,0)</f>
        <v>Light</v>
      </c>
      <c r="P266">
        <f>VLOOKUP(N266,'Products (2)'!A:G,7,0)</f>
        <v>0.71699999999999997</v>
      </c>
      <c r="Q266">
        <v>5</v>
      </c>
      <c r="R266">
        <f>INDEX([1]products!$A$1:$G$49,MATCH([1]orders!$D266,[1]products!$A$1:$A$49,0),MATCH([1]orders!K$1,[1]products!$A$1:$G$1,0))</f>
        <v>1</v>
      </c>
      <c r="S266">
        <f>INDEX([1]products!$A$1:$G$49,MATCH([1]orders!$D266,[1]products!$A$1:$A$49,0),MATCH([1]orders!L$1,[1]products!$A$1:$G$1,0))</f>
        <v>11.95</v>
      </c>
      <c r="T266">
        <f t="shared" si="25"/>
        <v>59.75</v>
      </c>
      <c r="U266">
        <f t="shared" si="28"/>
        <v>3.585</v>
      </c>
      <c r="V266">
        <f t="shared" si="29"/>
        <v>6</v>
      </c>
    </row>
    <row r="267" spans="1:22" x14ac:dyDescent="0.25">
      <c r="A267" t="s">
        <v>545</v>
      </c>
      <c r="B267">
        <v>43872</v>
      </c>
      <c r="C267" t="str">
        <f t="shared" si="26"/>
        <v>11</v>
      </c>
      <c r="D267" t="str">
        <f t="shared" si="24"/>
        <v>February</v>
      </c>
      <c r="E267" t="str">
        <f t="shared" si="27"/>
        <v>2020</v>
      </c>
      <c r="F267" t="s">
        <v>546</v>
      </c>
      <c r="G267" t="str">
        <f>VLOOKUP(F267,'Customers (2)'!A:I,2,0)</f>
        <v>Violette Hellmore</v>
      </c>
      <c r="H267" t="str">
        <f>VLOOKUP(F267,'Customers (2)'!A:I,3,0)</f>
        <v>vhellmore7d@bbc.co.uk</v>
      </c>
      <c r="I267" t="str">
        <f>VLOOKUP(F267,'Customers (2)'!A:I,4,0)</f>
        <v>+1 (501) 899-4038</v>
      </c>
      <c r="J267" t="str">
        <f>VLOOKUP(F267,'Customers (2)'!A:I,6,0)</f>
        <v>Little Rock</v>
      </c>
      <c r="K267" t="str">
        <f>VLOOKUP(F267,'Customers (2)'!A:I,7,0)</f>
        <v>United States</v>
      </c>
      <c r="L267" t="str">
        <f>VLOOKUP(F267,'Customers (2)'!A:I,9,0)</f>
        <v>Yes</v>
      </c>
      <c r="M267" t="str">
        <f>VLOOKUP(N267,'Products (2)'!A:G,2,0)</f>
        <v>Arabica</v>
      </c>
      <c r="N267" t="s">
        <v>72</v>
      </c>
      <c r="O267" t="str">
        <f>VLOOKUP(N267,'Products (2)'!A:G,3,0)</f>
        <v>Dark</v>
      </c>
      <c r="P267">
        <f>VLOOKUP(N267,'Products (2)'!A:G,7,0)</f>
        <v>0.5373</v>
      </c>
      <c r="Q267">
        <v>1</v>
      </c>
      <c r="R267">
        <f>INDEX([1]products!$A$1:$G$49,MATCH([1]orders!$D267,[1]products!$A$1:$A$49,0),MATCH([1]orders!K$1,[1]products!$A$1:$G$1,0))</f>
        <v>0.5</v>
      </c>
      <c r="S267">
        <f>INDEX([1]products!$A$1:$G$49,MATCH([1]orders!$D267,[1]products!$A$1:$A$49,0),MATCH([1]orders!L$1,[1]products!$A$1:$G$1,0))</f>
        <v>5.97</v>
      </c>
      <c r="T267">
        <f t="shared" si="25"/>
        <v>5.97</v>
      </c>
      <c r="U267">
        <f t="shared" si="28"/>
        <v>0.5373</v>
      </c>
      <c r="V267">
        <f t="shared" si="29"/>
        <v>9.0000000000000018</v>
      </c>
    </row>
    <row r="268" spans="1:22" x14ac:dyDescent="0.25">
      <c r="A268" t="s">
        <v>547</v>
      </c>
      <c r="B268">
        <v>44283</v>
      </c>
      <c r="C268" t="str">
        <f t="shared" si="26"/>
        <v>28</v>
      </c>
      <c r="D268" t="str">
        <f t="shared" si="24"/>
        <v>March</v>
      </c>
      <c r="E268" t="str">
        <f t="shared" si="27"/>
        <v>2021</v>
      </c>
      <c r="F268" t="s">
        <v>548</v>
      </c>
      <c r="G268" t="str">
        <f>VLOOKUP(F268,'Customers (2)'!A:I,2,0)</f>
        <v>Myles Seawright</v>
      </c>
      <c r="H268" t="str">
        <f>VLOOKUP(F268,'Customers (2)'!A:I,3,0)</f>
        <v>mseawright7e@nbcnews.com</v>
      </c>
      <c r="I268" t="str">
        <f>VLOOKUP(F268,'Customers (2)'!A:I,4,0)</f>
        <v>+44 (638) 528-2467</v>
      </c>
      <c r="J268" t="str">
        <f>VLOOKUP(F268,'Customers (2)'!A:I,6,0)</f>
        <v>Newton</v>
      </c>
      <c r="K268" t="str">
        <f>VLOOKUP(F268,'Customers (2)'!A:I,7,0)</f>
        <v>United Kingdom</v>
      </c>
      <c r="L268" t="str">
        <f>VLOOKUP(F268,'Customers (2)'!A:I,9,0)</f>
        <v>No</v>
      </c>
      <c r="M268" t="str">
        <f>VLOOKUP(N268,'Products (2)'!A:G,2,0)</f>
        <v>Excelsa</v>
      </c>
      <c r="N268" t="s">
        <v>245</v>
      </c>
      <c r="O268" t="str">
        <f>VLOOKUP(N268,'Products (2)'!A:G,3,0)</f>
        <v>Dark</v>
      </c>
      <c r="P268">
        <f>VLOOKUP(N268,'Products (2)'!A:G,7,0)</f>
        <v>1.3365</v>
      </c>
      <c r="Q268">
        <v>2</v>
      </c>
      <c r="R268">
        <f>INDEX([1]products!$A$1:$G$49,MATCH([1]orders!$D268,[1]products!$A$1:$A$49,0),MATCH([1]orders!K$1,[1]products!$A$1:$G$1,0))</f>
        <v>1</v>
      </c>
      <c r="S268">
        <f>INDEX([1]products!$A$1:$G$49,MATCH([1]orders!$D268,[1]products!$A$1:$A$49,0),MATCH([1]orders!L$1,[1]products!$A$1:$G$1,0))</f>
        <v>12.15</v>
      </c>
      <c r="T268">
        <f t="shared" si="25"/>
        <v>24.3</v>
      </c>
      <c r="U268">
        <f t="shared" si="28"/>
        <v>2.673</v>
      </c>
      <c r="V268">
        <f t="shared" si="29"/>
        <v>11</v>
      </c>
    </row>
    <row r="269" spans="1:22" x14ac:dyDescent="0.25">
      <c r="A269" t="s">
        <v>549</v>
      </c>
      <c r="B269">
        <v>44324</v>
      </c>
      <c r="C269" t="str">
        <f t="shared" si="26"/>
        <v>08</v>
      </c>
      <c r="D269" t="str">
        <f t="shared" si="24"/>
        <v>May</v>
      </c>
      <c r="E269" t="str">
        <f t="shared" si="27"/>
        <v>2021</v>
      </c>
      <c r="F269" t="s">
        <v>550</v>
      </c>
      <c r="G269" t="str">
        <f>VLOOKUP(F269,'Customers (2)'!A:I,2,0)</f>
        <v>Silvana Northeast</v>
      </c>
      <c r="H269" t="str">
        <f>VLOOKUP(F269,'Customers (2)'!A:I,3,0)</f>
        <v>snortheast7f@mashable.com</v>
      </c>
      <c r="I269" t="str">
        <f>VLOOKUP(F269,'Customers (2)'!A:I,4,0)</f>
        <v>+1 (775) 344-1930</v>
      </c>
      <c r="J269" t="str">
        <f>VLOOKUP(F269,'Customers (2)'!A:I,6,0)</f>
        <v>Sparks</v>
      </c>
      <c r="K269" t="str">
        <f>VLOOKUP(F269,'Customers (2)'!A:I,7,0)</f>
        <v>United States</v>
      </c>
      <c r="L269" t="str">
        <f>VLOOKUP(F269,'Customers (2)'!A:I,9,0)</f>
        <v>Yes</v>
      </c>
      <c r="M269" t="str">
        <f>VLOOKUP(N269,'Products (2)'!A:G,2,0)</f>
        <v>Excelsa</v>
      </c>
      <c r="N269" t="s">
        <v>51</v>
      </c>
      <c r="O269" t="str">
        <f>VLOOKUP(N269,'Products (2)'!A:G,3,0)</f>
        <v>Dark</v>
      </c>
      <c r="P269">
        <f>VLOOKUP(N269,'Products (2)'!A:G,7,0)</f>
        <v>0.40095000000000003</v>
      </c>
      <c r="Q269">
        <v>6</v>
      </c>
      <c r="R269">
        <f>INDEX([1]products!$A$1:$G$49,MATCH([1]orders!$D269,[1]products!$A$1:$A$49,0),MATCH([1]orders!K$1,[1]products!$A$1:$G$1,0))</f>
        <v>0.2</v>
      </c>
      <c r="S269">
        <f>INDEX([1]products!$A$1:$G$49,MATCH([1]orders!$D269,[1]products!$A$1:$A$49,0),MATCH([1]orders!L$1,[1]products!$A$1:$G$1,0))</f>
        <v>3.645</v>
      </c>
      <c r="T269">
        <f t="shared" si="25"/>
        <v>21.87</v>
      </c>
      <c r="U269">
        <f t="shared" si="28"/>
        <v>2.4057000000000004</v>
      </c>
      <c r="V269">
        <f t="shared" si="29"/>
        <v>11.000000000000002</v>
      </c>
    </row>
    <row r="270" spans="1:22" x14ac:dyDescent="0.25">
      <c r="A270" t="s">
        <v>551</v>
      </c>
      <c r="B270">
        <v>43790</v>
      </c>
      <c r="C270" t="str">
        <f t="shared" si="26"/>
        <v>21</v>
      </c>
      <c r="D270" t="str">
        <f t="shared" si="24"/>
        <v>November</v>
      </c>
      <c r="E270" t="str">
        <f t="shared" si="27"/>
        <v>2019</v>
      </c>
      <c r="F270" t="s">
        <v>438</v>
      </c>
      <c r="G270" t="str">
        <f>VLOOKUP(F270,'Customers (2)'!A:I,2,0)</f>
        <v>Anselma Attwater</v>
      </c>
      <c r="H270" t="str">
        <f>VLOOKUP(F270,'Customers (2)'!A:I,3,0)</f>
        <v>aattwater5u@wikia.com</v>
      </c>
      <c r="I270" t="str">
        <f>VLOOKUP(F270,'Customers (2)'!A:I,4,0)</f>
        <v>+1 (434) 821-8618</v>
      </c>
      <c r="J270" t="str">
        <f>VLOOKUP(F270,'Customers (2)'!A:I,6,0)</f>
        <v>Charlottesville</v>
      </c>
      <c r="K270" t="str">
        <f>VLOOKUP(F270,'Customers (2)'!A:I,7,0)</f>
        <v>United States</v>
      </c>
      <c r="L270" t="str">
        <f>VLOOKUP(F270,'Customers (2)'!A:I,9,0)</f>
        <v>Yes</v>
      </c>
      <c r="M270" t="str">
        <f>VLOOKUP(N270,'Products (2)'!A:G,2,0)</f>
        <v>Arabica</v>
      </c>
      <c r="N270" t="s">
        <v>27</v>
      </c>
      <c r="O270" t="str">
        <f>VLOOKUP(N270,'Products (2)'!A:G,3,0)</f>
        <v>Dark</v>
      </c>
      <c r="P270">
        <f>VLOOKUP(N270,'Products (2)'!A:G,7,0)</f>
        <v>0.89549999999999985</v>
      </c>
      <c r="Q270">
        <v>2</v>
      </c>
      <c r="R270">
        <f>INDEX([1]products!$A$1:$G$49,MATCH([1]orders!$D270,[1]products!$A$1:$A$49,0),MATCH([1]orders!K$1,[1]products!$A$1:$G$1,0))</f>
        <v>1</v>
      </c>
      <c r="S270">
        <f>INDEX([1]products!$A$1:$G$49,MATCH([1]orders!$D270,[1]products!$A$1:$A$49,0),MATCH([1]orders!L$1,[1]products!$A$1:$G$1,0))</f>
        <v>9.9499999999999993</v>
      </c>
      <c r="T270">
        <f t="shared" si="25"/>
        <v>19.899999999999999</v>
      </c>
      <c r="U270">
        <f t="shared" si="28"/>
        <v>1.7909999999999997</v>
      </c>
      <c r="V270">
        <f t="shared" si="29"/>
        <v>9</v>
      </c>
    </row>
    <row r="271" spans="1:22" x14ac:dyDescent="0.25">
      <c r="A271" t="s">
        <v>552</v>
      </c>
      <c r="B271">
        <v>44333</v>
      </c>
      <c r="C271" t="str">
        <f t="shared" si="26"/>
        <v>17</v>
      </c>
      <c r="D271" t="str">
        <f t="shared" si="24"/>
        <v>May</v>
      </c>
      <c r="E271" t="str">
        <f t="shared" si="27"/>
        <v>2021</v>
      </c>
      <c r="F271" t="s">
        <v>553</v>
      </c>
      <c r="G271" t="str">
        <f>VLOOKUP(F271,'Customers (2)'!A:I,2,0)</f>
        <v>Monica Fearon</v>
      </c>
      <c r="H271" t="str">
        <f>VLOOKUP(F271,'Customers (2)'!A:I,3,0)</f>
        <v>mfearon7h@reverbnation.com</v>
      </c>
      <c r="I271" t="str">
        <f>VLOOKUP(F271,'Customers (2)'!A:I,4,0)</f>
        <v>+1 (972) 686-6332</v>
      </c>
      <c r="J271" t="str">
        <f>VLOOKUP(F271,'Customers (2)'!A:I,6,0)</f>
        <v>Denton</v>
      </c>
      <c r="K271" t="str">
        <f>VLOOKUP(F271,'Customers (2)'!A:I,7,0)</f>
        <v>United States</v>
      </c>
      <c r="L271" t="str">
        <f>VLOOKUP(F271,'Customers (2)'!A:I,9,0)</f>
        <v>No</v>
      </c>
      <c r="M271" t="str">
        <f>VLOOKUP(N271,'Products (2)'!A:G,2,0)</f>
        <v>Arabica</v>
      </c>
      <c r="N271" t="s">
        <v>54</v>
      </c>
      <c r="O271" t="str">
        <f>VLOOKUP(N271,'Products (2)'!A:G,3,0)</f>
        <v>Dark</v>
      </c>
      <c r="P271">
        <f>VLOOKUP(N271,'Products (2)'!A:G,7,0)</f>
        <v>0.26865</v>
      </c>
      <c r="Q271">
        <v>2</v>
      </c>
      <c r="R271">
        <f>INDEX([1]products!$A$1:$G$49,MATCH([1]orders!$D271,[1]products!$A$1:$A$49,0),MATCH([1]orders!K$1,[1]products!$A$1:$G$1,0))</f>
        <v>0.2</v>
      </c>
      <c r="S271">
        <f>INDEX([1]products!$A$1:$G$49,MATCH([1]orders!$D271,[1]products!$A$1:$A$49,0),MATCH([1]orders!L$1,[1]products!$A$1:$G$1,0))</f>
        <v>2.9849999999999999</v>
      </c>
      <c r="T271">
        <f t="shared" si="25"/>
        <v>5.97</v>
      </c>
      <c r="U271">
        <f t="shared" si="28"/>
        <v>0.5373</v>
      </c>
      <c r="V271">
        <f t="shared" si="29"/>
        <v>9.0000000000000018</v>
      </c>
    </row>
    <row r="272" spans="1:22" x14ac:dyDescent="0.25">
      <c r="A272" t="s">
        <v>554</v>
      </c>
      <c r="B272">
        <v>43655</v>
      </c>
      <c r="C272" t="str">
        <f t="shared" si="26"/>
        <v>09</v>
      </c>
      <c r="D272" t="str">
        <f t="shared" si="24"/>
        <v>July</v>
      </c>
      <c r="E272" t="str">
        <f t="shared" si="27"/>
        <v>2019</v>
      </c>
      <c r="F272" t="s">
        <v>555</v>
      </c>
      <c r="G272" t="str">
        <f>VLOOKUP(F272,'Customers (2)'!A:I,2,0)</f>
        <v>Barney Chisnell</v>
      </c>
      <c r="H272">
        <f>VLOOKUP(F272,'Customers (2)'!A:I,3,0)</f>
        <v>0</v>
      </c>
      <c r="I272">
        <f>VLOOKUP(F272,'Customers (2)'!A:I,4,0)</f>
        <v>0</v>
      </c>
      <c r="J272" t="str">
        <f>VLOOKUP(F272,'Customers (2)'!A:I,6,0)</f>
        <v>Tullamore</v>
      </c>
      <c r="K272" t="str">
        <f>VLOOKUP(F272,'Customers (2)'!A:I,7,0)</f>
        <v>Ireland</v>
      </c>
      <c r="L272" t="str">
        <f>VLOOKUP(F272,'Customers (2)'!A:I,9,0)</f>
        <v>Yes</v>
      </c>
      <c r="M272" t="str">
        <f>VLOOKUP(N272,'Products (2)'!A:G,2,0)</f>
        <v>Excelsa</v>
      </c>
      <c r="N272" t="s">
        <v>16</v>
      </c>
      <c r="O272" t="str">
        <f>VLOOKUP(N272,'Products (2)'!A:G,3,0)</f>
        <v>Dark</v>
      </c>
      <c r="P272">
        <f>VLOOKUP(N272,'Products (2)'!A:G,7,0)</f>
        <v>0.80190000000000006</v>
      </c>
      <c r="Q272">
        <v>1</v>
      </c>
      <c r="R272">
        <f>INDEX([1]products!$A$1:$G$49,MATCH([1]orders!$D272,[1]products!$A$1:$A$49,0),MATCH([1]orders!K$1,[1]products!$A$1:$G$1,0))</f>
        <v>0.5</v>
      </c>
      <c r="S272">
        <f>INDEX([1]products!$A$1:$G$49,MATCH([1]orders!$D272,[1]products!$A$1:$A$49,0),MATCH([1]orders!L$1,[1]products!$A$1:$G$1,0))</f>
        <v>7.29</v>
      </c>
      <c r="T272">
        <f t="shared" si="25"/>
        <v>7.29</v>
      </c>
      <c r="U272">
        <f t="shared" si="28"/>
        <v>0.80190000000000006</v>
      </c>
      <c r="V272">
        <f t="shared" si="29"/>
        <v>11</v>
      </c>
    </row>
    <row r="273" spans="1:22" x14ac:dyDescent="0.25">
      <c r="A273" t="s">
        <v>556</v>
      </c>
      <c r="B273">
        <v>43971</v>
      </c>
      <c r="C273" t="str">
        <f t="shared" si="26"/>
        <v>20</v>
      </c>
      <c r="D273" t="str">
        <f t="shared" si="24"/>
        <v>May</v>
      </c>
      <c r="E273" t="str">
        <f t="shared" si="27"/>
        <v>2020</v>
      </c>
      <c r="F273" t="s">
        <v>557</v>
      </c>
      <c r="G273" t="str">
        <f>VLOOKUP(F273,'Customers (2)'!A:I,2,0)</f>
        <v>Jasper Sisneros</v>
      </c>
      <c r="H273" t="str">
        <f>VLOOKUP(F273,'Customers (2)'!A:I,3,0)</f>
        <v>jsisneros7j@a8.net</v>
      </c>
      <c r="I273" t="str">
        <f>VLOOKUP(F273,'Customers (2)'!A:I,4,0)</f>
        <v>+1 (919) 448-8909</v>
      </c>
      <c r="J273" t="str">
        <f>VLOOKUP(F273,'Customers (2)'!A:I,6,0)</f>
        <v>Raleigh</v>
      </c>
      <c r="K273" t="str">
        <f>VLOOKUP(F273,'Customers (2)'!A:I,7,0)</f>
        <v>United States</v>
      </c>
      <c r="L273" t="str">
        <f>VLOOKUP(F273,'Customers (2)'!A:I,9,0)</f>
        <v>Yes</v>
      </c>
      <c r="M273" t="str">
        <f>VLOOKUP(N273,'Products (2)'!A:G,2,0)</f>
        <v>Arabica</v>
      </c>
      <c r="N273" t="s">
        <v>54</v>
      </c>
      <c r="O273" t="str">
        <f>VLOOKUP(N273,'Products (2)'!A:G,3,0)</f>
        <v>Dark</v>
      </c>
      <c r="P273">
        <f>VLOOKUP(N273,'Products (2)'!A:G,7,0)</f>
        <v>0.26865</v>
      </c>
      <c r="Q273">
        <v>4</v>
      </c>
      <c r="R273">
        <f>INDEX([1]products!$A$1:$G$49,MATCH([1]orders!$D273,[1]products!$A$1:$A$49,0),MATCH([1]orders!K$1,[1]products!$A$1:$G$1,0))</f>
        <v>0.2</v>
      </c>
      <c r="S273">
        <f>INDEX([1]products!$A$1:$G$49,MATCH([1]orders!$D273,[1]products!$A$1:$A$49,0),MATCH([1]orders!L$1,[1]products!$A$1:$G$1,0))</f>
        <v>2.9849999999999999</v>
      </c>
      <c r="T273">
        <f t="shared" si="25"/>
        <v>11.94</v>
      </c>
      <c r="U273">
        <f t="shared" si="28"/>
        <v>1.0746</v>
      </c>
      <c r="V273">
        <f t="shared" si="29"/>
        <v>9.0000000000000018</v>
      </c>
    </row>
    <row r="274" spans="1:22" x14ac:dyDescent="0.25">
      <c r="A274" t="s">
        <v>558</v>
      </c>
      <c r="B274">
        <v>44435</v>
      </c>
      <c r="C274" t="str">
        <f t="shared" si="26"/>
        <v>27</v>
      </c>
      <c r="D274" t="str">
        <f t="shared" si="24"/>
        <v>August</v>
      </c>
      <c r="E274" t="str">
        <f t="shared" si="27"/>
        <v>2021</v>
      </c>
      <c r="F274" t="s">
        <v>559</v>
      </c>
      <c r="G274" t="str">
        <f>VLOOKUP(F274,'Customers (2)'!A:I,2,0)</f>
        <v>Zachariah Carlson</v>
      </c>
      <c r="H274" t="str">
        <f>VLOOKUP(F274,'Customers (2)'!A:I,3,0)</f>
        <v>zcarlson7k@bigcartel.com</v>
      </c>
      <c r="I274" t="str">
        <f>VLOOKUP(F274,'Customers (2)'!A:I,4,0)</f>
        <v>+353 (259) 651-4128</v>
      </c>
      <c r="J274" t="str">
        <f>VLOOKUP(F274,'Customers (2)'!A:I,6,0)</f>
        <v>Shankill</v>
      </c>
      <c r="K274" t="str">
        <f>VLOOKUP(F274,'Customers (2)'!A:I,7,0)</f>
        <v>Ireland</v>
      </c>
      <c r="L274" t="str">
        <f>VLOOKUP(F274,'Customers (2)'!A:I,9,0)</f>
        <v>Yes</v>
      </c>
      <c r="M274" t="str">
        <f>VLOOKUP(N274,'Products (2)'!A:G,2,0)</f>
        <v>Robusta</v>
      </c>
      <c r="N274" t="s">
        <v>189</v>
      </c>
      <c r="O274" t="str">
        <f>VLOOKUP(N274,'Products (2)'!A:G,3,0)</f>
        <v>Light</v>
      </c>
      <c r="P274">
        <f>VLOOKUP(N274,'Products (2)'!A:G,7,0)</f>
        <v>0.71699999999999997</v>
      </c>
      <c r="Q274">
        <v>6</v>
      </c>
      <c r="R274">
        <f>INDEX([1]products!$A$1:$G$49,MATCH([1]orders!$D274,[1]products!$A$1:$A$49,0),MATCH([1]orders!K$1,[1]products!$A$1:$G$1,0))</f>
        <v>1</v>
      </c>
      <c r="S274">
        <f>INDEX([1]products!$A$1:$G$49,MATCH([1]orders!$D274,[1]products!$A$1:$A$49,0),MATCH([1]orders!L$1,[1]products!$A$1:$G$1,0))</f>
        <v>11.95</v>
      </c>
      <c r="T274">
        <f t="shared" si="25"/>
        <v>71.699999999999989</v>
      </c>
      <c r="U274">
        <f t="shared" si="28"/>
        <v>4.3019999999999996</v>
      </c>
      <c r="V274">
        <f t="shared" si="29"/>
        <v>6.0000000000000009</v>
      </c>
    </row>
    <row r="275" spans="1:22" x14ac:dyDescent="0.25">
      <c r="A275" t="s">
        <v>560</v>
      </c>
      <c r="B275">
        <v>44681</v>
      </c>
      <c r="C275" t="str">
        <f t="shared" si="26"/>
        <v>30</v>
      </c>
      <c r="D275" t="str">
        <f t="shared" si="24"/>
        <v>April</v>
      </c>
      <c r="E275" t="str">
        <f t="shared" si="27"/>
        <v>2022</v>
      </c>
      <c r="F275" t="s">
        <v>561</v>
      </c>
      <c r="G275" t="str">
        <f>VLOOKUP(F275,'Customers (2)'!A:I,2,0)</f>
        <v>Warner Maddox</v>
      </c>
      <c r="H275" t="str">
        <f>VLOOKUP(F275,'Customers (2)'!A:I,3,0)</f>
        <v>wmaddox7l@timesonline.co.uk</v>
      </c>
      <c r="I275" t="str">
        <f>VLOOKUP(F275,'Customers (2)'!A:I,4,0)</f>
        <v>+1 (917) 310-4684</v>
      </c>
      <c r="J275" t="str">
        <f>VLOOKUP(F275,'Customers (2)'!A:I,6,0)</f>
        <v>New York City</v>
      </c>
      <c r="K275" t="str">
        <f>VLOOKUP(F275,'Customers (2)'!A:I,7,0)</f>
        <v>United States</v>
      </c>
      <c r="L275" t="str">
        <f>VLOOKUP(F275,'Customers (2)'!A:I,9,0)</f>
        <v>No</v>
      </c>
      <c r="M275" t="str">
        <f>VLOOKUP(N275,'Products (2)'!A:G,2,0)</f>
        <v>Arabica</v>
      </c>
      <c r="N275" t="s">
        <v>115</v>
      </c>
      <c r="O275" t="str">
        <f>VLOOKUP(N275,'Products (2)'!A:G,3,0)</f>
        <v>Light</v>
      </c>
      <c r="P275">
        <f>VLOOKUP(N275,'Products (2)'!A:G,7,0)</f>
        <v>0.34964999999999996</v>
      </c>
      <c r="Q275">
        <v>2</v>
      </c>
      <c r="R275">
        <f>INDEX([1]products!$A$1:$G$49,MATCH([1]orders!$D275,[1]products!$A$1:$A$49,0),MATCH([1]orders!K$1,[1]products!$A$1:$G$1,0))</f>
        <v>0.2</v>
      </c>
      <c r="S275">
        <f>INDEX([1]products!$A$1:$G$49,MATCH([1]orders!$D275,[1]products!$A$1:$A$49,0),MATCH([1]orders!L$1,[1]products!$A$1:$G$1,0))</f>
        <v>3.8849999999999998</v>
      </c>
      <c r="T275">
        <f t="shared" si="25"/>
        <v>7.77</v>
      </c>
      <c r="U275">
        <f t="shared" si="28"/>
        <v>0.69929999999999992</v>
      </c>
      <c r="V275">
        <f t="shared" si="29"/>
        <v>9</v>
      </c>
    </row>
    <row r="276" spans="1:22" x14ac:dyDescent="0.25">
      <c r="A276" t="s">
        <v>562</v>
      </c>
      <c r="B276">
        <v>43985</v>
      </c>
      <c r="C276" t="str">
        <f t="shared" si="26"/>
        <v>03</v>
      </c>
      <c r="D276" t="str">
        <f t="shared" si="24"/>
        <v>June</v>
      </c>
      <c r="E276" t="str">
        <f t="shared" si="27"/>
        <v>2020</v>
      </c>
      <c r="F276" t="s">
        <v>563</v>
      </c>
      <c r="G276" t="str">
        <f>VLOOKUP(F276,'Customers (2)'!A:I,2,0)</f>
        <v>Donnie Hedlestone</v>
      </c>
      <c r="H276" t="str">
        <f>VLOOKUP(F276,'Customers (2)'!A:I,3,0)</f>
        <v>dhedlestone7m@craigslist.org</v>
      </c>
      <c r="I276" t="str">
        <f>VLOOKUP(F276,'Customers (2)'!A:I,4,0)</f>
        <v>+1 (203) 768-3169</v>
      </c>
      <c r="J276" t="str">
        <f>VLOOKUP(F276,'Customers (2)'!A:I,6,0)</f>
        <v>Stamford</v>
      </c>
      <c r="K276" t="str">
        <f>VLOOKUP(F276,'Customers (2)'!A:I,7,0)</f>
        <v>United States</v>
      </c>
      <c r="L276" t="str">
        <f>VLOOKUP(F276,'Customers (2)'!A:I,9,0)</f>
        <v>No</v>
      </c>
      <c r="M276" t="str">
        <f>VLOOKUP(N276,'Products (2)'!A:G,2,0)</f>
        <v>Arabica</v>
      </c>
      <c r="N276" t="s">
        <v>171</v>
      </c>
      <c r="O276" t="str">
        <f>VLOOKUP(N276,'Products (2)'!A:G,3,0)</f>
        <v>Medium</v>
      </c>
      <c r="P276">
        <f>VLOOKUP(N276,'Products (2)'!A:G,7,0)</f>
        <v>2.3287499999999994</v>
      </c>
      <c r="Q276">
        <v>1</v>
      </c>
      <c r="R276">
        <f>INDEX([1]products!$A$1:$G$49,MATCH([1]orders!$D276,[1]products!$A$1:$A$49,0),MATCH([1]orders!K$1,[1]products!$A$1:$G$1,0))</f>
        <v>2.5</v>
      </c>
      <c r="S276">
        <f>INDEX([1]products!$A$1:$G$49,MATCH([1]orders!$D276,[1]products!$A$1:$A$49,0),MATCH([1]orders!L$1,[1]products!$A$1:$G$1,0))</f>
        <v>25.874999999999996</v>
      </c>
      <c r="T276">
        <f t="shared" si="25"/>
        <v>25.874999999999996</v>
      </c>
      <c r="U276">
        <f t="shared" si="28"/>
        <v>2.3287499999999994</v>
      </c>
      <c r="V276">
        <f t="shared" si="29"/>
        <v>9</v>
      </c>
    </row>
    <row r="277" spans="1:22" x14ac:dyDescent="0.25">
      <c r="A277" t="s">
        <v>564</v>
      </c>
      <c r="B277">
        <v>44725</v>
      </c>
      <c r="C277" t="str">
        <f t="shared" si="26"/>
        <v>13</v>
      </c>
      <c r="D277" t="str">
        <f t="shared" si="24"/>
        <v>June</v>
      </c>
      <c r="E277" t="str">
        <f t="shared" si="27"/>
        <v>2022</v>
      </c>
      <c r="F277" t="s">
        <v>565</v>
      </c>
      <c r="G277" t="str">
        <f>VLOOKUP(F277,'Customers (2)'!A:I,2,0)</f>
        <v>Teddi Crowthe</v>
      </c>
      <c r="H277" t="str">
        <f>VLOOKUP(F277,'Customers (2)'!A:I,3,0)</f>
        <v>tcrowthe7n@europa.eu</v>
      </c>
      <c r="I277" t="str">
        <f>VLOOKUP(F277,'Customers (2)'!A:I,4,0)</f>
        <v>+1 (419) 561-6809</v>
      </c>
      <c r="J277" t="str">
        <f>VLOOKUP(F277,'Customers (2)'!A:I,6,0)</f>
        <v>Toledo</v>
      </c>
      <c r="K277" t="str">
        <f>VLOOKUP(F277,'Customers (2)'!A:I,7,0)</f>
        <v>United States</v>
      </c>
      <c r="L277" t="str">
        <f>VLOOKUP(F277,'Customers (2)'!A:I,9,0)</f>
        <v>No</v>
      </c>
      <c r="M277" t="str">
        <f>VLOOKUP(N277,'Products (2)'!A:G,2,0)</f>
        <v>Excelsa</v>
      </c>
      <c r="N277" t="s">
        <v>30</v>
      </c>
      <c r="O277" t="str">
        <f>VLOOKUP(N277,'Products (2)'!A:G,3,0)</f>
        <v>Light</v>
      </c>
      <c r="P277">
        <f>VLOOKUP(N277,'Products (2)'!A:G,7,0)</f>
        <v>3.7570499999999996</v>
      </c>
      <c r="Q277">
        <v>6</v>
      </c>
      <c r="R277">
        <f>INDEX([1]products!$A$1:$G$49,MATCH([1]orders!$D277,[1]products!$A$1:$A$49,0),MATCH([1]orders!K$1,[1]products!$A$1:$G$1,0))</f>
        <v>2.5</v>
      </c>
      <c r="S277">
        <f>INDEX([1]products!$A$1:$G$49,MATCH([1]orders!$D277,[1]products!$A$1:$A$49,0),MATCH([1]orders!L$1,[1]products!$A$1:$G$1,0))</f>
        <v>34.154999999999994</v>
      </c>
      <c r="T277">
        <f t="shared" si="25"/>
        <v>204.92999999999995</v>
      </c>
      <c r="U277">
        <f t="shared" si="28"/>
        <v>22.542299999999997</v>
      </c>
      <c r="V277">
        <f t="shared" si="29"/>
        <v>11.000000000000002</v>
      </c>
    </row>
    <row r="278" spans="1:22" x14ac:dyDescent="0.25">
      <c r="A278" t="s">
        <v>566</v>
      </c>
      <c r="B278">
        <v>43992</v>
      </c>
      <c r="C278" t="str">
        <f t="shared" si="26"/>
        <v>10</v>
      </c>
      <c r="D278" t="str">
        <f t="shared" si="24"/>
        <v>June</v>
      </c>
      <c r="E278" t="str">
        <f t="shared" si="27"/>
        <v>2020</v>
      </c>
      <c r="F278" t="s">
        <v>567</v>
      </c>
      <c r="G278" t="str">
        <f>VLOOKUP(F278,'Customers (2)'!A:I,2,0)</f>
        <v>Dorelia Bury</v>
      </c>
      <c r="H278" t="str">
        <f>VLOOKUP(F278,'Customers (2)'!A:I,3,0)</f>
        <v>dbury7o@tinyurl.com</v>
      </c>
      <c r="I278" t="str">
        <f>VLOOKUP(F278,'Customers (2)'!A:I,4,0)</f>
        <v>+353 (262) 842-7103</v>
      </c>
      <c r="J278" t="str">
        <f>VLOOKUP(F278,'Customers (2)'!A:I,6,0)</f>
        <v>Castleblayney</v>
      </c>
      <c r="K278" t="str">
        <f>VLOOKUP(F278,'Customers (2)'!A:I,7,0)</f>
        <v>Ireland</v>
      </c>
      <c r="L278" t="str">
        <f>VLOOKUP(F278,'Customers (2)'!A:I,9,0)</f>
        <v>Yes</v>
      </c>
      <c r="M278" t="str">
        <f>VLOOKUP(N278,'Products (2)'!A:G,2,0)</f>
        <v>Robusta</v>
      </c>
      <c r="N278" t="s">
        <v>10</v>
      </c>
      <c r="O278" t="str">
        <f>VLOOKUP(N278,'Products (2)'!A:G,3,0)</f>
        <v>Light</v>
      </c>
      <c r="P278">
        <f>VLOOKUP(N278,'Products (2)'!A:G,7,0)</f>
        <v>1.6490999999999998</v>
      </c>
      <c r="Q278">
        <v>4</v>
      </c>
      <c r="R278">
        <f>INDEX([1]products!$A$1:$G$49,MATCH([1]orders!$D278,[1]products!$A$1:$A$49,0),MATCH([1]orders!K$1,[1]products!$A$1:$G$1,0))</f>
        <v>2.5</v>
      </c>
      <c r="S278">
        <f>INDEX([1]products!$A$1:$G$49,MATCH([1]orders!$D278,[1]products!$A$1:$A$49,0),MATCH([1]orders!L$1,[1]products!$A$1:$G$1,0))</f>
        <v>27.484999999999996</v>
      </c>
      <c r="T278">
        <f t="shared" si="25"/>
        <v>109.93999999999998</v>
      </c>
      <c r="U278">
        <f t="shared" si="28"/>
        <v>6.5963999999999992</v>
      </c>
      <c r="V278">
        <f t="shared" si="29"/>
        <v>6.0000000000000009</v>
      </c>
    </row>
    <row r="279" spans="1:22" x14ac:dyDescent="0.25">
      <c r="A279" t="s">
        <v>568</v>
      </c>
      <c r="B279">
        <v>44183</v>
      </c>
      <c r="C279" t="str">
        <f t="shared" si="26"/>
        <v>18</v>
      </c>
      <c r="D279" t="str">
        <f t="shared" si="24"/>
        <v>December</v>
      </c>
      <c r="E279" t="str">
        <f t="shared" si="27"/>
        <v>2020</v>
      </c>
      <c r="F279" t="s">
        <v>569</v>
      </c>
      <c r="G279" t="str">
        <f>VLOOKUP(F279,'Customers (2)'!A:I,2,0)</f>
        <v>Gussy Broadbear</v>
      </c>
      <c r="H279" t="str">
        <f>VLOOKUP(F279,'Customers (2)'!A:I,3,0)</f>
        <v>gbroadbear7p@omniture.com</v>
      </c>
      <c r="I279" t="str">
        <f>VLOOKUP(F279,'Customers (2)'!A:I,4,0)</f>
        <v>+1 (573) 758-1104</v>
      </c>
      <c r="J279" t="str">
        <f>VLOOKUP(F279,'Customers (2)'!A:I,6,0)</f>
        <v>Columbia</v>
      </c>
      <c r="K279" t="str">
        <f>VLOOKUP(F279,'Customers (2)'!A:I,7,0)</f>
        <v>United States</v>
      </c>
      <c r="L279" t="str">
        <f>VLOOKUP(F279,'Customers (2)'!A:I,9,0)</f>
        <v>No</v>
      </c>
      <c r="M279" t="str">
        <f>VLOOKUP(N279,'Products (2)'!A:G,2,0)</f>
        <v>Excelsa</v>
      </c>
      <c r="N279" t="s">
        <v>137</v>
      </c>
      <c r="O279" t="str">
        <f>VLOOKUP(N279,'Products (2)'!A:G,3,0)</f>
        <v>Light</v>
      </c>
      <c r="P279">
        <f>VLOOKUP(N279,'Products (2)'!A:G,7,0)</f>
        <v>1.6335</v>
      </c>
      <c r="Q279">
        <v>6</v>
      </c>
      <c r="R279">
        <f>INDEX([1]products!$A$1:$G$49,MATCH([1]orders!$D279,[1]products!$A$1:$A$49,0),MATCH([1]orders!K$1,[1]products!$A$1:$G$1,0))</f>
        <v>1</v>
      </c>
      <c r="S279">
        <f>INDEX([1]products!$A$1:$G$49,MATCH([1]orders!$D279,[1]products!$A$1:$A$49,0),MATCH([1]orders!L$1,[1]products!$A$1:$G$1,0))</f>
        <v>14.85</v>
      </c>
      <c r="T279">
        <f t="shared" si="25"/>
        <v>89.1</v>
      </c>
      <c r="U279">
        <f t="shared" si="28"/>
        <v>9.8010000000000002</v>
      </c>
      <c r="V279">
        <f t="shared" si="29"/>
        <v>11.000000000000002</v>
      </c>
    </row>
    <row r="280" spans="1:22" x14ac:dyDescent="0.25">
      <c r="A280" t="s">
        <v>570</v>
      </c>
      <c r="B280">
        <v>43708</v>
      </c>
      <c r="C280" t="str">
        <f t="shared" si="26"/>
        <v>31</v>
      </c>
      <c r="D280" t="str">
        <f t="shared" si="24"/>
        <v>August</v>
      </c>
      <c r="E280" t="str">
        <f t="shared" si="27"/>
        <v>2019</v>
      </c>
      <c r="F280" t="s">
        <v>571</v>
      </c>
      <c r="G280" t="str">
        <f>VLOOKUP(F280,'Customers (2)'!A:I,2,0)</f>
        <v>Emlynne Palfrey</v>
      </c>
      <c r="H280" t="str">
        <f>VLOOKUP(F280,'Customers (2)'!A:I,3,0)</f>
        <v>epalfrey7q@devhub.com</v>
      </c>
      <c r="I280" t="str">
        <f>VLOOKUP(F280,'Customers (2)'!A:I,4,0)</f>
        <v>+1 (260) 500-7893</v>
      </c>
      <c r="J280" t="str">
        <f>VLOOKUP(F280,'Customers (2)'!A:I,6,0)</f>
        <v>Fort Wayne</v>
      </c>
      <c r="K280" t="str">
        <f>VLOOKUP(F280,'Customers (2)'!A:I,7,0)</f>
        <v>United States</v>
      </c>
      <c r="L280" t="str">
        <f>VLOOKUP(F280,'Customers (2)'!A:I,9,0)</f>
        <v>Yes</v>
      </c>
      <c r="M280" t="str">
        <f>VLOOKUP(N280,'Products (2)'!A:G,2,0)</f>
        <v>Arabica</v>
      </c>
      <c r="N280" t="s">
        <v>115</v>
      </c>
      <c r="O280" t="str">
        <f>VLOOKUP(N280,'Products (2)'!A:G,3,0)</f>
        <v>Light</v>
      </c>
      <c r="P280">
        <f>VLOOKUP(N280,'Products (2)'!A:G,7,0)</f>
        <v>0.34964999999999996</v>
      </c>
      <c r="Q280">
        <v>2</v>
      </c>
      <c r="R280">
        <f>INDEX([1]products!$A$1:$G$49,MATCH([1]orders!$D280,[1]products!$A$1:$A$49,0),MATCH([1]orders!K$1,[1]products!$A$1:$G$1,0))</f>
        <v>0.2</v>
      </c>
      <c r="S280">
        <f>INDEX([1]products!$A$1:$G$49,MATCH([1]orders!$D280,[1]products!$A$1:$A$49,0),MATCH([1]orders!L$1,[1]products!$A$1:$G$1,0))</f>
        <v>3.8849999999999998</v>
      </c>
      <c r="T280">
        <f t="shared" si="25"/>
        <v>7.77</v>
      </c>
      <c r="U280">
        <f t="shared" si="28"/>
        <v>0.69929999999999992</v>
      </c>
      <c r="V280">
        <f t="shared" si="29"/>
        <v>9</v>
      </c>
    </row>
    <row r="281" spans="1:22" x14ac:dyDescent="0.25">
      <c r="A281" t="s">
        <v>572</v>
      </c>
      <c r="B281">
        <v>43521</v>
      </c>
      <c r="C281" t="str">
        <f t="shared" si="26"/>
        <v>25</v>
      </c>
      <c r="D281" t="str">
        <f t="shared" si="24"/>
        <v>February</v>
      </c>
      <c r="E281" t="str">
        <f t="shared" si="27"/>
        <v>2019</v>
      </c>
      <c r="F281" t="s">
        <v>573</v>
      </c>
      <c r="G281" t="str">
        <f>VLOOKUP(F281,'Customers (2)'!A:I,2,0)</f>
        <v>Parsifal Metrick</v>
      </c>
      <c r="H281" t="str">
        <f>VLOOKUP(F281,'Customers (2)'!A:I,3,0)</f>
        <v>pmetrick7r@rakuten.co.jp</v>
      </c>
      <c r="I281" t="str">
        <f>VLOOKUP(F281,'Customers (2)'!A:I,4,0)</f>
        <v>+1 (314) 572-2164</v>
      </c>
      <c r="J281" t="str">
        <f>VLOOKUP(F281,'Customers (2)'!A:I,6,0)</f>
        <v>Saint Louis</v>
      </c>
      <c r="K281" t="str">
        <f>VLOOKUP(F281,'Customers (2)'!A:I,7,0)</f>
        <v>United States</v>
      </c>
      <c r="L281" t="str">
        <f>VLOOKUP(F281,'Customers (2)'!A:I,9,0)</f>
        <v>Yes</v>
      </c>
      <c r="M281" t="str">
        <f>VLOOKUP(N281,'Products (2)'!A:G,2,0)</f>
        <v>Liberica</v>
      </c>
      <c r="N281" t="s">
        <v>197</v>
      </c>
      <c r="O281" t="str">
        <f>VLOOKUP(N281,'Products (2)'!A:G,3,0)</f>
        <v>Medium</v>
      </c>
      <c r="P281">
        <f>VLOOKUP(N281,'Products (2)'!A:G,7,0)</f>
        <v>4.3504499999999995</v>
      </c>
      <c r="Q281">
        <v>1</v>
      </c>
      <c r="R281">
        <f>INDEX([1]products!$A$1:$G$49,MATCH([1]orders!$D281,[1]products!$A$1:$A$49,0),MATCH([1]orders!K$1,[1]products!$A$1:$G$1,0))</f>
        <v>2.5</v>
      </c>
      <c r="S281">
        <f>INDEX([1]products!$A$1:$G$49,MATCH([1]orders!$D281,[1]products!$A$1:$A$49,0),MATCH([1]orders!L$1,[1]products!$A$1:$G$1,0))</f>
        <v>33.464999999999996</v>
      </c>
      <c r="T281">
        <f t="shared" si="25"/>
        <v>33.464999999999996</v>
      </c>
      <c r="U281">
        <f t="shared" si="28"/>
        <v>4.3504499999999995</v>
      </c>
      <c r="V281">
        <f t="shared" si="29"/>
        <v>13</v>
      </c>
    </row>
    <row r="282" spans="1:22" x14ac:dyDescent="0.25">
      <c r="A282" t="s">
        <v>574</v>
      </c>
      <c r="B282">
        <v>44234</v>
      </c>
      <c r="C282" t="str">
        <f t="shared" si="26"/>
        <v>07</v>
      </c>
      <c r="D282" t="str">
        <f t="shared" si="24"/>
        <v>February</v>
      </c>
      <c r="E282" t="str">
        <f t="shared" si="27"/>
        <v>2021</v>
      </c>
      <c r="F282" t="s">
        <v>575</v>
      </c>
      <c r="G282" t="str">
        <f>VLOOKUP(F282,'Customers (2)'!A:I,2,0)</f>
        <v>Christopher Grieveson</v>
      </c>
      <c r="H282">
        <f>VLOOKUP(F282,'Customers (2)'!A:I,3,0)</f>
        <v>0</v>
      </c>
      <c r="I282" t="str">
        <f>VLOOKUP(F282,'Customers (2)'!A:I,4,0)</f>
        <v>+1 (208) 826-3825</v>
      </c>
      <c r="J282" t="str">
        <f>VLOOKUP(F282,'Customers (2)'!A:I,6,0)</f>
        <v>Portland</v>
      </c>
      <c r="K282" t="str">
        <f>VLOOKUP(F282,'Customers (2)'!A:I,7,0)</f>
        <v>United States</v>
      </c>
      <c r="L282" t="str">
        <f>VLOOKUP(F282,'Customers (2)'!A:I,9,0)</f>
        <v>Yes</v>
      </c>
      <c r="M282" t="str">
        <f>VLOOKUP(N282,'Products (2)'!A:G,2,0)</f>
        <v>Excelsa</v>
      </c>
      <c r="N282" t="s">
        <v>3</v>
      </c>
      <c r="O282" t="str">
        <f>VLOOKUP(N282,'Products (2)'!A:G,3,0)</f>
        <v>Medium</v>
      </c>
      <c r="P282">
        <f>VLOOKUP(N282,'Products (2)'!A:G,7,0)</f>
        <v>0.90749999999999997</v>
      </c>
      <c r="Q282">
        <v>5</v>
      </c>
      <c r="R282">
        <f>INDEX([1]products!$A$1:$G$49,MATCH([1]orders!$D282,[1]products!$A$1:$A$49,0),MATCH([1]orders!K$1,[1]products!$A$1:$G$1,0))</f>
        <v>0.5</v>
      </c>
      <c r="S282">
        <f>INDEX([1]products!$A$1:$G$49,MATCH([1]orders!$D282,[1]products!$A$1:$A$49,0),MATCH([1]orders!L$1,[1]products!$A$1:$G$1,0))</f>
        <v>8.25</v>
      </c>
      <c r="T282">
        <f t="shared" si="25"/>
        <v>41.25</v>
      </c>
      <c r="U282">
        <f t="shared" si="28"/>
        <v>4.5374999999999996</v>
      </c>
      <c r="V282">
        <f t="shared" si="29"/>
        <v>10.999999999999998</v>
      </c>
    </row>
    <row r="283" spans="1:22" x14ac:dyDescent="0.25">
      <c r="A283" t="s">
        <v>576</v>
      </c>
      <c r="B283">
        <v>44210</v>
      </c>
      <c r="C283" t="str">
        <f t="shared" si="26"/>
        <v>14</v>
      </c>
      <c r="D283" t="str">
        <f t="shared" si="24"/>
        <v>January</v>
      </c>
      <c r="E283" t="str">
        <f t="shared" si="27"/>
        <v>2021</v>
      </c>
      <c r="F283" t="s">
        <v>577</v>
      </c>
      <c r="G283" t="str">
        <f>VLOOKUP(F283,'Customers (2)'!A:I,2,0)</f>
        <v>Karlan Karby</v>
      </c>
      <c r="H283" t="str">
        <f>VLOOKUP(F283,'Customers (2)'!A:I,3,0)</f>
        <v>kkarby7t@sbwire.com</v>
      </c>
      <c r="I283" t="str">
        <f>VLOOKUP(F283,'Customers (2)'!A:I,4,0)</f>
        <v>+1 (303) 516-4935</v>
      </c>
      <c r="J283" t="str">
        <f>VLOOKUP(F283,'Customers (2)'!A:I,6,0)</f>
        <v>Boulder</v>
      </c>
      <c r="K283" t="str">
        <f>VLOOKUP(F283,'Customers (2)'!A:I,7,0)</f>
        <v>United States</v>
      </c>
      <c r="L283" t="str">
        <f>VLOOKUP(F283,'Customers (2)'!A:I,9,0)</f>
        <v>Yes</v>
      </c>
      <c r="M283" t="str">
        <f>VLOOKUP(N283,'Products (2)'!A:G,2,0)</f>
        <v>Excelsa</v>
      </c>
      <c r="N283" t="s">
        <v>137</v>
      </c>
      <c r="O283" t="str">
        <f>VLOOKUP(N283,'Products (2)'!A:G,3,0)</f>
        <v>Light</v>
      </c>
      <c r="P283">
        <f>VLOOKUP(N283,'Products (2)'!A:G,7,0)</f>
        <v>1.6335</v>
      </c>
      <c r="Q283">
        <v>4</v>
      </c>
      <c r="R283">
        <f>INDEX([1]products!$A$1:$G$49,MATCH([1]orders!$D283,[1]products!$A$1:$A$49,0),MATCH([1]orders!K$1,[1]products!$A$1:$G$1,0))</f>
        <v>1</v>
      </c>
      <c r="S283">
        <f>INDEX([1]products!$A$1:$G$49,MATCH([1]orders!$D283,[1]products!$A$1:$A$49,0),MATCH([1]orders!L$1,[1]products!$A$1:$G$1,0))</f>
        <v>14.85</v>
      </c>
      <c r="T283">
        <f t="shared" si="25"/>
        <v>59.4</v>
      </c>
      <c r="U283">
        <f t="shared" si="28"/>
        <v>6.5339999999999998</v>
      </c>
      <c r="V283">
        <f t="shared" si="29"/>
        <v>11</v>
      </c>
    </row>
    <row r="284" spans="1:22" x14ac:dyDescent="0.25">
      <c r="A284" t="s">
        <v>578</v>
      </c>
      <c r="B284">
        <v>43520</v>
      </c>
      <c r="C284" t="str">
        <f t="shared" si="26"/>
        <v>24</v>
      </c>
      <c r="D284" t="str">
        <f t="shared" si="24"/>
        <v>February</v>
      </c>
      <c r="E284" t="str">
        <f t="shared" si="27"/>
        <v>2019</v>
      </c>
      <c r="F284" t="s">
        <v>579</v>
      </c>
      <c r="G284" t="str">
        <f>VLOOKUP(F284,'Customers (2)'!A:I,2,0)</f>
        <v>Flory Crumpe</v>
      </c>
      <c r="H284" t="str">
        <f>VLOOKUP(F284,'Customers (2)'!A:I,3,0)</f>
        <v>fcrumpe7u@ftc.gov</v>
      </c>
      <c r="I284" t="str">
        <f>VLOOKUP(F284,'Customers (2)'!A:I,4,0)</f>
        <v>+44 (564) 507-1056</v>
      </c>
      <c r="J284" t="str">
        <f>VLOOKUP(F284,'Customers (2)'!A:I,6,0)</f>
        <v>Norton</v>
      </c>
      <c r="K284" t="str">
        <f>VLOOKUP(F284,'Customers (2)'!A:I,7,0)</f>
        <v>United Kingdom</v>
      </c>
      <c r="L284" t="str">
        <f>VLOOKUP(F284,'Customers (2)'!A:I,9,0)</f>
        <v>No</v>
      </c>
      <c r="M284" t="str">
        <f>VLOOKUP(N284,'Products (2)'!A:G,2,0)</f>
        <v>Arabica</v>
      </c>
      <c r="N284" t="s">
        <v>192</v>
      </c>
      <c r="O284" t="str">
        <f>VLOOKUP(N284,'Products (2)'!A:G,3,0)</f>
        <v>Light</v>
      </c>
      <c r="P284">
        <f>VLOOKUP(N284,'Products (2)'!A:G,7,0)</f>
        <v>0.69929999999999992</v>
      </c>
      <c r="Q284">
        <v>1</v>
      </c>
      <c r="R284">
        <f>INDEX([1]products!$A$1:$G$49,MATCH([1]orders!$D284,[1]products!$A$1:$A$49,0),MATCH([1]orders!K$1,[1]products!$A$1:$G$1,0))</f>
        <v>0.5</v>
      </c>
      <c r="S284">
        <f>INDEX([1]products!$A$1:$G$49,MATCH([1]orders!$D284,[1]products!$A$1:$A$49,0),MATCH([1]orders!L$1,[1]products!$A$1:$G$1,0))</f>
        <v>7.77</v>
      </c>
      <c r="T284">
        <f t="shared" si="25"/>
        <v>7.77</v>
      </c>
      <c r="U284">
        <f t="shared" si="28"/>
        <v>0.69929999999999992</v>
      </c>
      <c r="V284">
        <f t="shared" si="29"/>
        <v>9</v>
      </c>
    </row>
    <row r="285" spans="1:22" x14ac:dyDescent="0.25">
      <c r="A285" t="s">
        <v>580</v>
      </c>
      <c r="B285">
        <v>43639</v>
      </c>
      <c r="C285" t="str">
        <f t="shared" si="26"/>
        <v>23</v>
      </c>
      <c r="D285" t="str">
        <f t="shared" si="24"/>
        <v>June</v>
      </c>
      <c r="E285" t="str">
        <f t="shared" si="27"/>
        <v>2019</v>
      </c>
      <c r="F285" t="s">
        <v>581</v>
      </c>
      <c r="G285" t="str">
        <f>VLOOKUP(F285,'Customers (2)'!A:I,2,0)</f>
        <v>Amity Chatto</v>
      </c>
      <c r="H285" t="str">
        <f>VLOOKUP(F285,'Customers (2)'!A:I,3,0)</f>
        <v>achatto7v@sakura.ne.jp</v>
      </c>
      <c r="I285" t="str">
        <f>VLOOKUP(F285,'Customers (2)'!A:I,4,0)</f>
        <v>+44 (522) 740-3583</v>
      </c>
      <c r="J285" t="str">
        <f>VLOOKUP(F285,'Customers (2)'!A:I,6,0)</f>
        <v>Sheffield</v>
      </c>
      <c r="K285" t="str">
        <f>VLOOKUP(F285,'Customers (2)'!A:I,7,0)</f>
        <v>United Kingdom</v>
      </c>
      <c r="L285" t="str">
        <f>VLOOKUP(F285,'Customers (2)'!A:I,9,0)</f>
        <v>Yes</v>
      </c>
      <c r="M285" t="str">
        <f>VLOOKUP(N285,'Products (2)'!A:G,2,0)</f>
        <v>Robusta</v>
      </c>
      <c r="N285" t="s">
        <v>146</v>
      </c>
      <c r="O285" t="str">
        <f>VLOOKUP(N285,'Products (2)'!A:G,3,0)</f>
        <v>Dark</v>
      </c>
      <c r="P285">
        <f>VLOOKUP(N285,'Products (2)'!A:G,7,0)</f>
        <v>0.32219999999999993</v>
      </c>
      <c r="Q285">
        <v>1</v>
      </c>
      <c r="R285">
        <f>INDEX([1]products!$A$1:$G$49,MATCH([1]orders!$D285,[1]products!$A$1:$A$49,0),MATCH([1]orders!K$1,[1]products!$A$1:$G$1,0))</f>
        <v>0.5</v>
      </c>
      <c r="S285">
        <f>INDEX([1]products!$A$1:$G$49,MATCH([1]orders!$D285,[1]products!$A$1:$A$49,0),MATCH([1]orders!L$1,[1]products!$A$1:$G$1,0))</f>
        <v>5.3699999999999992</v>
      </c>
      <c r="T285">
        <f t="shared" si="25"/>
        <v>5.3699999999999992</v>
      </c>
      <c r="U285">
        <f t="shared" si="28"/>
        <v>0.32219999999999993</v>
      </c>
      <c r="V285">
        <f t="shared" si="29"/>
        <v>6</v>
      </c>
    </row>
    <row r="286" spans="1:22" x14ac:dyDescent="0.25">
      <c r="A286" t="s">
        <v>582</v>
      </c>
      <c r="B286">
        <v>43960</v>
      </c>
      <c r="C286" t="str">
        <f t="shared" si="26"/>
        <v>09</v>
      </c>
      <c r="D286" t="str">
        <f t="shared" si="24"/>
        <v>May</v>
      </c>
      <c r="E286" t="str">
        <f t="shared" si="27"/>
        <v>2020</v>
      </c>
      <c r="F286" t="s">
        <v>583</v>
      </c>
      <c r="G286" t="str">
        <f>VLOOKUP(F286,'Customers (2)'!A:I,2,0)</f>
        <v>Nanine McCarthy</v>
      </c>
      <c r="H286">
        <f>VLOOKUP(F286,'Customers (2)'!A:I,3,0)</f>
        <v>0</v>
      </c>
      <c r="I286" t="str">
        <f>VLOOKUP(F286,'Customers (2)'!A:I,4,0)</f>
        <v>+1 (502) 913-2943</v>
      </c>
      <c r="J286" t="str">
        <f>VLOOKUP(F286,'Customers (2)'!A:I,6,0)</f>
        <v>Louisville</v>
      </c>
      <c r="K286" t="str">
        <f>VLOOKUP(F286,'Customers (2)'!A:I,7,0)</f>
        <v>United States</v>
      </c>
      <c r="L286" t="str">
        <f>VLOOKUP(F286,'Customers (2)'!A:I,9,0)</f>
        <v>No</v>
      </c>
      <c r="M286" t="str">
        <f>VLOOKUP(N286,'Products (2)'!A:G,2,0)</f>
        <v>Excelsa</v>
      </c>
      <c r="N286" t="s">
        <v>112</v>
      </c>
      <c r="O286" t="str">
        <f>VLOOKUP(N286,'Products (2)'!A:G,3,0)</f>
        <v>Medium</v>
      </c>
      <c r="P286">
        <f>VLOOKUP(N286,'Products (2)'!A:G,7,0)</f>
        <v>3.4787499999999998</v>
      </c>
      <c r="Q286">
        <v>3</v>
      </c>
      <c r="R286">
        <f>INDEX([1]products!$A$1:$G$49,MATCH([1]orders!$D286,[1]products!$A$1:$A$49,0),MATCH([1]orders!K$1,[1]products!$A$1:$G$1,0))</f>
        <v>2.5</v>
      </c>
      <c r="S286">
        <f>INDEX([1]products!$A$1:$G$49,MATCH([1]orders!$D286,[1]products!$A$1:$A$49,0),MATCH([1]orders!L$1,[1]products!$A$1:$G$1,0))</f>
        <v>31.624999999999996</v>
      </c>
      <c r="T286">
        <f t="shared" si="25"/>
        <v>94.874999999999986</v>
      </c>
      <c r="U286">
        <f t="shared" si="28"/>
        <v>10.436249999999999</v>
      </c>
      <c r="V286">
        <f t="shared" si="29"/>
        <v>11.000000000000002</v>
      </c>
    </row>
    <row r="287" spans="1:22" x14ac:dyDescent="0.25">
      <c r="A287" t="s">
        <v>584</v>
      </c>
      <c r="B287">
        <v>44030</v>
      </c>
      <c r="C287" t="str">
        <f t="shared" si="26"/>
        <v>18</v>
      </c>
      <c r="D287" t="str">
        <f t="shared" si="24"/>
        <v>July</v>
      </c>
      <c r="E287" t="str">
        <f t="shared" si="27"/>
        <v>2020</v>
      </c>
      <c r="F287" t="s">
        <v>585</v>
      </c>
      <c r="G287" t="str">
        <f>VLOOKUP(F287,'Customers (2)'!A:I,2,0)</f>
        <v>Lyndsey Megany</v>
      </c>
      <c r="H287">
        <f>VLOOKUP(F287,'Customers (2)'!A:I,3,0)</f>
        <v>0</v>
      </c>
      <c r="I287" t="str">
        <f>VLOOKUP(F287,'Customers (2)'!A:I,4,0)</f>
        <v>+1 (716) 790-4379</v>
      </c>
      <c r="J287" t="str">
        <f>VLOOKUP(F287,'Customers (2)'!A:I,6,0)</f>
        <v>Buffalo</v>
      </c>
      <c r="K287" t="str">
        <f>VLOOKUP(F287,'Customers (2)'!A:I,7,0)</f>
        <v>United States</v>
      </c>
      <c r="L287" t="str">
        <f>VLOOKUP(F287,'Customers (2)'!A:I,9,0)</f>
        <v>No</v>
      </c>
      <c r="M287" t="str">
        <f>VLOOKUP(N287,'Products (2)'!A:G,2,0)</f>
        <v>Liberica</v>
      </c>
      <c r="N287" t="s">
        <v>104</v>
      </c>
      <c r="O287" t="str">
        <f>VLOOKUP(N287,'Products (2)'!A:G,3,0)</f>
        <v>Light</v>
      </c>
      <c r="P287">
        <f>VLOOKUP(N287,'Products (2)'!A:G,7,0)</f>
        <v>4.7391499999999995</v>
      </c>
      <c r="Q287">
        <v>1</v>
      </c>
      <c r="R287">
        <f>INDEX([1]products!$A$1:$G$49,MATCH([1]orders!$D287,[1]products!$A$1:$A$49,0),MATCH([1]orders!K$1,[1]products!$A$1:$G$1,0))</f>
        <v>2.5</v>
      </c>
      <c r="S287">
        <f>INDEX([1]products!$A$1:$G$49,MATCH([1]orders!$D287,[1]products!$A$1:$A$49,0),MATCH([1]orders!L$1,[1]products!$A$1:$G$1,0))</f>
        <v>36.454999999999998</v>
      </c>
      <c r="T287">
        <f t="shared" si="25"/>
        <v>36.454999999999998</v>
      </c>
      <c r="U287">
        <f t="shared" si="28"/>
        <v>4.7391499999999995</v>
      </c>
      <c r="V287">
        <f t="shared" si="29"/>
        <v>13</v>
      </c>
    </row>
    <row r="288" spans="1:22" x14ac:dyDescent="0.25">
      <c r="A288" t="s">
        <v>586</v>
      </c>
      <c r="B288">
        <v>43755</v>
      </c>
      <c r="C288" t="str">
        <f t="shared" si="26"/>
        <v>17</v>
      </c>
      <c r="D288" t="str">
        <f t="shared" si="24"/>
        <v>October</v>
      </c>
      <c r="E288" t="str">
        <f t="shared" si="27"/>
        <v>2019</v>
      </c>
      <c r="F288" t="s">
        <v>587</v>
      </c>
      <c r="G288" t="str">
        <f>VLOOKUP(F288,'Customers (2)'!A:I,2,0)</f>
        <v>Byram Mergue</v>
      </c>
      <c r="H288" t="str">
        <f>VLOOKUP(F288,'Customers (2)'!A:I,3,0)</f>
        <v>bmergue7y@umn.edu</v>
      </c>
      <c r="I288">
        <f>VLOOKUP(F288,'Customers (2)'!A:I,4,0)</f>
        <v>0</v>
      </c>
      <c r="J288" t="str">
        <f>VLOOKUP(F288,'Customers (2)'!A:I,6,0)</f>
        <v>Canton</v>
      </c>
      <c r="K288" t="str">
        <f>VLOOKUP(F288,'Customers (2)'!A:I,7,0)</f>
        <v>United States</v>
      </c>
      <c r="L288" t="str">
        <f>VLOOKUP(F288,'Customers (2)'!A:I,9,0)</f>
        <v>Yes</v>
      </c>
      <c r="M288" t="str">
        <f>VLOOKUP(N288,'Products (2)'!A:G,2,0)</f>
        <v>Arabica</v>
      </c>
      <c r="N288" t="s">
        <v>44</v>
      </c>
      <c r="O288" t="str">
        <f>VLOOKUP(N288,'Products (2)'!A:G,3,0)</f>
        <v>Medium</v>
      </c>
      <c r="P288">
        <f>VLOOKUP(N288,'Products (2)'!A:G,7,0)</f>
        <v>0.30374999999999996</v>
      </c>
      <c r="Q288">
        <v>4</v>
      </c>
      <c r="R288">
        <f>INDEX([1]products!$A$1:$G$49,MATCH([1]orders!$D288,[1]products!$A$1:$A$49,0),MATCH([1]orders!K$1,[1]products!$A$1:$G$1,0))</f>
        <v>0.2</v>
      </c>
      <c r="S288">
        <f>INDEX([1]products!$A$1:$G$49,MATCH([1]orders!$D288,[1]products!$A$1:$A$49,0),MATCH([1]orders!L$1,[1]products!$A$1:$G$1,0))</f>
        <v>3.375</v>
      </c>
      <c r="T288">
        <f t="shared" si="25"/>
        <v>13.5</v>
      </c>
      <c r="U288">
        <f t="shared" si="28"/>
        <v>1.2149999999999999</v>
      </c>
      <c r="V288">
        <f t="shared" si="29"/>
        <v>8.9999999999999982</v>
      </c>
    </row>
    <row r="289" spans="1:22" x14ac:dyDescent="0.25">
      <c r="A289" t="s">
        <v>588</v>
      </c>
      <c r="B289">
        <v>44697</v>
      </c>
      <c r="C289" t="str">
        <f t="shared" si="26"/>
        <v>16</v>
      </c>
      <c r="D289" t="str">
        <f t="shared" si="24"/>
        <v>May</v>
      </c>
      <c r="E289" t="str">
        <f t="shared" si="27"/>
        <v>2022</v>
      </c>
      <c r="F289" t="s">
        <v>589</v>
      </c>
      <c r="G289" t="str">
        <f>VLOOKUP(F289,'Customers (2)'!A:I,2,0)</f>
        <v>Kerr Patise</v>
      </c>
      <c r="H289" t="str">
        <f>VLOOKUP(F289,'Customers (2)'!A:I,3,0)</f>
        <v>kpatise7z@jigsy.com</v>
      </c>
      <c r="I289" t="str">
        <f>VLOOKUP(F289,'Customers (2)'!A:I,4,0)</f>
        <v>+1 (617) 552-8968</v>
      </c>
      <c r="J289" t="str">
        <f>VLOOKUP(F289,'Customers (2)'!A:I,6,0)</f>
        <v>Boston</v>
      </c>
      <c r="K289" t="str">
        <f>VLOOKUP(F289,'Customers (2)'!A:I,7,0)</f>
        <v>United States</v>
      </c>
      <c r="L289" t="str">
        <f>VLOOKUP(F289,'Customers (2)'!A:I,9,0)</f>
        <v>No</v>
      </c>
      <c r="M289" t="str">
        <f>VLOOKUP(N289,'Products (2)'!A:G,2,0)</f>
        <v>Robusta</v>
      </c>
      <c r="N289" t="s">
        <v>182</v>
      </c>
      <c r="O289" t="str">
        <f>VLOOKUP(N289,'Products (2)'!A:G,3,0)</f>
        <v>Light</v>
      </c>
      <c r="P289">
        <f>VLOOKUP(N289,'Products (2)'!A:G,7,0)</f>
        <v>0.21509999999999996</v>
      </c>
      <c r="Q289">
        <v>4</v>
      </c>
      <c r="R289">
        <f>INDEX([1]products!$A$1:$G$49,MATCH([1]orders!$D289,[1]products!$A$1:$A$49,0),MATCH([1]orders!K$1,[1]products!$A$1:$G$1,0))</f>
        <v>0.2</v>
      </c>
      <c r="S289">
        <f>INDEX([1]products!$A$1:$G$49,MATCH([1]orders!$D289,[1]products!$A$1:$A$49,0),MATCH([1]orders!L$1,[1]products!$A$1:$G$1,0))</f>
        <v>3.5849999999999995</v>
      </c>
      <c r="T289">
        <f t="shared" si="25"/>
        <v>14.339999999999998</v>
      </c>
      <c r="U289">
        <f t="shared" si="28"/>
        <v>0.86039999999999983</v>
      </c>
      <c r="V289">
        <f t="shared" si="29"/>
        <v>6</v>
      </c>
    </row>
    <row r="290" spans="1:22" x14ac:dyDescent="0.25">
      <c r="A290" t="s">
        <v>590</v>
      </c>
      <c r="B290">
        <v>44279</v>
      </c>
      <c r="C290" t="str">
        <f t="shared" si="26"/>
        <v>24</v>
      </c>
      <c r="D290" t="str">
        <f t="shared" si="24"/>
        <v>March</v>
      </c>
      <c r="E290" t="str">
        <f t="shared" si="27"/>
        <v>2021</v>
      </c>
      <c r="F290" t="s">
        <v>591</v>
      </c>
      <c r="G290" t="str">
        <f>VLOOKUP(F290,'Customers (2)'!A:I,2,0)</f>
        <v>Mathew Goulter</v>
      </c>
      <c r="H290">
        <f>VLOOKUP(F290,'Customers (2)'!A:I,3,0)</f>
        <v>0</v>
      </c>
      <c r="I290" t="str">
        <f>VLOOKUP(F290,'Customers (2)'!A:I,4,0)</f>
        <v>+353 (968) 887-1849</v>
      </c>
      <c r="J290" t="str">
        <f>VLOOKUP(F290,'Customers (2)'!A:I,6,0)</f>
        <v>Kinlough</v>
      </c>
      <c r="K290" t="str">
        <f>VLOOKUP(F290,'Customers (2)'!A:I,7,0)</f>
        <v>Ireland</v>
      </c>
      <c r="L290" t="str">
        <f>VLOOKUP(F290,'Customers (2)'!A:I,9,0)</f>
        <v>Yes</v>
      </c>
      <c r="M290" t="str">
        <f>VLOOKUP(N290,'Products (2)'!A:G,2,0)</f>
        <v>Excelsa</v>
      </c>
      <c r="N290" t="s">
        <v>3</v>
      </c>
      <c r="O290" t="str">
        <f>VLOOKUP(N290,'Products (2)'!A:G,3,0)</f>
        <v>Medium</v>
      </c>
      <c r="P290">
        <f>VLOOKUP(N290,'Products (2)'!A:G,7,0)</f>
        <v>0.90749999999999997</v>
      </c>
      <c r="Q290">
        <v>1</v>
      </c>
      <c r="R290">
        <f>INDEX([1]products!$A$1:$G$49,MATCH([1]orders!$D290,[1]products!$A$1:$A$49,0),MATCH([1]orders!K$1,[1]products!$A$1:$G$1,0))</f>
        <v>0.5</v>
      </c>
      <c r="S290">
        <f>INDEX([1]products!$A$1:$G$49,MATCH([1]orders!$D290,[1]products!$A$1:$A$49,0),MATCH([1]orders!L$1,[1]products!$A$1:$G$1,0))</f>
        <v>8.25</v>
      </c>
      <c r="T290">
        <f t="shared" si="25"/>
        <v>8.25</v>
      </c>
      <c r="U290">
        <f t="shared" si="28"/>
        <v>0.90749999999999997</v>
      </c>
      <c r="V290">
        <f t="shared" si="29"/>
        <v>11</v>
      </c>
    </row>
    <row r="291" spans="1:22" x14ac:dyDescent="0.25">
      <c r="A291" t="s">
        <v>592</v>
      </c>
      <c r="B291">
        <v>43772</v>
      </c>
      <c r="C291" t="str">
        <f t="shared" si="26"/>
        <v>03</v>
      </c>
      <c r="D291" t="str">
        <f t="shared" si="24"/>
        <v>November</v>
      </c>
      <c r="E291" t="str">
        <f t="shared" si="27"/>
        <v>2019</v>
      </c>
      <c r="F291" t="s">
        <v>593</v>
      </c>
      <c r="G291" t="str">
        <f>VLOOKUP(F291,'Customers (2)'!A:I,2,0)</f>
        <v>Marris Grcic</v>
      </c>
      <c r="H291">
        <f>VLOOKUP(F291,'Customers (2)'!A:I,3,0)</f>
        <v>0</v>
      </c>
      <c r="I291">
        <f>VLOOKUP(F291,'Customers (2)'!A:I,4,0)</f>
        <v>0</v>
      </c>
      <c r="J291" t="str">
        <f>VLOOKUP(F291,'Customers (2)'!A:I,6,0)</f>
        <v>Lynchburg</v>
      </c>
      <c r="K291" t="str">
        <f>VLOOKUP(F291,'Customers (2)'!A:I,7,0)</f>
        <v>United States</v>
      </c>
      <c r="L291" t="str">
        <f>VLOOKUP(F291,'Customers (2)'!A:I,9,0)</f>
        <v>Yes</v>
      </c>
      <c r="M291" t="str">
        <f>VLOOKUP(N291,'Products (2)'!A:G,2,0)</f>
        <v>Robusta</v>
      </c>
      <c r="N291" t="s">
        <v>101</v>
      </c>
      <c r="O291" t="str">
        <f>VLOOKUP(N291,'Products (2)'!A:G,3,0)</f>
        <v>Dark</v>
      </c>
      <c r="P291">
        <f>VLOOKUP(N291,'Products (2)'!A:G,7,0)</f>
        <v>0.16109999999999997</v>
      </c>
      <c r="Q291">
        <v>5</v>
      </c>
      <c r="R291">
        <f>INDEX([1]products!$A$1:$G$49,MATCH([1]orders!$D291,[1]products!$A$1:$A$49,0),MATCH([1]orders!K$1,[1]products!$A$1:$G$1,0))</f>
        <v>0.2</v>
      </c>
      <c r="S291">
        <f>INDEX([1]products!$A$1:$G$49,MATCH([1]orders!$D291,[1]products!$A$1:$A$49,0),MATCH([1]orders!L$1,[1]products!$A$1:$G$1,0))</f>
        <v>2.6849999999999996</v>
      </c>
      <c r="T291">
        <f t="shared" si="25"/>
        <v>13.424999999999997</v>
      </c>
      <c r="U291">
        <f t="shared" si="28"/>
        <v>0.80549999999999988</v>
      </c>
      <c r="V291">
        <f t="shared" si="29"/>
        <v>6.0000000000000009</v>
      </c>
    </row>
    <row r="292" spans="1:22" x14ac:dyDescent="0.25">
      <c r="A292" t="s">
        <v>594</v>
      </c>
      <c r="B292">
        <v>44497</v>
      </c>
      <c r="C292" t="str">
        <f t="shared" si="26"/>
        <v>28</v>
      </c>
      <c r="D292" t="str">
        <f t="shared" si="24"/>
        <v>October</v>
      </c>
      <c r="E292" t="str">
        <f t="shared" si="27"/>
        <v>2021</v>
      </c>
      <c r="F292" t="s">
        <v>595</v>
      </c>
      <c r="G292" t="str">
        <f>VLOOKUP(F292,'Customers (2)'!A:I,2,0)</f>
        <v>Domeniga Duke</v>
      </c>
      <c r="H292" t="str">
        <f>VLOOKUP(F292,'Customers (2)'!A:I,3,0)</f>
        <v>dduke82@vkontakte.ru</v>
      </c>
      <c r="I292" t="str">
        <f>VLOOKUP(F292,'Customers (2)'!A:I,4,0)</f>
        <v>+1 (626) 268-7265</v>
      </c>
      <c r="J292" t="str">
        <f>VLOOKUP(F292,'Customers (2)'!A:I,6,0)</f>
        <v>Los Angeles</v>
      </c>
      <c r="K292" t="str">
        <f>VLOOKUP(F292,'Customers (2)'!A:I,7,0)</f>
        <v>United States</v>
      </c>
      <c r="L292" t="str">
        <f>VLOOKUP(F292,'Customers (2)'!A:I,9,0)</f>
        <v>No</v>
      </c>
      <c r="M292" t="str">
        <f>VLOOKUP(N292,'Products (2)'!A:G,2,0)</f>
        <v>Arabica</v>
      </c>
      <c r="N292" t="s">
        <v>27</v>
      </c>
      <c r="O292" t="str">
        <f>VLOOKUP(N292,'Products (2)'!A:G,3,0)</f>
        <v>Dark</v>
      </c>
      <c r="P292">
        <f>VLOOKUP(N292,'Products (2)'!A:G,7,0)</f>
        <v>0.89549999999999985</v>
      </c>
      <c r="Q292">
        <v>5</v>
      </c>
      <c r="R292">
        <f>INDEX([1]products!$A$1:$G$49,MATCH([1]orders!$D292,[1]products!$A$1:$A$49,0),MATCH([1]orders!K$1,[1]products!$A$1:$G$1,0))</f>
        <v>1</v>
      </c>
      <c r="S292">
        <f>INDEX([1]products!$A$1:$G$49,MATCH([1]orders!$D292,[1]products!$A$1:$A$49,0),MATCH([1]orders!L$1,[1]products!$A$1:$G$1,0))</f>
        <v>9.9499999999999993</v>
      </c>
      <c r="T292">
        <f t="shared" si="25"/>
        <v>49.75</v>
      </c>
      <c r="U292">
        <f t="shared" si="28"/>
        <v>4.4774999999999991</v>
      </c>
      <c r="V292">
        <f t="shared" si="29"/>
        <v>8.9999999999999982</v>
      </c>
    </row>
    <row r="293" spans="1:22" x14ac:dyDescent="0.25">
      <c r="A293" t="s">
        <v>596</v>
      </c>
      <c r="B293">
        <v>44181</v>
      </c>
      <c r="C293" t="str">
        <f t="shared" si="26"/>
        <v>16</v>
      </c>
      <c r="D293" t="str">
        <f t="shared" si="24"/>
        <v>December</v>
      </c>
      <c r="E293" t="str">
        <f t="shared" si="27"/>
        <v>2020</v>
      </c>
      <c r="F293" t="s">
        <v>597</v>
      </c>
      <c r="G293" t="str">
        <f>VLOOKUP(F293,'Customers (2)'!A:I,2,0)</f>
        <v>Violante Skouling</v>
      </c>
      <c r="H293">
        <f>VLOOKUP(F293,'Customers (2)'!A:I,3,0)</f>
        <v>0</v>
      </c>
      <c r="I293">
        <f>VLOOKUP(F293,'Customers (2)'!A:I,4,0)</f>
        <v>0</v>
      </c>
      <c r="J293" t="str">
        <f>VLOOKUP(F293,'Customers (2)'!A:I,6,0)</f>
        <v>Drumcondra</v>
      </c>
      <c r="K293" t="str">
        <f>VLOOKUP(F293,'Customers (2)'!A:I,7,0)</f>
        <v>Ireland</v>
      </c>
      <c r="L293" t="str">
        <f>VLOOKUP(F293,'Customers (2)'!A:I,9,0)</f>
        <v>No</v>
      </c>
      <c r="M293" t="str">
        <f>VLOOKUP(N293,'Products (2)'!A:G,2,0)</f>
        <v>Excelsa</v>
      </c>
      <c r="N293" t="s">
        <v>3</v>
      </c>
      <c r="O293" t="str">
        <f>VLOOKUP(N293,'Products (2)'!A:G,3,0)</f>
        <v>Medium</v>
      </c>
      <c r="P293">
        <f>VLOOKUP(N293,'Products (2)'!A:G,7,0)</f>
        <v>0.90749999999999997</v>
      </c>
      <c r="Q293">
        <v>2</v>
      </c>
      <c r="R293">
        <f>INDEX([1]products!$A$1:$G$49,MATCH([1]orders!$D293,[1]products!$A$1:$A$49,0),MATCH([1]orders!K$1,[1]products!$A$1:$G$1,0))</f>
        <v>0.5</v>
      </c>
      <c r="S293">
        <f>INDEX([1]products!$A$1:$G$49,MATCH([1]orders!$D293,[1]products!$A$1:$A$49,0),MATCH([1]orders!L$1,[1]products!$A$1:$G$1,0))</f>
        <v>8.25</v>
      </c>
      <c r="T293">
        <f t="shared" si="25"/>
        <v>16.5</v>
      </c>
      <c r="U293">
        <f t="shared" si="28"/>
        <v>1.8149999999999999</v>
      </c>
      <c r="V293">
        <f t="shared" si="29"/>
        <v>11</v>
      </c>
    </row>
    <row r="294" spans="1:22" x14ac:dyDescent="0.25">
      <c r="A294" t="s">
        <v>598</v>
      </c>
      <c r="B294">
        <v>44529</v>
      </c>
      <c r="C294" t="str">
        <f t="shared" si="26"/>
        <v>29</v>
      </c>
      <c r="D294" t="str">
        <f t="shared" si="24"/>
        <v>November</v>
      </c>
      <c r="E294" t="str">
        <f t="shared" si="27"/>
        <v>2021</v>
      </c>
      <c r="F294" t="s">
        <v>599</v>
      </c>
      <c r="G294" t="str">
        <f>VLOOKUP(F294,'Customers (2)'!A:I,2,0)</f>
        <v>Isidore Hussey</v>
      </c>
      <c r="H294" t="str">
        <f>VLOOKUP(F294,'Customers (2)'!A:I,3,0)</f>
        <v>ihussey84@mapy.cz</v>
      </c>
      <c r="I294">
        <f>VLOOKUP(F294,'Customers (2)'!A:I,4,0)</f>
        <v>0</v>
      </c>
      <c r="J294" t="str">
        <f>VLOOKUP(F294,'Customers (2)'!A:I,6,0)</f>
        <v>Birmingham</v>
      </c>
      <c r="K294" t="str">
        <f>VLOOKUP(F294,'Customers (2)'!A:I,7,0)</f>
        <v>United States</v>
      </c>
      <c r="L294" t="str">
        <f>VLOOKUP(F294,'Customers (2)'!A:I,9,0)</f>
        <v>No</v>
      </c>
      <c r="M294" t="str">
        <f>VLOOKUP(N294,'Products (2)'!A:G,2,0)</f>
        <v>Arabica</v>
      </c>
      <c r="N294" t="s">
        <v>72</v>
      </c>
      <c r="O294" t="str">
        <f>VLOOKUP(N294,'Products (2)'!A:G,3,0)</f>
        <v>Dark</v>
      </c>
      <c r="P294">
        <f>VLOOKUP(N294,'Products (2)'!A:G,7,0)</f>
        <v>0.5373</v>
      </c>
      <c r="Q294">
        <v>3</v>
      </c>
      <c r="R294">
        <f>INDEX([1]products!$A$1:$G$49,MATCH([1]orders!$D294,[1]products!$A$1:$A$49,0),MATCH([1]orders!K$1,[1]products!$A$1:$G$1,0))</f>
        <v>0.5</v>
      </c>
      <c r="S294">
        <f>INDEX([1]products!$A$1:$G$49,MATCH([1]orders!$D294,[1]products!$A$1:$A$49,0),MATCH([1]orders!L$1,[1]products!$A$1:$G$1,0))</f>
        <v>5.97</v>
      </c>
      <c r="T294">
        <f t="shared" si="25"/>
        <v>17.91</v>
      </c>
      <c r="U294">
        <f t="shared" si="28"/>
        <v>1.6118999999999999</v>
      </c>
      <c r="V294">
        <f t="shared" si="29"/>
        <v>9</v>
      </c>
    </row>
    <row r="295" spans="1:22" x14ac:dyDescent="0.25">
      <c r="A295" t="s">
        <v>600</v>
      </c>
      <c r="B295">
        <v>44275</v>
      </c>
      <c r="C295" t="str">
        <f t="shared" si="26"/>
        <v>20</v>
      </c>
      <c r="D295" t="str">
        <f t="shared" si="24"/>
        <v>March</v>
      </c>
      <c r="E295" t="str">
        <f t="shared" si="27"/>
        <v>2021</v>
      </c>
      <c r="F295" t="s">
        <v>601</v>
      </c>
      <c r="G295" t="str">
        <f>VLOOKUP(F295,'Customers (2)'!A:I,2,0)</f>
        <v>Cassie Pinkerton</v>
      </c>
      <c r="H295" t="str">
        <f>VLOOKUP(F295,'Customers (2)'!A:I,3,0)</f>
        <v>cpinkerton85@upenn.edu</v>
      </c>
      <c r="I295" t="str">
        <f>VLOOKUP(F295,'Customers (2)'!A:I,4,0)</f>
        <v>+1 (202) 727-7464</v>
      </c>
      <c r="J295" t="str">
        <f>VLOOKUP(F295,'Customers (2)'!A:I,6,0)</f>
        <v>Alexandria</v>
      </c>
      <c r="K295" t="str">
        <f>VLOOKUP(F295,'Customers (2)'!A:I,7,0)</f>
        <v>United States</v>
      </c>
      <c r="L295" t="str">
        <f>VLOOKUP(F295,'Customers (2)'!A:I,9,0)</f>
        <v>No</v>
      </c>
      <c r="M295" t="str">
        <f>VLOOKUP(N295,'Products (2)'!A:G,2,0)</f>
        <v>Arabica</v>
      </c>
      <c r="N295" t="s">
        <v>72</v>
      </c>
      <c r="O295" t="str">
        <f>VLOOKUP(N295,'Products (2)'!A:G,3,0)</f>
        <v>Dark</v>
      </c>
      <c r="P295">
        <f>VLOOKUP(N295,'Products (2)'!A:G,7,0)</f>
        <v>0.5373</v>
      </c>
      <c r="Q295">
        <v>5</v>
      </c>
      <c r="R295">
        <f>INDEX([1]products!$A$1:$G$49,MATCH([1]orders!$D295,[1]products!$A$1:$A$49,0),MATCH([1]orders!K$1,[1]products!$A$1:$G$1,0))</f>
        <v>0.5</v>
      </c>
      <c r="S295">
        <f>INDEX([1]products!$A$1:$G$49,MATCH([1]orders!$D295,[1]products!$A$1:$A$49,0),MATCH([1]orders!L$1,[1]products!$A$1:$G$1,0))</f>
        <v>5.97</v>
      </c>
      <c r="T295">
        <f t="shared" si="25"/>
        <v>29.849999999999998</v>
      </c>
      <c r="U295">
        <f t="shared" si="28"/>
        <v>2.6865000000000001</v>
      </c>
      <c r="V295">
        <f t="shared" si="29"/>
        <v>9.0000000000000018</v>
      </c>
    </row>
    <row r="296" spans="1:22" x14ac:dyDescent="0.25">
      <c r="A296" t="s">
        <v>602</v>
      </c>
      <c r="B296">
        <v>44659</v>
      </c>
      <c r="C296" t="str">
        <f t="shared" si="26"/>
        <v>08</v>
      </c>
      <c r="D296" t="str">
        <f t="shared" si="24"/>
        <v>April</v>
      </c>
      <c r="E296" t="str">
        <f t="shared" si="27"/>
        <v>2022</v>
      </c>
      <c r="F296" t="s">
        <v>603</v>
      </c>
      <c r="G296" t="str">
        <f>VLOOKUP(F296,'Customers (2)'!A:I,2,0)</f>
        <v>Micki Fero</v>
      </c>
      <c r="H296">
        <f>VLOOKUP(F296,'Customers (2)'!A:I,3,0)</f>
        <v>0</v>
      </c>
      <c r="I296" t="str">
        <f>VLOOKUP(F296,'Customers (2)'!A:I,4,0)</f>
        <v>+1 (203) 722-1559</v>
      </c>
      <c r="J296" t="str">
        <f>VLOOKUP(F296,'Customers (2)'!A:I,6,0)</f>
        <v>Danbury</v>
      </c>
      <c r="K296" t="str">
        <f>VLOOKUP(F296,'Customers (2)'!A:I,7,0)</f>
        <v>United States</v>
      </c>
      <c r="L296" t="str">
        <f>VLOOKUP(F296,'Customers (2)'!A:I,9,0)</f>
        <v>No</v>
      </c>
      <c r="M296" t="str">
        <f>VLOOKUP(N296,'Products (2)'!A:G,2,0)</f>
        <v>Excelsa</v>
      </c>
      <c r="N296" t="s">
        <v>137</v>
      </c>
      <c r="O296" t="str">
        <f>VLOOKUP(N296,'Products (2)'!A:G,3,0)</f>
        <v>Light</v>
      </c>
      <c r="P296">
        <f>VLOOKUP(N296,'Products (2)'!A:G,7,0)</f>
        <v>1.6335</v>
      </c>
      <c r="Q296">
        <v>3</v>
      </c>
      <c r="R296">
        <f>INDEX([1]products!$A$1:$G$49,MATCH([1]orders!$D296,[1]products!$A$1:$A$49,0),MATCH([1]orders!K$1,[1]products!$A$1:$G$1,0))</f>
        <v>1</v>
      </c>
      <c r="S296">
        <f>INDEX([1]products!$A$1:$G$49,MATCH([1]orders!$D296,[1]products!$A$1:$A$49,0),MATCH([1]orders!L$1,[1]products!$A$1:$G$1,0))</f>
        <v>14.85</v>
      </c>
      <c r="T296">
        <f t="shared" si="25"/>
        <v>44.55</v>
      </c>
      <c r="U296">
        <f t="shared" si="28"/>
        <v>4.9005000000000001</v>
      </c>
      <c r="V296">
        <f t="shared" si="29"/>
        <v>11.000000000000002</v>
      </c>
    </row>
    <row r="297" spans="1:22" x14ac:dyDescent="0.25">
      <c r="A297" t="s">
        <v>604</v>
      </c>
      <c r="B297">
        <v>44057</v>
      </c>
      <c r="C297" t="str">
        <f t="shared" si="26"/>
        <v>14</v>
      </c>
      <c r="D297" t="str">
        <f t="shared" si="24"/>
        <v>August</v>
      </c>
      <c r="E297" t="str">
        <f t="shared" si="27"/>
        <v>2020</v>
      </c>
      <c r="F297" t="s">
        <v>605</v>
      </c>
      <c r="G297" t="str">
        <f>VLOOKUP(F297,'Customers (2)'!A:I,2,0)</f>
        <v>Cybill Graddell</v>
      </c>
      <c r="H297">
        <f>VLOOKUP(F297,'Customers (2)'!A:I,3,0)</f>
        <v>0</v>
      </c>
      <c r="I297">
        <f>VLOOKUP(F297,'Customers (2)'!A:I,4,0)</f>
        <v>0</v>
      </c>
      <c r="J297" t="str">
        <f>VLOOKUP(F297,'Customers (2)'!A:I,6,0)</f>
        <v>Albany</v>
      </c>
      <c r="K297" t="str">
        <f>VLOOKUP(F297,'Customers (2)'!A:I,7,0)</f>
        <v>United States</v>
      </c>
      <c r="L297" t="str">
        <f>VLOOKUP(F297,'Customers (2)'!A:I,9,0)</f>
        <v>No</v>
      </c>
      <c r="M297" t="str">
        <f>VLOOKUP(N297,'Products (2)'!A:G,2,0)</f>
        <v>Excelsa</v>
      </c>
      <c r="N297" t="s">
        <v>9</v>
      </c>
      <c r="O297" t="str">
        <f>VLOOKUP(N297,'Products (2)'!A:G,3,0)</f>
        <v>Medium</v>
      </c>
      <c r="P297">
        <f>VLOOKUP(N297,'Products (2)'!A:G,7,0)</f>
        <v>1.5125</v>
      </c>
      <c r="Q297">
        <v>2</v>
      </c>
      <c r="R297">
        <f>INDEX([1]products!$A$1:$G$49,MATCH([1]orders!$D297,[1]products!$A$1:$A$49,0),MATCH([1]orders!K$1,[1]products!$A$1:$G$1,0))</f>
        <v>1</v>
      </c>
      <c r="S297">
        <f>INDEX([1]products!$A$1:$G$49,MATCH([1]orders!$D297,[1]products!$A$1:$A$49,0),MATCH([1]orders!L$1,[1]products!$A$1:$G$1,0))</f>
        <v>13.75</v>
      </c>
      <c r="T297">
        <f t="shared" si="25"/>
        <v>27.5</v>
      </c>
      <c r="U297">
        <f t="shared" si="28"/>
        <v>3.0249999999999999</v>
      </c>
      <c r="V297">
        <f t="shared" si="29"/>
        <v>11</v>
      </c>
    </row>
    <row r="298" spans="1:22" x14ac:dyDescent="0.25">
      <c r="A298" t="s">
        <v>606</v>
      </c>
      <c r="B298">
        <v>43597</v>
      </c>
      <c r="C298" t="str">
        <f t="shared" si="26"/>
        <v>12</v>
      </c>
      <c r="D298" t="str">
        <f t="shared" si="24"/>
        <v>May</v>
      </c>
      <c r="E298" t="str">
        <f t="shared" si="27"/>
        <v>2019</v>
      </c>
      <c r="F298" t="s">
        <v>607</v>
      </c>
      <c r="G298" t="str">
        <f>VLOOKUP(F298,'Customers (2)'!A:I,2,0)</f>
        <v>Dorian Vizor</v>
      </c>
      <c r="H298" t="str">
        <f>VLOOKUP(F298,'Customers (2)'!A:I,3,0)</f>
        <v>dvizor88@furl.net</v>
      </c>
      <c r="I298" t="str">
        <f>VLOOKUP(F298,'Customers (2)'!A:I,4,0)</f>
        <v>+1 (941) 130-0581</v>
      </c>
      <c r="J298" t="str">
        <f>VLOOKUP(F298,'Customers (2)'!A:I,6,0)</f>
        <v>Naples</v>
      </c>
      <c r="K298" t="str">
        <f>VLOOKUP(F298,'Customers (2)'!A:I,7,0)</f>
        <v>United States</v>
      </c>
      <c r="L298" t="str">
        <f>VLOOKUP(F298,'Customers (2)'!A:I,9,0)</f>
        <v>Yes</v>
      </c>
      <c r="M298" t="str">
        <f>VLOOKUP(N298,'Products (2)'!A:G,2,0)</f>
        <v>Robusta</v>
      </c>
      <c r="N298" t="s">
        <v>22</v>
      </c>
      <c r="O298" t="str">
        <f>VLOOKUP(N298,'Products (2)'!A:G,3,0)</f>
        <v>Medium</v>
      </c>
      <c r="P298">
        <f>VLOOKUP(N298,'Products (2)'!A:G,7,0)</f>
        <v>0.35819999999999996</v>
      </c>
      <c r="Q298">
        <v>6</v>
      </c>
      <c r="R298">
        <f>INDEX([1]products!$A$1:$G$49,MATCH([1]orders!$D298,[1]products!$A$1:$A$49,0),MATCH([1]orders!K$1,[1]products!$A$1:$G$1,0))</f>
        <v>0.5</v>
      </c>
      <c r="S298">
        <f>INDEX([1]products!$A$1:$G$49,MATCH([1]orders!$D298,[1]products!$A$1:$A$49,0),MATCH([1]orders!L$1,[1]products!$A$1:$G$1,0))</f>
        <v>5.97</v>
      </c>
      <c r="T298">
        <f t="shared" si="25"/>
        <v>35.82</v>
      </c>
      <c r="U298">
        <f t="shared" si="28"/>
        <v>2.1491999999999996</v>
      </c>
      <c r="V298">
        <f t="shared" si="29"/>
        <v>5.9999999999999982</v>
      </c>
    </row>
    <row r="299" spans="1:22" x14ac:dyDescent="0.25">
      <c r="A299" t="s">
        <v>608</v>
      </c>
      <c r="B299">
        <v>44258</v>
      </c>
      <c r="C299" t="str">
        <f t="shared" si="26"/>
        <v>03</v>
      </c>
      <c r="D299" t="str">
        <f t="shared" si="24"/>
        <v>March</v>
      </c>
      <c r="E299" t="str">
        <f t="shared" si="27"/>
        <v>2021</v>
      </c>
      <c r="F299" t="s">
        <v>609</v>
      </c>
      <c r="G299" t="str">
        <f>VLOOKUP(F299,'Customers (2)'!A:I,2,0)</f>
        <v>Eddi Sedgebeer</v>
      </c>
      <c r="H299" t="str">
        <f>VLOOKUP(F299,'Customers (2)'!A:I,3,0)</f>
        <v>esedgebeer89@oaic.gov.au</v>
      </c>
      <c r="I299" t="str">
        <f>VLOOKUP(F299,'Customers (2)'!A:I,4,0)</f>
        <v>+1 (305) 898-4252</v>
      </c>
      <c r="J299" t="str">
        <f>VLOOKUP(F299,'Customers (2)'!A:I,6,0)</f>
        <v>Miami Beach</v>
      </c>
      <c r="K299" t="str">
        <f>VLOOKUP(F299,'Customers (2)'!A:I,7,0)</f>
        <v>United States</v>
      </c>
      <c r="L299" t="str">
        <f>VLOOKUP(F299,'Customers (2)'!A:I,9,0)</f>
        <v>Yes</v>
      </c>
      <c r="M299" t="str">
        <f>VLOOKUP(N299,'Products (2)'!A:G,2,0)</f>
        <v>Robusta</v>
      </c>
      <c r="N299" t="s">
        <v>146</v>
      </c>
      <c r="O299" t="str">
        <f>VLOOKUP(N299,'Products (2)'!A:G,3,0)</f>
        <v>Dark</v>
      </c>
      <c r="P299">
        <f>VLOOKUP(N299,'Products (2)'!A:G,7,0)</f>
        <v>0.32219999999999993</v>
      </c>
      <c r="Q299">
        <v>3</v>
      </c>
      <c r="R299">
        <f>INDEX([1]products!$A$1:$G$49,MATCH([1]orders!$D299,[1]products!$A$1:$A$49,0),MATCH([1]orders!K$1,[1]products!$A$1:$G$1,0))</f>
        <v>0.5</v>
      </c>
      <c r="S299">
        <f>INDEX([1]products!$A$1:$G$49,MATCH([1]orders!$D299,[1]products!$A$1:$A$49,0),MATCH([1]orders!L$1,[1]products!$A$1:$G$1,0))</f>
        <v>5.3699999999999992</v>
      </c>
      <c r="T299">
        <f t="shared" si="25"/>
        <v>16.11</v>
      </c>
      <c r="U299">
        <f t="shared" si="28"/>
        <v>0.96659999999999979</v>
      </c>
      <c r="V299">
        <f t="shared" si="29"/>
        <v>5.9999999999999991</v>
      </c>
    </row>
    <row r="300" spans="1:22" x14ac:dyDescent="0.25">
      <c r="A300" t="s">
        <v>610</v>
      </c>
      <c r="B300">
        <v>43872</v>
      </c>
      <c r="C300" t="str">
        <f t="shared" si="26"/>
        <v>11</v>
      </c>
      <c r="D300" t="str">
        <f t="shared" si="24"/>
        <v>February</v>
      </c>
      <c r="E300" t="str">
        <f t="shared" si="27"/>
        <v>2020</v>
      </c>
      <c r="F300" t="s">
        <v>611</v>
      </c>
      <c r="G300" t="str">
        <f>VLOOKUP(F300,'Customers (2)'!A:I,2,0)</f>
        <v>Ken Lestrange</v>
      </c>
      <c r="H300" t="str">
        <f>VLOOKUP(F300,'Customers (2)'!A:I,3,0)</f>
        <v>klestrange8a@lulu.com</v>
      </c>
      <c r="I300" t="str">
        <f>VLOOKUP(F300,'Customers (2)'!A:I,4,0)</f>
        <v>+1 (404) 479-6402</v>
      </c>
      <c r="J300" t="str">
        <f>VLOOKUP(F300,'Customers (2)'!A:I,6,0)</f>
        <v>Atlanta</v>
      </c>
      <c r="K300" t="str">
        <f>VLOOKUP(F300,'Customers (2)'!A:I,7,0)</f>
        <v>United States</v>
      </c>
      <c r="L300" t="str">
        <f>VLOOKUP(F300,'Customers (2)'!A:I,9,0)</f>
        <v>Yes</v>
      </c>
      <c r="M300" t="str">
        <f>VLOOKUP(N300,'Products (2)'!A:G,2,0)</f>
        <v>Excelsa</v>
      </c>
      <c r="N300" t="s">
        <v>254</v>
      </c>
      <c r="O300" t="str">
        <f>VLOOKUP(N300,'Products (2)'!A:G,3,0)</f>
        <v>Light</v>
      </c>
      <c r="P300">
        <f>VLOOKUP(N300,'Products (2)'!A:G,7,0)</f>
        <v>0.49004999999999999</v>
      </c>
      <c r="Q300">
        <v>6</v>
      </c>
      <c r="R300">
        <f>INDEX([1]products!$A$1:$G$49,MATCH([1]orders!$D300,[1]products!$A$1:$A$49,0),MATCH([1]orders!K$1,[1]products!$A$1:$G$1,0))</f>
        <v>0.2</v>
      </c>
      <c r="S300">
        <f>INDEX([1]products!$A$1:$G$49,MATCH([1]orders!$D300,[1]products!$A$1:$A$49,0),MATCH([1]orders!L$1,[1]products!$A$1:$G$1,0))</f>
        <v>4.4550000000000001</v>
      </c>
      <c r="T300">
        <f t="shared" si="25"/>
        <v>26.73</v>
      </c>
      <c r="U300">
        <f t="shared" si="28"/>
        <v>2.9402999999999997</v>
      </c>
      <c r="V300">
        <f t="shared" si="29"/>
        <v>10.999999999999998</v>
      </c>
    </row>
    <row r="301" spans="1:22" x14ac:dyDescent="0.25">
      <c r="A301" t="s">
        <v>612</v>
      </c>
      <c r="B301">
        <v>43582</v>
      </c>
      <c r="C301" t="str">
        <f t="shared" si="26"/>
        <v>27</v>
      </c>
      <c r="D301" t="str">
        <f t="shared" si="24"/>
        <v>April</v>
      </c>
      <c r="E301" t="str">
        <f t="shared" si="27"/>
        <v>2019</v>
      </c>
      <c r="F301" t="s">
        <v>613</v>
      </c>
      <c r="G301" t="str">
        <f>VLOOKUP(F301,'Customers (2)'!A:I,2,0)</f>
        <v>Lacee Tanti</v>
      </c>
      <c r="H301" t="str">
        <f>VLOOKUP(F301,'Customers (2)'!A:I,3,0)</f>
        <v>ltanti8b@techcrunch.com</v>
      </c>
      <c r="I301" t="str">
        <f>VLOOKUP(F301,'Customers (2)'!A:I,4,0)</f>
        <v>+1 (361) 383-8015</v>
      </c>
      <c r="J301" t="str">
        <f>VLOOKUP(F301,'Customers (2)'!A:I,6,0)</f>
        <v>Corpus Christi</v>
      </c>
      <c r="K301" t="str">
        <f>VLOOKUP(F301,'Customers (2)'!A:I,7,0)</f>
        <v>United States</v>
      </c>
      <c r="L301" t="str">
        <f>VLOOKUP(F301,'Customers (2)'!A:I,9,0)</f>
        <v>Yes</v>
      </c>
      <c r="M301" t="str">
        <f>VLOOKUP(N301,'Products (2)'!A:G,2,0)</f>
        <v>Excelsa</v>
      </c>
      <c r="N301" t="s">
        <v>30</v>
      </c>
      <c r="O301" t="str">
        <f>VLOOKUP(N301,'Products (2)'!A:G,3,0)</f>
        <v>Light</v>
      </c>
      <c r="P301">
        <f>VLOOKUP(N301,'Products (2)'!A:G,7,0)</f>
        <v>3.7570499999999996</v>
      </c>
      <c r="Q301">
        <v>6</v>
      </c>
      <c r="R301">
        <f>INDEX([1]products!$A$1:$G$49,MATCH([1]orders!$D301,[1]products!$A$1:$A$49,0),MATCH([1]orders!K$1,[1]products!$A$1:$G$1,0))</f>
        <v>2.5</v>
      </c>
      <c r="S301">
        <f>INDEX([1]products!$A$1:$G$49,MATCH([1]orders!$D301,[1]products!$A$1:$A$49,0),MATCH([1]orders!L$1,[1]products!$A$1:$G$1,0))</f>
        <v>34.154999999999994</v>
      </c>
      <c r="T301">
        <f t="shared" si="25"/>
        <v>204.92999999999995</v>
      </c>
      <c r="U301">
        <f t="shared" si="28"/>
        <v>22.542299999999997</v>
      </c>
      <c r="V301">
        <f t="shared" si="29"/>
        <v>11.000000000000002</v>
      </c>
    </row>
    <row r="302" spans="1:22" x14ac:dyDescent="0.25">
      <c r="A302" t="s">
        <v>614</v>
      </c>
      <c r="B302">
        <v>44646</v>
      </c>
      <c r="C302" t="str">
        <f t="shared" si="26"/>
        <v>26</v>
      </c>
      <c r="D302" t="str">
        <f t="shared" si="24"/>
        <v>March</v>
      </c>
      <c r="E302" t="str">
        <f t="shared" si="27"/>
        <v>2022</v>
      </c>
      <c r="F302" t="s">
        <v>615</v>
      </c>
      <c r="G302" t="str">
        <f>VLOOKUP(F302,'Customers (2)'!A:I,2,0)</f>
        <v>Arel De Lasci</v>
      </c>
      <c r="H302" t="str">
        <f>VLOOKUP(F302,'Customers (2)'!A:I,3,0)</f>
        <v>ade8c@1und1.de</v>
      </c>
      <c r="I302" t="str">
        <f>VLOOKUP(F302,'Customers (2)'!A:I,4,0)</f>
        <v>+1 (808) 868-6669</v>
      </c>
      <c r="J302" t="str">
        <f>VLOOKUP(F302,'Customers (2)'!A:I,6,0)</f>
        <v>Honolulu</v>
      </c>
      <c r="K302" t="str">
        <f>VLOOKUP(F302,'Customers (2)'!A:I,7,0)</f>
        <v>United States</v>
      </c>
      <c r="L302" t="str">
        <f>VLOOKUP(F302,'Customers (2)'!A:I,9,0)</f>
        <v>Yes</v>
      </c>
      <c r="M302" t="str">
        <f>VLOOKUP(N302,'Products (2)'!A:G,2,0)</f>
        <v>Arabica</v>
      </c>
      <c r="N302" t="s">
        <v>6</v>
      </c>
      <c r="O302" t="str">
        <f>VLOOKUP(N302,'Products (2)'!A:G,3,0)</f>
        <v>Light</v>
      </c>
      <c r="P302">
        <f>VLOOKUP(N302,'Products (2)'!A:G,7,0)</f>
        <v>1.1655</v>
      </c>
      <c r="Q302">
        <v>3</v>
      </c>
      <c r="R302">
        <f>INDEX([1]products!$A$1:$G$49,MATCH([1]orders!$D302,[1]products!$A$1:$A$49,0),MATCH([1]orders!K$1,[1]products!$A$1:$G$1,0))</f>
        <v>1</v>
      </c>
      <c r="S302">
        <f>INDEX([1]products!$A$1:$G$49,MATCH([1]orders!$D302,[1]products!$A$1:$A$49,0),MATCH([1]orders!L$1,[1]products!$A$1:$G$1,0))</f>
        <v>12.95</v>
      </c>
      <c r="T302">
        <f t="shared" si="25"/>
        <v>38.849999999999994</v>
      </c>
      <c r="U302">
        <f t="shared" si="28"/>
        <v>3.4965000000000002</v>
      </c>
      <c r="V302">
        <f t="shared" si="29"/>
        <v>9.0000000000000018</v>
      </c>
    </row>
    <row r="303" spans="1:22" x14ac:dyDescent="0.25">
      <c r="A303" t="s">
        <v>616</v>
      </c>
      <c r="B303">
        <v>44102</v>
      </c>
      <c r="C303" t="str">
        <f t="shared" si="26"/>
        <v>28</v>
      </c>
      <c r="D303" t="str">
        <f t="shared" si="24"/>
        <v>September</v>
      </c>
      <c r="E303" t="str">
        <f t="shared" si="27"/>
        <v>2020</v>
      </c>
      <c r="F303" t="s">
        <v>617</v>
      </c>
      <c r="G303" t="str">
        <f>VLOOKUP(F303,'Customers (2)'!A:I,2,0)</f>
        <v>Trescha Jedrachowicz</v>
      </c>
      <c r="H303" t="str">
        <f>VLOOKUP(F303,'Customers (2)'!A:I,3,0)</f>
        <v>tjedrachowicz8d@acquirethisname.com</v>
      </c>
      <c r="I303" t="str">
        <f>VLOOKUP(F303,'Customers (2)'!A:I,4,0)</f>
        <v>+1 (512) 635-4547</v>
      </c>
      <c r="J303" t="str">
        <f>VLOOKUP(F303,'Customers (2)'!A:I,6,0)</f>
        <v>Austin</v>
      </c>
      <c r="K303" t="str">
        <f>VLOOKUP(F303,'Customers (2)'!A:I,7,0)</f>
        <v>United States</v>
      </c>
      <c r="L303" t="str">
        <f>VLOOKUP(F303,'Customers (2)'!A:I,9,0)</f>
        <v>Yes</v>
      </c>
      <c r="M303" t="str">
        <f>VLOOKUP(N303,'Products (2)'!A:G,2,0)</f>
        <v>Liberica</v>
      </c>
      <c r="N303" t="s">
        <v>38</v>
      </c>
      <c r="O303" t="str">
        <f>VLOOKUP(N303,'Products (2)'!A:G,3,0)</f>
        <v>Dark</v>
      </c>
      <c r="P303">
        <f>VLOOKUP(N303,'Products (2)'!A:G,7,0)</f>
        <v>0.50505</v>
      </c>
      <c r="Q303">
        <v>4</v>
      </c>
      <c r="R303">
        <f>INDEX([1]products!$A$1:$G$49,MATCH([1]orders!$D303,[1]products!$A$1:$A$49,0),MATCH([1]orders!K$1,[1]products!$A$1:$G$1,0))</f>
        <v>0.2</v>
      </c>
      <c r="S303">
        <f>INDEX([1]products!$A$1:$G$49,MATCH([1]orders!$D303,[1]products!$A$1:$A$49,0),MATCH([1]orders!L$1,[1]products!$A$1:$G$1,0))</f>
        <v>3.8849999999999998</v>
      </c>
      <c r="T303">
        <f t="shared" si="25"/>
        <v>15.54</v>
      </c>
      <c r="U303">
        <f t="shared" si="28"/>
        <v>2.0202</v>
      </c>
      <c r="V303">
        <f t="shared" si="29"/>
        <v>13</v>
      </c>
    </row>
    <row r="304" spans="1:22" x14ac:dyDescent="0.25">
      <c r="A304" t="s">
        <v>618</v>
      </c>
      <c r="B304">
        <v>43762</v>
      </c>
      <c r="C304" t="str">
        <f t="shared" si="26"/>
        <v>24</v>
      </c>
      <c r="D304" t="str">
        <f t="shared" si="24"/>
        <v>October</v>
      </c>
      <c r="E304" t="str">
        <f t="shared" si="27"/>
        <v>2019</v>
      </c>
      <c r="F304" t="s">
        <v>619</v>
      </c>
      <c r="G304" t="str">
        <f>VLOOKUP(F304,'Customers (2)'!A:I,2,0)</f>
        <v>Perkin Stonner</v>
      </c>
      <c r="H304" t="str">
        <f>VLOOKUP(F304,'Customers (2)'!A:I,3,0)</f>
        <v>pstonner8e@moonfruit.com</v>
      </c>
      <c r="I304" t="str">
        <f>VLOOKUP(F304,'Customers (2)'!A:I,4,0)</f>
        <v>+1 (410) 158-5285</v>
      </c>
      <c r="J304" t="str">
        <f>VLOOKUP(F304,'Customers (2)'!A:I,6,0)</f>
        <v>Baltimore</v>
      </c>
      <c r="K304" t="str">
        <f>VLOOKUP(F304,'Customers (2)'!A:I,7,0)</f>
        <v>United States</v>
      </c>
      <c r="L304" t="str">
        <f>VLOOKUP(F304,'Customers (2)'!A:I,9,0)</f>
        <v>No</v>
      </c>
      <c r="M304" t="str">
        <f>VLOOKUP(N304,'Products (2)'!A:G,2,0)</f>
        <v>Arabica</v>
      </c>
      <c r="N304" t="s">
        <v>67</v>
      </c>
      <c r="O304" t="str">
        <f>VLOOKUP(N304,'Products (2)'!A:G,3,0)</f>
        <v>Medium</v>
      </c>
      <c r="P304">
        <f>VLOOKUP(N304,'Products (2)'!A:G,7,0)</f>
        <v>0.60749999999999993</v>
      </c>
      <c r="Q304">
        <v>1</v>
      </c>
      <c r="R304">
        <f>INDEX([1]products!$A$1:$G$49,MATCH([1]orders!$D304,[1]products!$A$1:$A$49,0),MATCH([1]orders!K$1,[1]products!$A$1:$G$1,0))</f>
        <v>0.5</v>
      </c>
      <c r="S304">
        <f>INDEX([1]products!$A$1:$G$49,MATCH([1]orders!$D304,[1]products!$A$1:$A$49,0),MATCH([1]orders!L$1,[1]products!$A$1:$G$1,0))</f>
        <v>6.75</v>
      </c>
      <c r="T304">
        <f t="shared" si="25"/>
        <v>6.75</v>
      </c>
      <c r="U304">
        <f t="shared" si="28"/>
        <v>0.60749999999999993</v>
      </c>
      <c r="V304">
        <f t="shared" si="29"/>
        <v>8.9999999999999982</v>
      </c>
    </row>
    <row r="305" spans="1:22" x14ac:dyDescent="0.25">
      <c r="A305" t="s">
        <v>620</v>
      </c>
      <c r="B305">
        <v>44412</v>
      </c>
      <c r="C305" t="str">
        <f t="shared" si="26"/>
        <v>04</v>
      </c>
      <c r="D305" t="str">
        <f t="shared" si="24"/>
        <v>August</v>
      </c>
      <c r="E305" t="str">
        <f t="shared" si="27"/>
        <v>2021</v>
      </c>
      <c r="F305" t="s">
        <v>621</v>
      </c>
      <c r="G305" t="str">
        <f>VLOOKUP(F305,'Customers (2)'!A:I,2,0)</f>
        <v>Darrin Tingly</v>
      </c>
      <c r="H305" t="str">
        <f>VLOOKUP(F305,'Customers (2)'!A:I,3,0)</f>
        <v>dtingly8f@goo.ne.jp</v>
      </c>
      <c r="I305">
        <f>VLOOKUP(F305,'Customers (2)'!A:I,4,0)</f>
        <v>0</v>
      </c>
      <c r="J305" t="str">
        <f>VLOOKUP(F305,'Customers (2)'!A:I,6,0)</f>
        <v>Lexington</v>
      </c>
      <c r="K305" t="str">
        <f>VLOOKUP(F305,'Customers (2)'!A:I,7,0)</f>
        <v>United States</v>
      </c>
      <c r="L305" t="str">
        <f>VLOOKUP(F305,'Customers (2)'!A:I,9,0)</f>
        <v>Yes</v>
      </c>
      <c r="M305" t="str">
        <f>VLOOKUP(N305,'Products (2)'!A:G,2,0)</f>
        <v>Excelsa</v>
      </c>
      <c r="N305" t="s">
        <v>530</v>
      </c>
      <c r="O305" t="str">
        <f>VLOOKUP(N305,'Products (2)'!A:G,3,0)</f>
        <v>Dark</v>
      </c>
      <c r="P305">
        <f>VLOOKUP(N305,'Products (2)'!A:G,7,0)</f>
        <v>3.07395</v>
      </c>
      <c r="Q305">
        <v>4</v>
      </c>
      <c r="R305">
        <f>INDEX([1]products!$A$1:$G$49,MATCH([1]orders!$D305,[1]products!$A$1:$A$49,0),MATCH([1]orders!K$1,[1]products!$A$1:$G$1,0))</f>
        <v>2.5</v>
      </c>
      <c r="S305">
        <f>INDEX([1]products!$A$1:$G$49,MATCH([1]orders!$D305,[1]products!$A$1:$A$49,0),MATCH([1]orders!L$1,[1]products!$A$1:$G$1,0))</f>
        <v>27.945</v>
      </c>
      <c r="T305">
        <f t="shared" si="25"/>
        <v>111.78</v>
      </c>
      <c r="U305">
        <f t="shared" si="28"/>
        <v>12.2958</v>
      </c>
      <c r="V305">
        <f t="shared" si="29"/>
        <v>11</v>
      </c>
    </row>
    <row r="306" spans="1:22" x14ac:dyDescent="0.25">
      <c r="A306" t="s">
        <v>622</v>
      </c>
      <c r="B306">
        <v>43828</v>
      </c>
      <c r="C306" t="str">
        <f t="shared" si="26"/>
        <v>29</v>
      </c>
      <c r="D306" t="str">
        <f t="shared" si="24"/>
        <v>December</v>
      </c>
      <c r="E306" t="str">
        <f t="shared" si="27"/>
        <v>2019</v>
      </c>
      <c r="F306" t="s">
        <v>623</v>
      </c>
      <c r="G306" t="str">
        <f>VLOOKUP(F306,'Customers (2)'!A:I,2,0)</f>
        <v>Claudetta Rushe</v>
      </c>
      <c r="H306" t="str">
        <f>VLOOKUP(F306,'Customers (2)'!A:I,3,0)</f>
        <v>crushe8n@about.me</v>
      </c>
      <c r="I306" t="str">
        <f>VLOOKUP(F306,'Customers (2)'!A:I,4,0)</f>
        <v>+1 (704) 883-8274</v>
      </c>
      <c r="J306" t="str">
        <f>VLOOKUP(F306,'Customers (2)'!A:I,6,0)</f>
        <v>Charlotte</v>
      </c>
      <c r="K306" t="str">
        <f>VLOOKUP(F306,'Customers (2)'!A:I,7,0)</f>
        <v>United States</v>
      </c>
      <c r="L306" t="str">
        <f>VLOOKUP(F306,'Customers (2)'!A:I,9,0)</f>
        <v>Yes</v>
      </c>
      <c r="M306" t="str">
        <f>VLOOKUP(N306,'Products (2)'!A:G,2,0)</f>
        <v>Arabica</v>
      </c>
      <c r="N306" t="s">
        <v>115</v>
      </c>
      <c r="O306" t="str">
        <f>VLOOKUP(N306,'Products (2)'!A:G,3,0)</f>
        <v>Light</v>
      </c>
      <c r="P306">
        <f>VLOOKUP(N306,'Products (2)'!A:G,7,0)</f>
        <v>0.34964999999999996</v>
      </c>
      <c r="Q306">
        <v>1</v>
      </c>
      <c r="R306">
        <f>INDEX([1]products!$A$1:$G$49,MATCH([1]orders!$D306,[1]products!$A$1:$A$49,0),MATCH([1]orders!K$1,[1]products!$A$1:$G$1,0))</f>
        <v>0.2</v>
      </c>
      <c r="S306">
        <f>INDEX([1]products!$A$1:$G$49,MATCH([1]orders!$D306,[1]products!$A$1:$A$49,0),MATCH([1]orders!L$1,[1]products!$A$1:$G$1,0))</f>
        <v>3.8849999999999998</v>
      </c>
      <c r="T306">
        <f t="shared" si="25"/>
        <v>3.8849999999999998</v>
      </c>
      <c r="U306">
        <f t="shared" si="28"/>
        <v>0.34964999999999996</v>
      </c>
      <c r="V306">
        <f t="shared" si="29"/>
        <v>9</v>
      </c>
    </row>
    <row r="307" spans="1:22" x14ac:dyDescent="0.25">
      <c r="A307" t="s">
        <v>624</v>
      </c>
      <c r="B307">
        <v>43796</v>
      </c>
      <c r="C307" t="str">
        <f t="shared" si="26"/>
        <v>27</v>
      </c>
      <c r="D307" t="str">
        <f t="shared" si="24"/>
        <v>November</v>
      </c>
      <c r="E307" t="str">
        <f t="shared" si="27"/>
        <v>2019</v>
      </c>
      <c r="F307" t="s">
        <v>625</v>
      </c>
      <c r="G307" t="str">
        <f>VLOOKUP(F307,'Customers (2)'!A:I,2,0)</f>
        <v>Benn Checci</v>
      </c>
      <c r="H307" t="str">
        <f>VLOOKUP(F307,'Customers (2)'!A:I,3,0)</f>
        <v>bchecci8h@usa.gov</v>
      </c>
      <c r="I307" t="str">
        <f>VLOOKUP(F307,'Customers (2)'!A:I,4,0)</f>
        <v>+44 (237) 377-1917</v>
      </c>
      <c r="J307" t="str">
        <f>VLOOKUP(F307,'Customers (2)'!A:I,6,0)</f>
        <v>Eaton</v>
      </c>
      <c r="K307" t="str">
        <f>VLOOKUP(F307,'Customers (2)'!A:I,7,0)</f>
        <v>United Kingdom</v>
      </c>
      <c r="L307" t="str">
        <f>VLOOKUP(F307,'Customers (2)'!A:I,9,0)</f>
        <v>No</v>
      </c>
      <c r="M307" t="str">
        <f>VLOOKUP(N307,'Products (2)'!A:G,2,0)</f>
        <v>Liberica</v>
      </c>
      <c r="N307" t="s">
        <v>77</v>
      </c>
      <c r="O307" t="str">
        <f>VLOOKUP(N307,'Products (2)'!A:G,3,0)</f>
        <v>Medium</v>
      </c>
      <c r="P307">
        <f>VLOOKUP(N307,'Products (2)'!A:G,7,0)</f>
        <v>0.56745000000000001</v>
      </c>
      <c r="Q307">
        <v>5</v>
      </c>
      <c r="R307">
        <f>INDEX([1]products!$A$1:$G$49,MATCH([1]orders!$D307,[1]products!$A$1:$A$49,0),MATCH([1]orders!K$1,[1]products!$A$1:$G$1,0))</f>
        <v>0.2</v>
      </c>
      <c r="S307">
        <f>INDEX([1]products!$A$1:$G$49,MATCH([1]orders!$D307,[1]products!$A$1:$A$49,0),MATCH([1]orders!L$1,[1]products!$A$1:$G$1,0))</f>
        <v>4.3650000000000002</v>
      </c>
      <c r="T307">
        <f t="shared" si="25"/>
        <v>21.825000000000003</v>
      </c>
      <c r="U307">
        <f t="shared" si="28"/>
        <v>2.83725</v>
      </c>
      <c r="V307">
        <f t="shared" si="29"/>
        <v>12.999999999999998</v>
      </c>
    </row>
    <row r="308" spans="1:22" x14ac:dyDescent="0.25">
      <c r="A308" t="s">
        <v>626</v>
      </c>
      <c r="B308">
        <v>43890</v>
      </c>
      <c r="C308" t="str">
        <f t="shared" si="26"/>
        <v>29</v>
      </c>
      <c r="D308" t="str">
        <f t="shared" si="24"/>
        <v>February</v>
      </c>
      <c r="E308" t="str">
        <f t="shared" si="27"/>
        <v>2020</v>
      </c>
      <c r="F308" t="s">
        <v>627</v>
      </c>
      <c r="G308" t="str">
        <f>VLOOKUP(F308,'Customers (2)'!A:I,2,0)</f>
        <v>Janifer Bagot</v>
      </c>
      <c r="H308" t="str">
        <f>VLOOKUP(F308,'Customers (2)'!A:I,3,0)</f>
        <v>jbagot8i@mac.com</v>
      </c>
      <c r="I308" t="str">
        <f>VLOOKUP(F308,'Customers (2)'!A:I,4,0)</f>
        <v>+1 (402) 659-3815</v>
      </c>
      <c r="J308" t="str">
        <f>VLOOKUP(F308,'Customers (2)'!A:I,6,0)</f>
        <v>Lincoln</v>
      </c>
      <c r="K308" t="str">
        <f>VLOOKUP(F308,'Customers (2)'!A:I,7,0)</f>
        <v>United States</v>
      </c>
      <c r="L308" t="str">
        <f>VLOOKUP(F308,'Customers (2)'!A:I,9,0)</f>
        <v>No</v>
      </c>
      <c r="M308" t="str">
        <f>VLOOKUP(N308,'Products (2)'!A:G,2,0)</f>
        <v>Robusta</v>
      </c>
      <c r="N308" t="s">
        <v>162</v>
      </c>
      <c r="O308" t="str">
        <f>VLOOKUP(N308,'Products (2)'!A:G,3,0)</f>
        <v>Medium</v>
      </c>
      <c r="P308">
        <f>VLOOKUP(N308,'Products (2)'!A:G,7,0)</f>
        <v>0.17909999999999998</v>
      </c>
      <c r="Q308">
        <v>5</v>
      </c>
      <c r="R308">
        <f>INDEX([1]products!$A$1:$G$49,MATCH([1]orders!$D308,[1]products!$A$1:$A$49,0),MATCH([1]orders!K$1,[1]products!$A$1:$G$1,0))</f>
        <v>0.2</v>
      </c>
      <c r="S308">
        <f>INDEX([1]products!$A$1:$G$49,MATCH([1]orders!$D308,[1]products!$A$1:$A$49,0),MATCH([1]orders!L$1,[1]products!$A$1:$G$1,0))</f>
        <v>2.9849999999999999</v>
      </c>
      <c r="T308">
        <f t="shared" si="25"/>
        <v>14.924999999999999</v>
      </c>
      <c r="U308">
        <f t="shared" si="28"/>
        <v>0.89549999999999996</v>
      </c>
      <c r="V308">
        <f t="shared" si="29"/>
        <v>6.0000000000000009</v>
      </c>
    </row>
    <row r="309" spans="1:22" x14ac:dyDescent="0.25">
      <c r="A309" t="s">
        <v>628</v>
      </c>
      <c r="B309">
        <v>44227</v>
      </c>
      <c r="C309" t="str">
        <f t="shared" si="26"/>
        <v>31</v>
      </c>
      <c r="D309" t="str">
        <f t="shared" si="24"/>
        <v>January</v>
      </c>
      <c r="E309" t="str">
        <f t="shared" si="27"/>
        <v>2021</v>
      </c>
      <c r="F309" t="s">
        <v>629</v>
      </c>
      <c r="G309" t="str">
        <f>VLOOKUP(F309,'Customers (2)'!A:I,2,0)</f>
        <v>Ermin Beeble</v>
      </c>
      <c r="H309" t="str">
        <f>VLOOKUP(F309,'Customers (2)'!A:I,3,0)</f>
        <v>ebeeble8j@soundcloud.com</v>
      </c>
      <c r="I309" t="str">
        <f>VLOOKUP(F309,'Customers (2)'!A:I,4,0)</f>
        <v>+1 (513) 141-9892</v>
      </c>
      <c r="J309" t="str">
        <f>VLOOKUP(F309,'Customers (2)'!A:I,6,0)</f>
        <v>Cincinnati</v>
      </c>
      <c r="K309" t="str">
        <f>VLOOKUP(F309,'Customers (2)'!A:I,7,0)</f>
        <v>United States</v>
      </c>
      <c r="L309" t="str">
        <f>VLOOKUP(F309,'Customers (2)'!A:I,9,0)</f>
        <v>Yes</v>
      </c>
      <c r="M309" t="str">
        <f>VLOOKUP(N309,'Products (2)'!A:G,2,0)</f>
        <v>Arabica</v>
      </c>
      <c r="N309" t="s">
        <v>61</v>
      </c>
      <c r="O309" t="str">
        <f>VLOOKUP(N309,'Products (2)'!A:G,3,0)</f>
        <v>Medium</v>
      </c>
      <c r="P309">
        <f>VLOOKUP(N309,'Products (2)'!A:G,7,0)</f>
        <v>1.0125</v>
      </c>
      <c r="Q309">
        <v>3</v>
      </c>
      <c r="R309">
        <f>INDEX([1]products!$A$1:$G$49,MATCH([1]orders!$D309,[1]products!$A$1:$A$49,0),MATCH([1]orders!K$1,[1]products!$A$1:$G$1,0))</f>
        <v>1</v>
      </c>
      <c r="S309">
        <f>INDEX([1]products!$A$1:$G$49,MATCH([1]orders!$D309,[1]products!$A$1:$A$49,0),MATCH([1]orders!L$1,[1]products!$A$1:$G$1,0))</f>
        <v>11.25</v>
      </c>
      <c r="T309">
        <f t="shared" si="25"/>
        <v>33.75</v>
      </c>
      <c r="U309">
        <f t="shared" si="28"/>
        <v>3.0374999999999996</v>
      </c>
      <c r="V309">
        <f t="shared" si="29"/>
        <v>8.9999999999999982</v>
      </c>
    </row>
    <row r="310" spans="1:22" x14ac:dyDescent="0.25">
      <c r="A310" t="s">
        <v>630</v>
      </c>
      <c r="B310">
        <v>44729</v>
      </c>
      <c r="C310" t="str">
        <f t="shared" si="26"/>
        <v>17</v>
      </c>
      <c r="D310" t="str">
        <f t="shared" si="24"/>
        <v>June</v>
      </c>
      <c r="E310" t="str">
        <f t="shared" si="27"/>
        <v>2022</v>
      </c>
      <c r="F310" t="s">
        <v>631</v>
      </c>
      <c r="G310" t="str">
        <f>VLOOKUP(F310,'Customers (2)'!A:I,2,0)</f>
        <v>Cos Fluin</v>
      </c>
      <c r="H310" t="str">
        <f>VLOOKUP(F310,'Customers (2)'!A:I,3,0)</f>
        <v>cfluin8k@flickr.com</v>
      </c>
      <c r="I310">
        <f>VLOOKUP(F310,'Customers (2)'!A:I,4,0)</f>
        <v>0</v>
      </c>
      <c r="J310" t="str">
        <f>VLOOKUP(F310,'Customers (2)'!A:I,6,0)</f>
        <v>Sheffield</v>
      </c>
      <c r="K310" t="str">
        <f>VLOOKUP(F310,'Customers (2)'!A:I,7,0)</f>
        <v>United Kingdom</v>
      </c>
      <c r="L310" t="str">
        <f>VLOOKUP(F310,'Customers (2)'!A:I,9,0)</f>
        <v>No</v>
      </c>
      <c r="M310" t="str">
        <f>VLOOKUP(N310,'Products (2)'!A:G,2,0)</f>
        <v>Arabica</v>
      </c>
      <c r="N310" t="s">
        <v>61</v>
      </c>
      <c r="O310" t="str">
        <f>VLOOKUP(N310,'Products (2)'!A:G,3,0)</f>
        <v>Medium</v>
      </c>
      <c r="P310">
        <f>VLOOKUP(N310,'Products (2)'!A:G,7,0)</f>
        <v>1.0125</v>
      </c>
      <c r="Q310">
        <v>3</v>
      </c>
      <c r="R310">
        <f>INDEX([1]products!$A$1:$G$49,MATCH([1]orders!$D310,[1]products!$A$1:$A$49,0),MATCH([1]orders!K$1,[1]products!$A$1:$G$1,0))</f>
        <v>1</v>
      </c>
      <c r="S310">
        <f>INDEX([1]products!$A$1:$G$49,MATCH([1]orders!$D310,[1]products!$A$1:$A$49,0),MATCH([1]orders!L$1,[1]products!$A$1:$G$1,0))</f>
        <v>11.25</v>
      </c>
      <c r="T310">
        <f t="shared" si="25"/>
        <v>33.75</v>
      </c>
      <c r="U310">
        <f t="shared" si="28"/>
        <v>3.0374999999999996</v>
      </c>
      <c r="V310">
        <f t="shared" si="29"/>
        <v>8.9999999999999982</v>
      </c>
    </row>
    <row r="311" spans="1:22" x14ac:dyDescent="0.25">
      <c r="A311" t="s">
        <v>632</v>
      </c>
      <c r="B311">
        <v>43864</v>
      </c>
      <c r="C311" t="str">
        <f t="shared" si="26"/>
        <v>03</v>
      </c>
      <c r="D311" t="str">
        <f t="shared" si="24"/>
        <v>February</v>
      </c>
      <c r="E311" t="str">
        <f t="shared" si="27"/>
        <v>2020</v>
      </c>
      <c r="F311" t="s">
        <v>633</v>
      </c>
      <c r="G311" t="str">
        <f>VLOOKUP(F311,'Customers (2)'!A:I,2,0)</f>
        <v>Eveleen Bletsor</v>
      </c>
      <c r="H311" t="str">
        <f>VLOOKUP(F311,'Customers (2)'!A:I,3,0)</f>
        <v>ebletsor8l@vinaora.com</v>
      </c>
      <c r="I311" t="str">
        <f>VLOOKUP(F311,'Customers (2)'!A:I,4,0)</f>
        <v>+1 (860) 182-4246</v>
      </c>
      <c r="J311" t="str">
        <f>VLOOKUP(F311,'Customers (2)'!A:I,6,0)</f>
        <v>West Hartford</v>
      </c>
      <c r="K311" t="str">
        <f>VLOOKUP(F311,'Customers (2)'!A:I,7,0)</f>
        <v>United States</v>
      </c>
      <c r="L311" t="str">
        <f>VLOOKUP(F311,'Customers (2)'!A:I,9,0)</f>
        <v>Yes</v>
      </c>
      <c r="M311" t="str">
        <f>VLOOKUP(N311,'Products (2)'!A:G,2,0)</f>
        <v>Liberica</v>
      </c>
      <c r="N311" t="s">
        <v>77</v>
      </c>
      <c r="O311" t="str">
        <f>VLOOKUP(N311,'Products (2)'!A:G,3,0)</f>
        <v>Medium</v>
      </c>
      <c r="P311">
        <f>VLOOKUP(N311,'Products (2)'!A:G,7,0)</f>
        <v>0.56745000000000001</v>
      </c>
      <c r="Q311">
        <v>6</v>
      </c>
      <c r="R311">
        <f>INDEX([1]products!$A$1:$G$49,MATCH([1]orders!$D311,[1]products!$A$1:$A$49,0),MATCH([1]orders!K$1,[1]products!$A$1:$G$1,0))</f>
        <v>0.2</v>
      </c>
      <c r="S311">
        <f>INDEX([1]products!$A$1:$G$49,MATCH([1]orders!$D311,[1]products!$A$1:$A$49,0),MATCH([1]orders!L$1,[1]products!$A$1:$G$1,0))</f>
        <v>4.3650000000000002</v>
      </c>
      <c r="T311">
        <f t="shared" si="25"/>
        <v>26.19</v>
      </c>
      <c r="U311">
        <f t="shared" si="28"/>
        <v>3.4047000000000001</v>
      </c>
      <c r="V311">
        <f t="shared" si="29"/>
        <v>13</v>
      </c>
    </row>
    <row r="312" spans="1:22" x14ac:dyDescent="0.25">
      <c r="A312" t="s">
        <v>634</v>
      </c>
      <c r="B312">
        <v>44586</v>
      </c>
      <c r="C312" t="str">
        <f t="shared" si="26"/>
        <v>25</v>
      </c>
      <c r="D312" t="str">
        <f t="shared" si="24"/>
        <v>January</v>
      </c>
      <c r="E312" t="str">
        <f t="shared" si="27"/>
        <v>2022</v>
      </c>
      <c r="F312" t="s">
        <v>635</v>
      </c>
      <c r="G312" t="str">
        <f>VLOOKUP(F312,'Customers (2)'!A:I,2,0)</f>
        <v>Paola Brydell</v>
      </c>
      <c r="H312" t="str">
        <f>VLOOKUP(F312,'Customers (2)'!A:I,3,0)</f>
        <v>pbrydell8m@bloglovin.com</v>
      </c>
      <c r="I312" t="str">
        <f>VLOOKUP(F312,'Customers (2)'!A:I,4,0)</f>
        <v>+353 (522) 527-0155</v>
      </c>
      <c r="J312" t="str">
        <f>VLOOKUP(F312,'Customers (2)'!A:I,6,0)</f>
        <v>Listowel</v>
      </c>
      <c r="K312" t="str">
        <f>VLOOKUP(F312,'Customers (2)'!A:I,7,0)</f>
        <v>Ireland</v>
      </c>
      <c r="L312" t="str">
        <f>VLOOKUP(F312,'Customers (2)'!A:I,9,0)</f>
        <v>No</v>
      </c>
      <c r="M312" t="str">
        <f>VLOOKUP(N312,'Products (2)'!A:G,2,0)</f>
        <v>Excelsa</v>
      </c>
      <c r="N312" t="s">
        <v>137</v>
      </c>
      <c r="O312" t="str">
        <f>VLOOKUP(N312,'Products (2)'!A:G,3,0)</f>
        <v>Light</v>
      </c>
      <c r="P312">
        <f>VLOOKUP(N312,'Products (2)'!A:G,7,0)</f>
        <v>1.6335</v>
      </c>
      <c r="Q312">
        <v>1</v>
      </c>
      <c r="R312">
        <f>INDEX([1]products!$A$1:$G$49,MATCH([1]orders!$D312,[1]products!$A$1:$A$49,0),MATCH([1]orders!K$1,[1]products!$A$1:$G$1,0))</f>
        <v>1</v>
      </c>
      <c r="S312">
        <f>INDEX([1]products!$A$1:$G$49,MATCH([1]orders!$D312,[1]products!$A$1:$A$49,0),MATCH([1]orders!L$1,[1]products!$A$1:$G$1,0))</f>
        <v>14.85</v>
      </c>
      <c r="T312">
        <f t="shared" si="25"/>
        <v>14.85</v>
      </c>
      <c r="U312">
        <f t="shared" si="28"/>
        <v>1.6335</v>
      </c>
      <c r="V312">
        <f t="shared" si="29"/>
        <v>11</v>
      </c>
    </row>
    <row r="313" spans="1:22" x14ac:dyDescent="0.25">
      <c r="A313" t="s">
        <v>636</v>
      </c>
      <c r="B313">
        <v>43951</v>
      </c>
      <c r="C313" t="str">
        <f t="shared" si="26"/>
        <v>30</v>
      </c>
      <c r="D313" t="str">
        <f t="shared" si="24"/>
        <v>April</v>
      </c>
      <c r="E313" t="str">
        <f t="shared" si="27"/>
        <v>2020</v>
      </c>
      <c r="F313" t="s">
        <v>623</v>
      </c>
      <c r="G313" t="str">
        <f>VLOOKUP(F313,'Customers (2)'!A:I,2,0)</f>
        <v>Claudetta Rushe</v>
      </c>
      <c r="H313" t="str">
        <f>VLOOKUP(F313,'Customers (2)'!A:I,3,0)</f>
        <v>crushe8n@about.me</v>
      </c>
      <c r="I313" t="str">
        <f>VLOOKUP(F313,'Customers (2)'!A:I,4,0)</f>
        <v>+1 (704) 883-8274</v>
      </c>
      <c r="J313" t="str">
        <f>VLOOKUP(F313,'Customers (2)'!A:I,6,0)</f>
        <v>Charlotte</v>
      </c>
      <c r="K313" t="str">
        <f>VLOOKUP(F313,'Customers (2)'!A:I,7,0)</f>
        <v>United States</v>
      </c>
      <c r="L313" t="str">
        <f>VLOOKUP(F313,'Customers (2)'!A:I,9,0)</f>
        <v>Yes</v>
      </c>
      <c r="M313" t="str">
        <f>VLOOKUP(N313,'Products (2)'!A:G,2,0)</f>
        <v>Excelsa</v>
      </c>
      <c r="N313" t="s">
        <v>112</v>
      </c>
      <c r="O313" t="str">
        <f>VLOOKUP(N313,'Products (2)'!A:G,3,0)</f>
        <v>Medium</v>
      </c>
      <c r="P313">
        <f>VLOOKUP(N313,'Products (2)'!A:G,7,0)</f>
        <v>3.4787499999999998</v>
      </c>
      <c r="Q313">
        <v>6</v>
      </c>
      <c r="R313">
        <f>INDEX([1]products!$A$1:$G$49,MATCH([1]orders!$D313,[1]products!$A$1:$A$49,0),MATCH([1]orders!K$1,[1]products!$A$1:$G$1,0))</f>
        <v>2.5</v>
      </c>
      <c r="S313">
        <f>INDEX([1]products!$A$1:$G$49,MATCH([1]orders!$D313,[1]products!$A$1:$A$49,0),MATCH([1]orders!L$1,[1]products!$A$1:$G$1,0))</f>
        <v>31.624999999999996</v>
      </c>
      <c r="T313">
        <f t="shared" si="25"/>
        <v>189.74999999999997</v>
      </c>
      <c r="U313">
        <f t="shared" si="28"/>
        <v>20.872499999999999</v>
      </c>
      <c r="V313">
        <f t="shared" si="29"/>
        <v>11.000000000000002</v>
      </c>
    </row>
    <row r="314" spans="1:22" x14ac:dyDescent="0.25">
      <c r="A314" t="s">
        <v>637</v>
      </c>
      <c r="B314">
        <v>44317</v>
      </c>
      <c r="C314" t="str">
        <f t="shared" si="26"/>
        <v>01</v>
      </c>
      <c r="D314" t="str">
        <f t="shared" si="24"/>
        <v>May</v>
      </c>
      <c r="E314" t="str">
        <f t="shared" si="27"/>
        <v>2021</v>
      </c>
      <c r="F314" t="s">
        <v>638</v>
      </c>
      <c r="G314" t="str">
        <f>VLOOKUP(F314,'Customers (2)'!A:I,2,0)</f>
        <v>Natka Leethem</v>
      </c>
      <c r="H314" t="str">
        <f>VLOOKUP(F314,'Customers (2)'!A:I,3,0)</f>
        <v>nleethem8o@mac.com</v>
      </c>
      <c r="I314" t="str">
        <f>VLOOKUP(F314,'Customers (2)'!A:I,4,0)</f>
        <v>+1 (318) 839-1492</v>
      </c>
      <c r="J314" t="str">
        <f>VLOOKUP(F314,'Customers (2)'!A:I,6,0)</f>
        <v>Alexandria</v>
      </c>
      <c r="K314" t="str">
        <f>VLOOKUP(F314,'Customers (2)'!A:I,7,0)</f>
        <v>United States</v>
      </c>
      <c r="L314" t="str">
        <f>VLOOKUP(F314,'Customers (2)'!A:I,9,0)</f>
        <v>Yes</v>
      </c>
      <c r="M314" t="str">
        <f>VLOOKUP(N314,'Products (2)'!A:G,2,0)</f>
        <v>Robusta</v>
      </c>
      <c r="N314" t="s">
        <v>22</v>
      </c>
      <c r="O314" t="str">
        <f>VLOOKUP(N314,'Products (2)'!A:G,3,0)</f>
        <v>Medium</v>
      </c>
      <c r="P314">
        <f>VLOOKUP(N314,'Products (2)'!A:G,7,0)</f>
        <v>0.35819999999999996</v>
      </c>
      <c r="Q314">
        <v>1</v>
      </c>
      <c r="R314">
        <f>INDEX([1]products!$A$1:$G$49,MATCH([1]orders!$D314,[1]products!$A$1:$A$49,0),MATCH([1]orders!K$1,[1]products!$A$1:$G$1,0))</f>
        <v>0.5</v>
      </c>
      <c r="S314">
        <f>INDEX([1]products!$A$1:$G$49,MATCH([1]orders!$D314,[1]products!$A$1:$A$49,0),MATCH([1]orders!L$1,[1]products!$A$1:$G$1,0))</f>
        <v>5.97</v>
      </c>
      <c r="T314">
        <f t="shared" si="25"/>
        <v>5.97</v>
      </c>
      <c r="U314">
        <f t="shared" si="28"/>
        <v>0.35819999999999996</v>
      </c>
      <c r="V314">
        <f t="shared" si="29"/>
        <v>6</v>
      </c>
    </row>
    <row r="315" spans="1:22" x14ac:dyDescent="0.25">
      <c r="A315" t="s">
        <v>639</v>
      </c>
      <c r="B315">
        <v>44497</v>
      </c>
      <c r="C315" t="str">
        <f t="shared" si="26"/>
        <v>28</v>
      </c>
      <c r="D315" t="str">
        <f t="shared" si="24"/>
        <v>October</v>
      </c>
      <c r="E315" t="str">
        <f t="shared" si="27"/>
        <v>2021</v>
      </c>
      <c r="F315" t="s">
        <v>640</v>
      </c>
      <c r="G315" t="str">
        <f>VLOOKUP(F315,'Customers (2)'!A:I,2,0)</f>
        <v>Ailene Nesfield</v>
      </c>
      <c r="H315" t="str">
        <f>VLOOKUP(F315,'Customers (2)'!A:I,3,0)</f>
        <v>anesfield8p@people.com.cn</v>
      </c>
      <c r="I315" t="str">
        <f>VLOOKUP(F315,'Customers (2)'!A:I,4,0)</f>
        <v>+44 (418) 372-8139</v>
      </c>
      <c r="J315" t="str">
        <f>VLOOKUP(F315,'Customers (2)'!A:I,6,0)</f>
        <v>Belfast</v>
      </c>
      <c r="K315" t="str">
        <f>VLOOKUP(F315,'Customers (2)'!A:I,7,0)</f>
        <v>United Kingdom</v>
      </c>
      <c r="L315" t="str">
        <f>VLOOKUP(F315,'Customers (2)'!A:I,9,0)</f>
        <v>Yes</v>
      </c>
      <c r="M315" t="str">
        <f>VLOOKUP(N315,'Products (2)'!A:G,2,0)</f>
        <v>Robusta</v>
      </c>
      <c r="N315" t="s">
        <v>2</v>
      </c>
      <c r="O315" t="str">
        <f>VLOOKUP(N315,'Products (2)'!A:G,3,0)</f>
        <v>Medium</v>
      </c>
      <c r="P315">
        <f>VLOOKUP(N315,'Products (2)'!A:G,7,0)</f>
        <v>0.59699999999999998</v>
      </c>
      <c r="Q315">
        <v>3</v>
      </c>
      <c r="R315">
        <f>INDEX([1]products!$A$1:$G$49,MATCH([1]orders!$D315,[1]products!$A$1:$A$49,0),MATCH([1]orders!K$1,[1]products!$A$1:$G$1,0))</f>
        <v>1</v>
      </c>
      <c r="S315">
        <f>INDEX([1]products!$A$1:$G$49,MATCH([1]orders!$D315,[1]products!$A$1:$A$49,0),MATCH([1]orders!L$1,[1]products!$A$1:$G$1,0))</f>
        <v>9.9499999999999993</v>
      </c>
      <c r="T315">
        <f t="shared" si="25"/>
        <v>29.849999999999998</v>
      </c>
      <c r="U315">
        <f t="shared" si="28"/>
        <v>1.7909999999999999</v>
      </c>
      <c r="V315">
        <f t="shared" si="29"/>
        <v>6.0000000000000009</v>
      </c>
    </row>
    <row r="316" spans="1:22" x14ac:dyDescent="0.25">
      <c r="A316" t="s">
        <v>641</v>
      </c>
      <c r="B316">
        <v>44437</v>
      </c>
      <c r="C316" t="str">
        <f t="shared" si="26"/>
        <v>29</v>
      </c>
      <c r="D316" t="str">
        <f t="shared" si="24"/>
        <v>August</v>
      </c>
      <c r="E316" t="str">
        <f t="shared" si="27"/>
        <v>2021</v>
      </c>
      <c r="F316" t="s">
        <v>642</v>
      </c>
      <c r="G316" t="str">
        <f>VLOOKUP(F316,'Customers (2)'!A:I,2,0)</f>
        <v>Stacy Pickworth</v>
      </c>
      <c r="H316">
        <f>VLOOKUP(F316,'Customers (2)'!A:I,3,0)</f>
        <v>0</v>
      </c>
      <c r="I316" t="str">
        <f>VLOOKUP(F316,'Customers (2)'!A:I,4,0)</f>
        <v>+1 (702) 723-3139</v>
      </c>
      <c r="J316" t="str">
        <f>VLOOKUP(F316,'Customers (2)'!A:I,6,0)</f>
        <v>Las Vegas</v>
      </c>
      <c r="K316" t="str">
        <f>VLOOKUP(F316,'Customers (2)'!A:I,7,0)</f>
        <v>United States</v>
      </c>
      <c r="L316" t="str">
        <f>VLOOKUP(F316,'Customers (2)'!A:I,9,0)</f>
        <v>No</v>
      </c>
      <c r="M316" t="str">
        <f>VLOOKUP(N316,'Products (2)'!A:G,2,0)</f>
        <v>Robusta</v>
      </c>
      <c r="N316" t="s">
        <v>179</v>
      </c>
      <c r="O316" t="str">
        <f>VLOOKUP(N316,'Products (2)'!A:G,3,0)</f>
        <v>Dark</v>
      </c>
      <c r="P316">
        <f>VLOOKUP(N316,'Products (2)'!A:G,7,0)</f>
        <v>0.53699999999999992</v>
      </c>
      <c r="Q316">
        <v>5</v>
      </c>
      <c r="R316">
        <f>INDEX([1]products!$A$1:$G$49,MATCH([1]orders!$D316,[1]products!$A$1:$A$49,0),MATCH([1]orders!K$1,[1]products!$A$1:$G$1,0))</f>
        <v>1</v>
      </c>
      <c r="S316">
        <f>INDEX([1]products!$A$1:$G$49,MATCH([1]orders!$D316,[1]products!$A$1:$A$49,0),MATCH([1]orders!L$1,[1]products!$A$1:$G$1,0))</f>
        <v>8.9499999999999993</v>
      </c>
      <c r="T316">
        <f t="shared" si="25"/>
        <v>44.75</v>
      </c>
      <c r="U316">
        <f t="shared" si="28"/>
        <v>2.6849999999999996</v>
      </c>
      <c r="V316">
        <f t="shared" si="29"/>
        <v>5.9999999999999991</v>
      </c>
    </row>
    <row r="317" spans="1:22" x14ac:dyDescent="0.25">
      <c r="A317" t="s">
        <v>643</v>
      </c>
      <c r="B317">
        <v>43826</v>
      </c>
      <c r="C317" t="str">
        <f t="shared" si="26"/>
        <v>27</v>
      </c>
      <c r="D317" t="str">
        <f t="shared" si="24"/>
        <v>December</v>
      </c>
      <c r="E317" t="str">
        <f t="shared" si="27"/>
        <v>2019</v>
      </c>
      <c r="F317" t="s">
        <v>644</v>
      </c>
      <c r="G317" t="str">
        <f>VLOOKUP(F317,'Customers (2)'!A:I,2,0)</f>
        <v>Melli Brockway</v>
      </c>
      <c r="H317" t="str">
        <f>VLOOKUP(F317,'Customers (2)'!A:I,3,0)</f>
        <v>mbrockway8r@ibm.com</v>
      </c>
      <c r="I317" t="str">
        <f>VLOOKUP(F317,'Customers (2)'!A:I,4,0)</f>
        <v>+1 (515) 216-0617</v>
      </c>
      <c r="J317" t="str">
        <f>VLOOKUP(F317,'Customers (2)'!A:I,6,0)</f>
        <v>Des Moines</v>
      </c>
      <c r="K317" t="str">
        <f>VLOOKUP(F317,'Customers (2)'!A:I,7,0)</f>
        <v>United States</v>
      </c>
      <c r="L317" t="str">
        <f>VLOOKUP(F317,'Customers (2)'!A:I,9,0)</f>
        <v>Yes</v>
      </c>
      <c r="M317" t="str">
        <f>VLOOKUP(N317,'Products (2)'!A:G,2,0)</f>
        <v>Excelsa</v>
      </c>
      <c r="N317" t="s">
        <v>30</v>
      </c>
      <c r="O317" t="str">
        <f>VLOOKUP(N317,'Products (2)'!A:G,3,0)</f>
        <v>Light</v>
      </c>
      <c r="P317">
        <f>VLOOKUP(N317,'Products (2)'!A:G,7,0)</f>
        <v>3.7570499999999996</v>
      </c>
      <c r="Q317">
        <v>1</v>
      </c>
      <c r="R317">
        <f>INDEX([1]products!$A$1:$G$49,MATCH([1]orders!$D317,[1]products!$A$1:$A$49,0),MATCH([1]orders!K$1,[1]products!$A$1:$G$1,0))</f>
        <v>2.5</v>
      </c>
      <c r="S317">
        <f>INDEX([1]products!$A$1:$G$49,MATCH([1]orders!$D317,[1]products!$A$1:$A$49,0),MATCH([1]orders!L$1,[1]products!$A$1:$G$1,0))</f>
        <v>34.154999999999994</v>
      </c>
      <c r="T317">
        <f t="shared" si="25"/>
        <v>34.154999999999994</v>
      </c>
      <c r="U317">
        <f t="shared" si="28"/>
        <v>3.7570499999999996</v>
      </c>
      <c r="V317">
        <f t="shared" si="29"/>
        <v>11</v>
      </c>
    </row>
    <row r="318" spans="1:22" x14ac:dyDescent="0.25">
      <c r="A318" t="s">
        <v>645</v>
      </c>
      <c r="B318">
        <v>43641</v>
      </c>
      <c r="C318" t="str">
        <f t="shared" si="26"/>
        <v>25</v>
      </c>
      <c r="D318" t="str">
        <f t="shared" si="24"/>
        <v>June</v>
      </c>
      <c r="E318" t="str">
        <f t="shared" si="27"/>
        <v>2019</v>
      </c>
      <c r="F318" t="s">
        <v>646</v>
      </c>
      <c r="G318" t="str">
        <f>VLOOKUP(F318,'Customers (2)'!A:I,2,0)</f>
        <v>Nanny Lush</v>
      </c>
      <c r="H318" t="str">
        <f>VLOOKUP(F318,'Customers (2)'!A:I,3,0)</f>
        <v>nlush8s@dedecms.com</v>
      </c>
      <c r="I318" t="str">
        <f>VLOOKUP(F318,'Customers (2)'!A:I,4,0)</f>
        <v>+353 (360) 805-4030</v>
      </c>
      <c r="J318" t="str">
        <f>VLOOKUP(F318,'Customers (2)'!A:I,6,0)</f>
        <v>Ballivor</v>
      </c>
      <c r="K318" t="str">
        <f>VLOOKUP(F318,'Customers (2)'!A:I,7,0)</f>
        <v>Ireland</v>
      </c>
      <c r="L318" t="str">
        <f>VLOOKUP(F318,'Customers (2)'!A:I,9,0)</f>
        <v>No</v>
      </c>
      <c r="M318" t="str">
        <f>VLOOKUP(N318,'Products (2)'!A:G,2,0)</f>
        <v>Excelsa</v>
      </c>
      <c r="N318" t="s">
        <v>30</v>
      </c>
      <c r="O318" t="str">
        <f>VLOOKUP(N318,'Products (2)'!A:G,3,0)</f>
        <v>Light</v>
      </c>
      <c r="P318">
        <f>VLOOKUP(N318,'Products (2)'!A:G,7,0)</f>
        <v>3.7570499999999996</v>
      </c>
      <c r="Q318">
        <v>6</v>
      </c>
      <c r="R318">
        <f>INDEX([1]products!$A$1:$G$49,MATCH([1]orders!$D318,[1]products!$A$1:$A$49,0),MATCH([1]orders!K$1,[1]products!$A$1:$G$1,0))</f>
        <v>2.5</v>
      </c>
      <c r="S318">
        <f>INDEX([1]products!$A$1:$G$49,MATCH([1]orders!$D318,[1]products!$A$1:$A$49,0),MATCH([1]orders!L$1,[1]products!$A$1:$G$1,0))</f>
        <v>34.154999999999994</v>
      </c>
      <c r="T318">
        <f t="shared" si="25"/>
        <v>204.92999999999995</v>
      </c>
      <c r="U318">
        <f t="shared" si="28"/>
        <v>22.542299999999997</v>
      </c>
      <c r="V318">
        <f t="shared" si="29"/>
        <v>11.000000000000002</v>
      </c>
    </row>
    <row r="319" spans="1:22" x14ac:dyDescent="0.25">
      <c r="A319" t="s">
        <v>647</v>
      </c>
      <c r="B319">
        <v>43526</v>
      </c>
      <c r="C319" t="str">
        <f t="shared" si="26"/>
        <v>02</v>
      </c>
      <c r="D319" t="str">
        <f t="shared" si="24"/>
        <v>March</v>
      </c>
      <c r="E319" t="str">
        <f t="shared" si="27"/>
        <v>2019</v>
      </c>
      <c r="F319" t="s">
        <v>648</v>
      </c>
      <c r="G319" t="str">
        <f>VLOOKUP(F319,'Customers (2)'!A:I,2,0)</f>
        <v>Selma McMillian</v>
      </c>
      <c r="H319" t="str">
        <f>VLOOKUP(F319,'Customers (2)'!A:I,3,0)</f>
        <v>smcmillian8t@csmonitor.com</v>
      </c>
      <c r="I319" t="str">
        <f>VLOOKUP(F319,'Customers (2)'!A:I,4,0)</f>
        <v>+1 (330) 407-0631</v>
      </c>
      <c r="J319" t="str">
        <f>VLOOKUP(F319,'Customers (2)'!A:I,6,0)</f>
        <v>Akron</v>
      </c>
      <c r="K319" t="str">
        <f>VLOOKUP(F319,'Customers (2)'!A:I,7,0)</f>
        <v>United States</v>
      </c>
      <c r="L319" t="str">
        <f>VLOOKUP(F319,'Customers (2)'!A:I,9,0)</f>
        <v>No</v>
      </c>
      <c r="M319" t="str">
        <f>VLOOKUP(N319,'Products (2)'!A:G,2,0)</f>
        <v>Excelsa</v>
      </c>
      <c r="N319" t="s">
        <v>16</v>
      </c>
      <c r="O319" t="str">
        <f>VLOOKUP(N319,'Products (2)'!A:G,3,0)</f>
        <v>Dark</v>
      </c>
      <c r="P319">
        <f>VLOOKUP(N319,'Products (2)'!A:G,7,0)</f>
        <v>0.80190000000000006</v>
      </c>
      <c r="Q319">
        <v>3</v>
      </c>
      <c r="R319">
        <f>INDEX([1]products!$A$1:$G$49,MATCH([1]orders!$D319,[1]products!$A$1:$A$49,0),MATCH([1]orders!K$1,[1]products!$A$1:$G$1,0))</f>
        <v>0.5</v>
      </c>
      <c r="S319">
        <f>INDEX([1]products!$A$1:$G$49,MATCH([1]orders!$D319,[1]products!$A$1:$A$49,0),MATCH([1]orders!L$1,[1]products!$A$1:$G$1,0))</f>
        <v>7.29</v>
      </c>
      <c r="T319">
        <f t="shared" si="25"/>
        <v>21.87</v>
      </c>
      <c r="U319">
        <f t="shared" si="28"/>
        <v>2.4057000000000004</v>
      </c>
      <c r="V319">
        <f t="shared" si="29"/>
        <v>11.000000000000002</v>
      </c>
    </row>
    <row r="320" spans="1:22" x14ac:dyDescent="0.25">
      <c r="A320" t="s">
        <v>649</v>
      </c>
      <c r="B320">
        <v>44563</v>
      </c>
      <c r="C320" t="str">
        <f t="shared" si="26"/>
        <v>02</v>
      </c>
      <c r="D320" t="str">
        <f t="shared" si="24"/>
        <v>January</v>
      </c>
      <c r="E320" t="str">
        <f t="shared" si="27"/>
        <v>2022</v>
      </c>
      <c r="F320" t="s">
        <v>650</v>
      </c>
      <c r="G320" t="str">
        <f>VLOOKUP(F320,'Customers (2)'!A:I,2,0)</f>
        <v>Tess Bennison</v>
      </c>
      <c r="H320" t="str">
        <f>VLOOKUP(F320,'Customers (2)'!A:I,3,0)</f>
        <v>tbennison8u@google.cn</v>
      </c>
      <c r="I320" t="str">
        <f>VLOOKUP(F320,'Customers (2)'!A:I,4,0)</f>
        <v>+1 (561) 413-7904</v>
      </c>
      <c r="J320" t="str">
        <f>VLOOKUP(F320,'Customers (2)'!A:I,6,0)</f>
        <v>West Palm Beach</v>
      </c>
      <c r="K320" t="str">
        <f>VLOOKUP(F320,'Customers (2)'!A:I,7,0)</f>
        <v>United States</v>
      </c>
      <c r="L320" t="str">
        <f>VLOOKUP(F320,'Customers (2)'!A:I,9,0)</f>
        <v>Yes</v>
      </c>
      <c r="M320" t="str">
        <f>VLOOKUP(N320,'Products (2)'!A:G,2,0)</f>
        <v>Arabica</v>
      </c>
      <c r="N320" t="s">
        <v>171</v>
      </c>
      <c r="O320" t="str">
        <f>VLOOKUP(N320,'Products (2)'!A:G,3,0)</f>
        <v>Medium</v>
      </c>
      <c r="P320">
        <f>VLOOKUP(N320,'Products (2)'!A:G,7,0)</f>
        <v>2.3287499999999994</v>
      </c>
      <c r="Q320">
        <v>2</v>
      </c>
      <c r="R320">
        <f>INDEX([1]products!$A$1:$G$49,MATCH([1]orders!$D320,[1]products!$A$1:$A$49,0),MATCH([1]orders!K$1,[1]products!$A$1:$G$1,0))</f>
        <v>2.5</v>
      </c>
      <c r="S320">
        <f>INDEX([1]products!$A$1:$G$49,MATCH([1]orders!$D320,[1]products!$A$1:$A$49,0),MATCH([1]orders!L$1,[1]products!$A$1:$G$1,0))</f>
        <v>25.874999999999996</v>
      </c>
      <c r="T320">
        <f t="shared" si="25"/>
        <v>51.749999999999993</v>
      </c>
      <c r="U320">
        <f t="shared" si="28"/>
        <v>4.6574999999999989</v>
      </c>
      <c r="V320">
        <f t="shared" si="29"/>
        <v>9</v>
      </c>
    </row>
    <row r="321" spans="1:22" x14ac:dyDescent="0.25">
      <c r="A321" t="s">
        <v>651</v>
      </c>
      <c r="B321">
        <v>43676</v>
      </c>
      <c r="C321" t="str">
        <f t="shared" si="26"/>
        <v>30</v>
      </c>
      <c r="D321" t="str">
        <f t="shared" si="24"/>
        <v>July</v>
      </c>
      <c r="E321" t="str">
        <f t="shared" si="27"/>
        <v>2019</v>
      </c>
      <c r="F321" t="s">
        <v>652</v>
      </c>
      <c r="G321" t="str">
        <f>VLOOKUP(F321,'Customers (2)'!A:I,2,0)</f>
        <v>Gabie Tweed</v>
      </c>
      <c r="H321" t="str">
        <f>VLOOKUP(F321,'Customers (2)'!A:I,3,0)</f>
        <v>gtweed8v@yolasite.com</v>
      </c>
      <c r="I321">
        <f>VLOOKUP(F321,'Customers (2)'!A:I,4,0)</f>
        <v>0</v>
      </c>
      <c r="J321" t="str">
        <f>VLOOKUP(F321,'Customers (2)'!A:I,6,0)</f>
        <v>Fresno</v>
      </c>
      <c r="K321" t="str">
        <f>VLOOKUP(F321,'Customers (2)'!A:I,7,0)</f>
        <v>United States</v>
      </c>
      <c r="L321" t="str">
        <f>VLOOKUP(F321,'Customers (2)'!A:I,9,0)</f>
        <v>Yes</v>
      </c>
      <c r="M321" t="str">
        <f>VLOOKUP(N321,'Products (2)'!A:G,2,0)</f>
        <v>Excelsa</v>
      </c>
      <c r="N321" t="s">
        <v>64</v>
      </c>
      <c r="O321" t="str">
        <f>VLOOKUP(N321,'Products (2)'!A:G,3,0)</f>
        <v>Medium</v>
      </c>
      <c r="P321">
        <f>VLOOKUP(N321,'Products (2)'!A:G,7,0)</f>
        <v>0.45374999999999999</v>
      </c>
      <c r="Q321">
        <v>2</v>
      </c>
      <c r="R321">
        <f>INDEX([1]products!$A$1:$G$49,MATCH([1]orders!$D321,[1]products!$A$1:$A$49,0),MATCH([1]orders!K$1,[1]products!$A$1:$G$1,0))</f>
        <v>0.2</v>
      </c>
      <c r="S321">
        <f>INDEX([1]products!$A$1:$G$49,MATCH([1]orders!$D321,[1]products!$A$1:$A$49,0),MATCH([1]orders!L$1,[1]products!$A$1:$G$1,0))</f>
        <v>4.125</v>
      </c>
      <c r="T321">
        <f t="shared" si="25"/>
        <v>8.25</v>
      </c>
      <c r="U321">
        <f t="shared" si="28"/>
        <v>0.90749999999999997</v>
      </c>
      <c r="V321">
        <f t="shared" si="29"/>
        <v>11</v>
      </c>
    </row>
    <row r="322" spans="1:22" x14ac:dyDescent="0.25">
      <c r="A322" t="s">
        <v>651</v>
      </c>
      <c r="B322">
        <v>43676</v>
      </c>
      <c r="C322" t="str">
        <f t="shared" si="26"/>
        <v>30</v>
      </c>
      <c r="D322" t="str">
        <f t="shared" ref="D322:D385" si="30">TEXT(B:B,"MMMM")</f>
        <v>July</v>
      </c>
      <c r="E322" t="str">
        <f t="shared" si="27"/>
        <v>2019</v>
      </c>
      <c r="F322" t="s">
        <v>652</v>
      </c>
      <c r="G322" t="str">
        <f>VLOOKUP(F322,'Customers (2)'!A:I,2,0)</f>
        <v>Gabie Tweed</v>
      </c>
      <c r="H322" t="str">
        <f>VLOOKUP(F322,'Customers (2)'!A:I,3,0)</f>
        <v>gtweed8v@yolasite.com</v>
      </c>
      <c r="I322">
        <f>VLOOKUP(F322,'Customers (2)'!A:I,4,0)</f>
        <v>0</v>
      </c>
      <c r="J322" t="str">
        <f>VLOOKUP(F322,'Customers (2)'!A:I,6,0)</f>
        <v>Fresno</v>
      </c>
      <c r="K322" t="str">
        <f>VLOOKUP(F322,'Customers (2)'!A:I,7,0)</f>
        <v>United States</v>
      </c>
      <c r="L322" t="str">
        <f>VLOOKUP(F322,'Customers (2)'!A:I,9,0)</f>
        <v>Yes</v>
      </c>
      <c r="M322" t="str">
        <f>VLOOKUP(N322,'Products (2)'!A:G,2,0)</f>
        <v>Arabica</v>
      </c>
      <c r="N322" t="s">
        <v>115</v>
      </c>
      <c r="O322" t="str">
        <f>VLOOKUP(N322,'Products (2)'!A:G,3,0)</f>
        <v>Light</v>
      </c>
      <c r="P322">
        <f>VLOOKUP(N322,'Products (2)'!A:G,7,0)</f>
        <v>0.34964999999999996</v>
      </c>
      <c r="Q322">
        <v>5</v>
      </c>
      <c r="R322">
        <f>INDEX([1]products!$A$1:$G$49,MATCH([1]orders!$D322,[1]products!$A$1:$A$49,0),MATCH([1]orders!K$1,[1]products!$A$1:$G$1,0))</f>
        <v>0.2</v>
      </c>
      <c r="S322">
        <f>INDEX([1]products!$A$1:$G$49,MATCH([1]orders!$D322,[1]products!$A$1:$A$49,0),MATCH([1]orders!L$1,[1]products!$A$1:$G$1,0))</f>
        <v>3.8849999999999998</v>
      </c>
      <c r="T322">
        <f t="shared" ref="T322:T385" si="31">Q322*S322</f>
        <v>19.424999999999997</v>
      </c>
      <c r="U322">
        <f t="shared" si="28"/>
        <v>1.7482499999999999</v>
      </c>
      <c r="V322">
        <f t="shared" si="29"/>
        <v>9.0000000000000018</v>
      </c>
    </row>
    <row r="323" spans="1:22" x14ac:dyDescent="0.25">
      <c r="A323" t="s">
        <v>653</v>
      </c>
      <c r="B323">
        <v>44170</v>
      </c>
      <c r="C323" t="str">
        <f t="shared" ref="C323:C386" si="32">TEXT(B:B,"DD")</f>
        <v>05</v>
      </c>
      <c r="D323" t="str">
        <f t="shared" si="30"/>
        <v>December</v>
      </c>
      <c r="E323" t="str">
        <f t="shared" ref="E323:E386" si="33">TEXT(B:B,"yyyy")</f>
        <v>2020</v>
      </c>
      <c r="F323" t="s">
        <v>654</v>
      </c>
      <c r="G323" t="str">
        <f>VLOOKUP(F323,'Customers (2)'!A:I,2,0)</f>
        <v>Gaile Goggin</v>
      </c>
      <c r="H323" t="str">
        <f>VLOOKUP(F323,'Customers (2)'!A:I,3,0)</f>
        <v>ggoggin8x@wix.com</v>
      </c>
      <c r="I323" t="str">
        <f>VLOOKUP(F323,'Customers (2)'!A:I,4,0)</f>
        <v>+353 (484) 159-9549</v>
      </c>
      <c r="J323" t="str">
        <f>VLOOKUP(F323,'Customers (2)'!A:I,6,0)</f>
        <v>Sandyford</v>
      </c>
      <c r="K323" t="str">
        <f>VLOOKUP(F323,'Customers (2)'!A:I,7,0)</f>
        <v>Ireland</v>
      </c>
      <c r="L323" t="str">
        <f>VLOOKUP(F323,'Customers (2)'!A:I,9,0)</f>
        <v>Yes</v>
      </c>
      <c r="M323" t="str">
        <f>VLOOKUP(N323,'Products (2)'!A:G,2,0)</f>
        <v>Arabica</v>
      </c>
      <c r="N323" t="s">
        <v>44</v>
      </c>
      <c r="O323" t="str">
        <f>VLOOKUP(N323,'Products (2)'!A:G,3,0)</f>
        <v>Medium</v>
      </c>
      <c r="P323">
        <f>VLOOKUP(N323,'Products (2)'!A:G,7,0)</f>
        <v>0.30374999999999996</v>
      </c>
      <c r="Q323">
        <v>6</v>
      </c>
      <c r="R323">
        <f>INDEX([1]products!$A$1:$G$49,MATCH([1]orders!$D323,[1]products!$A$1:$A$49,0),MATCH([1]orders!K$1,[1]products!$A$1:$G$1,0))</f>
        <v>0.2</v>
      </c>
      <c r="S323">
        <f>INDEX([1]products!$A$1:$G$49,MATCH([1]orders!$D323,[1]products!$A$1:$A$49,0),MATCH([1]orders!L$1,[1]products!$A$1:$G$1,0))</f>
        <v>3.375</v>
      </c>
      <c r="T323">
        <f t="shared" si="31"/>
        <v>20.25</v>
      </c>
      <c r="U323">
        <f t="shared" ref="U323:U386" si="34">Q323*P323</f>
        <v>1.8224999999999998</v>
      </c>
      <c r="V323">
        <f t="shared" ref="V323:V386" si="35">U323/T323*100</f>
        <v>8.9999999999999982</v>
      </c>
    </row>
    <row r="324" spans="1:22" x14ac:dyDescent="0.25">
      <c r="A324" t="s">
        <v>655</v>
      </c>
      <c r="B324">
        <v>44182</v>
      </c>
      <c r="C324" t="str">
        <f t="shared" si="32"/>
        <v>17</v>
      </c>
      <c r="D324" t="str">
        <f t="shared" si="30"/>
        <v>December</v>
      </c>
      <c r="E324" t="str">
        <f t="shared" si="33"/>
        <v>2020</v>
      </c>
      <c r="F324" t="s">
        <v>656</v>
      </c>
      <c r="G324" t="str">
        <f>VLOOKUP(F324,'Customers (2)'!A:I,2,0)</f>
        <v>Skylar Jeyness</v>
      </c>
      <c r="H324" t="str">
        <f>VLOOKUP(F324,'Customers (2)'!A:I,3,0)</f>
        <v>sjeyness8y@biglobe.ne.jp</v>
      </c>
      <c r="I324" t="str">
        <f>VLOOKUP(F324,'Customers (2)'!A:I,4,0)</f>
        <v>+353 (460) 272-4069</v>
      </c>
      <c r="J324" t="str">
        <f>VLOOKUP(F324,'Customers (2)'!A:I,6,0)</f>
        <v>Dublin</v>
      </c>
      <c r="K324" t="str">
        <f>VLOOKUP(F324,'Customers (2)'!A:I,7,0)</f>
        <v>Ireland</v>
      </c>
      <c r="L324" t="str">
        <f>VLOOKUP(F324,'Customers (2)'!A:I,9,0)</f>
        <v>No</v>
      </c>
      <c r="M324" t="str">
        <f>VLOOKUP(N324,'Products (2)'!A:G,2,0)</f>
        <v>Liberica</v>
      </c>
      <c r="N324" t="s">
        <v>123</v>
      </c>
      <c r="O324" t="str">
        <f>VLOOKUP(N324,'Products (2)'!A:G,3,0)</f>
        <v>Dark</v>
      </c>
      <c r="P324">
        <f>VLOOKUP(N324,'Products (2)'!A:G,7,0)</f>
        <v>1.0101</v>
      </c>
      <c r="Q324">
        <v>3</v>
      </c>
      <c r="R324">
        <f>INDEX([1]products!$A$1:$G$49,MATCH([1]orders!$D324,[1]products!$A$1:$A$49,0),MATCH([1]orders!K$1,[1]products!$A$1:$G$1,0))</f>
        <v>0.5</v>
      </c>
      <c r="S324">
        <f>INDEX([1]products!$A$1:$G$49,MATCH([1]orders!$D324,[1]products!$A$1:$A$49,0),MATCH([1]orders!L$1,[1]products!$A$1:$G$1,0))</f>
        <v>7.77</v>
      </c>
      <c r="T324">
        <f t="shared" si="31"/>
        <v>23.31</v>
      </c>
      <c r="U324">
        <f t="shared" si="34"/>
        <v>3.0303</v>
      </c>
      <c r="V324">
        <f t="shared" si="35"/>
        <v>13</v>
      </c>
    </row>
    <row r="325" spans="1:22" x14ac:dyDescent="0.25">
      <c r="A325" t="s">
        <v>657</v>
      </c>
      <c r="B325">
        <v>44373</v>
      </c>
      <c r="C325" t="str">
        <f t="shared" si="32"/>
        <v>26</v>
      </c>
      <c r="D325" t="str">
        <f t="shared" si="30"/>
        <v>June</v>
      </c>
      <c r="E325" t="str">
        <f t="shared" si="33"/>
        <v>2021</v>
      </c>
      <c r="F325" t="s">
        <v>658</v>
      </c>
      <c r="G325" t="str">
        <f>VLOOKUP(F325,'Customers (2)'!A:I,2,0)</f>
        <v>Donica Bonhome</v>
      </c>
      <c r="H325" t="str">
        <f>VLOOKUP(F325,'Customers (2)'!A:I,3,0)</f>
        <v>dbonhome8z@shinystat.com</v>
      </c>
      <c r="I325" t="str">
        <f>VLOOKUP(F325,'Customers (2)'!A:I,4,0)</f>
        <v>+1 (865) 238-4985</v>
      </c>
      <c r="J325" t="str">
        <f>VLOOKUP(F325,'Customers (2)'!A:I,6,0)</f>
        <v>Knoxville</v>
      </c>
      <c r="K325" t="str">
        <f>VLOOKUP(F325,'Customers (2)'!A:I,7,0)</f>
        <v>United States</v>
      </c>
      <c r="L325" t="str">
        <f>VLOOKUP(F325,'Customers (2)'!A:I,9,0)</f>
        <v>Yes</v>
      </c>
      <c r="M325" t="str">
        <f>VLOOKUP(N325,'Products (2)'!A:G,2,0)</f>
        <v>Excelsa</v>
      </c>
      <c r="N325" t="s">
        <v>51</v>
      </c>
      <c r="O325" t="str">
        <f>VLOOKUP(N325,'Products (2)'!A:G,3,0)</f>
        <v>Dark</v>
      </c>
      <c r="P325">
        <f>VLOOKUP(N325,'Products (2)'!A:G,7,0)</f>
        <v>0.40095000000000003</v>
      </c>
      <c r="Q325">
        <v>5</v>
      </c>
      <c r="R325">
        <f>INDEX([1]products!$A$1:$G$49,MATCH([1]orders!$D325,[1]products!$A$1:$A$49,0),MATCH([1]orders!K$1,[1]products!$A$1:$G$1,0))</f>
        <v>0.2</v>
      </c>
      <c r="S325">
        <f>INDEX([1]products!$A$1:$G$49,MATCH([1]orders!$D325,[1]products!$A$1:$A$49,0),MATCH([1]orders!L$1,[1]products!$A$1:$G$1,0))</f>
        <v>3.645</v>
      </c>
      <c r="T325">
        <f t="shared" si="31"/>
        <v>18.225000000000001</v>
      </c>
      <c r="U325">
        <f t="shared" si="34"/>
        <v>2.00475</v>
      </c>
      <c r="V325">
        <f t="shared" si="35"/>
        <v>10.999999999999998</v>
      </c>
    </row>
    <row r="326" spans="1:22" x14ac:dyDescent="0.25">
      <c r="A326" t="s">
        <v>659</v>
      </c>
      <c r="B326">
        <v>43666</v>
      </c>
      <c r="C326" t="str">
        <f t="shared" si="32"/>
        <v>20</v>
      </c>
      <c r="D326" t="str">
        <f t="shared" si="30"/>
        <v>July</v>
      </c>
      <c r="E326" t="str">
        <f t="shared" si="33"/>
        <v>2019</v>
      </c>
      <c r="F326" t="s">
        <v>660</v>
      </c>
      <c r="G326" t="str">
        <f>VLOOKUP(F326,'Customers (2)'!A:I,2,0)</f>
        <v>Diena Peetermann</v>
      </c>
      <c r="H326">
        <f>VLOOKUP(F326,'Customers (2)'!A:I,3,0)</f>
        <v>0</v>
      </c>
      <c r="I326" t="str">
        <f>VLOOKUP(F326,'Customers (2)'!A:I,4,0)</f>
        <v>+1 (913) 671-7118</v>
      </c>
      <c r="J326" t="str">
        <f>VLOOKUP(F326,'Customers (2)'!A:I,6,0)</f>
        <v>Shawnee Mission</v>
      </c>
      <c r="K326" t="str">
        <f>VLOOKUP(F326,'Customers (2)'!A:I,7,0)</f>
        <v>United States</v>
      </c>
      <c r="L326" t="str">
        <f>VLOOKUP(F326,'Customers (2)'!A:I,9,0)</f>
        <v>No</v>
      </c>
      <c r="M326" t="str">
        <f>VLOOKUP(N326,'Products (2)'!A:G,2,0)</f>
        <v>Excelsa</v>
      </c>
      <c r="N326" t="s">
        <v>9</v>
      </c>
      <c r="O326" t="str">
        <f>VLOOKUP(N326,'Products (2)'!A:G,3,0)</f>
        <v>Medium</v>
      </c>
      <c r="P326">
        <f>VLOOKUP(N326,'Products (2)'!A:G,7,0)</f>
        <v>1.5125</v>
      </c>
      <c r="Q326">
        <v>1</v>
      </c>
      <c r="R326">
        <f>INDEX([1]products!$A$1:$G$49,MATCH([1]orders!$D326,[1]products!$A$1:$A$49,0),MATCH([1]orders!K$1,[1]products!$A$1:$G$1,0))</f>
        <v>1</v>
      </c>
      <c r="S326">
        <f>INDEX([1]products!$A$1:$G$49,MATCH([1]orders!$D326,[1]products!$A$1:$A$49,0),MATCH([1]orders!L$1,[1]products!$A$1:$G$1,0))</f>
        <v>13.75</v>
      </c>
      <c r="T326">
        <f t="shared" si="31"/>
        <v>13.75</v>
      </c>
      <c r="U326">
        <f t="shared" si="34"/>
        <v>1.5125</v>
      </c>
      <c r="V326">
        <f t="shared" si="35"/>
        <v>11</v>
      </c>
    </row>
    <row r="327" spans="1:22" x14ac:dyDescent="0.25">
      <c r="A327" t="s">
        <v>661</v>
      </c>
      <c r="B327">
        <v>44756</v>
      </c>
      <c r="C327" t="str">
        <f t="shared" si="32"/>
        <v>14</v>
      </c>
      <c r="D327" t="str">
        <f t="shared" si="30"/>
        <v>July</v>
      </c>
      <c r="E327" t="str">
        <f t="shared" si="33"/>
        <v>2022</v>
      </c>
      <c r="F327" t="s">
        <v>662</v>
      </c>
      <c r="G327" t="str">
        <f>VLOOKUP(F327,'Customers (2)'!A:I,2,0)</f>
        <v>Trina Le Sarr</v>
      </c>
      <c r="H327" t="str">
        <f>VLOOKUP(F327,'Customers (2)'!A:I,3,0)</f>
        <v>tle91@epa.gov</v>
      </c>
      <c r="I327" t="str">
        <f>VLOOKUP(F327,'Customers (2)'!A:I,4,0)</f>
        <v>+1 (415) 176-8216</v>
      </c>
      <c r="J327" t="str">
        <f>VLOOKUP(F327,'Customers (2)'!A:I,6,0)</f>
        <v>San Francisco</v>
      </c>
      <c r="K327" t="str">
        <f>VLOOKUP(F327,'Customers (2)'!A:I,7,0)</f>
        <v>United States</v>
      </c>
      <c r="L327" t="str">
        <f>VLOOKUP(F327,'Customers (2)'!A:I,9,0)</f>
        <v>Yes</v>
      </c>
      <c r="M327" t="str">
        <f>VLOOKUP(N327,'Products (2)'!A:G,2,0)</f>
        <v>Arabica</v>
      </c>
      <c r="N327" t="s">
        <v>204</v>
      </c>
      <c r="O327" t="str">
        <f>VLOOKUP(N327,'Products (2)'!A:G,3,0)</f>
        <v>Light</v>
      </c>
      <c r="P327">
        <f>VLOOKUP(N327,'Products (2)'!A:G,7,0)</f>
        <v>2.6806499999999995</v>
      </c>
      <c r="Q327">
        <v>1</v>
      </c>
      <c r="R327">
        <f>INDEX([1]products!$A$1:$G$49,MATCH([1]orders!$D327,[1]products!$A$1:$A$49,0),MATCH([1]orders!K$1,[1]products!$A$1:$G$1,0))</f>
        <v>2.5</v>
      </c>
      <c r="S327">
        <f>INDEX([1]products!$A$1:$G$49,MATCH([1]orders!$D327,[1]products!$A$1:$A$49,0),MATCH([1]orders!L$1,[1]products!$A$1:$G$1,0))</f>
        <v>29.784999999999997</v>
      </c>
      <c r="T327">
        <f t="shared" si="31"/>
        <v>29.784999999999997</v>
      </c>
      <c r="U327">
        <f t="shared" si="34"/>
        <v>2.6806499999999995</v>
      </c>
      <c r="V327">
        <f t="shared" si="35"/>
        <v>9</v>
      </c>
    </row>
    <row r="328" spans="1:22" x14ac:dyDescent="0.25">
      <c r="A328" t="s">
        <v>663</v>
      </c>
      <c r="B328">
        <v>44057</v>
      </c>
      <c r="C328" t="str">
        <f t="shared" si="32"/>
        <v>14</v>
      </c>
      <c r="D328" t="str">
        <f t="shared" si="30"/>
        <v>August</v>
      </c>
      <c r="E328" t="str">
        <f t="shared" si="33"/>
        <v>2020</v>
      </c>
      <c r="F328" t="s">
        <v>664</v>
      </c>
      <c r="G328" t="str">
        <f>VLOOKUP(F328,'Customers (2)'!A:I,2,0)</f>
        <v>Flynn Antony</v>
      </c>
      <c r="H328">
        <f>VLOOKUP(F328,'Customers (2)'!A:I,3,0)</f>
        <v>0</v>
      </c>
      <c r="I328" t="str">
        <f>VLOOKUP(F328,'Customers (2)'!A:I,4,0)</f>
        <v>+1 (205) 680-5859</v>
      </c>
      <c r="J328" t="str">
        <f>VLOOKUP(F328,'Customers (2)'!A:I,6,0)</f>
        <v>Birmingham</v>
      </c>
      <c r="K328" t="str">
        <f>VLOOKUP(F328,'Customers (2)'!A:I,7,0)</f>
        <v>United States</v>
      </c>
      <c r="L328" t="str">
        <f>VLOOKUP(F328,'Customers (2)'!A:I,9,0)</f>
        <v>No</v>
      </c>
      <c r="M328" t="str">
        <f>VLOOKUP(N328,'Products (2)'!A:G,2,0)</f>
        <v>Robusta</v>
      </c>
      <c r="N328" t="s">
        <v>179</v>
      </c>
      <c r="O328" t="str">
        <f>VLOOKUP(N328,'Products (2)'!A:G,3,0)</f>
        <v>Dark</v>
      </c>
      <c r="P328">
        <f>VLOOKUP(N328,'Products (2)'!A:G,7,0)</f>
        <v>0.53699999999999992</v>
      </c>
      <c r="Q328">
        <v>5</v>
      </c>
      <c r="R328">
        <f>INDEX([1]products!$A$1:$G$49,MATCH([1]orders!$D328,[1]products!$A$1:$A$49,0),MATCH([1]orders!K$1,[1]products!$A$1:$G$1,0))</f>
        <v>1</v>
      </c>
      <c r="S328">
        <f>INDEX([1]products!$A$1:$G$49,MATCH([1]orders!$D328,[1]products!$A$1:$A$49,0),MATCH([1]orders!L$1,[1]products!$A$1:$G$1,0))</f>
        <v>8.9499999999999993</v>
      </c>
      <c r="T328">
        <f t="shared" si="31"/>
        <v>44.75</v>
      </c>
      <c r="U328">
        <f t="shared" si="34"/>
        <v>2.6849999999999996</v>
      </c>
      <c r="V328">
        <f t="shared" si="35"/>
        <v>5.9999999999999991</v>
      </c>
    </row>
    <row r="329" spans="1:22" x14ac:dyDescent="0.25">
      <c r="A329" t="s">
        <v>665</v>
      </c>
      <c r="B329">
        <v>43579</v>
      </c>
      <c r="C329" t="str">
        <f t="shared" si="32"/>
        <v>24</v>
      </c>
      <c r="D329" t="str">
        <f t="shared" si="30"/>
        <v>April</v>
      </c>
      <c r="E329" t="str">
        <f t="shared" si="33"/>
        <v>2019</v>
      </c>
      <c r="F329" t="s">
        <v>666</v>
      </c>
      <c r="G329" t="str">
        <f>VLOOKUP(F329,'Customers (2)'!A:I,2,0)</f>
        <v>Baudoin Alldridge</v>
      </c>
      <c r="H329" t="str">
        <f>VLOOKUP(F329,'Customers (2)'!A:I,3,0)</f>
        <v>balldridge93@yandex.ru</v>
      </c>
      <c r="I329" t="str">
        <f>VLOOKUP(F329,'Customers (2)'!A:I,4,0)</f>
        <v>+1 (646) 561-0082</v>
      </c>
      <c r="J329" t="str">
        <f>VLOOKUP(F329,'Customers (2)'!A:I,6,0)</f>
        <v>Brooklyn</v>
      </c>
      <c r="K329" t="str">
        <f>VLOOKUP(F329,'Customers (2)'!A:I,7,0)</f>
        <v>United States</v>
      </c>
      <c r="L329" t="str">
        <f>VLOOKUP(F329,'Customers (2)'!A:I,9,0)</f>
        <v>Yes</v>
      </c>
      <c r="M329" t="str">
        <f>VLOOKUP(N329,'Products (2)'!A:G,2,0)</f>
        <v>Robusta</v>
      </c>
      <c r="N329" t="s">
        <v>179</v>
      </c>
      <c r="O329" t="str">
        <f>VLOOKUP(N329,'Products (2)'!A:G,3,0)</f>
        <v>Dark</v>
      </c>
      <c r="P329">
        <f>VLOOKUP(N329,'Products (2)'!A:G,7,0)</f>
        <v>0.53699999999999992</v>
      </c>
      <c r="Q329">
        <v>5</v>
      </c>
      <c r="R329">
        <f>INDEX([1]products!$A$1:$G$49,MATCH([1]orders!$D329,[1]products!$A$1:$A$49,0),MATCH([1]orders!K$1,[1]products!$A$1:$G$1,0))</f>
        <v>1</v>
      </c>
      <c r="S329">
        <f>INDEX([1]products!$A$1:$G$49,MATCH([1]orders!$D329,[1]products!$A$1:$A$49,0),MATCH([1]orders!L$1,[1]products!$A$1:$G$1,0))</f>
        <v>8.9499999999999993</v>
      </c>
      <c r="T329">
        <f t="shared" si="31"/>
        <v>44.75</v>
      </c>
      <c r="U329">
        <f t="shared" si="34"/>
        <v>2.6849999999999996</v>
      </c>
      <c r="V329">
        <f t="shared" si="35"/>
        <v>5.9999999999999991</v>
      </c>
    </row>
    <row r="330" spans="1:22" x14ac:dyDescent="0.25">
      <c r="A330" t="s">
        <v>667</v>
      </c>
      <c r="B330">
        <v>43620</v>
      </c>
      <c r="C330" t="str">
        <f t="shared" si="32"/>
        <v>04</v>
      </c>
      <c r="D330" t="str">
        <f t="shared" si="30"/>
        <v>June</v>
      </c>
      <c r="E330" t="str">
        <f t="shared" si="33"/>
        <v>2019</v>
      </c>
      <c r="F330" t="s">
        <v>668</v>
      </c>
      <c r="G330" t="str">
        <f>VLOOKUP(F330,'Customers (2)'!A:I,2,0)</f>
        <v>Homer Dulany</v>
      </c>
      <c r="H330">
        <f>VLOOKUP(F330,'Customers (2)'!A:I,3,0)</f>
        <v>0</v>
      </c>
      <c r="I330" t="str">
        <f>VLOOKUP(F330,'Customers (2)'!A:I,4,0)</f>
        <v>+1 (915) 761-6081</v>
      </c>
      <c r="J330" t="str">
        <f>VLOOKUP(F330,'Customers (2)'!A:I,6,0)</f>
        <v>El Paso</v>
      </c>
      <c r="K330" t="str">
        <f>VLOOKUP(F330,'Customers (2)'!A:I,7,0)</f>
        <v>United States</v>
      </c>
      <c r="L330" t="str">
        <f>VLOOKUP(F330,'Customers (2)'!A:I,9,0)</f>
        <v>Yes</v>
      </c>
      <c r="M330" t="str">
        <f>VLOOKUP(N330,'Products (2)'!A:G,2,0)</f>
        <v>Liberica</v>
      </c>
      <c r="N330" t="s">
        <v>83</v>
      </c>
      <c r="O330" t="str">
        <f>VLOOKUP(N330,'Products (2)'!A:G,3,0)</f>
        <v>Light</v>
      </c>
      <c r="P330">
        <f>VLOOKUP(N330,'Products (2)'!A:G,7,0)</f>
        <v>1.2363</v>
      </c>
      <c r="Q330">
        <v>4</v>
      </c>
      <c r="R330">
        <f>INDEX([1]products!$A$1:$G$49,MATCH([1]orders!$D330,[1]products!$A$1:$A$49,0),MATCH([1]orders!K$1,[1]products!$A$1:$G$1,0))</f>
        <v>0.5</v>
      </c>
      <c r="S330">
        <f>INDEX([1]products!$A$1:$G$49,MATCH([1]orders!$D330,[1]products!$A$1:$A$49,0),MATCH([1]orders!L$1,[1]products!$A$1:$G$1,0))</f>
        <v>9.51</v>
      </c>
      <c r="T330">
        <f t="shared" si="31"/>
        <v>38.04</v>
      </c>
      <c r="U330">
        <f t="shared" si="34"/>
        <v>4.9451999999999998</v>
      </c>
      <c r="V330">
        <f t="shared" si="35"/>
        <v>13</v>
      </c>
    </row>
    <row r="331" spans="1:22" x14ac:dyDescent="0.25">
      <c r="A331" t="s">
        <v>669</v>
      </c>
      <c r="B331">
        <v>44781</v>
      </c>
      <c r="C331" t="str">
        <f t="shared" si="32"/>
        <v>08</v>
      </c>
      <c r="D331" t="str">
        <f t="shared" si="30"/>
        <v>August</v>
      </c>
      <c r="E331" t="str">
        <f t="shared" si="33"/>
        <v>2022</v>
      </c>
      <c r="F331" t="s">
        <v>670</v>
      </c>
      <c r="G331" t="str">
        <f>VLOOKUP(F331,'Customers (2)'!A:I,2,0)</f>
        <v>Lisa Goodger</v>
      </c>
      <c r="H331" t="str">
        <f>VLOOKUP(F331,'Customers (2)'!A:I,3,0)</f>
        <v>lgoodger95@guardian.co.uk</v>
      </c>
      <c r="I331">
        <f>VLOOKUP(F331,'Customers (2)'!A:I,4,0)</f>
        <v>0</v>
      </c>
      <c r="J331" t="str">
        <f>VLOOKUP(F331,'Customers (2)'!A:I,6,0)</f>
        <v>Sacramento</v>
      </c>
      <c r="K331" t="str">
        <f>VLOOKUP(F331,'Customers (2)'!A:I,7,0)</f>
        <v>United States</v>
      </c>
      <c r="L331" t="str">
        <f>VLOOKUP(F331,'Customers (2)'!A:I,9,0)</f>
        <v>Yes</v>
      </c>
      <c r="M331" t="str">
        <f>VLOOKUP(N331,'Products (2)'!A:G,2,0)</f>
        <v>Robusta</v>
      </c>
      <c r="N331" t="s">
        <v>146</v>
      </c>
      <c r="O331" t="str">
        <f>VLOOKUP(N331,'Products (2)'!A:G,3,0)</f>
        <v>Dark</v>
      </c>
      <c r="P331">
        <f>VLOOKUP(N331,'Products (2)'!A:G,7,0)</f>
        <v>0.32219999999999993</v>
      </c>
      <c r="Q331">
        <v>4</v>
      </c>
      <c r="R331">
        <f>INDEX([1]products!$A$1:$G$49,MATCH([1]orders!$D331,[1]products!$A$1:$A$49,0),MATCH([1]orders!K$1,[1]products!$A$1:$G$1,0))</f>
        <v>0.5</v>
      </c>
      <c r="S331">
        <f>INDEX([1]products!$A$1:$G$49,MATCH([1]orders!$D331,[1]products!$A$1:$A$49,0),MATCH([1]orders!L$1,[1]products!$A$1:$G$1,0))</f>
        <v>5.3699999999999992</v>
      </c>
      <c r="T331">
        <f t="shared" si="31"/>
        <v>21.479999999999997</v>
      </c>
      <c r="U331">
        <f t="shared" si="34"/>
        <v>1.2887999999999997</v>
      </c>
      <c r="V331">
        <f t="shared" si="35"/>
        <v>6</v>
      </c>
    </row>
    <row r="332" spans="1:22" x14ac:dyDescent="0.25">
      <c r="A332" t="s">
        <v>671</v>
      </c>
      <c r="B332">
        <v>43782</v>
      </c>
      <c r="C332" t="str">
        <f t="shared" si="32"/>
        <v>13</v>
      </c>
      <c r="D332" t="str">
        <f t="shared" si="30"/>
        <v>November</v>
      </c>
      <c r="E332" t="str">
        <f t="shared" si="33"/>
        <v>2019</v>
      </c>
      <c r="F332" t="s">
        <v>648</v>
      </c>
      <c r="G332" t="str">
        <f>VLOOKUP(F332,'Customers (2)'!A:I,2,0)</f>
        <v>Selma McMillian</v>
      </c>
      <c r="H332" t="str">
        <f>VLOOKUP(F332,'Customers (2)'!A:I,3,0)</f>
        <v>smcmillian8t@csmonitor.com</v>
      </c>
      <c r="I332" t="str">
        <f>VLOOKUP(F332,'Customers (2)'!A:I,4,0)</f>
        <v>+1 (330) 407-0631</v>
      </c>
      <c r="J332" t="str">
        <f>VLOOKUP(F332,'Customers (2)'!A:I,6,0)</f>
        <v>Akron</v>
      </c>
      <c r="K332" t="str">
        <f>VLOOKUP(F332,'Customers (2)'!A:I,7,0)</f>
        <v>United States</v>
      </c>
      <c r="L332" t="str">
        <f>VLOOKUP(F332,'Customers (2)'!A:I,9,0)</f>
        <v>No</v>
      </c>
      <c r="M332" t="str">
        <f>VLOOKUP(N332,'Products (2)'!A:G,2,0)</f>
        <v>Robusta</v>
      </c>
      <c r="N332" t="s">
        <v>146</v>
      </c>
      <c r="O332" t="str">
        <f>VLOOKUP(N332,'Products (2)'!A:G,3,0)</f>
        <v>Dark</v>
      </c>
      <c r="P332">
        <f>VLOOKUP(N332,'Products (2)'!A:G,7,0)</f>
        <v>0.32219999999999993</v>
      </c>
      <c r="Q332">
        <v>3</v>
      </c>
      <c r="R332">
        <f>INDEX([1]products!$A$1:$G$49,MATCH([1]orders!$D332,[1]products!$A$1:$A$49,0),MATCH([1]orders!K$1,[1]products!$A$1:$G$1,0))</f>
        <v>0.5</v>
      </c>
      <c r="S332">
        <f>INDEX([1]products!$A$1:$G$49,MATCH([1]orders!$D332,[1]products!$A$1:$A$49,0),MATCH([1]orders!L$1,[1]products!$A$1:$G$1,0))</f>
        <v>5.3699999999999992</v>
      </c>
      <c r="T332">
        <f t="shared" si="31"/>
        <v>16.11</v>
      </c>
      <c r="U332">
        <f t="shared" si="34"/>
        <v>0.96659999999999979</v>
      </c>
      <c r="V332">
        <f t="shared" si="35"/>
        <v>5.9999999999999991</v>
      </c>
    </row>
    <row r="333" spans="1:22" x14ac:dyDescent="0.25">
      <c r="A333" t="s">
        <v>672</v>
      </c>
      <c r="B333">
        <v>43989</v>
      </c>
      <c r="C333" t="str">
        <f t="shared" si="32"/>
        <v>07</v>
      </c>
      <c r="D333" t="str">
        <f t="shared" si="30"/>
        <v>June</v>
      </c>
      <c r="E333" t="str">
        <f t="shared" si="33"/>
        <v>2020</v>
      </c>
      <c r="F333" t="s">
        <v>673</v>
      </c>
      <c r="G333" t="str">
        <f>VLOOKUP(F333,'Customers (2)'!A:I,2,0)</f>
        <v>Corine Drewett</v>
      </c>
      <c r="H333" t="str">
        <f>VLOOKUP(F333,'Customers (2)'!A:I,3,0)</f>
        <v>cdrewett97@wikipedia.org</v>
      </c>
      <c r="I333" t="str">
        <f>VLOOKUP(F333,'Customers (2)'!A:I,4,0)</f>
        <v>+1 (561) 651-3098</v>
      </c>
      <c r="J333" t="str">
        <f>VLOOKUP(F333,'Customers (2)'!A:I,6,0)</f>
        <v>Boynton Beach</v>
      </c>
      <c r="K333" t="str">
        <f>VLOOKUP(F333,'Customers (2)'!A:I,7,0)</f>
        <v>United States</v>
      </c>
      <c r="L333" t="str">
        <f>VLOOKUP(F333,'Customers (2)'!A:I,9,0)</f>
        <v>Yes</v>
      </c>
      <c r="M333" t="str">
        <f>VLOOKUP(N333,'Products (2)'!A:G,2,0)</f>
        <v>Robusta</v>
      </c>
      <c r="N333" t="s">
        <v>41</v>
      </c>
      <c r="O333" t="str">
        <f>VLOOKUP(N333,'Products (2)'!A:G,3,0)</f>
        <v>Medium</v>
      </c>
      <c r="P333">
        <f>VLOOKUP(N333,'Products (2)'!A:G,7,0)</f>
        <v>1.3730999999999998</v>
      </c>
      <c r="Q333">
        <v>1</v>
      </c>
      <c r="R333">
        <f>INDEX([1]products!$A$1:$G$49,MATCH([1]orders!$D333,[1]products!$A$1:$A$49,0),MATCH([1]orders!K$1,[1]products!$A$1:$G$1,0))</f>
        <v>2.5</v>
      </c>
      <c r="S333">
        <f>INDEX([1]products!$A$1:$G$49,MATCH([1]orders!$D333,[1]products!$A$1:$A$49,0),MATCH([1]orders!L$1,[1]products!$A$1:$G$1,0))</f>
        <v>22.884999999999998</v>
      </c>
      <c r="T333">
        <f t="shared" si="31"/>
        <v>22.884999999999998</v>
      </c>
      <c r="U333">
        <f t="shared" si="34"/>
        <v>1.3730999999999998</v>
      </c>
      <c r="V333">
        <f t="shared" si="35"/>
        <v>6</v>
      </c>
    </row>
    <row r="334" spans="1:22" x14ac:dyDescent="0.25">
      <c r="A334" t="s">
        <v>674</v>
      </c>
      <c r="B334">
        <v>43689</v>
      </c>
      <c r="C334" t="str">
        <f t="shared" si="32"/>
        <v>12</v>
      </c>
      <c r="D334" t="str">
        <f t="shared" si="30"/>
        <v>August</v>
      </c>
      <c r="E334" t="str">
        <f t="shared" si="33"/>
        <v>2019</v>
      </c>
      <c r="F334" t="s">
        <v>675</v>
      </c>
      <c r="G334" t="str">
        <f>VLOOKUP(F334,'Customers (2)'!A:I,2,0)</f>
        <v>Quinn Parsons</v>
      </c>
      <c r="H334" t="str">
        <f>VLOOKUP(F334,'Customers (2)'!A:I,3,0)</f>
        <v>qparsons98@blogtalkradio.com</v>
      </c>
      <c r="I334" t="str">
        <f>VLOOKUP(F334,'Customers (2)'!A:I,4,0)</f>
        <v>+1 (323) 848-5169</v>
      </c>
      <c r="J334" t="str">
        <f>VLOOKUP(F334,'Customers (2)'!A:I,6,0)</f>
        <v>Los Angeles</v>
      </c>
      <c r="K334" t="str">
        <f>VLOOKUP(F334,'Customers (2)'!A:I,7,0)</f>
        <v>United States</v>
      </c>
      <c r="L334" t="str">
        <f>VLOOKUP(F334,'Customers (2)'!A:I,9,0)</f>
        <v>Yes</v>
      </c>
      <c r="M334" t="str">
        <f>VLOOKUP(N334,'Products (2)'!A:G,2,0)</f>
        <v>Arabica</v>
      </c>
      <c r="N334" t="s">
        <v>72</v>
      </c>
      <c r="O334" t="str">
        <f>VLOOKUP(N334,'Products (2)'!A:G,3,0)</f>
        <v>Dark</v>
      </c>
      <c r="P334">
        <f>VLOOKUP(N334,'Products (2)'!A:G,7,0)</f>
        <v>0.5373</v>
      </c>
      <c r="Q334">
        <v>3</v>
      </c>
      <c r="R334">
        <f>INDEX([1]products!$A$1:$G$49,MATCH([1]orders!$D334,[1]products!$A$1:$A$49,0),MATCH([1]orders!K$1,[1]products!$A$1:$G$1,0))</f>
        <v>0.5</v>
      </c>
      <c r="S334">
        <f>INDEX([1]products!$A$1:$G$49,MATCH([1]orders!$D334,[1]products!$A$1:$A$49,0),MATCH([1]orders!L$1,[1]products!$A$1:$G$1,0))</f>
        <v>5.97</v>
      </c>
      <c r="T334">
        <f t="shared" si="31"/>
        <v>17.91</v>
      </c>
      <c r="U334">
        <f t="shared" si="34"/>
        <v>1.6118999999999999</v>
      </c>
      <c r="V334">
        <f t="shared" si="35"/>
        <v>9</v>
      </c>
    </row>
    <row r="335" spans="1:22" x14ac:dyDescent="0.25">
      <c r="A335" t="s">
        <v>676</v>
      </c>
      <c r="B335">
        <v>43712</v>
      </c>
      <c r="C335" t="str">
        <f t="shared" si="32"/>
        <v>04</v>
      </c>
      <c r="D335" t="str">
        <f t="shared" si="30"/>
        <v>September</v>
      </c>
      <c r="E335" t="str">
        <f t="shared" si="33"/>
        <v>2019</v>
      </c>
      <c r="F335" t="s">
        <v>677</v>
      </c>
      <c r="G335" t="str">
        <f>VLOOKUP(F335,'Customers (2)'!A:I,2,0)</f>
        <v>Vivyan Ceely</v>
      </c>
      <c r="H335" t="str">
        <f>VLOOKUP(F335,'Customers (2)'!A:I,3,0)</f>
        <v>vceely99@auda.org.au</v>
      </c>
      <c r="I335" t="str">
        <f>VLOOKUP(F335,'Customers (2)'!A:I,4,0)</f>
        <v>+1 (410) 876-8486</v>
      </c>
      <c r="J335" t="str">
        <f>VLOOKUP(F335,'Customers (2)'!A:I,6,0)</f>
        <v>Baltimore</v>
      </c>
      <c r="K335" t="str">
        <f>VLOOKUP(F335,'Customers (2)'!A:I,7,0)</f>
        <v>United States</v>
      </c>
      <c r="L335" t="str">
        <f>VLOOKUP(F335,'Customers (2)'!A:I,9,0)</f>
        <v>Yes</v>
      </c>
      <c r="M335" t="str">
        <f>VLOOKUP(N335,'Products (2)'!A:G,2,0)</f>
        <v>Robusta</v>
      </c>
      <c r="N335" t="s">
        <v>22</v>
      </c>
      <c r="O335" t="str">
        <f>VLOOKUP(N335,'Products (2)'!A:G,3,0)</f>
        <v>Medium</v>
      </c>
      <c r="P335">
        <f>VLOOKUP(N335,'Products (2)'!A:G,7,0)</f>
        <v>0.35819999999999996</v>
      </c>
      <c r="Q335">
        <v>4</v>
      </c>
      <c r="R335">
        <f>INDEX([1]products!$A$1:$G$49,MATCH([1]orders!$D335,[1]products!$A$1:$A$49,0),MATCH([1]orders!K$1,[1]products!$A$1:$G$1,0))</f>
        <v>0.5</v>
      </c>
      <c r="S335">
        <f>INDEX([1]products!$A$1:$G$49,MATCH([1]orders!$D335,[1]products!$A$1:$A$49,0),MATCH([1]orders!L$1,[1]products!$A$1:$G$1,0))</f>
        <v>5.97</v>
      </c>
      <c r="T335">
        <f t="shared" si="31"/>
        <v>23.88</v>
      </c>
      <c r="U335">
        <f t="shared" si="34"/>
        <v>1.4327999999999999</v>
      </c>
      <c r="V335">
        <f t="shared" si="35"/>
        <v>6</v>
      </c>
    </row>
    <row r="336" spans="1:22" x14ac:dyDescent="0.25">
      <c r="A336" t="s">
        <v>678</v>
      </c>
      <c r="B336">
        <v>43742</v>
      </c>
      <c r="C336" t="str">
        <f t="shared" si="32"/>
        <v>04</v>
      </c>
      <c r="D336" t="str">
        <f t="shared" si="30"/>
        <v>October</v>
      </c>
      <c r="E336" t="str">
        <f t="shared" si="33"/>
        <v>2019</v>
      </c>
      <c r="F336" t="s">
        <v>679</v>
      </c>
      <c r="G336" t="str">
        <f>VLOOKUP(F336,'Customers (2)'!A:I,2,0)</f>
        <v>Elonore Goodings</v>
      </c>
      <c r="H336">
        <f>VLOOKUP(F336,'Customers (2)'!A:I,3,0)</f>
        <v>0</v>
      </c>
      <c r="I336">
        <f>VLOOKUP(F336,'Customers (2)'!A:I,4,0)</f>
        <v>0</v>
      </c>
      <c r="J336" t="str">
        <f>VLOOKUP(F336,'Customers (2)'!A:I,6,0)</f>
        <v>Salt Lake City</v>
      </c>
      <c r="K336" t="str">
        <f>VLOOKUP(F336,'Customers (2)'!A:I,7,0)</f>
        <v>United States</v>
      </c>
      <c r="L336" t="str">
        <f>VLOOKUP(F336,'Customers (2)'!A:I,9,0)</f>
        <v>No</v>
      </c>
      <c r="M336" t="str">
        <f>VLOOKUP(N336,'Products (2)'!A:G,2,0)</f>
        <v>Robusta</v>
      </c>
      <c r="N336" t="s">
        <v>189</v>
      </c>
      <c r="O336" t="str">
        <f>VLOOKUP(N336,'Products (2)'!A:G,3,0)</f>
        <v>Light</v>
      </c>
      <c r="P336">
        <f>VLOOKUP(N336,'Products (2)'!A:G,7,0)</f>
        <v>0.71699999999999997</v>
      </c>
      <c r="Q336">
        <v>5</v>
      </c>
      <c r="R336">
        <f>INDEX([1]products!$A$1:$G$49,MATCH([1]orders!$D336,[1]products!$A$1:$A$49,0),MATCH([1]orders!K$1,[1]products!$A$1:$G$1,0))</f>
        <v>1</v>
      </c>
      <c r="S336">
        <f>INDEX([1]products!$A$1:$G$49,MATCH([1]orders!$D336,[1]products!$A$1:$A$49,0),MATCH([1]orders!L$1,[1]products!$A$1:$G$1,0))</f>
        <v>11.95</v>
      </c>
      <c r="T336">
        <f t="shared" si="31"/>
        <v>59.75</v>
      </c>
      <c r="U336">
        <f t="shared" si="34"/>
        <v>3.585</v>
      </c>
      <c r="V336">
        <f t="shared" si="35"/>
        <v>6</v>
      </c>
    </row>
    <row r="337" spans="1:22" x14ac:dyDescent="0.25">
      <c r="A337" t="s">
        <v>680</v>
      </c>
      <c r="B337">
        <v>43885</v>
      </c>
      <c r="C337" t="str">
        <f t="shared" si="32"/>
        <v>24</v>
      </c>
      <c r="D337" t="str">
        <f t="shared" si="30"/>
        <v>February</v>
      </c>
      <c r="E337" t="str">
        <f t="shared" si="33"/>
        <v>2020</v>
      </c>
      <c r="F337" t="s">
        <v>681</v>
      </c>
      <c r="G337" t="str">
        <f>VLOOKUP(F337,'Customers (2)'!A:I,2,0)</f>
        <v>Clement Vasiliev</v>
      </c>
      <c r="H337" t="str">
        <f>VLOOKUP(F337,'Customers (2)'!A:I,3,0)</f>
        <v>cvasiliev9b@discuz.net</v>
      </c>
      <c r="I337" t="str">
        <f>VLOOKUP(F337,'Customers (2)'!A:I,4,0)</f>
        <v>+1 (214) 507-8264</v>
      </c>
      <c r="J337" t="str">
        <f>VLOOKUP(F337,'Customers (2)'!A:I,6,0)</f>
        <v>Garland</v>
      </c>
      <c r="K337" t="str">
        <f>VLOOKUP(F337,'Customers (2)'!A:I,7,0)</f>
        <v>United States</v>
      </c>
      <c r="L337" t="str">
        <f>VLOOKUP(F337,'Customers (2)'!A:I,9,0)</f>
        <v>Yes</v>
      </c>
      <c r="M337" t="str">
        <f>VLOOKUP(N337,'Products (2)'!A:G,2,0)</f>
        <v>Liberica</v>
      </c>
      <c r="N337" t="s">
        <v>19</v>
      </c>
      <c r="O337" t="str">
        <f>VLOOKUP(N337,'Products (2)'!A:G,3,0)</f>
        <v>Light</v>
      </c>
      <c r="P337">
        <f>VLOOKUP(N337,'Products (2)'!A:G,7,0)</f>
        <v>0.61814999999999998</v>
      </c>
      <c r="Q337">
        <v>6</v>
      </c>
      <c r="R337">
        <f>INDEX([1]products!$A$1:$G$49,MATCH([1]orders!$D337,[1]products!$A$1:$A$49,0),MATCH([1]orders!K$1,[1]products!$A$1:$G$1,0))</f>
        <v>0.2</v>
      </c>
      <c r="S337">
        <f>INDEX([1]products!$A$1:$G$49,MATCH([1]orders!$D337,[1]products!$A$1:$A$49,0),MATCH([1]orders!L$1,[1]products!$A$1:$G$1,0))</f>
        <v>4.7549999999999999</v>
      </c>
      <c r="T337">
        <f t="shared" si="31"/>
        <v>28.53</v>
      </c>
      <c r="U337">
        <f t="shared" si="34"/>
        <v>3.7088999999999999</v>
      </c>
      <c r="V337">
        <f t="shared" si="35"/>
        <v>12.999999999999998</v>
      </c>
    </row>
    <row r="338" spans="1:22" x14ac:dyDescent="0.25">
      <c r="A338" t="s">
        <v>682</v>
      </c>
      <c r="B338">
        <v>44434</v>
      </c>
      <c r="C338" t="str">
        <f t="shared" si="32"/>
        <v>26</v>
      </c>
      <c r="D338" t="str">
        <f t="shared" si="30"/>
        <v>August</v>
      </c>
      <c r="E338" t="str">
        <f t="shared" si="33"/>
        <v>2021</v>
      </c>
      <c r="F338" t="s">
        <v>683</v>
      </c>
      <c r="G338" t="str">
        <f>VLOOKUP(F338,'Customers (2)'!A:I,2,0)</f>
        <v>Terencio O'Moylan</v>
      </c>
      <c r="H338" t="str">
        <f>VLOOKUP(F338,'Customers (2)'!A:I,3,0)</f>
        <v>tomoylan9c@liveinternet.ru</v>
      </c>
      <c r="I338" t="str">
        <f>VLOOKUP(F338,'Customers (2)'!A:I,4,0)</f>
        <v>+44 (911) 807-7254</v>
      </c>
      <c r="J338" t="str">
        <f>VLOOKUP(F338,'Customers (2)'!A:I,6,0)</f>
        <v>Church End</v>
      </c>
      <c r="K338" t="str">
        <f>VLOOKUP(F338,'Customers (2)'!A:I,7,0)</f>
        <v>United Kingdom</v>
      </c>
      <c r="L338" t="str">
        <f>VLOOKUP(F338,'Customers (2)'!A:I,9,0)</f>
        <v>No</v>
      </c>
      <c r="M338" t="str">
        <f>VLOOKUP(N338,'Products (2)'!A:G,2,0)</f>
        <v>Arabica</v>
      </c>
      <c r="N338" t="s">
        <v>61</v>
      </c>
      <c r="O338" t="str">
        <f>VLOOKUP(N338,'Products (2)'!A:G,3,0)</f>
        <v>Medium</v>
      </c>
      <c r="P338">
        <f>VLOOKUP(N338,'Products (2)'!A:G,7,0)</f>
        <v>1.0125</v>
      </c>
      <c r="Q338">
        <v>4</v>
      </c>
      <c r="R338">
        <f>INDEX([1]products!$A$1:$G$49,MATCH([1]orders!$D338,[1]products!$A$1:$A$49,0),MATCH([1]orders!K$1,[1]products!$A$1:$G$1,0))</f>
        <v>1</v>
      </c>
      <c r="S338">
        <f>INDEX([1]products!$A$1:$G$49,MATCH([1]orders!$D338,[1]products!$A$1:$A$49,0),MATCH([1]orders!L$1,[1]products!$A$1:$G$1,0))</f>
        <v>11.25</v>
      </c>
      <c r="T338">
        <f t="shared" si="31"/>
        <v>45</v>
      </c>
      <c r="U338">
        <f t="shared" si="34"/>
        <v>4.05</v>
      </c>
      <c r="V338">
        <f t="shared" si="35"/>
        <v>9</v>
      </c>
    </row>
    <row r="339" spans="1:22" x14ac:dyDescent="0.25">
      <c r="A339" t="s">
        <v>684</v>
      </c>
      <c r="B339">
        <v>44472</v>
      </c>
      <c r="C339" t="str">
        <f t="shared" si="32"/>
        <v>03</v>
      </c>
      <c r="D339" t="str">
        <f t="shared" si="30"/>
        <v>October</v>
      </c>
      <c r="E339" t="str">
        <f t="shared" si="33"/>
        <v>2021</v>
      </c>
      <c r="F339" t="s">
        <v>664</v>
      </c>
      <c r="G339" t="str">
        <f>VLOOKUP(F339,'Customers (2)'!A:I,2,0)</f>
        <v>Flynn Antony</v>
      </c>
      <c r="H339">
        <f>VLOOKUP(F339,'Customers (2)'!A:I,3,0)</f>
        <v>0</v>
      </c>
      <c r="I339" t="str">
        <f>VLOOKUP(F339,'Customers (2)'!A:I,4,0)</f>
        <v>+1 (205) 680-5859</v>
      </c>
      <c r="J339" t="str">
        <f>VLOOKUP(F339,'Customers (2)'!A:I,6,0)</f>
        <v>Birmingham</v>
      </c>
      <c r="K339" t="str">
        <f>VLOOKUP(F339,'Customers (2)'!A:I,7,0)</f>
        <v>United States</v>
      </c>
      <c r="L339" t="str">
        <f>VLOOKUP(F339,'Customers (2)'!A:I,9,0)</f>
        <v>No</v>
      </c>
      <c r="M339" t="str">
        <f>VLOOKUP(N339,'Products (2)'!A:G,2,0)</f>
        <v>Excelsa</v>
      </c>
      <c r="N339" t="s">
        <v>530</v>
      </c>
      <c r="O339" t="str">
        <f>VLOOKUP(N339,'Products (2)'!A:G,3,0)</f>
        <v>Dark</v>
      </c>
      <c r="P339">
        <f>VLOOKUP(N339,'Products (2)'!A:G,7,0)</f>
        <v>3.07395</v>
      </c>
      <c r="Q339">
        <v>2</v>
      </c>
      <c r="R339">
        <f>INDEX([1]products!$A$1:$G$49,MATCH([1]orders!$D339,[1]products!$A$1:$A$49,0),MATCH([1]orders!K$1,[1]products!$A$1:$G$1,0))</f>
        <v>2.5</v>
      </c>
      <c r="S339">
        <f>INDEX([1]products!$A$1:$G$49,MATCH([1]orders!$D339,[1]products!$A$1:$A$49,0),MATCH([1]orders!L$1,[1]products!$A$1:$G$1,0))</f>
        <v>27.945</v>
      </c>
      <c r="T339">
        <f t="shared" si="31"/>
        <v>55.89</v>
      </c>
      <c r="U339">
        <f t="shared" si="34"/>
        <v>6.1478999999999999</v>
      </c>
      <c r="V339">
        <f t="shared" si="35"/>
        <v>11</v>
      </c>
    </row>
    <row r="340" spans="1:22" x14ac:dyDescent="0.25">
      <c r="A340" t="s">
        <v>685</v>
      </c>
      <c r="B340">
        <v>43995</v>
      </c>
      <c r="C340" t="str">
        <f t="shared" si="32"/>
        <v>13</v>
      </c>
      <c r="D340" t="str">
        <f t="shared" si="30"/>
        <v>June</v>
      </c>
      <c r="E340" t="str">
        <f t="shared" si="33"/>
        <v>2020</v>
      </c>
      <c r="F340" t="s">
        <v>686</v>
      </c>
      <c r="G340" t="str">
        <f>VLOOKUP(F340,'Customers (2)'!A:I,2,0)</f>
        <v>Wyatan Fetherston</v>
      </c>
      <c r="H340" t="str">
        <f>VLOOKUP(F340,'Customers (2)'!A:I,3,0)</f>
        <v>wfetherston9e@constantcontact.com</v>
      </c>
      <c r="I340" t="str">
        <f>VLOOKUP(F340,'Customers (2)'!A:I,4,0)</f>
        <v>+1 (212) 724-3420</v>
      </c>
      <c r="J340" t="str">
        <f>VLOOKUP(F340,'Customers (2)'!A:I,6,0)</f>
        <v>New York City</v>
      </c>
      <c r="K340" t="str">
        <f>VLOOKUP(F340,'Customers (2)'!A:I,7,0)</f>
        <v>United States</v>
      </c>
      <c r="L340" t="str">
        <f>VLOOKUP(F340,'Customers (2)'!A:I,9,0)</f>
        <v>No</v>
      </c>
      <c r="M340" t="str">
        <f>VLOOKUP(N340,'Products (2)'!A:G,2,0)</f>
        <v>Excelsa</v>
      </c>
      <c r="N340" t="s">
        <v>137</v>
      </c>
      <c r="O340" t="str">
        <f>VLOOKUP(N340,'Products (2)'!A:G,3,0)</f>
        <v>Light</v>
      </c>
      <c r="P340">
        <f>VLOOKUP(N340,'Products (2)'!A:G,7,0)</f>
        <v>1.6335</v>
      </c>
      <c r="Q340">
        <v>4</v>
      </c>
      <c r="R340">
        <f>INDEX([1]products!$A$1:$G$49,MATCH([1]orders!$D340,[1]products!$A$1:$A$49,0),MATCH([1]orders!K$1,[1]products!$A$1:$G$1,0))</f>
        <v>1</v>
      </c>
      <c r="S340">
        <f>INDEX([1]products!$A$1:$G$49,MATCH([1]orders!$D340,[1]products!$A$1:$A$49,0),MATCH([1]orders!L$1,[1]products!$A$1:$G$1,0))</f>
        <v>14.85</v>
      </c>
      <c r="T340">
        <f t="shared" si="31"/>
        <v>59.4</v>
      </c>
      <c r="U340">
        <f t="shared" si="34"/>
        <v>6.5339999999999998</v>
      </c>
      <c r="V340">
        <f t="shared" si="35"/>
        <v>11</v>
      </c>
    </row>
    <row r="341" spans="1:22" x14ac:dyDescent="0.25">
      <c r="A341" t="s">
        <v>687</v>
      </c>
      <c r="B341">
        <v>44256</v>
      </c>
      <c r="C341" t="str">
        <f t="shared" si="32"/>
        <v>01</v>
      </c>
      <c r="D341" t="str">
        <f t="shared" si="30"/>
        <v>March</v>
      </c>
      <c r="E341" t="str">
        <f t="shared" si="33"/>
        <v>2021</v>
      </c>
      <c r="F341" t="s">
        <v>688</v>
      </c>
      <c r="G341" t="str">
        <f>VLOOKUP(F341,'Customers (2)'!A:I,2,0)</f>
        <v>Emmaline Rasmus</v>
      </c>
      <c r="H341" t="str">
        <f>VLOOKUP(F341,'Customers (2)'!A:I,3,0)</f>
        <v>erasmus9f@techcrunch.com</v>
      </c>
      <c r="I341" t="str">
        <f>VLOOKUP(F341,'Customers (2)'!A:I,4,0)</f>
        <v>+1 (617) 830-9474</v>
      </c>
      <c r="J341" t="str">
        <f>VLOOKUP(F341,'Customers (2)'!A:I,6,0)</f>
        <v>Boston</v>
      </c>
      <c r="K341" t="str">
        <f>VLOOKUP(F341,'Customers (2)'!A:I,7,0)</f>
        <v>United States</v>
      </c>
      <c r="L341" t="str">
        <f>VLOOKUP(F341,'Customers (2)'!A:I,9,0)</f>
        <v>Yes</v>
      </c>
      <c r="M341" t="str">
        <f>VLOOKUP(N341,'Products (2)'!A:G,2,0)</f>
        <v>Excelsa</v>
      </c>
      <c r="N341" t="s">
        <v>51</v>
      </c>
      <c r="O341" t="str">
        <f>VLOOKUP(N341,'Products (2)'!A:G,3,0)</f>
        <v>Dark</v>
      </c>
      <c r="P341">
        <f>VLOOKUP(N341,'Products (2)'!A:G,7,0)</f>
        <v>0.40095000000000003</v>
      </c>
      <c r="Q341">
        <v>2</v>
      </c>
      <c r="R341">
        <f>INDEX([1]products!$A$1:$G$49,MATCH([1]orders!$D341,[1]products!$A$1:$A$49,0),MATCH([1]orders!K$1,[1]products!$A$1:$G$1,0))</f>
        <v>0.2</v>
      </c>
      <c r="S341">
        <f>INDEX([1]products!$A$1:$G$49,MATCH([1]orders!$D341,[1]products!$A$1:$A$49,0),MATCH([1]orders!L$1,[1]products!$A$1:$G$1,0))</f>
        <v>3.645</v>
      </c>
      <c r="T341">
        <f t="shared" si="31"/>
        <v>7.29</v>
      </c>
      <c r="U341">
        <f t="shared" si="34"/>
        <v>0.80190000000000006</v>
      </c>
      <c r="V341">
        <f t="shared" si="35"/>
        <v>11</v>
      </c>
    </row>
    <row r="342" spans="1:22" x14ac:dyDescent="0.25">
      <c r="A342" t="s">
        <v>689</v>
      </c>
      <c r="B342">
        <v>43528</v>
      </c>
      <c r="C342" t="str">
        <f t="shared" si="32"/>
        <v>04</v>
      </c>
      <c r="D342" t="str">
        <f t="shared" si="30"/>
        <v>March</v>
      </c>
      <c r="E342" t="str">
        <f t="shared" si="33"/>
        <v>2019</v>
      </c>
      <c r="F342" t="s">
        <v>690</v>
      </c>
      <c r="G342" t="str">
        <f>VLOOKUP(F342,'Customers (2)'!A:I,2,0)</f>
        <v>Wesley Giorgioni</v>
      </c>
      <c r="H342" t="str">
        <f>VLOOKUP(F342,'Customers (2)'!A:I,3,0)</f>
        <v>wgiorgioni9g@wikipedia.org</v>
      </c>
      <c r="I342" t="str">
        <f>VLOOKUP(F342,'Customers (2)'!A:I,4,0)</f>
        <v>+1 (415) 960-7198</v>
      </c>
      <c r="J342" t="str">
        <f>VLOOKUP(F342,'Customers (2)'!A:I,6,0)</f>
        <v>San Francisco</v>
      </c>
      <c r="K342" t="str">
        <f>VLOOKUP(F342,'Customers (2)'!A:I,7,0)</f>
        <v>United States</v>
      </c>
      <c r="L342" t="str">
        <f>VLOOKUP(F342,'Customers (2)'!A:I,9,0)</f>
        <v>Yes</v>
      </c>
      <c r="M342" t="str">
        <f>VLOOKUP(N342,'Products (2)'!A:G,2,0)</f>
        <v>Excelsa</v>
      </c>
      <c r="N342" t="s">
        <v>16</v>
      </c>
      <c r="O342" t="str">
        <f>VLOOKUP(N342,'Products (2)'!A:G,3,0)</f>
        <v>Dark</v>
      </c>
      <c r="P342">
        <f>VLOOKUP(N342,'Products (2)'!A:G,7,0)</f>
        <v>0.80190000000000006</v>
      </c>
      <c r="Q342">
        <v>1</v>
      </c>
      <c r="R342">
        <f>INDEX([1]products!$A$1:$G$49,MATCH([1]orders!$D342,[1]products!$A$1:$A$49,0),MATCH([1]orders!K$1,[1]products!$A$1:$G$1,0))</f>
        <v>0.5</v>
      </c>
      <c r="S342">
        <f>INDEX([1]products!$A$1:$G$49,MATCH([1]orders!$D342,[1]products!$A$1:$A$49,0),MATCH([1]orders!L$1,[1]products!$A$1:$G$1,0))</f>
        <v>7.29</v>
      </c>
      <c r="T342">
        <f t="shared" si="31"/>
        <v>7.29</v>
      </c>
      <c r="U342">
        <f t="shared" si="34"/>
        <v>0.80190000000000006</v>
      </c>
      <c r="V342">
        <f t="shared" si="35"/>
        <v>11</v>
      </c>
    </row>
    <row r="343" spans="1:22" x14ac:dyDescent="0.25">
      <c r="A343" t="s">
        <v>691</v>
      </c>
      <c r="B343">
        <v>43751</v>
      </c>
      <c r="C343" t="str">
        <f t="shared" si="32"/>
        <v>13</v>
      </c>
      <c r="D343" t="str">
        <f t="shared" si="30"/>
        <v>October</v>
      </c>
      <c r="E343" t="str">
        <f t="shared" si="33"/>
        <v>2019</v>
      </c>
      <c r="F343" t="s">
        <v>692</v>
      </c>
      <c r="G343" t="str">
        <f>VLOOKUP(F343,'Customers (2)'!A:I,2,0)</f>
        <v>Lucienne Scargle</v>
      </c>
      <c r="H343" t="str">
        <f>VLOOKUP(F343,'Customers (2)'!A:I,3,0)</f>
        <v>lscargle9h@myspace.com</v>
      </c>
      <c r="I343" t="str">
        <f>VLOOKUP(F343,'Customers (2)'!A:I,4,0)</f>
        <v>+1 (317) 136-7045</v>
      </c>
      <c r="J343" t="str">
        <f>VLOOKUP(F343,'Customers (2)'!A:I,6,0)</f>
        <v>Indianapolis</v>
      </c>
      <c r="K343" t="str">
        <f>VLOOKUP(F343,'Customers (2)'!A:I,7,0)</f>
        <v>United States</v>
      </c>
      <c r="L343" t="str">
        <f>VLOOKUP(F343,'Customers (2)'!A:I,9,0)</f>
        <v>No</v>
      </c>
      <c r="M343" t="str">
        <f>VLOOKUP(N343,'Products (2)'!A:G,2,0)</f>
        <v>Excelsa</v>
      </c>
      <c r="N343" t="s">
        <v>176</v>
      </c>
      <c r="O343" t="str">
        <f>VLOOKUP(N343,'Products (2)'!A:G,3,0)</f>
        <v>Light</v>
      </c>
      <c r="P343">
        <f>VLOOKUP(N343,'Products (2)'!A:G,7,0)</f>
        <v>0.98009999999999997</v>
      </c>
      <c r="Q343">
        <v>2</v>
      </c>
      <c r="R343">
        <f>INDEX([1]products!$A$1:$G$49,MATCH([1]orders!$D343,[1]products!$A$1:$A$49,0),MATCH([1]orders!K$1,[1]products!$A$1:$G$1,0))</f>
        <v>0.5</v>
      </c>
      <c r="S343">
        <f>INDEX([1]products!$A$1:$G$49,MATCH([1]orders!$D343,[1]products!$A$1:$A$49,0),MATCH([1]orders!L$1,[1]products!$A$1:$G$1,0))</f>
        <v>8.91</v>
      </c>
      <c r="T343">
        <f t="shared" si="31"/>
        <v>17.82</v>
      </c>
      <c r="U343">
        <f t="shared" si="34"/>
        <v>1.9601999999999999</v>
      </c>
      <c r="V343">
        <f t="shared" si="35"/>
        <v>11</v>
      </c>
    </row>
    <row r="344" spans="1:22" x14ac:dyDescent="0.25">
      <c r="A344" t="s">
        <v>691</v>
      </c>
      <c r="B344">
        <v>43751</v>
      </c>
      <c r="C344" t="str">
        <f t="shared" si="32"/>
        <v>13</v>
      </c>
      <c r="D344" t="str">
        <f t="shared" si="30"/>
        <v>October</v>
      </c>
      <c r="E344" t="str">
        <f t="shared" si="33"/>
        <v>2019</v>
      </c>
      <c r="F344" t="s">
        <v>692</v>
      </c>
      <c r="G344" t="str">
        <f>VLOOKUP(F344,'Customers (2)'!A:I,2,0)</f>
        <v>Lucienne Scargle</v>
      </c>
      <c r="H344" t="str">
        <f>VLOOKUP(F344,'Customers (2)'!A:I,3,0)</f>
        <v>lscargle9h@myspace.com</v>
      </c>
      <c r="I344" t="str">
        <f>VLOOKUP(F344,'Customers (2)'!A:I,4,0)</f>
        <v>+1 (317) 136-7045</v>
      </c>
      <c r="J344" t="str">
        <f>VLOOKUP(F344,'Customers (2)'!A:I,6,0)</f>
        <v>Indianapolis</v>
      </c>
      <c r="K344" t="str">
        <f>VLOOKUP(F344,'Customers (2)'!A:I,7,0)</f>
        <v>United States</v>
      </c>
      <c r="L344" t="str">
        <f>VLOOKUP(F344,'Customers (2)'!A:I,9,0)</f>
        <v>No</v>
      </c>
      <c r="M344" t="str">
        <f>VLOOKUP(N344,'Products (2)'!A:G,2,0)</f>
        <v>Liberica</v>
      </c>
      <c r="N344" t="s">
        <v>123</v>
      </c>
      <c r="O344" t="str">
        <f>VLOOKUP(N344,'Products (2)'!A:G,3,0)</f>
        <v>Dark</v>
      </c>
      <c r="P344">
        <f>VLOOKUP(N344,'Products (2)'!A:G,7,0)</f>
        <v>1.0101</v>
      </c>
      <c r="Q344">
        <v>5</v>
      </c>
      <c r="R344">
        <f>INDEX([1]products!$A$1:$G$49,MATCH([1]orders!$D344,[1]products!$A$1:$A$49,0),MATCH([1]orders!K$1,[1]products!$A$1:$G$1,0))</f>
        <v>0.5</v>
      </c>
      <c r="S344">
        <f>INDEX([1]products!$A$1:$G$49,MATCH([1]orders!$D344,[1]products!$A$1:$A$49,0),MATCH([1]orders!L$1,[1]products!$A$1:$G$1,0))</f>
        <v>7.77</v>
      </c>
      <c r="T344">
        <f t="shared" si="31"/>
        <v>38.849999999999994</v>
      </c>
      <c r="U344">
        <f t="shared" si="34"/>
        <v>5.0504999999999995</v>
      </c>
      <c r="V344">
        <f t="shared" si="35"/>
        <v>13</v>
      </c>
    </row>
    <row r="345" spans="1:22" x14ac:dyDescent="0.25">
      <c r="A345" t="s">
        <v>693</v>
      </c>
      <c r="B345">
        <v>43692</v>
      </c>
      <c r="C345" t="str">
        <f t="shared" si="32"/>
        <v>15</v>
      </c>
      <c r="D345" t="str">
        <f t="shared" si="30"/>
        <v>August</v>
      </c>
      <c r="E345" t="str">
        <f t="shared" si="33"/>
        <v>2019</v>
      </c>
      <c r="F345" t="s">
        <v>694</v>
      </c>
      <c r="G345" t="str">
        <f>VLOOKUP(F345,'Customers (2)'!A:I,2,0)</f>
        <v>Noam Climance</v>
      </c>
      <c r="H345" t="str">
        <f>VLOOKUP(F345,'Customers (2)'!A:I,3,0)</f>
        <v>nclimance9j@europa.eu</v>
      </c>
      <c r="I345">
        <f>VLOOKUP(F345,'Customers (2)'!A:I,4,0)</f>
        <v>0</v>
      </c>
      <c r="J345" t="str">
        <f>VLOOKUP(F345,'Customers (2)'!A:I,6,0)</f>
        <v>Seattle</v>
      </c>
      <c r="K345" t="str">
        <f>VLOOKUP(F345,'Customers (2)'!A:I,7,0)</f>
        <v>United States</v>
      </c>
      <c r="L345" t="str">
        <f>VLOOKUP(F345,'Customers (2)'!A:I,9,0)</f>
        <v>No</v>
      </c>
      <c r="M345" t="str">
        <f>VLOOKUP(N345,'Products (2)'!A:G,2,0)</f>
        <v>Robusta</v>
      </c>
      <c r="N345" t="s">
        <v>146</v>
      </c>
      <c r="O345" t="str">
        <f>VLOOKUP(N345,'Products (2)'!A:G,3,0)</f>
        <v>Dark</v>
      </c>
      <c r="P345">
        <f>VLOOKUP(N345,'Products (2)'!A:G,7,0)</f>
        <v>0.32219999999999993</v>
      </c>
      <c r="Q345">
        <v>6</v>
      </c>
      <c r="R345">
        <f>INDEX([1]products!$A$1:$G$49,MATCH([1]orders!$D345,[1]products!$A$1:$A$49,0),MATCH([1]orders!K$1,[1]products!$A$1:$G$1,0))</f>
        <v>0.5</v>
      </c>
      <c r="S345">
        <f>INDEX([1]products!$A$1:$G$49,MATCH([1]orders!$D345,[1]products!$A$1:$A$49,0),MATCH([1]orders!L$1,[1]products!$A$1:$G$1,0))</f>
        <v>5.3699999999999992</v>
      </c>
      <c r="T345">
        <f t="shared" si="31"/>
        <v>32.22</v>
      </c>
      <c r="U345">
        <f t="shared" si="34"/>
        <v>1.9331999999999996</v>
      </c>
      <c r="V345">
        <f t="shared" si="35"/>
        <v>5.9999999999999991</v>
      </c>
    </row>
    <row r="346" spans="1:22" x14ac:dyDescent="0.25">
      <c r="A346" t="s">
        <v>695</v>
      </c>
      <c r="B346">
        <v>44529</v>
      </c>
      <c r="C346" t="str">
        <f t="shared" si="32"/>
        <v>29</v>
      </c>
      <c r="D346" t="str">
        <f t="shared" si="30"/>
        <v>November</v>
      </c>
      <c r="E346" t="str">
        <f t="shared" si="33"/>
        <v>2021</v>
      </c>
      <c r="F346" t="s">
        <v>696</v>
      </c>
      <c r="G346" t="str">
        <f>VLOOKUP(F346,'Customers (2)'!A:I,2,0)</f>
        <v>Catarina Donn</v>
      </c>
      <c r="H346">
        <f>VLOOKUP(F346,'Customers (2)'!A:I,3,0)</f>
        <v>0</v>
      </c>
      <c r="I346" t="str">
        <f>VLOOKUP(F346,'Customers (2)'!A:I,4,0)</f>
        <v>+353 (950) 306-4776</v>
      </c>
      <c r="J346" t="str">
        <f>VLOOKUP(F346,'Customers (2)'!A:I,6,0)</f>
        <v>Dunmanway</v>
      </c>
      <c r="K346" t="str">
        <f>VLOOKUP(F346,'Customers (2)'!A:I,7,0)</f>
        <v>Ireland</v>
      </c>
      <c r="L346" t="str">
        <f>VLOOKUP(F346,'Customers (2)'!A:I,9,0)</f>
        <v>Yes</v>
      </c>
      <c r="M346" t="str">
        <f>VLOOKUP(N346,'Products (2)'!A:G,2,0)</f>
        <v>Robusta</v>
      </c>
      <c r="N346" t="s">
        <v>2</v>
      </c>
      <c r="O346" t="str">
        <f>VLOOKUP(N346,'Products (2)'!A:G,3,0)</f>
        <v>Medium</v>
      </c>
      <c r="P346">
        <f>VLOOKUP(N346,'Products (2)'!A:G,7,0)</f>
        <v>0.59699999999999998</v>
      </c>
      <c r="Q346">
        <v>2</v>
      </c>
      <c r="R346">
        <f>INDEX([1]products!$A$1:$G$49,MATCH([1]orders!$D346,[1]products!$A$1:$A$49,0),MATCH([1]orders!K$1,[1]products!$A$1:$G$1,0))</f>
        <v>1</v>
      </c>
      <c r="S346">
        <f>INDEX([1]products!$A$1:$G$49,MATCH([1]orders!$D346,[1]products!$A$1:$A$49,0),MATCH([1]orders!L$1,[1]products!$A$1:$G$1,0))</f>
        <v>9.9499999999999993</v>
      </c>
      <c r="T346">
        <f t="shared" si="31"/>
        <v>19.899999999999999</v>
      </c>
      <c r="U346">
        <f t="shared" si="34"/>
        <v>1.194</v>
      </c>
      <c r="V346">
        <f t="shared" si="35"/>
        <v>6.0000000000000009</v>
      </c>
    </row>
    <row r="347" spans="1:22" x14ac:dyDescent="0.25">
      <c r="A347" t="s">
        <v>697</v>
      </c>
      <c r="B347">
        <v>43849</v>
      </c>
      <c r="C347" t="str">
        <f t="shared" si="32"/>
        <v>19</v>
      </c>
      <c r="D347" t="str">
        <f t="shared" si="30"/>
        <v>January</v>
      </c>
      <c r="E347" t="str">
        <f t="shared" si="33"/>
        <v>2020</v>
      </c>
      <c r="F347" t="s">
        <v>698</v>
      </c>
      <c r="G347" t="str">
        <f>VLOOKUP(F347,'Customers (2)'!A:I,2,0)</f>
        <v>Ameline Snazle</v>
      </c>
      <c r="H347" t="str">
        <f>VLOOKUP(F347,'Customers (2)'!A:I,3,0)</f>
        <v>asnazle9l@oracle.com</v>
      </c>
      <c r="I347" t="str">
        <f>VLOOKUP(F347,'Customers (2)'!A:I,4,0)</f>
        <v>+1 (334) 193-6359</v>
      </c>
      <c r="J347" t="str">
        <f>VLOOKUP(F347,'Customers (2)'!A:I,6,0)</f>
        <v>Montgomery</v>
      </c>
      <c r="K347" t="str">
        <f>VLOOKUP(F347,'Customers (2)'!A:I,7,0)</f>
        <v>United States</v>
      </c>
      <c r="L347" t="str">
        <f>VLOOKUP(F347,'Customers (2)'!A:I,9,0)</f>
        <v>No</v>
      </c>
      <c r="M347" t="str">
        <f>VLOOKUP(N347,'Products (2)'!A:G,2,0)</f>
        <v>Robusta</v>
      </c>
      <c r="N347" t="s">
        <v>189</v>
      </c>
      <c r="O347" t="str">
        <f>VLOOKUP(N347,'Products (2)'!A:G,3,0)</f>
        <v>Light</v>
      </c>
      <c r="P347">
        <f>VLOOKUP(N347,'Products (2)'!A:G,7,0)</f>
        <v>0.71699999999999997</v>
      </c>
      <c r="Q347">
        <v>5</v>
      </c>
      <c r="R347">
        <f>INDEX([1]products!$A$1:$G$49,MATCH([1]orders!$D347,[1]products!$A$1:$A$49,0),MATCH([1]orders!K$1,[1]products!$A$1:$G$1,0))</f>
        <v>1</v>
      </c>
      <c r="S347">
        <f>INDEX([1]products!$A$1:$G$49,MATCH([1]orders!$D347,[1]products!$A$1:$A$49,0),MATCH([1]orders!L$1,[1]products!$A$1:$G$1,0))</f>
        <v>11.95</v>
      </c>
      <c r="T347">
        <f t="shared" si="31"/>
        <v>59.75</v>
      </c>
      <c r="U347">
        <f t="shared" si="34"/>
        <v>3.585</v>
      </c>
      <c r="V347">
        <f t="shared" si="35"/>
        <v>6</v>
      </c>
    </row>
    <row r="348" spans="1:22" x14ac:dyDescent="0.25">
      <c r="A348" t="s">
        <v>699</v>
      </c>
      <c r="B348">
        <v>44344</v>
      </c>
      <c r="C348" t="str">
        <f t="shared" si="32"/>
        <v>28</v>
      </c>
      <c r="D348" t="str">
        <f t="shared" si="30"/>
        <v>May</v>
      </c>
      <c r="E348" t="str">
        <f t="shared" si="33"/>
        <v>2021</v>
      </c>
      <c r="F348" t="s">
        <v>700</v>
      </c>
      <c r="G348" t="str">
        <f>VLOOKUP(F348,'Customers (2)'!A:I,2,0)</f>
        <v>Rebeka Worg</v>
      </c>
      <c r="H348" t="str">
        <f>VLOOKUP(F348,'Customers (2)'!A:I,3,0)</f>
        <v>rworg9m@arstechnica.com</v>
      </c>
      <c r="I348" t="str">
        <f>VLOOKUP(F348,'Customers (2)'!A:I,4,0)</f>
        <v>+1 (214) 985-2470</v>
      </c>
      <c r="J348" t="str">
        <f>VLOOKUP(F348,'Customers (2)'!A:I,6,0)</f>
        <v>Dallas</v>
      </c>
      <c r="K348" t="str">
        <f>VLOOKUP(F348,'Customers (2)'!A:I,7,0)</f>
        <v>United States</v>
      </c>
      <c r="L348" t="str">
        <f>VLOOKUP(F348,'Customers (2)'!A:I,9,0)</f>
        <v>Yes</v>
      </c>
      <c r="M348" t="str">
        <f>VLOOKUP(N348,'Products (2)'!A:G,2,0)</f>
        <v>Arabica</v>
      </c>
      <c r="N348" t="s">
        <v>192</v>
      </c>
      <c r="O348" t="str">
        <f>VLOOKUP(N348,'Products (2)'!A:G,3,0)</f>
        <v>Light</v>
      </c>
      <c r="P348">
        <f>VLOOKUP(N348,'Products (2)'!A:G,7,0)</f>
        <v>0.69929999999999992</v>
      </c>
      <c r="Q348">
        <v>3</v>
      </c>
      <c r="R348">
        <f>INDEX([1]products!$A$1:$G$49,MATCH([1]orders!$D348,[1]products!$A$1:$A$49,0),MATCH([1]orders!K$1,[1]products!$A$1:$G$1,0))</f>
        <v>0.5</v>
      </c>
      <c r="S348">
        <f>INDEX([1]products!$A$1:$G$49,MATCH([1]orders!$D348,[1]products!$A$1:$A$49,0),MATCH([1]orders!L$1,[1]products!$A$1:$G$1,0))</f>
        <v>7.77</v>
      </c>
      <c r="T348">
        <f t="shared" si="31"/>
        <v>23.31</v>
      </c>
      <c r="U348">
        <f t="shared" si="34"/>
        <v>2.0978999999999997</v>
      </c>
      <c r="V348">
        <f t="shared" si="35"/>
        <v>9</v>
      </c>
    </row>
    <row r="349" spans="1:22" x14ac:dyDescent="0.25">
      <c r="A349" t="s">
        <v>701</v>
      </c>
      <c r="B349">
        <v>44576</v>
      </c>
      <c r="C349" t="str">
        <f t="shared" si="32"/>
        <v>15</v>
      </c>
      <c r="D349" t="str">
        <f t="shared" si="30"/>
        <v>January</v>
      </c>
      <c r="E349" t="str">
        <f t="shared" si="33"/>
        <v>2022</v>
      </c>
      <c r="F349" t="s">
        <v>702</v>
      </c>
      <c r="G349" t="str">
        <f>VLOOKUP(F349,'Customers (2)'!A:I,2,0)</f>
        <v>Lewes Danes</v>
      </c>
      <c r="H349" t="str">
        <f>VLOOKUP(F349,'Customers (2)'!A:I,3,0)</f>
        <v>ldanes9n@umn.edu</v>
      </c>
      <c r="I349" t="str">
        <f>VLOOKUP(F349,'Customers (2)'!A:I,4,0)</f>
        <v>+1 (785) 398-5129</v>
      </c>
      <c r="J349" t="str">
        <f>VLOOKUP(F349,'Customers (2)'!A:I,6,0)</f>
        <v>Topeka</v>
      </c>
      <c r="K349" t="str">
        <f>VLOOKUP(F349,'Customers (2)'!A:I,7,0)</f>
        <v>United States</v>
      </c>
      <c r="L349" t="str">
        <f>VLOOKUP(F349,'Customers (2)'!A:I,9,0)</f>
        <v>No</v>
      </c>
      <c r="M349" t="str">
        <f>VLOOKUP(N349,'Products (2)'!A:G,2,0)</f>
        <v>Liberica</v>
      </c>
      <c r="N349" t="s">
        <v>96</v>
      </c>
      <c r="O349" t="str">
        <f>VLOOKUP(N349,'Products (2)'!A:G,3,0)</f>
        <v>Medium</v>
      </c>
      <c r="P349">
        <f>VLOOKUP(N349,'Products (2)'!A:G,7,0)</f>
        <v>1.8915000000000002</v>
      </c>
      <c r="Q349">
        <v>3</v>
      </c>
      <c r="R349">
        <f>INDEX([1]products!$A$1:$G$49,MATCH([1]orders!$D349,[1]products!$A$1:$A$49,0),MATCH([1]orders!K$1,[1]products!$A$1:$G$1,0))</f>
        <v>1</v>
      </c>
      <c r="S349">
        <f>INDEX([1]products!$A$1:$G$49,MATCH([1]orders!$D349,[1]products!$A$1:$A$49,0),MATCH([1]orders!L$1,[1]products!$A$1:$G$1,0))</f>
        <v>14.55</v>
      </c>
      <c r="T349">
        <f t="shared" si="31"/>
        <v>43.650000000000006</v>
      </c>
      <c r="U349">
        <f t="shared" si="34"/>
        <v>5.6745000000000001</v>
      </c>
      <c r="V349">
        <f t="shared" si="35"/>
        <v>12.999999999999998</v>
      </c>
    </row>
    <row r="350" spans="1:22" x14ac:dyDescent="0.25">
      <c r="A350" t="s">
        <v>703</v>
      </c>
      <c r="B350">
        <v>43803</v>
      </c>
      <c r="C350" t="str">
        <f t="shared" si="32"/>
        <v>04</v>
      </c>
      <c r="D350" t="str">
        <f t="shared" si="30"/>
        <v>December</v>
      </c>
      <c r="E350" t="str">
        <f t="shared" si="33"/>
        <v>2019</v>
      </c>
      <c r="F350" t="s">
        <v>704</v>
      </c>
      <c r="G350" t="str">
        <f>VLOOKUP(F350,'Customers (2)'!A:I,2,0)</f>
        <v>Shelli Keynd</v>
      </c>
      <c r="H350" t="str">
        <f>VLOOKUP(F350,'Customers (2)'!A:I,3,0)</f>
        <v>skeynd9o@narod.ru</v>
      </c>
      <c r="I350" t="str">
        <f>VLOOKUP(F350,'Customers (2)'!A:I,4,0)</f>
        <v>+1 (903) 299-3053</v>
      </c>
      <c r="J350" t="str">
        <f>VLOOKUP(F350,'Customers (2)'!A:I,6,0)</f>
        <v>Tyler</v>
      </c>
      <c r="K350" t="str">
        <f>VLOOKUP(F350,'Customers (2)'!A:I,7,0)</f>
        <v>United States</v>
      </c>
      <c r="L350" t="str">
        <f>VLOOKUP(F350,'Customers (2)'!A:I,9,0)</f>
        <v>No</v>
      </c>
      <c r="M350" t="str">
        <f>VLOOKUP(N350,'Products (2)'!A:G,2,0)</f>
        <v>Excelsa</v>
      </c>
      <c r="N350" t="s">
        <v>30</v>
      </c>
      <c r="O350" t="str">
        <f>VLOOKUP(N350,'Products (2)'!A:G,3,0)</f>
        <v>Light</v>
      </c>
      <c r="P350">
        <f>VLOOKUP(N350,'Products (2)'!A:G,7,0)</f>
        <v>3.7570499999999996</v>
      </c>
      <c r="Q350">
        <v>6</v>
      </c>
      <c r="R350">
        <f>INDEX([1]products!$A$1:$G$49,MATCH([1]orders!$D350,[1]products!$A$1:$A$49,0),MATCH([1]orders!K$1,[1]products!$A$1:$G$1,0))</f>
        <v>2.5</v>
      </c>
      <c r="S350">
        <f>INDEX([1]products!$A$1:$G$49,MATCH([1]orders!$D350,[1]products!$A$1:$A$49,0),MATCH([1]orders!L$1,[1]products!$A$1:$G$1,0))</f>
        <v>34.154999999999994</v>
      </c>
      <c r="T350">
        <f t="shared" si="31"/>
        <v>204.92999999999995</v>
      </c>
      <c r="U350">
        <f t="shared" si="34"/>
        <v>22.542299999999997</v>
      </c>
      <c r="V350">
        <f t="shared" si="35"/>
        <v>11.000000000000002</v>
      </c>
    </row>
    <row r="351" spans="1:22" x14ac:dyDescent="0.25">
      <c r="A351" t="s">
        <v>705</v>
      </c>
      <c r="B351">
        <v>44743</v>
      </c>
      <c r="C351" t="str">
        <f t="shared" si="32"/>
        <v>01</v>
      </c>
      <c r="D351" t="str">
        <f t="shared" si="30"/>
        <v>July</v>
      </c>
      <c r="E351" t="str">
        <f t="shared" si="33"/>
        <v>2022</v>
      </c>
      <c r="F351" t="s">
        <v>706</v>
      </c>
      <c r="G351" t="str">
        <f>VLOOKUP(F351,'Customers (2)'!A:I,2,0)</f>
        <v>Dell Daveridge</v>
      </c>
      <c r="H351" t="str">
        <f>VLOOKUP(F351,'Customers (2)'!A:I,3,0)</f>
        <v>ddaveridge9p@arstechnica.com</v>
      </c>
      <c r="I351" t="str">
        <f>VLOOKUP(F351,'Customers (2)'!A:I,4,0)</f>
        <v>+1 (213) 474-2139</v>
      </c>
      <c r="J351" t="str">
        <f>VLOOKUP(F351,'Customers (2)'!A:I,6,0)</f>
        <v>Los Angeles</v>
      </c>
      <c r="K351" t="str">
        <f>VLOOKUP(F351,'Customers (2)'!A:I,7,0)</f>
        <v>United States</v>
      </c>
      <c r="L351" t="str">
        <f>VLOOKUP(F351,'Customers (2)'!A:I,9,0)</f>
        <v>No</v>
      </c>
      <c r="M351" t="str">
        <f>VLOOKUP(N351,'Products (2)'!A:G,2,0)</f>
        <v>Robusta</v>
      </c>
      <c r="N351" t="s">
        <v>182</v>
      </c>
      <c r="O351" t="str">
        <f>VLOOKUP(N351,'Products (2)'!A:G,3,0)</f>
        <v>Light</v>
      </c>
      <c r="P351">
        <f>VLOOKUP(N351,'Products (2)'!A:G,7,0)</f>
        <v>0.21509999999999996</v>
      </c>
      <c r="Q351">
        <v>4</v>
      </c>
      <c r="R351">
        <f>INDEX([1]products!$A$1:$G$49,MATCH([1]orders!$D351,[1]products!$A$1:$A$49,0),MATCH([1]orders!K$1,[1]products!$A$1:$G$1,0))</f>
        <v>0.2</v>
      </c>
      <c r="S351">
        <f>INDEX([1]products!$A$1:$G$49,MATCH([1]orders!$D351,[1]products!$A$1:$A$49,0),MATCH([1]orders!L$1,[1]products!$A$1:$G$1,0))</f>
        <v>3.5849999999999995</v>
      </c>
      <c r="T351">
        <f t="shared" si="31"/>
        <v>14.339999999999998</v>
      </c>
      <c r="U351">
        <f t="shared" si="34"/>
        <v>0.86039999999999983</v>
      </c>
      <c r="V351">
        <f t="shared" si="35"/>
        <v>6</v>
      </c>
    </row>
    <row r="352" spans="1:22" x14ac:dyDescent="0.25">
      <c r="A352" t="s">
        <v>707</v>
      </c>
      <c r="B352">
        <v>43592</v>
      </c>
      <c r="C352" t="str">
        <f t="shared" si="32"/>
        <v>07</v>
      </c>
      <c r="D352" t="str">
        <f t="shared" si="30"/>
        <v>May</v>
      </c>
      <c r="E352" t="str">
        <f t="shared" si="33"/>
        <v>2019</v>
      </c>
      <c r="F352" t="s">
        <v>708</v>
      </c>
      <c r="G352" t="str">
        <f>VLOOKUP(F352,'Customers (2)'!A:I,2,0)</f>
        <v>Joshuah Awdry</v>
      </c>
      <c r="H352" t="str">
        <f>VLOOKUP(F352,'Customers (2)'!A:I,3,0)</f>
        <v>jawdry9q@utexas.edu</v>
      </c>
      <c r="I352" t="str">
        <f>VLOOKUP(F352,'Customers (2)'!A:I,4,0)</f>
        <v>+1 (318) 747-7610</v>
      </c>
      <c r="J352" t="str">
        <f>VLOOKUP(F352,'Customers (2)'!A:I,6,0)</f>
        <v>Shreveport</v>
      </c>
      <c r="K352" t="str">
        <f>VLOOKUP(F352,'Customers (2)'!A:I,7,0)</f>
        <v>United States</v>
      </c>
      <c r="L352" t="str">
        <f>VLOOKUP(F352,'Customers (2)'!A:I,9,0)</f>
        <v>No</v>
      </c>
      <c r="M352" t="str">
        <f>VLOOKUP(N352,'Products (2)'!A:G,2,0)</f>
        <v>Arabica</v>
      </c>
      <c r="N352" t="s">
        <v>72</v>
      </c>
      <c r="O352" t="str">
        <f>VLOOKUP(N352,'Products (2)'!A:G,3,0)</f>
        <v>Dark</v>
      </c>
      <c r="P352">
        <f>VLOOKUP(N352,'Products (2)'!A:G,7,0)</f>
        <v>0.5373</v>
      </c>
      <c r="Q352">
        <v>4</v>
      </c>
      <c r="R352">
        <f>INDEX([1]products!$A$1:$G$49,MATCH([1]orders!$D352,[1]products!$A$1:$A$49,0),MATCH([1]orders!K$1,[1]products!$A$1:$G$1,0))</f>
        <v>0.5</v>
      </c>
      <c r="S352">
        <f>INDEX([1]products!$A$1:$G$49,MATCH([1]orders!$D352,[1]products!$A$1:$A$49,0),MATCH([1]orders!L$1,[1]products!$A$1:$G$1,0))</f>
        <v>5.97</v>
      </c>
      <c r="T352">
        <f t="shared" si="31"/>
        <v>23.88</v>
      </c>
      <c r="U352">
        <f t="shared" si="34"/>
        <v>2.1492</v>
      </c>
      <c r="V352">
        <f t="shared" si="35"/>
        <v>9.0000000000000018</v>
      </c>
    </row>
    <row r="353" spans="1:22" x14ac:dyDescent="0.25">
      <c r="A353" t="s">
        <v>709</v>
      </c>
      <c r="B353">
        <v>44066</v>
      </c>
      <c r="C353" t="str">
        <f t="shared" si="32"/>
        <v>23</v>
      </c>
      <c r="D353" t="str">
        <f t="shared" si="30"/>
        <v>August</v>
      </c>
      <c r="E353" t="str">
        <f t="shared" si="33"/>
        <v>2020</v>
      </c>
      <c r="F353" t="s">
        <v>710</v>
      </c>
      <c r="G353" t="str">
        <f>VLOOKUP(F353,'Customers (2)'!A:I,2,0)</f>
        <v>Ethel Ryles</v>
      </c>
      <c r="H353" t="str">
        <f>VLOOKUP(F353,'Customers (2)'!A:I,3,0)</f>
        <v>eryles9r@fastcompany.com</v>
      </c>
      <c r="I353" t="str">
        <f>VLOOKUP(F353,'Customers (2)'!A:I,4,0)</f>
        <v>+1 (208) 760-1705</v>
      </c>
      <c r="J353" t="str">
        <f>VLOOKUP(F353,'Customers (2)'!A:I,6,0)</f>
        <v>Boise</v>
      </c>
      <c r="K353" t="str">
        <f>VLOOKUP(F353,'Customers (2)'!A:I,7,0)</f>
        <v>United States</v>
      </c>
      <c r="L353" t="str">
        <f>VLOOKUP(F353,'Customers (2)'!A:I,9,0)</f>
        <v>No</v>
      </c>
      <c r="M353" t="str">
        <f>VLOOKUP(N353,'Products (2)'!A:G,2,0)</f>
        <v>Arabica</v>
      </c>
      <c r="N353" t="s">
        <v>61</v>
      </c>
      <c r="O353" t="str">
        <f>VLOOKUP(N353,'Products (2)'!A:G,3,0)</f>
        <v>Medium</v>
      </c>
      <c r="P353">
        <f>VLOOKUP(N353,'Products (2)'!A:G,7,0)</f>
        <v>1.0125</v>
      </c>
      <c r="Q353">
        <v>2</v>
      </c>
      <c r="R353">
        <f>INDEX([1]products!$A$1:$G$49,MATCH([1]orders!$D353,[1]products!$A$1:$A$49,0),MATCH([1]orders!K$1,[1]products!$A$1:$G$1,0))</f>
        <v>1</v>
      </c>
      <c r="S353">
        <f>INDEX([1]products!$A$1:$G$49,MATCH([1]orders!$D353,[1]products!$A$1:$A$49,0),MATCH([1]orders!L$1,[1]products!$A$1:$G$1,0))</f>
        <v>11.25</v>
      </c>
      <c r="T353">
        <f t="shared" si="31"/>
        <v>22.5</v>
      </c>
      <c r="U353">
        <f t="shared" si="34"/>
        <v>2.0249999999999999</v>
      </c>
      <c r="V353">
        <f t="shared" si="35"/>
        <v>9</v>
      </c>
    </row>
    <row r="354" spans="1:22" x14ac:dyDescent="0.25">
      <c r="A354" t="s">
        <v>711</v>
      </c>
      <c r="B354">
        <v>43984</v>
      </c>
      <c r="C354" t="str">
        <f t="shared" si="32"/>
        <v>02</v>
      </c>
      <c r="D354" t="str">
        <f t="shared" si="30"/>
        <v>June</v>
      </c>
      <c r="E354" t="str">
        <f t="shared" si="33"/>
        <v>2020</v>
      </c>
      <c r="F354" t="s">
        <v>664</v>
      </c>
      <c r="G354" t="str">
        <f>VLOOKUP(F354,'Customers (2)'!A:I,2,0)</f>
        <v>Flynn Antony</v>
      </c>
      <c r="H354">
        <f>VLOOKUP(F354,'Customers (2)'!A:I,3,0)</f>
        <v>0</v>
      </c>
      <c r="I354" t="str">
        <f>VLOOKUP(F354,'Customers (2)'!A:I,4,0)</f>
        <v>+1 (205) 680-5859</v>
      </c>
      <c r="J354" t="str">
        <f>VLOOKUP(F354,'Customers (2)'!A:I,6,0)</f>
        <v>Birmingham</v>
      </c>
      <c r="K354" t="str">
        <f>VLOOKUP(F354,'Customers (2)'!A:I,7,0)</f>
        <v>United States</v>
      </c>
      <c r="L354" t="str">
        <f>VLOOKUP(F354,'Customers (2)'!A:I,9,0)</f>
        <v>No</v>
      </c>
      <c r="M354" t="str">
        <f>VLOOKUP(N354,'Products (2)'!A:G,2,0)</f>
        <v>Excelsa</v>
      </c>
      <c r="N354" t="s">
        <v>16</v>
      </c>
      <c r="O354" t="str">
        <f>VLOOKUP(N354,'Products (2)'!A:G,3,0)</f>
        <v>Dark</v>
      </c>
      <c r="P354">
        <f>VLOOKUP(N354,'Products (2)'!A:G,7,0)</f>
        <v>0.80190000000000006</v>
      </c>
      <c r="Q354">
        <v>5</v>
      </c>
      <c r="R354">
        <f>INDEX([1]products!$A$1:$G$49,MATCH([1]orders!$D354,[1]products!$A$1:$A$49,0),MATCH([1]orders!K$1,[1]products!$A$1:$G$1,0))</f>
        <v>0.5</v>
      </c>
      <c r="S354">
        <f>INDEX([1]products!$A$1:$G$49,MATCH([1]orders!$D354,[1]products!$A$1:$A$49,0),MATCH([1]orders!L$1,[1]products!$A$1:$G$1,0))</f>
        <v>7.29</v>
      </c>
      <c r="T354">
        <f t="shared" si="31"/>
        <v>36.450000000000003</v>
      </c>
      <c r="U354">
        <f t="shared" si="34"/>
        <v>4.0095000000000001</v>
      </c>
      <c r="V354">
        <f t="shared" si="35"/>
        <v>10.999999999999998</v>
      </c>
    </row>
    <row r="355" spans="1:22" x14ac:dyDescent="0.25">
      <c r="A355" t="s">
        <v>712</v>
      </c>
      <c r="B355">
        <v>43860</v>
      </c>
      <c r="C355" t="str">
        <f t="shared" si="32"/>
        <v>30</v>
      </c>
      <c r="D355" t="str">
        <f t="shared" si="30"/>
        <v>January</v>
      </c>
      <c r="E355" t="str">
        <f t="shared" si="33"/>
        <v>2020</v>
      </c>
      <c r="F355" t="s">
        <v>713</v>
      </c>
      <c r="G355" t="str">
        <f>VLOOKUP(F355,'Customers (2)'!A:I,2,0)</f>
        <v>Maitilde Boxill</v>
      </c>
      <c r="H355">
        <f>VLOOKUP(F355,'Customers (2)'!A:I,3,0)</f>
        <v>0</v>
      </c>
      <c r="I355" t="str">
        <f>VLOOKUP(F355,'Customers (2)'!A:I,4,0)</f>
        <v>+1 (334) 191-0127</v>
      </c>
      <c r="J355" t="str">
        <f>VLOOKUP(F355,'Customers (2)'!A:I,6,0)</f>
        <v>Montgomery</v>
      </c>
      <c r="K355" t="str">
        <f>VLOOKUP(F355,'Customers (2)'!A:I,7,0)</f>
        <v>United States</v>
      </c>
      <c r="L355" t="str">
        <f>VLOOKUP(F355,'Customers (2)'!A:I,9,0)</f>
        <v>Yes</v>
      </c>
      <c r="M355" t="str">
        <f>VLOOKUP(N355,'Products (2)'!A:G,2,0)</f>
        <v>Arabica</v>
      </c>
      <c r="N355" t="s">
        <v>67</v>
      </c>
      <c r="O355" t="str">
        <f>VLOOKUP(N355,'Products (2)'!A:G,3,0)</f>
        <v>Medium</v>
      </c>
      <c r="P355">
        <f>VLOOKUP(N355,'Products (2)'!A:G,7,0)</f>
        <v>0.60749999999999993</v>
      </c>
      <c r="Q355">
        <v>4</v>
      </c>
      <c r="R355">
        <f>INDEX([1]products!$A$1:$G$49,MATCH([1]orders!$D355,[1]products!$A$1:$A$49,0),MATCH([1]orders!K$1,[1]products!$A$1:$G$1,0))</f>
        <v>0.5</v>
      </c>
      <c r="S355">
        <f>INDEX([1]products!$A$1:$G$49,MATCH([1]orders!$D355,[1]products!$A$1:$A$49,0),MATCH([1]orders!L$1,[1]products!$A$1:$G$1,0))</f>
        <v>6.75</v>
      </c>
      <c r="T355">
        <f t="shared" si="31"/>
        <v>27</v>
      </c>
      <c r="U355">
        <f t="shared" si="34"/>
        <v>2.4299999999999997</v>
      </c>
      <c r="V355">
        <f t="shared" si="35"/>
        <v>8.9999999999999982</v>
      </c>
    </row>
    <row r="356" spans="1:22" x14ac:dyDescent="0.25">
      <c r="A356" t="s">
        <v>714</v>
      </c>
      <c r="B356">
        <v>43876</v>
      </c>
      <c r="C356" t="str">
        <f t="shared" si="32"/>
        <v>15</v>
      </c>
      <c r="D356" t="str">
        <f t="shared" si="30"/>
        <v>February</v>
      </c>
      <c r="E356" t="str">
        <f t="shared" si="33"/>
        <v>2020</v>
      </c>
      <c r="F356" t="s">
        <v>715</v>
      </c>
      <c r="G356" t="str">
        <f>VLOOKUP(F356,'Customers (2)'!A:I,2,0)</f>
        <v>Jodee Caldicott</v>
      </c>
      <c r="H356" t="str">
        <f>VLOOKUP(F356,'Customers (2)'!A:I,3,0)</f>
        <v>jcaldicott9u@usda.gov</v>
      </c>
      <c r="I356">
        <f>VLOOKUP(F356,'Customers (2)'!A:I,4,0)</f>
        <v>0</v>
      </c>
      <c r="J356" t="str">
        <f>VLOOKUP(F356,'Customers (2)'!A:I,6,0)</f>
        <v>Fort Pierce</v>
      </c>
      <c r="K356" t="str">
        <f>VLOOKUP(F356,'Customers (2)'!A:I,7,0)</f>
        <v>United States</v>
      </c>
      <c r="L356" t="str">
        <f>VLOOKUP(F356,'Customers (2)'!A:I,9,0)</f>
        <v>No</v>
      </c>
      <c r="M356" t="str">
        <f>VLOOKUP(N356,'Products (2)'!A:G,2,0)</f>
        <v>Arabica</v>
      </c>
      <c r="N356" t="s">
        <v>171</v>
      </c>
      <c r="O356" t="str">
        <f>VLOOKUP(N356,'Products (2)'!A:G,3,0)</f>
        <v>Medium</v>
      </c>
      <c r="P356">
        <f>VLOOKUP(N356,'Products (2)'!A:G,7,0)</f>
        <v>2.3287499999999994</v>
      </c>
      <c r="Q356">
        <v>6</v>
      </c>
      <c r="R356">
        <f>INDEX([1]products!$A$1:$G$49,MATCH([1]orders!$D356,[1]products!$A$1:$A$49,0),MATCH([1]orders!K$1,[1]products!$A$1:$G$1,0))</f>
        <v>2.5</v>
      </c>
      <c r="S356">
        <f>INDEX([1]products!$A$1:$G$49,MATCH([1]orders!$D356,[1]products!$A$1:$A$49,0),MATCH([1]orders!L$1,[1]products!$A$1:$G$1,0))</f>
        <v>25.874999999999996</v>
      </c>
      <c r="T356">
        <f t="shared" si="31"/>
        <v>155.24999999999997</v>
      </c>
      <c r="U356">
        <f t="shared" si="34"/>
        <v>13.972499999999997</v>
      </c>
      <c r="V356">
        <f t="shared" si="35"/>
        <v>9</v>
      </c>
    </row>
    <row r="357" spans="1:22" x14ac:dyDescent="0.25">
      <c r="A357" t="s">
        <v>716</v>
      </c>
      <c r="B357">
        <v>44358</v>
      </c>
      <c r="C357" t="str">
        <f t="shared" si="32"/>
        <v>11</v>
      </c>
      <c r="D357" t="str">
        <f t="shared" si="30"/>
        <v>June</v>
      </c>
      <c r="E357" t="str">
        <f t="shared" si="33"/>
        <v>2021</v>
      </c>
      <c r="F357" t="s">
        <v>717</v>
      </c>
      <c r="G357" t="str">
        <f>VLOOKUP(F357,'Customers (2)'!A:I,2,0)</f>
        <v>Marianna Vedmore</v>
      </c>
      <c r="H357" t="str">
        <f>VLOOKUP(F357,'Customers (2)'!A:I,3,0)</f>
        <v>mvedmore9v@a8.net</v>
      </c>
      <c r="I357" t="str">
        <f>VLOOKUP(F357,'Customers (2)'!A:I,4,0)</f>
        <v>+1 (336) 366-8873</v>
      </c>
      <c r="J357" t="str">
        <f>VLOOKUP(F357,'Customers (2)'!A:I,6,0)</f>
        <v>Greensboro</v>
      </c>
      <c r="K357" t="str">
        <f>VLOOKUP(F357,'Customers (2)'!A:I,7,0)</f>
        <v>United States</v>
      </c>
      <c r="L357" t="str">
        <f>VLOOKUP(F357,'Customers (2)'!A:I,9,0)</f>
        <v>Yes</v>
      </c>
      <c r="M357" t="str">
        <f>VLOOKUP(N357,'Products (2)'!A:G,2,0)</f>
        <v>Arabica</v>
      </c>
      <c r="N357" t="s">
        <v>118</v>
      </c>
      <c r="O357" t="str">
        <f>VLOOKUP(N357,'Products (2)'!A:G,3,0)</f>
        <v>Dark</v>
      </c>
      <c r="P357">
        <f>VLOOKUP(N357,'Products (2)'!A:G,7,0)</f>
        <v>2.0596499999999995</v>
      </c>
      <c r="Q357">
        <v>5</v>
      </c>
      <c r="R357">
        <f>INDEX([1]products!$A$1:$G$49,MATCH([1]orders!$D357,[1]products!$A$1:$A$49,0),MATCH([1]orders!K$1,[1]products!$A$1:$G$1,0))</f>
        <v>2.5</v>
      </c>
      <c r="S357">
        <f>INDEX([1]products!$A$1:$G$49,MATCH([1]orders!$D357,[1]products!$A$1:$A$49,0),MATCH([1]orders!L$1,[1]products!$A$1:$G$1,0))</f>
        <v>22.884999999999998</v>
      </c>
      <c r="T357">
        <f t="shared" si="31"/>
        <v>114.42499999999998</v>
      </c>
      <c r="U357">
        <f t="shared" si="34"/>
        <v>10.298249999999998</v>
      </c>
      <c r="V357">
        <f t="shared" si="35"/>
        <v>9</v>
      </c>
    </row>
    <row r="358" spans="1:22" x14ac:dyDescent="0.25">
      <c r="A358" t="s">
        <v>718</v>
      </c>
      <c r="B358">
        <v>44631</v>
      </c>
      <c r="C358" t="str">
        <f t="shared" si="32"/>
        <v>11</v>
      </c>
      <c r="D358" t="str">
        <f t="shared" si="30"/>
        <v>March</v>
      </c>
      <c r="E358" t="str">
        <f t="shared" si="33"/>
        <v>2022</v>
      </c>
      <c r="F358" t="s">
        <v>719</v>
      </c>
      <c r="G358" t="str">
        <f>VLOOKUP(F358,'Customers (2)'!A:I,2,0)</f>
        <v>Willey Romao</v>
      </c>
      <c r="H358" t="str">
        <f>VLOOKUP(F358,'Customers (2)'!A:I,3,0)</f>
        <v>wromao9w@chronoengine.com</v>
      </c>
      <c r="I358" t="str">
        <f>VLOOKUP(F358,'Customers (2)'!A:I,4,0)</f>
        <v>+1 (916) 623-2394</v>
      </c>
      <c r="J358" t="str">
        <f>VLOOKUP(F358,'Customers (2)'!A:I,6,0)</f>
        <v>Sacramento</v>
      </c>
      <c r="K358" t="str">
        <f>VLOOKUP(F358,'Customers (2)'!A:I,7,0)</f>
        <v>United States</v>
      </c>
      <c r="L358" t="str">
        <f>VLOOKUP(F358,'Customers (2)'!A:I,9,0)</f>
        <v>Yes</v>
      </c>
      <c r="M358" t="str">
        <f>VLOOKUP(N358,'Products (2)'!A:G,2,0)</f>
        <v>Liberica</v>
      </c>
      <c r="N358" t="s">
        <v>13</v>
      </c>
      <c r="O358" t="str">
        <f>VLOOKUP(N358,'Products (2)'!A:G,3,0)</f>
        <v>Dark</v>
      </c>
      <c r="P358">
        <f>VLOOKUP(N358,'Products (2)'!A:G,7,0)</f>
        <v>1.6835</v>
      </c>
      <c r="Q358">
        <v>4</v>
      </c>
      <c r="R358">
        <f>INDEX([1]products!$A$1:$G$49,MATCH([1]orders!$D358,[1]products!$A$1:$A$49,0),MATCH([1]orders!K$1,[1]products!$A$1:$G$1,0))</f>
        <v>1</v>
      </c>
      <c r="S358">
        <f>INDEX([1]products!$A$1:$G$49,MATCH([1]orders!$D358,[1]products!$A$1:$A$49,0),MATCH([1]orders!L$1,[1]products!$A$1:$G$1,0))</f>
        <v>12.95</v>
      </c>
      <c r="T358">
        <f t="shared" si="31"/>
        <v>51.8</v>
      </c>
      <c r="U358">
        <f t="shared" si="34"/>
        <v>6.734</v>
      </c>
      <c r="V358">
        <f t="shared" si="35"/>
        <v>13</v>
      </c>
    </row>
    <row r="359" spans="1:22" x14ac:dyDescent="0.25">
      <c r="A359" t="s">
        <v>720</v>
      </c>
      <c r="B359">
        <v>44448</v>
      </c>
      <c r="C359" t="str">
        <f t="shared" si="32"/>
        <v>09</v>
      </c>
      <c r="D359" t="str">
        <f t="shared" si="30"/>
        <v>September</v>
      </c>
      <c r="E359" t="str">
        <f t="shared" si="33"/>
        <v>2021</v>
      </c>
      <c r="F359" t="s">
        <v>721</v>
      </c>
      <c r="G359" t="str">
        <f>VLOOKUP(F359,'Customers (2)'!A:I,2,0)</f>
        <v>Enriqueta Ixor</v>
      </c>
      <c r="H359">
        <f>VLOOKUP(F359,'Customers (2)'!A:I,3,0)</f>
        <v>0</v>
      </c>
      <c r="I359" t="str">
        <f>VLOOKUP(F359,'Customers (2)'!A:I,4,0)</f>
        <v>+1 (512) 200-9234</v>
      </c>
      <c r="J359" t="str">
        <f>VLOOKUP(F359,'Customers (2)'!A:I,6,0)</f>
        <v>Round Rock</v>
      </c>
      <c r="K359" t="str">
        <f>VLOOKUP(F359,'Customers (2)'!A:I,7,0)</f>
        <v>United States</v>
      </c>
      <c r="L359" t="str">
        <f>VLOOKUP(F359,'Customers (2)'!A:I,9,0)</f>
        <v>No</v>
      </c>
      <c r="M359" t="str">
        <f>VLOOKUP(N359,'Products (2)'!A:G,2,0)</f>
        <v>Arabica</v>
      </c>
      <c r="N359" t="s">
        <v>171</v>
      </c>
      <c r="O359" t="str">
        <f>VLOOKUP(N359,'Products (2)'!A:G,3,0)</f>
        <v>Medium</v>
      </c>
      <c r="P359">
        <f>VLOOKUP(N359,'Products (2)'!A:G,7,0)</f>
        <v>2.3287499999999994</v>
      </c>
      <c r="Q359">
        <v>6</v>
      </c>
      <c r="R359">
        <f>INDEX([1]products!$A$1:$G$49,MATCH([1]orders!$D359,[1]products!$A$1:$A$49,0),MATCH([1]orders!K$1,[1]products!$A$1:$G$1,0))</f>
        <v>2.5</v>
      </c>
      <c r="S359">
        <f>INDEX([1]products!$A$1:$G$49,MATCH([1]orders!$D359,[1]products!$A$1:$A$49,0),MATCH([1]orders!L$1,[1]products!$A$1:$G$1,0))</f>
        <v>25.874999999999996</v>
      </c>
      <c r="T359">
        <f t="shared" si="31"/>
        <v>155.24999999999997</v>
      </c>
      <c r="U359">
        <f t="shared" si="34"/>
        <v>13.972499999999997</v>
      </c>
      <c r="V359">
        <f t="shared" si="35"/>
        <v>9</v>
      </c>
    </row>
    <row r="360" spans="1:22" x14ac:dyDescent="0.25">
      <c r="A360" t="s">
        <v>722</v>
      </c>
      <c r="B360">
        <v>43599</v>
      </c>
      <c r="C360" t="str">
        <f t="shared" si="32"/>
        <v>14</v>
      </c>
      <c r="D360" t="str">
        <f t="shared" si="30"/>
        <v>May</v>
      </c>
      <c r="E360" t="str">
        <f t="shared" si="33"/>
        <v>2019</v>
      </c>
      <c r="F360" t="s">
        <v>723</v>
      </c>
      <c r="G360" t="str">
        <f>VLOOKUP(F360,'Customers (2)'!A:I,2,0)</f>
        <v>Tomasina Cotmore</v>
      </c>
      <c r="H360" t="str">
        <f>VLOOKUP(F360,'Customers (2)'!A:I,3,0)</f>
        <v>tcotmore9y@amazonaws.com</v>
      </c>
      <c r="I360" t="str">
        <f>VLOOKUP(F360,'Customers (2)'!A:I,4,0)</f>
        <v>+1 (571) 250-3012</v>
      </c>
      <c r="J360" t="str">
        <f>VLOOKUP(F360,'Customers (2)'!A:I,6,0)</f>
        <v>Reston</v>
      </c>
      <c r="K360" t="str">
        <f>VLOOKUP(F360,'Customers (2)'!A:I,7,0)</f>
        <v>United States</v>
      </c>
      <c r="L360" t="str">
        <f>VLOOKUP(F360,'Customers (2)'!A:I,9,0)</f>
        <v>No</v>
      </c>
      <c r="M360" t="str">
        <f>VLOOKUP(N360,'Products (2)'!A:G,2,0)</f>
        <v>Arabica</v>
      </c>
      <c r="N360" t="s">
        <v>204</v>
      </c>
      <c r="O360" t="str">
        <f>VLOOKUP(N360,'Products (2)'!A:G,3,0)</f>
        <v>Light</v>
      </c>
      <c r="P360">
        <f>VLOOKUP(N360,'Products (2)'!A:G,7,0)</f>
        <v>2.6806499999999995</v>
      </c>
      <c r="Q360">
        <v>1</v>
      </c>
      <c r="R360">
        <f>INDEX([1]products!$A$1:$G$49,MATCH([1]orders!$D360,[1]products!$A$1:$A$49,0),MATCH([1]orders!K$1,[1]products!$A$1:$G$1,0))</f>
        <v>2.5</v>
      </c>
      <c r="S360">
        <f>INDEX([1]products!$A$1:$G$49,MATCH([1]orders!$D360,[1]products!$A$1:$A$49,0),MATCH([1]orders!L$1,[1]products!$A$1:$G$1,0))</f>
        <v>29.784999999999997</v>
      </c>
      <c r="T360">
        <f t="shared" si="31"/>
        <v>29.784999999999997</v>
      </c>
      <c r="U360">
        <f t="shared" si="34"/>
        <v>2.6806499999999995</v>
      </c>
      <c r="V360">
        <f t="shared" si="35"/>
        <v>9</v>
      </c>
    </row>
    <row r="361" spans="1:22" x14ac:dyDescent="0.25">
      <c r="A361" t="s">
        <v>724</v>
      </c>
      <c r="B361">
        <v>43563</v>
      </c>
      <c r="C361" t="str">
        <f t="shared" si="32"/>
        <v>08</v>
      </c>
      <c r="D361" t="str">
        <f t="shared" si="30"/>
        <v>April</v>
      </c>
      <c r="E361" t="str">
        <f t="shared" si="33"/>
        <v>2019</v>
      </c>
      <c r="F361" t="s">
        <v>725</v>
      </c>
      <c r="G361" t="str">
        <f>VLOOKUP(F361,'Customers (2)'!A:I,2,0)</f>
        <v>Yuma Skipsey</v>
      </c>
      <c r="H361" t="str">
        <f>VLOOKUP(F361,'Customers (2)'!A:I,3,0)</f>
        <v>yskipsey9z@spotify.com</v>
      </c>
      <c r="I361" t="str">
        <f>VLOOKUP(F361,'Customers (2)'!A:I,4,0)</f>
        <v>+44 (257) 759-9950</v>
      </c>
      <c r="J361" t="str">
        <f>VLOOKUP(F361,'Customers (2)'!A:I,6,0)</f>
        <v>Charlton</v>
      </c>
      <c r="K361" t="str">
        <f>VLOOKUP(F361,'Customers (2)'!A:I,7,0)</f>
        <v>United Kingdom</v>
      </c>
      <c r="L361" t="str">
        <f>VLOOKUP(F361,'Customers (2)'!A:I,9,0)</f>
        <v>No</v>
      </c>
      <c r="M361" t="str">
        <f>VLOOKUP(N361,'Products (2)'!A:G,2,0)</f>
        <v>Robusta</v>
      </c>
      <c r="N361" t="s">
        <v>182</v>
      </c>
      <c r="O361" t="str">
        <f>VLOOKUP(N361,'Products (2)'!A:G,3,0)</f>
        <v>Light</v>
      </c>
      <c r="P361">
        <f>VLOOKUP(N361,'Products (2)'!A:G,7,0)</f>
        <v>0.21509999999999996</v>
      </c>
      <c r="Q361">
        <v>6</v>
      </c>
      <c r="R361">
        <f>INDEX([1]products!$A$1:$G$49,MATCH([1]orders!$D361,[1]products!$A$1:$A$49,0),MATCH([1]orders!K$1,[1]products!$A$1:$G$1,0))</f>
        <v>0.2</v>
      </c>
      <c r="S361">
        <f>INDEX([1]products!$A$1:$G$49,MATCH([1]orders!$D361,[1]products!$A$1:$A$49,0),MATCH([1]orders!L$1,[1]products!$A$1:$G$1,0))</f>
        <v>3.5849999999999995</v>
      </c>
      <c r="T361">
        <f t="shared" si="31"/>
        <v>21.509999999999998</v>
      </c>
      <c r="U361">
        <f t="shared" si="34"/>
        <v>1.2905999999999997</v>
      </c>
      <c r="V361">
        <f t="shared" si="35"/>
        <v>5.9999999999999991</v>
      </c>
    </row>
    <row r="362" spans="1:22" x14ac:dyDescent="0.25">
      <c r="A362" t="s">
        <v>726</v>
      </c>
      <c r="B362">
        <v>44058</v>
      </c>
      <c r="C362" t="str">
        <f t="shared" si="32"/>
        <v>15</v>
      </c>
      <c r="D362" t="str">
        <f t="shared" si="30"/>
        <v>August</v>
      </c>
      <c r="E362" t="str">
        <f t="shared" si="33"/>
        <v>2020</v>
      </c>
      <c r="F362" t="s">
        <v>727</v>
      </c>
      <c r="G362" t="str">
        <f>VLOOKUP(F362,'Customers (2)'!A:I,2,0)</f>
        <v>Nicko Corps</v>
      </c>
      <c r="H362" t="str">
        <f>VLOOKUP(F362,'Customers (2)'!A:I,3,0)</f>
        <v>ncorpsa0@gmpg.org</v>
      </c>
      <c r="I362" t="str">
        <f>VLOOKUP(F362,'Customers (2)'!A:I,4,0)</f>
        <v>+1 (803) 730-8217</v>
      </c>
      <c r="J362" t="str">
        <f>VLOOKUP(F362,'Customers (2)'!A:I,6,0)</f>
        <v>Columbia</v>
      </c>
      <c r="K362" t="str">
        <f>VLOOKUP(F362,'Customers (2)'!A:I,7,0)</f>
        <v>United States</v>
      </c>
      <c r="L362" t="str">
        <f>VLOOKUP(F362,'Customers (2)'!A:I,9,0)</f>
        <v>No</v>
      </c>
      <c r="M362" t="str">
        <f>VLOOKUP(N362,'Products (2)'!A:G,2,0)</f>
        <v>Robusta</v>
      </c>
      <c r="N362" t="s">
        <v>35</v>
      </c>
      <c r="O362" t="str">
        <f>VLOOKUP(N362,'Products (2)'!A:G,3,0)</f>
        <v>Dark</v>
      </c>
      <c r="P362">
        <f>VLOOKUP(N362,'Products (2)'!A:G,7,0)</f>
        <v>1.2350999999999999</v>
      </c>
      <c r="Q362">
        <v>2</v>
      </c>
      <c r="R362">
        <f>INDEX([1]products!$A$1:$G$49,MATCH([1]orders!$D362,[1]products!$A$1:$A$49,0),MATCH([1]orders!K$1,[1]products!$A$1:$G$1,0))</f>
        <v>2.5</v>
      </c>
      <c r="S362">
        <f>INDEX([1]products!$A$1:$G$49,MATCH([1]orders!$D362,[1]products!$A$1:$A$49,0),MATCH([1]orders!L$1,[1]products!$A$1:$G$1,0))</f>
        <v>20.584999999999997</v>
      </c>
      <c r="T362">
        <f t="shared" si="31"/>
        <v>41.169999999999995</v>
      </c>
      <c r="U362">
        <f t="shared" si="34"/>
        <v>2.4701999999999997</v>
      </c>
      <c r="V362">
        <f t="shared" si="35"/>
        <v>6.0000000000000009</v>
      </c>
    </row>
    <row r="363" spans="1:22" x14ac:dyDescent="0.25">
      <c r="A363" t="s">
        <v>726</v>
      </c>
      <c r="B363">
        <v>44058</v>
      </c>
      <c r="C363" t="str">
        <f t="shared" si="32"/>
        <v>15</v>
      </c>
      <c r="D363" t="str">
        <f t="shared" si="30"/>
        <v>August</v>
      </c>
      <c r="E363" t="str">
        <f t="shared" si="33"/>
        <v>2020</v>
      </c>
      <c r="F363" t="s">
        <v>727</v>
      </c>
      <c r="G363" t="str">
        <f>VLOOKUP(F363,'Customers (2)'!A:I,2,0)</f>
        <v>Nicko Corps</v>
      </c>
      <c r="H363" t="str">
        <f>VLOOKUP(F363,'Customers (2)'!A:I,3,0)</f>
        <v>ncorpsa0@gmpg.org</v>
      </c>
      <c r="I363" t="str">
        <f>VLOOKUP(F363,'Customers (2)'!A:I,4,0)</f>
        <v>+1 (803) 730-8217</v>
      </c>
      <c r="J363" t="str">
        <f>VLOOKUP(F363,'Customers (2)'!A:I,6,0)</f>
        <v>Columbia</v>
      </c>
      <c r="K363" t="str">
        <f>VLOOKUP(F363,'Customers (2)'!A:I,7,0)</f>
        <v>United States</v>
      </c>
      <c r="L363" t="str">
        <f>VLOOKUP(F363,'Customers (2)'!A:I,9,0)</f>
        <v>No</v>
      </c>
      <c r="M363" t="str">
        <f>VLOOKUP(N363,'Products (2)'!A:G,2,0)</f>
        <v>Robusta</v>
      </c>
      <c r="N363" t="s">
        <v>22</v>
      </c>
      <c r="O363" t="str">
        <f>VLOOKUP(N363,'Products (2)'!A:G,3,0)</f>
        <v>Medium</v>
      </c>
      <c r="P363">
        <f>VLOOKUP(N363,'Products (2)'!A:G,7,0)</f>
        <v>0.35819999999999996</v>
      </c>
      <c r="Q363">
        <v>1</v>
      </c>
      <c r="R363">
        <f>INDEX([1]products!$A$1:$G$49,MATCH([1]orders!$D363,[1]products!$A$1:$A$49,0),MATCH([1]orders!K$1,[1]products!$A$1:$G$1,0))</f>
        <v>0.5</v>
      </c>
      <c r="S363">
        <f>INDEX([1]products!$A$1:$G$49,MATCH([1]orders!$D363,[1]products!$A$1:$A$49,0),MATCH([1]orders!L$1,[1]products!$A$1:$G$1,0))</f>
        <v>5.97</v>
      </c>
      <c r="T363">
        <f t="shared" si="31"/>
        <v>5.97</v>
      </c>
      <c r="U363">
        <f t="shared" si="34"/>
        <v>0.35819999999999996</v>
      </c>
      <c r="V363">
        <f t="shared" si="35"/>
        <v>6</v>
      </c>
    </row>
    <row r="364" spans="1:22" x14ac:dyDescent="0.25">
      <c r="A364" t="s">
        <v>728</v>
      </c>
      <c r="B364">
        <v>44686</v>
      </c>
      <c r="C364" t="str">
        <f t="shared" si="32"/>
        <v>05</v>
      </c>
      <c r="D364" t="str">
        <f t="shared" si="30"/>
        <v>May</v>
      </c>
      <c r="E364" t="str">
        <f t="shared" si="33"/>
        <v>2022</v>
      </c>
      <c r="F364" t="s">
        <v>729</v>
      </c>
      <c r="G364" t="str">
        <f>VLOOKUP(F364,'Customers (2)'!A:I,2,0)</f>
        <v>Feliks Babber</v>
      </c>
      <c r="H364" t="str">
        <f>VLOOKUP(F364,'Customers (2)'!A:I,3,0)</f>
        <v>fbabbera2@stanford.edu</v>
      </c>
      <c r="I364" t="str">
        <f>VLOOKUP(F364,'Customers (2)'!A:I,4,0)</f>
        <v>+1 (623) 550-6050</v>
      </c>
      <c r="J364" t="str">
        <f>VLOOKUP(F364,'Customers (2)'!A:I,6,0)</f>
        <v>Phoenix</v>
      </c>
      <c r="K364" t="str">
        <f>VLOOKUP(F364,'Customers (2)'!A:I,7,0)</f>
        <v>United States</v>
      </c>
      <c r="L364" t="str">
        <f>VLOOKUP(F364,'Customers (2)'!A:I,9,0)</f>
        <v>Yes</v>
      </c>
      <c r="M364" t="str">
        <f>VLOOKUP(N364,'Products (2)'!A:G,2,0)</f>
        <v>Excelsa</v>
      </c>
      <c r="N364" t="s">
        <v>137</v>
      </c>
      <c r="O364" t="str">
        <f>VLOOKUP(N364,'Products (2)'!A:G,3,0)</f>
        <v>Light</v>
      </c>
      <c r="P364">
        <f>VLOOKUP(N364,'Products (2)'!A:G,7,0)</f>
        <v>1.6335</v>
      </c>
      <c r="Q364">
        <v>5</v>
      </c>
      <c r="R364">
        <f>INDEX([1]products!$A$1:$G$49,MATCH([1]orders!$D364,[1]products!$A$1:$A$49,0),MATCH([1]orders!K$1,[1]products!$A$1:$G$1,0))</f>
        <v>1</v>
      </c>
      <c r="S364">
        <f>INDEX([1]products!$A$1:$G$49,MATCH([1]orders!$D364,[1]products!$A$1:$A$49,0),MATCH([1]orders!L$1,[1]products!$A$1:$G$1,0))</f>
        <v>14.85</v>
      </c>
      <c r="T364">
        <f t="shared" si="31"/>
        <v>74.25</v>
      </c>
      <c r="U364">
        <f t="shared" si="34"/>
        <v>8.1675000000000004</v>
      </c>
      <c r="V364">
        <f t="shared" si="35"/>
        <v>11</v>
      </c>
    </row>
    <row r="365" spans="1:22" x14ac:dyDescent="0.25">
      <c r="A365" t="s">
        <v>730</v>
      </c>
      <c r="B365">
        <v>44282</v>
      </c>
      <c r="C365" t="str">
        <f t="shared" si="32"/>
        <v>27</v>
      </c>
      <c r="D365" t="str">
        <f t="shared" si="30"/>
        <v>March</v>
      </c>
      <c r="E365" t="str">
        <f t="shared" si="33"/>
        <v>2021</v>
      </c>
      <c r="F365" t="s">
        <v>731</v>
      </c>
      <c r="G365" t="str">
        <f>VLOOKUP(F365,'Customers (2)'!A:I,2,0)</f>
        <v>Kaja Loxton</v>
      </c>
      <c r="H365" t="str">
        <f>VLOOKUP(F365,'Customers (2)'!A:I,3,0)</f>
        <v>kloxtona3@opensource.org</v>
      </c>
      <c r="I365">
        <f>VLOOKUP(F365,'Customers (2)'!A:I,4,0)</f>
        <v>0</v>
      </c>
      <c r="J365" t="str">
        <f>VLOOKUP(F365,'Customers (2)'!A:I,6,0)</f>
        <v>Miami</v>
      </c>
      <c r="K365" t="str">
        <f>VLOOKUP(F365,'Customers (2)'!A:I,7,0)</f>
        <v>United States</v>
      </c>
      <c r="L365" t="str">
        <f>VLOOKUP(F365,'Customers (2)'!A:I,9,0)</f>
        <v>No</v>
      </c>
      <c r="M365" t="str">
        <f>VLOOKUP(N365,'Products (2)'!A:G,2,0)</f>
        <v>Liberica</v>
      </c>
      <c r="N365" t="s">
        <v>96</v>
      </c>
      <c r="O365" t="str">
        <f>VLOOKUP(N365,'Products (2)'!A:G,3,0)</f>
        <v>Medium</v>
      </c>
      <c r="P365">
        <f>VLOOKUP(N365,'Products (2)'!A:G,7,0)</f>
        <v>1.8915000000000002</v>
      </c>
      <c r="Q365">
        <v>6</v>
      </c>
      <c r="R365">
        <f>INDEX([1]products!$A$1:$G$49,MATCH([1]orders!$D365,[1]products!$A$1:$A$49,0),MATCH([1]orders!K$1,[1]products!$A$1:$G$1,0))</f>
        <v>1</v>
      </c>
      <c r="S365">
        <f>INDEX([1]products!$A$1:$G$49,MATCH([1]orders!$D365,[1]products!$A$1:$A$49,0),MATCH([1]orders!L$1,[1]products!$A$1:$G$1,0))</f>
        <v>14.55</v>
      </c>
      <c r="T365">
        <f t="shared" si="31"/>
        <v>87.300000000000011</v>
      </c>
      <c r="U365">
        <f t="shared" si="34"/>
        <v>11.349</v>
      </c>
      <c r="V365">
        <f t="shared" si="35"/>
        <v>12.999999999999998</v>
      </c>
    </row>
    <row r="366" spans="1:22" x14ac:dyDescent="0.25">
      <c r="A366" t="s">
        <v>732</v>
      </c>
      <c r="B366">
        <v>43582</v>
      </c>
      <c r="C366" t="str">
        <f t="shared" si="32"/>
        <v>27</v>
      </c>
      <c r="D366" t="str">
        <f t="shared" si="30"/>
        <v>April</v>
      </c>
      <c r="E366" t="str">
        <f t="shared" si="33"/>
        <v>2019</v>
      </c>
      <c r="F366" t="s">
        <v>733</v>
      </c>
      <c r="G366" t="str">
        <f>VLOOKUP(F366,'Customers (2)'!A:I,2,0)</f>
        <v>Parker Tofful</v>
      </c>
      <c r="H366" t="str">
        <f>VLOOKUP(F366,'Customers (2)'!A:I,3,0)</f>
        <v>ptoffula4@posterous.com</v>
      </c>
      <c r="I366" t="str">
        <f>VLOOKUP(F366,'Customers (2)'!A:I,4,0)</f>
        <v>+1 (310) 210-6841</v>
      </c>
      <c r="J366" t="str">
        <f>VLOOKUP(F366,'Customers (2)'!A:I,6,0)</f>
        <v>Fresno</v>
      </c>
      <c r="K366" t="str">
        <f>VLOOKUP(F366,'Customers (2)'!A:I,7,0)</f>
        <v>United States</v>
      </c>
      <c r="L366" t="str">
        <f>VLOOKUP(F366,'Customers (2)'!A:I,9,0)</f>
        <v>Yes</v>
      </c>
      <c r="M366" t="str">
        <f>VLOOKUP(N366,'Products (2)'!A:G,2,0)</f>
        <v>Excelsa</v>
      </c>
      <c r="N366" t="s">
        <v>245</v>
      </c>
      <c r="O366" t="str">
        <f>VLOOKUP(N366,'Products (2)'!A:G,3,0)</f>
        <v>Dark</v>
      </c>
      <c r="P366">
        <f>VLOOKUP(N366,'Products (2)'!A:G,7,0)</f>
        <v>1.3365</v>
      </c>
      <c r="Q366">
        <v>6</v>
      </c>
      <c r="R366">
        <f>INDEX([1]products!$A$1:$G$49,MATCH([1]orders!$D366,[1]products!$A$1:$A$49,0),MATCH([1]orders!K$1,[1]products!$A$1:$G$1,0))</f>
        <v>1</v>
      </c>
      <c r="S366">
        <f>INDEX([1]products!$A$1:$G$49,MATCH([1]orders!$D366,[1]products!$A$1:$A$49,0),MATCH([1]orders!L$1,[1]products!$A$1:$G$1,0))</f>
        <v>12.15</v>
      </c>
      <c r="T366">
        <f t="shared" si="31"/>
        <v>72.900000000000006</v>
      </c>
      <c r="U366">
        <f t="shared" si="34"/>
        <v>8.0190000000000001</v>
      </c>
      <c r="V366">
        <f t="shared" si="35"/>
        <v>10.999999999999998</v>
      </c>
    </row>
    <row r="367" spans="1:22" x14ac:dyDescent="0.25">
      <c r="A367" t="s">
        <v>734</v>
      </c>
      <c r="B367">
        <v>44464</v>
      </c>
      <c r="C367" t="str">
        <f t="shared" si="32"/>
        <v>25</v>
      </c>
      <c r="D367" t="str">
        <f t="shared" si="30"/>
        <v>September</v>
      </c>
      <c r="E367" t="str">
        <f t="shared" si="33"/>
        <v>2021</v>
      </c>
      <c r="F367" t="s">
        <v>735</v>
      </c>
      <c r="G367" t="str">
        <f>VLOOKUP(F367,'Customers (2)'!A:I,2,0)</f>
        <v>Casi Gwinnett</v>
      </c>
      <c r="H367" t="str">
        <f>VLOOKUP(F367,'Customers (2)'!A:I,3,0)</f>
        <v>cgwinnetta5@behance.net</v>
      </c>
      <c r="I367">
        <f>VLOOKUP(F367,'Customers (2)'!A:I,4,0)</f>
        <v>0</v>
      </c>
      <c r="J367" t="str">
        <f>VLOOKUP(F367,'Customers (2)'!A:I,6,0)</f>
        <v>Anaheim</v>
      </c>
      <c r="K367" t="str">
        <f>VLOOKUP(F367,'Customers (2)'!A:I,7,0)</f>
        <v>United States</v>
      </c>
      <c r="L367" t="str">
        <f>VLOOKUP(F367,'Customers (2)'!A:I,9,0)</f>
        <v>No</v>
      </c>
      <c r="M367" t="str">
        <f>VLOOKUP(N367,'Products (2)'!A:G,2,0)</f>
        <v>Liberica</v>
      </c>
      <c r="N367" t="s">
        <v>123</v>
      </c>
      <c r="O367" t="str">
        <f>VLOOKUP(N367,'Products (2)'!A:G,3,0)</f>
        <v>Dark</v>
      </c>
      <c r="P367">
        <f>VLOOKUP(N367,'Products (2)'!A:G,7,0)</f>
        <v>1.0101</v>
      </c>
      <c r="Q367">
        <v>1</v>
      </c>
      <c r="R367">
        <f>INDEX([1]products!$A$1:$G$49,MATCH([1]orders!$D367,[1]products!$A$1:$A$49,0),MATCH([1]orders!K$1,[1]products!$A$1:$G$1,0))</f>
        <v>0.5</v>
      </c>
      <c r="S367">
        <f>INDEX([1]products!$A$1:$G$49,MATCH([1]orders!$D367,[1]products!$A$1:$A$49,0),MATCH([1]orders!L$1,[1]products!$A$1:$G$1,0))</f>
        <v>7.77</v>
      </c>
      <c r="T367">
        <f t="shared" si="31"/>
        <v>7.77</v>
      </c>
      <c r="U367">
        <f t="shared" si="34"/>
        <v>1.0101</v>
      </c>
      <c r="V367">
        <f t="shared" si="35"/>
        <v>13</v>
      </c>
    </row>
    <row r="368" spans="1:22" x14ac:dyDescent="0.25">
      <c r="A368" t="s">
        <v>736</v>
      </c>
      <c r="B368">
        <v>43874</v>
      </c>
      <c r="C368" t="str">
        <f t="shared" si="32"/>
        <v>13</v>
      </c>
      <c r="D368" t="str">
        <f t="shared" si="30"/>
        <v>February</v>
      </c>
      <c r="E368" t="str">
        <f t="shared" si="33"/>
        <v>2020</v>
      </c>
      <c r="F368" t="s">
        <v>737</v>
      </c>
      <c r="G368" t="str">
        <f>VLOOKUP(F368,'Customers (2)'!A:I,2,0)</f>
        <v>Saree Ellesworth</v>
      </c>
      <c r="H368">
        <f>VLOOKUP(F368,'Customers (2)'!A:I,3,0)</f>
        <v>0</v>
      </c>
      <c r="I368" t="str">
        <f>VLOOKUP(F368,'Customers (2)'!A:I,4,0)</f>
        <v>+1 (757) 211-0153</v>
      </c>
      <c r="J368" t="str">
        <f>VLOOKUP(F368,'Customers (2)'!A:I,6,0)</f>
        <v>Newport News</v>
      </c>
      <c r="K368" t="str">
        <f>VLOOKUP(F368,'Customers (2)'!A:I,7,0)</f>
        <v>United States</v>
      </c>
      <c r="L368" t="str">
        <f>VLOOKUP(F368,'Customers (2)'!A:I,9,0)</f>
        <v>No</v>
      </c>
      <c r="M368" t="str">
        <f>VLOOKUP(N368,'Products (2)'!A:G,2,0)</f>
        <v>Excelsa</v>
      </c>
      <c r="N368" t="s">
        <v>16</v>
      </c>
      <c r="O368" t="str">
        <f>VLOOKUP(N368,'Products (2)'!A:G,3,0)</f>
        <v>Dark</v>
      </c>
      <c r="P368">
        <f>VLOOKUP(N368,'Products (2)'!A:G,7,0)</f>
        <v>0.80190000000000006</v>
      </c>
      <c r="Q368">
        <v>6</v>
      </c>
      <c r="R368">
        <f>INDEX([1]products!$A$1:$G$49,MATCH([1]orders!$D368,[1]products!$A$1:$A$49,0),MATCH([1]orders!K$1,[1]products!$A$1:$G$1,0))</f>
        <v>0.5</v>
      </c>
      <c r="S368">
        <f>INDEX([1]products!$A$1:$G$49,MATCH([1]orders!$D368,[1]products!$A$1:$A$49,0),MATCH([1]orders!L$1,[1]products!$A$1:$G$1,0))</f>
        <v>7.29</v>
      </c>
      <c r="T368">
        <f t="shared" si="31"/>
        <v>43.74</v>
      </c>
      <c r="U368">
        <f t="shared" si="34"/>
        <v>4.8114000000000008</v>
      </c>
      <c r="V368">
        <f t="shared" si="35"/>
        <v>11.000000000000002</v>
      </c>
    </row>
    <row r="369" spans="1:22" x14ac:dyDescent="0.25">
      <c r="A369" t="s">
        <v>738</v>
      </c>
      <c r="B369">
        <v>44393</v>
      </c>
      <c r="C369" t="str">
        <f t="shared" si="32"/>
        <v>16</v>
      </c>
      <c r="D369" t="str">
        <f t="shared" si="30"/>
        <v>July</v>
      </c>
      <c r="E369" t="str">
        <f t="shared" si="33"/>
        <v>2021</v>
      </c>
      <c r="F369" t="s">
        <v>739</v>
      </c>
      <c r="G369" t="str">
        <f>VLOOKUP(F369,'Customers (2)'!A:I,2,0)</f>
        <v>Silvio Iorizzi</v>
      </c>
      <c r="H369">
        <f>VLOOKUP(F369,'Customers (2)'!A:I,3,0)</f>
        <v>0</v>
      </c>
      <c r="I369">
        <f>VLOOKUP(F369,'Customers (2)'!A:I,4,0)</f>
        <v>0</v>
      </c>
      <c r="J369" t="str">
        <f>VLOOKUP(F369,'Customers (2)'!A:I,6,0)</f>
        <v>Spartanburg</v>
      </c>
      <c r="K369" t="str">
        <f>VLOOKUP(F369,'Customers (2)'!A:I,7,0)</f>
        <v>United States</v>
      </c>
      <c r="L369" t="str">
        <f>VLOOKUP(F369,'Customers (2)'!A:I,9,0)</f>
        <v>Yes</v>
      </c>
      <c r="M369" t="str">
        <f>VLOOKUP(N369,'Products (2)'!A:G,2,0)</f>
        <v>Liberica</v>
      </c>
      <c r="N369" t="s">
        <v>77</v>
      </c>
      <c r="O369" t="str">
        <f>VLOOKUP(N369,'Products (2)'!A:G,3,0)</f>
        <v>Medium</v>
      </c>
      <c r="P369">
        <f>VLOOKUP(N369,'Products (2)'!A:G,7,0)</f>
        <v>0.56745000000000001</v>
      </c>
      <c r="Q369">
        <v>2</v>
      </c>
      <c r="R369">
        <f>INDEX([1]products!$A$1:$G$49,MATCH([1]orders!$D369,[1]products!$A$1:$A$49,0),MATCH([1]orders!K$1,[1]products!$A$1:$G$1,0))</f>
        <v>0.2</v>
      </c>
      <c r="S369">
        <f>INDEX([1]products!$A$1:$G$49,MATCH([1]orders!$D369,[1]products!$A$1:$A$49,0),MATCH([1]orders!L$1,[1]products!$A$1:$G$1,0))</f>
        <v>4.3650000000000002</v>
      </c>
      <c r="T369">
        <f t="shared" si="31"/>
        <v>8.73</v>
      </c>
      <c r="U369">
        <f t="shared" si="34"/>
        <v>1.1349</v>
      </c>
      <c r="V369">
        <f t="shared" si="35"/>
        <v>13</v>
      </c>
    </row>
    <row r="370" spans="1:22" x14ac:dyDescent="0.25">
      <c r="A370" t="s">
        <v>740</v>
      </c>
      <c r="B370">
        <v>44692</v>
      </c>
      <c r="C370" t="str">
        <f t="shared" si="32"/>
        <v>11</v>
      </c>
      <c r="D370" t="str">
        <f t="shared" si="30"/>
        <v>May</v>
      </c>
      <c r="E370" t="str">
        <f t="shared" si="33"/>
        <v>2022</v>
      </c>
      <c r="F370" t="s">
        <v>741</v>
      </c>
      <c r="G370" t="str">
        <f>VLOOKUP(F370,'Customers (2)'!A:I,2,0)</f>
        <v>Leesa Flaonier</v>
      </c>
      <c r="H370" t="str">
        <f>VLOOKUP(F370,'Customers (2)'!A:I,3,0)</f>
        <v>lflaoniera8@wordpress.org</v>
      </c>
      <c r="I370" t="str">
        <f>VLOOKUP(F370,'Customers (2)'!A:I,4,0)</f>
        <v>+1 (718) 586-2839</v>
      </c>
      <c r="J370" t="str">
        <f>VLOOKUP(F370,'Customers (2)'!A:I,6,0)</f>
        <v>Staten Island</v>
      </c>
      <c r="K370" t="str">
        <f>VLOOKUP(F370,'Customers (2)'!A:I,7,0)</f>
        <v>United States</v>
      </c>
      <c r="L370" t="str">
        <f>VLOOKUP(F370,'Customers (2)'!A:I,9,0)</f>
        <v>No</v>
      </c>
      <c r="M370" t="str">
        <f>VLOOKUP(N370,'Products (2)'!A:G,2,0)</f>
        <v>Excelsa</v>
      </c>
      <c r="N370" t="s">
        <v>112</v>
      </c>
      <c r="O370" t="str">
        <f>VLOOKUP(N370,'Products (2)'!A:G,3,0)</f>
        <v>Medium</v>
      </c>
      <c r="P370">
        <f>VLOOKUP(N370,'Products (2)'!A:G,7,0)</f>
        <v>3.4787499999999998</v>
      </c>
      <c r="Q370">
        <v>2</v>
      </c>
      <c r="R370">
        <f>INDEX([1]products!$A$1:$G$49,MATCH([1]orders!$D370,[1]products!$A$1:$A$49,0),MATCH([1]orders!K$1,[1]products!$A$1:$G$1,0))</f>
        <v>2.5</v>
      </c>
      <c r="S370">
        <f>INDEX([1]products!$A$1:$G$49,MATCH([1]orders!$D370,[1]products!$A$1:$A$49,0),MATCH([1]orders!L$1,[1]products!$A$1:$G$1,0))</f>
        <v>31.624999999999996</v>
      </c>
      <c r="T370">
        <f t="shared" si="31"/>
        <v>63.249999999999993</v>
      </c>
      <c r="U370">
        <f t="shared" si="34"/>
        <v>6.9574999999999996</v>
      </c>
      <c r="V370">
        <f t="shared" si="35"/>
        <v>11</v>
      </c>
    </row>
    <row r="371" spans="1:22" x14ac:dyDescent="0.25">
      <c r="A371" t="s">
        <v>742</v>
      </c>
      <c r="B371">
        <v>43500</v>
      </c>
      <c r="C371" t="str">
        <f t="shared" si="32"/>
        <v>04</v>
      </c>
      <c r="D371" t="str">
        <f t="shared" si="30"/>
        <v>February</v>
      </c>
      <c r="E371" t="str">
        <f t="shared" si="33"/>
        <v>2019</v>
      </c>
      <c r="F371" t="s">
        <v>743</v>
      </c>
      <c r="G371" t="str">
        <f>VLOOKUP(F371,'Customers (2)'!A:I,2,0)</f>
        <v>Abba Pummell</v>
      </c>
      <c r="H371">
        <f>VLOOKUP(F371,'Customers (2)'!A:I,3,0)</f>
        <v>0</v>
      </c>
      <c r="I371">
        <f>VLOOKUP(F371,'Customers (2)'!A:I,4,0)</f>
        <v>0</v>
      </c>
      <c r="J371" t="str">
        <f>VLOOKUP(F371,'Customers (2)'!A:I,6,0)</f>
        <v>Las Vegas</v>
      </c>
      <c r="K371" t="str">
        <f>VLOOKUP(F371,'Customers (2)'!A:I,7,0)</f>
        <v>United States</v>
      </c>
      <c r="L371" t="str">
        <f>VLOOKUP(F371,'Customers (2)'!A:I,9,0)</f>
        <v>Yes</v>
      </c>
      <c r="M371" t="str">
        <f>VLOOKUP(N371,'Products (2)'!A:G,2,0)</f>
        <v>Excelsa</v>
      </c>
      <c r="N371" t="s">
        <v>176</v>
      </c>
      <c r="O371" t="str">
        <f>VLOOKUP(N371,'Products (2)'!A:G,3,0)</f>
        <v>Light</v>
      </c>
      <c r="P371">
        <f>VLOOKUP(N371,'Products (2)'!A:G,7,0)</f>
        <v>0.98009999999999997</v>
      </c>
      <c r="Q371">
        <v>1</v>
      </c>
      <c r="R371">
        <f>INDEX([1]products!$A$1:$G$49,MATCH([1]orders!$D371,[1]products!$A$1:$A$49,0),MATCH([1]orders!K$1,[1]products!$A$1:$G$1,0))</f>
        <v>0.5</v>
      </c>
      <c r="S371">
        <f>INDEX([1]products!$A$1:$G$49,MATCH([1]orders!$D371,[1]products!$A$1:$A$49,0),MATCH([1]orders!L$1,[1]products!$A$1:$G$1,0))</f>
        <v>8.91</v>
      </c>
      <c r="T371">
        <f t="shared" si="31"/>
        <v>8.91</v>
      </c>
      <c r="U371">
        <f t="shared" si="34"/>
        <v>0.98009999999999997</v>
      </c>
      <c r="V371">
        <f t="shared" si="35"/>
        <v>11</v>
      </c>
    </row>
    <row r="372" spans="1:22" x14ac:dyDescent="0.25">
      <c r="A372" t="s">
        <v>744</v>
      </c>
      <c r="B372">
        <v>43501</v>
      </c>
      <c r="C372" t="str">
        <f t="shared" si="32"/>
        <v>05</v>
      </c>
      <c r="D372" t="str">
        <f t="shared" si="30"/>
        <v>February</v>
      </c>
      <c r="E372" t="str">
        <f t="shared" si="33"/>
        <v>2019</v>
      </c>
      <c r="F372" t="s">
        <v>745</v>
      </c>
      <c r="G372" t="str">
        <f>VLOOKUP(F372,'Customers (2)'!A:I,2,0)</f>
        <v>Corinna Catcheside</v>
      </c>
      <c r="H372" t="str">
        <f>VLOOKUP(F372,'Customers (2)'!A:I,3,0)</f>
        <v>ccatchesideaa@macromedia.com</v>
      </c>
      <c r="I372" t="str">
        <f>VLOOKUP(F372,'Customers (2)'!A:I,4,0)</f>
        <v>+1 (801) 121-6042</v>
      </c>
      <c r="J372" t="str">
        <f>VLOOKUP(F372,'Customers (2)'!A:I,6,0)</f>
        <v>Salt Lake City</v>
      </c>
      <c r="K372" t="str">
        <f>VLOOKUP(F372,'Customers (2)'!A:I,7,0)</f>
        <v>United States</v>
      </c>
      <c r="L372" t="str">
        <f>VLOOKUP(F372,'Customers (2)'!A:I,9,0)</f>
        <v>Yes</v>
      </c>
      <c r="M372" t="str">
        <f>VLOOKUP(N372,'Products (2)'!A:G,2,0)</f>
        <v>Excelsa</v>
      </c>
      <c r="N372" t="s">
        <v>245</v>
      </c>
      <c r="O372" t="str">
        <f>VLOOKUP(N372,'Products (2)'!A:G,3,0)</f>
        <v>Dark</v>
      </c>
      <c r="P372">
        <f>VLOOKUP(N372,'Products (2)'!A:G,7,0)</f>
        <v>1.3365</v>
      </c>
      <c r="Q372">
        <v>2</v>
      </c>
      <c r="R372">
        <f>INDEX([1]products!$A$1:$G$49,MATCH([1]orders!$D372,[1]products!$A$1:$A$49,0),MATCH([1]orders!K$1,[1]products!$A$1:$G$1,0))</f>
        <v>1</v>
      </c>
      <c r="S372">
        <f>INDEX([1]products!$A$1:$G$49,MATCH([1]orders!$D372,[1]products!$A$1:$A$49,0),MATCH([1]orders!L$1,[1]products!$A$1:$G$1,0))</f>
        <v>12.15</v>
      </c>
      <c r="T372">
        <f t="shared" si="31"/>
        <v>24.3</v>
      </c>
      <c r="U372">
        <f t="shared" si="34"/>
        <v>2.673</v>
      </c>
      <c r="V372">
        <f t="shared" si="35"/>
        <v>11</v>
      </c>
    </row>
    <row r="373" spans="1:22" x14ac:dyDescent="0.25">
      <c r="A373" t="s">
        <v>746</v>
      </c>
      <c r="B373">
        <v>44705</v>
      </c>
      <c r="C373" t="str">
        <f t="shared" si="32"/>
        <v>24</v>
      </c>
      <c r="D373" t="str">
        <f t="shared" si="30"/>
        <v>May</v>
      </c>
      <c r="E373" t="str">
        <f t="shared" si="33"/>
        <v>2022</v>
      </c>
      <c r="F373" t="s">
        <v>747</v>
      </c>
      <c r="G373" t="str">
        <f>VLOOKUP(F373,'Customers (2)'!A:I,2,0)</f>
        <v>Cortney Gibbonson</v>
      </c>
      <c r="H373" t="str">
        <f>VLOOKUP(F373,'Customers (2)'!A:I,3,0)</f>
        <v>cgibbonsonab@accuweather.com</v>
      </c>
      <c r="I373" t="str">
        <f>VLOOKUP(F373,'Customers (2)'!A:I,4,0)</f>
        <v>+1 (206) 848-3585</v>
      </c>
      <c r="J373" t="str">
        <f>VLOOKUP(F373,'Customers (2)'!A:I,6,0)</f>
        <v>Seattle</v>
      </c>
      <c r="K373" t="str">
        <f>VLOOKUP(F373,'Customers (2)'!A:I,7,0)</f>
        <v>United States</v>
      </c>
      <c r="L373" t="str">
        <f>VLOOKUP(F373,'Customers (2)'!A:I,9,0)</f>
        <v>Yes</v>
      </c>
      <c r="M373" t="str">
        <f>VLOOKUP(N373,'Products (2)'!A:G,2,0)</f>
        <v>Arabica</v>
      </c>
      <c r="N373" t="s">
        <v>192</v>
      </c>
      <c r="O373" t="str">
        <f>VLOOKUP(N373,'Products (2)'!A:G,3,0)</f>
        <v>Light</v>
      </c>
      <c r="P373">
        <f>VLOOKUP(N373,'Products (2)'!A:G,7,0)</f>
        <v>0.69929999999999992</v>
      </c>
      <c r="Q373">
        <v>6</v>
      </c>
      <c r="R373">
        <f>INDEX([1]products!$A$1:$G$49,MATCH([1]orders!$D373,[1]products!$A$1:$A$49,0),MATCH([1]orders!K$1,[1]products!$A$1:$G$1,0))</f>
        <v>0.5</v>
      </c>
      <c r="S373">
        <f>INDEX([1]products!$A$1:$G$49,MATCH([1]orders!$D373,[1]products!$A$1:$A$49,0),MATCH([1]orders!L$1,[1]products!$A$1:$G$1,0))</f>
        <v>7.77</v>
      </c>
      <c r="T373">
        <f t="shared" si="31"/>
        <v>46.62</v>
      </c>
      <c r="U373">
        <f t="shared" si="34"/>
        <v>4.1957999999999993</v>
      </c>
      <c r="V373">
        <f t="shared" si="35"/>
        <v>9</v>
      </c>
    </row>
    <row r="374" spans="1:22" x14ac:dyDescent="0.25">
      <c r="A374" t="s">
        <v>748</v>
      </c>
      <c r="B374">
        <v>44108</v>
      </c>
      <c r="C374" t="str">
        <f t="shared" si="32"/>
        <v>04</v>
      </c>
      <c r="D374" t="str">
        <f t="shared" si="30"/>
        <v>October</v>
      </c>
      <c r="E374" t="str">
        <f t="shared" si="33"/>
        <v>2020</v>
      </c>
      <c r="F374" t="s">
        <v>749</v>
      </c>
      <c r="G374" t="str">
        <f>VLOOKUP(F374,'Customers (2)'!A:I,2,0)</f>
        <v>Terri Farra</v>
      </c>
      <c r="H374" t="str">
        <f>VLOOKUP(F374,'Customers (2)'!A:I,3,0)</f>
        <v>tfarraac@behance.net</v>
      </c>
      <c r="I374" t="str">
        <f>VLOOKUP(F374,'Customers (2)'!A:I,4,0)</f>
        <v>+1 (432) 648-9589</v>
      </c>
      <c r="J374" t="str">
        <f>VLOOKUP(F374,'Customers (2)'!A:I,6,0)</f>
        <v>Odessa</v>
      </c>
      <c r="K374" t="str">
        <f>VLOOKUP(F374,'Customers (2)'!A:I,7,0)</f>
        <v>United States</v>
      </c>
      <c r="L374" t="str">
        <f>VLOOKUP(F374,'Customers (2)'!A:I,9,0)</f>
        <v>No</v>
      </c>
      <c r="M374" t="str">
        <f>VLOOKUP(N374,'Products (2)'!A:G,2,0)</f>
        <v>Robusta</v>
      </c>
      <c r="N374" t="s">
        <v>157</v>
      </c>
      <c r="O374" t="str">
        <f>VLOOKUP(N374,'Products (2)'!A:G,3,0)</f>
        <v>Light</v>
      </c>
      <c r="P374">
        <f>VLOOKUP(N374,'Products (2)'!A:G,7,0)</f>
        <v>0.43019999999999992</v>
      </c>
      <c r="Q374">
        <v>6</v>
      </c>
      <c r="R374">
        <f>INDEX([1]products!$A$1:$G$49,MATCH([1]orders!$D374,[1]products!$A$1:$A$49,0),MATCH([1]orders!K$1,[1]products!$A$1:$G$1,0))</f>
        <v>0.5</v>
      </c>
      <c r="S374">
        <f>INDEX([1]products!$A$1:$G$49,MATCH([1]orders!$D374,[1]products!$A$1:$A$49,0),MATCH([1]orders!L$1,[1]products!$A$1:$G$1,0))</f>
        <v>7.169999999999999</v>
      </c>
      <c r="T374">
        <f t="shared" si="31"/>
        <v>43.019999999999996</v>
      </c>
      <c r="U374">
        <f t="shared" si="34"/>
        <v>2.5811999999999995</v>
      </c>
      <c r="V374">
        <f t="shared" si="35"/>
        <v>5.9999999999999991</v>
      </c>
    </row>
    <row r="375" spans="1:22" x14ac:dyDescent="0.25">
      <c r="A375" t="s">
        <v>750</v>
      </c>
      <c r="B375">
        <v>44742</v>
      </c>
      <c r="C375" t="str">
        <f t="shared" si="32"/>
        <v>30</v>
      </c>
      <c r="D375" t="str">
        <f t="shared" si="30"/>
        <v>June</v>
      </c>
      <c r="E375" t="str">
        <f t="shared" si="33"/>
        <v>2022</v>
      </c>
      <c r="F375" t="s">
        <v>751</v>
      </c>
      <c r="G375" t="str">
        <f>VLOOKUP(F375,'Customers (2)'!A:I,2,0)</f>
        <v>Corney Curme</v>
      </c>
      <c r="H375">
        <f>VLOOKUP(F375,'Customers (2)'!A:I,3,0)</f>
        <v>0</v>
      </c>
      <c r="I375" t="str">
        <f>VLOOKUP(F375,'Customers (2)'!A:I,4,0)</f>
        <v>+353 (772) 127-7148</v>
      </c>
      <c r="J375" t="str">
        <f>VLOOKUP(F375,'Customers (2)'!A:I,6,0)</f>
        <v>Castleknock</v>
      </c>
      <c r="K375" t="str">
        <f>VLOOKUP(F375,'Customers (2)'!A:I,7,0)</f>
        <v>Ireland</v>
      </c>
      <c r="L375" t="str">
        <f>VLOOKUP(F375,'Customers (2)'!A:I,9,0)</f>
        <v>Yes</v>
      </c>
      <c r="M375" t="str">
        <f>VLOOKUP(N375,'Products (2)'!A:G,2,0)</f>
        <v>Arabica</v>
      </c>
      <c r="N375" t="s">
        <v>72</v>
      </c>
      <c r="O375" t="str">
        <f>VLOOKUP(N375,'Products (2)'!A:G,3,0)</f>
        <v>Dark</v>
      </c>
      <c r="P375">
        <f>VLOOKUP(N375,'Products (2)'!A:G,7,0)</f>
        <v>0.5373</v>
      </c>
      <c r="Q375">
        <v>3</v>
      </c>
      <c r="R375">
        <f>INDEX([1]products!$A$1:$G$49,MATCH([1]orders!$D375,[1]products!$A$1:$A$49,0),MATCH([1]orders!K$1,[1]products!$A$1:$G$1,0))</f>
        <v>0.5</v>
      </c>
      <c r="S375">
        <f>INDEX([1]products!$A$1:$G$49,MATCH([1]orders!$D375,[1]products!$A$1:$A$49,0),MATCH([1]orders!L$1,[1]products!$A$1:$G$1,0))</f>
        <v>5.97</v>
      </c>
      <c r="T375">
        <f t="shared" si="31"/>
        <v>17.91</v>
      </c>
      <c r="U375">
        <f t="shared" si="34"/>
        <v>1.6118999999999999</v>
      </c>
      <c r="V375">
        <f t="shared" si="35"/>
        <v>9</v>
      </c>
    </row>
    <row r="376" spans="1:22" x14ac:dyDescent="0.25">
      <c r="A376" t="s">
        <v>752</v>
      </c>
      <c r="B376">
        <v>44125</v>
      </c>
      <c r="C376" t="str">
        <f t="shared" si="32"/>
        <v>21</v>
      </c>
      <c r="D376" t="str">
        <f t="shared" si="30"/>
        <v>October</v>
      </c>
      <c r="E376" t="str">
        <f t="shared" si="33"/>
        <v>2020</v>
      </c>
      <c r="F376" t="s">
        <v>753</v>
      </c>
      <c r="G376" t="str">
        <f>VLOOKUP(F376,'Customers (2)'!A:I,2,0)</f>
        <v>Gothart Bamfield</v>
      </c>
      <c r="H376" t="str">
        <f>VLOOKUP(F376,'Customers (2)'!A:I,3,0)</f>
        <v>gbamfieldae@yellowpages.com</v>
      </c>
      <c r="I376" t="str">
        <f>VLOOKUP(F376,'Customers (2)'!A:I,4,0)</f>
        <v>+1 (214) 200-7886</v>
      </c>
      <c r="J376" t="str">
        <f>VLOOKUP(F376,'Customers (2)'!A:I,6,0)</f>
        <v>Irving</v>
      </c>
      <c r="K376" t="str">
        <f>VLOOKUP(F376,'Customers (2)'!A:I,7,0)</f>
        <v>United States</v>
      </c>
      <c r="L376" t="str">
        <f>VLOOKUP(F376,'Customers (2)'!A:I,9,0)</f>
        <v>Yes</v>
      </c>
      <c r="M376" t="str">
        <f>VLOOKUP(N376,'Products (2)'!A:G,2,0)</f>
        <v>Liberica</v>
      </c>
      <c r="N376" t="s">
        <v>83</v>
      </c>
      <c r="O376" t="str">
        <f>VLOOKUP(N376,'Products (2)'!A:G,3,0)</f>
        <v>Light</v>
      </c>
      <c r="P376">
        <f>VLOOKUP(N376,'Products (2)'!A:G,7,0)</f>
        <v>1.2363</v>
      </c>
      <c r="Q376">
        <v>4</v>
      </c>
      <c r="R376">
        <f>INDEX([1]products!$A$1:$G$49,MATCH([1]orders!$D376,[1]products!$A$1:$A$49,0),MATCH([1]orders!K$1,[1]products!$A$1:$G$1,0))</f>
        <v>0.5</v>
      </c>
      <c r="S376">
        <f>INDEX([1]products!$A$1:$G$49,MATCH([1]orders!$D376,[1]products!$A$1:$A$49,0),MATCH([1]orders!L$1,[1]products!$A$1:$G$1,0))</f>
        <v>9.51</v>
      </c>
      <c r="T376">
        <f t="shared" si="31"/>
        <v>38.04</v>
      </c>
      <c r="U376">
        <f t="shared" si="34"/>
        <v>4.9451999999999998</v>
      </c>
      <c r="V376">
        <f t="shared" si="35"/>
        <v>13</v>
      </c>
    </row>
    <row r="377" spans="1:22" x14ac:dyDescent="0.25">
      <c r="A377" t="s">
        <v>754</v>
      </c>
      <c r="B377">
        <v>44120</v>
      </c>
      <c r="C377" t="str">
        <f t="shared" si="32"/>
        <v>16</v>
      </c>
      <c r="D377" t="str">
        <f t="shared" si="30"/>
        <v>October</v>
      </c>
      <c r="E377" t="str">
        <f t="shared" si="33"/>
        <v>2020</v>
      </c>
      <c r="F377" t="s">
        <v>755</v>
      </c>
      <c r="G377" t="str">
        <f>VLOOKUP(F377,'Customers (2)'!A:I,2,0)</f>
        <v>Waylin Hollingdale</v>
      </c>
      <c r="H377" t="str">
        <f>VLOOKUP(F377,'Customers (2)'!A:I,3,0)</f>
        <v>whollingdaleaf@about.me</v>
      </c>
      <c r="I377" t="str">
        <f>VLOOKUP(F377,'Customers (2)'!A:I,4,0)</f>
        <v>+1 (937) 354-2653</v>
      </c>
      <c r="J377" t="str">
        <f>VLOOKUP(F377,'Customers (2)'!A:I,6,0)</f>
        <v>Dayton</v>
      </c>
      <c r="K377" t="str">
        <f>VLOOKUP(F377,'Customers (2)'!A:I,7,0)</f>
        <v>United States</v>
      </c>
      <c r="L377" t="str">
        <f>VLOOKUP(F377,'Customers (2)'!A:I,9,0)</f>
        <v>Yes</v>
      </c>
      <c r="M377" t="str">
        <f>VLOOKUP(N377,'Products (2)'!A:G,2,0)</f>
        <v>Arabica</v>
      </c>
      <c r="N377" t="s">
        <v>44</v>
      </c>
      <c r="O377" t="str">
        <f>VLOOKUP(N377,'Products (2)'!A:G,3,0)</f>
        <v>Medium</v>
      </c>
      <c r="P377">
        <f>VLOOKUP(N377,'Products (2)'!A:G,7,0)</f>
        <v>0.30374999999999996</v>
      </c>
      <c r="Q377">
        <v>2</v>
      </c>
      <c r="R377">
        <f>INDEX([1]products!$A$1:$G$49,MATCH([1]orders!$D377,[1]products!$A$1:$A$49,0),MATCH([1]orders!K$1,[1]products!$A$1:$G$1,0))</f>
        <v>0.2</v>
      </c>
      <c r="S377">
        <f>INDEX([1]products!$A$1:$G$49,MATCH([1]orders!$D377,[1]products!$A$1:$A$49,0),MATCH([1]orders!L$1,[1]products!$A$1:$G$1,0))</f>
        <v>3.375</v>
      </c>
      <c r="T377">
        <f t="shared" si="31"/>
        <v>6.75</v>
      </c>
      <c r="U377">
        <f t="shared" si="34"/>
        <v>0.60749999999999993</v>
      </c>
      <c r="V377">
        <f t="shared" si="35"/>
        <v>8.9999999999999982</v>
      </c>
    </row>
    <row r="378" spans="1:22" x14ac:dyDescent="0.25">
      <c r="A378" t="s">
        <v>756</v>
      </c>
      <c r="B378">
        <v>44097</v>
      </c>
      <c r="C378" t="str">
        <f t="shared" si="32"/>
        <v>23</v>
      </c>
      <c r="D378" t="str">
        <f t="shared" si="30"/>
        <v>September</v>
      </c>
      <c r="E378" t="str">
        <f t="shared" si="33"/>
        <v>2020</v>
      </c>
      <c r="F378" t="s">
        <v>757</v>
      </c>
      <c r="G378" t="str">
        <f>VLOOKUP(F378,'Customers (2)'!A:I,2,0)</f>
        <v>Judd De Leek</v>
      </c>
      <c r="H378" t="str">
        <f>VLOOKUP(F378,'Customers (2)'!A:I,3,0)</f>
        <v>jdeag@xrea.com</v>
      </c>
      <c r="I378" t="str">
        <f>VLOOKUP(F378,'Customers (2)'!A:I,4,0)</f>
        <v>+1 (616) 966-1581</v>
      </c>
      <c r="J378" t="str">
        <f>VLOOKUP(F378,'Customers (2)'!A:I,6,0)</f>
        <v>Grand Rapids</v>
      </c>
      <c r="K378" t="str">
        <f>VLOOKUP(F378,'Customers (2)'!A:I,7,0)</f>
        <v>United States</v>
      </c>
      <c r="L378" t="str">
        <f>VLOOKUP(F378,'Customers (2)'!A:I,9,0)</f>
        <v>Yes</v>
      </c>
      <c r="M378" t="str">
        <f>VLOOKUP(N378,'Products (2)'!A:G,2,0)</f>
        <v>Robusta</v>
      </c>
      <c r="N378" t="s">
        <v>22</v>
      </c>
      <c r="O378" t="str">
        <f>VLOOKUP(N378,'Products (2)'!A:G,3,0)</f>
        <v>Medium</v>
      </c>
      <c r="P378">
        <f>VLOOKUP(N378,'Products (2)'!A:G,7,0)</f>
        <v>0.35819999999999996</v>
      </c>
      <c r="Q378">
        <v>1</v>
      </c>
      <c r="R378">
        <f>INDEX([1]products!$A$1:$G$49,MATCH([1]orders!$D378,[1]products!$A$1:$A$49,0),MATCH([1]orders!K$1,[1]products!$A$1:$G$1,0))</f>
        <v>0.5</v>
      </c>
      <c r="S378">
        <f>INDEX([1]products!$A$1:$G$49,MATCH([1]orders!$D378,[1]products!$A$1:$A$49,0),MATCH([1]orders!L$1,[1]products!$A$1:$G$1,0))</f>
        <v>5.97</v>
      </c>
      <c r="T378">
        <f t="shared" si="31"/>
        <v>5.97</v>
      </c>
      <c r="U378">
        <f t="shared" si="34"/>
        <v>0.35819999999999996</v>
      </c>
      <c r="V378">
        <f t="shared" si="35"/>
        <v>6</v>
      </c>
    </row>
    <row r="379" spans="1:22" x14ac:dyDescent="0.25">
      <c r="A379" t="s">
        <v>758</v>
      </c>
      <c r="B379">
        <v>43532</v>
      </c>
      <c r="C379" t="str">
        <f t="shared" si="32"/>
        <v>08</v>
      </c>
      <c r="D379" t="str">
        <f t="shared" si="30"/>
        <v>March</v>
      </c>
      <c r="E379" t="str">
        <f t="shared" si="33"/>
        <v>2019</v>
      </c>
      <c r="F379" t="s">
        <v>759</v>
      </c>
      <c r="G379" t="str">
        <f>VLOOKUP(F379,'Customers (2)'!A:I,2,0)</f>
        <v>Vanya Skullet</v>
      </c>
      <c r="H379" t="str">
        <f>VLOOKUP(F379,'Customers (2)'!A:I,3,0)</f>
        <v>vskulletah@tinyurl.com</v>
      </c>
      <c r="I379" t="str">
        <f>VLOOKUP(F379,'Customers (2)'!A:I,4,0)</f>
        <v>+353 (215) 420-1467</v>
      </c>
      <c r="J379" t="str">
        <f>VLOOKUP(F379,'Customers (2)'!A:I,6,0)</f>
        <v>Balally</v>
      </c>
      <c r="K379" t="str">
        <f>VLOOKUP(F379,'Customers (2)'!A:I,7,0)</f>
        <v>Ireland</v>
      </c>
      <c r="L379" t="str">
        <f>VLOOKUP(F379,'Customers (2)'!A:I,9,0)</f>
        <v>No</v>
      </c>
      <c r="M379" t="str">
        <f>VLOOKUP(N379,'Products (2)'!A:G,2,0)</f>
        <v>Robusta</v>
      </c>
      <c r="N379" t="s">
        <v>101</v>
      </c>
      <c r="O379" t="str">
        <f>VLOOKUP(N379,'Products (2)'!A:G,3,0)</f>
        <v>Dark</v>
      </c>
      <c r="P379">
        <f>VLOOKUP(N379,'Products (2)'!A:G,7,0)</f>
        <v>0.16109999999999997</v>
      </c>
      <c r="Q379">
        <v>3</v>
      </c>
      <c r="R379">
        <f>INDEX([1]products!$A$1:$G$49,MATCH([1]orders!$D379,[1]products!$A$1:$A$49,0),MATCH([1]orders!K$1,[1]products!$A$1:$G$1,0))</f>
        <v>0.2</v>
      </c>
      <c r="S379">
        <f>INDEX([1]products!$A$1:$G$49,MATCH([1]orders!$D379,[1]products!$A$1:$A$49,0),MATCH([1]orders!L$1,[1]products!$A$1:$G$1,0))</f>
        <v>2.6849999999999996</v>
      </c>
      <c r="T379">
        <f t="shared" si="31"/>
        <v>8.0549999999999997</v>
      </c>
      <c r="U379">
        <f t="shared" si="34"/>
        <v>0.4832999999999999</v>
      </c>
      <c r="V379">
        <f t="shared" si="35"/>
        <v>5.9999999999999991</v>
      </c>
    </row>
    <row r="380" spans="1:22" x14ac:dyDescent="0.25">
      <c r="A380" t="s">
        <v>760</v>
      </c>
      <c r="B380">
        <v>44377</v>
      </c>
      <c r="C380" t="str">
        <f t="shared" si="32"/>
        <v>30</v>
      </c>
      <c r="D380" t="str">
        <f t="shared" si="30"/>
        <v>June</v>
      </c>
      <c r="E380" t="str">
        <f t="shared" si="33"/>
        <v>2021</v>
      </c>
      <c r="F380" t="s">
        <v>761</v>
      </c>
      <c r="G380" t="str">
        <f>VLOOKUP(F380,'Customers (2)'!A:I,2,0)</f>
        <v>Jany Rudeforth</v>
      </c>
      <c r="H380" t="str">
        <f>VLOOKUP(F380,'Customers (2)'!A:I,3,0)</f>
        <v>jrudeforthai@wunderground.com</v>
      </c>
      <c r="I380" t="str">
        <f>VLOOKUP(F380,'Customers (2)'!A:I,4,0)</f>
        <v>+353 (232) 377-5407</v>
      </c>
      <c r="J380" t="str">
        <f>VLOOKUP(F380,'Customers (2)'!A:I,6,0)</f>
        <v>Tullyallen</v>
      </c>
      <c r="K380" t="str">
        <f>VLOOKUP(F380,'Customers (2)'!A:I,7,0)</f>
        <v>Ireland</v>
      </c>
      <c r="L380" t="str">
        <f>VLOOKUP(F380,'Customers (2)'!A:I,9,0)</f>
        <v>Yes</v>
      </c>
      <c r="M380" t="str">
        <f>VLOOKUP(N380,'Products (2)'!A:G,2,0)</f>
        <v>Arabica</v>
      </c>
      <c r="N380" t="s">
        <v>192</v>
      </c>
      <c r="O380" t="str">
        <f>VLOOKUP(N380,'Products (2)'!A:G,3,0)</f>
        <v>Light</v>
      </c>
      <c r="P380">
        <f>VLOOKUP(N380,'Products (2)'!A:G,7,0)</f>
        <v>0.69929999999999992</v>
      </c>
      <c r="Q380">
        <v>3</v>
      </c>
      <c r="R380">
        <f>INDEX([1]products!$A$1:$G$49,MATCH([1]orders!$D380,[1]products!$A$1:$A$49,0),MATCH([1]orders!K$1,[1]products!$A$1:$G$1,0))</f>
        <v>0.5</v>
      </c>
      <c r="S380">
        <f>INDEX([1]products!$A$1:$G$49,MATCH([1]orders!$D380,[1]products!$A$1:$A$49,0),MATCH([1]orders!L$1,[1]products!$A$1:$G$1,0))</f>
        <v>7.77</v>
      </c>
      <c r="T380">
        <f t="shared" si="31"/>
        <v>23.31</v>
      </c>
      <c r="U380">
        <f t="shared" si="34"/>
        <v>2.0978999999999997</v>
      </c>
      <c r="V380">
        <f t="shared" si="35"/>
        <v>9</v>
      </c>
    </row>
    <row r="381" spans="1:22" x14ac:dyDescent="0.25">
      <c r="A381" t="s">
        <v>762</v>
      </c>
      <c r="B381">
        <v>43690</v>
      </c>
      <c r="C381" t="str">
        <f t="shared" si="32"/>
        <v>13</v>
      </c>
      <c r="D381" t="str">
        <f t="shared" si="30"/>
        <v>August</v>
      </c>
      <c r="E381" t="str">
        <f t="shared" si="33"/>
        <v>2019</v>
      </c>
      <c r="F381" t="s">
        <v>763</v>
      </c>
      <c r="G381" t="str">
        <f>VLOOKUP(F381,'Customers (2)'!A:I,2,0)</f>
        <v>Ashbey Tomaszewski</v>
      </c>
      <c r="H381" t="str">
        <f>VLOOKUP(F381,'Customers (2)'!A:I,3,0)</f>
        <v>atomaszewskiaj@answers.com</v>
      </c>
      <c r="I381">
        <f>VLOOKUP(F381,'Customers (2)'!A:I,4,0)</f>
        <v>0</v>
      </c>
      <c r="J381" t="str">
        <f>VLOOKUP(F381,'Customers (2)'!A:I,6,0)</f>
        <v>Sutton</v>
      </c>
      <c r="K381" t="str">
        <f>VLOOKUP(F381,'Customers (2)'!A:I,7,0)</f>
        <v>United Kingdom</v>
      </c>
      <c r="L381" t="str">
        <f>VLOOKUP(F381,'Customers (2)'!A:I,9,0)</f>
        <v>Yes</v>
      </c>
      <c r="M381" t="str">
        <f>VLOOKUP(N381,'Products (2)'!A:G,2,0)</f>
        <v>Robusta</v>
      </c>
      <c r="N381" t="s">
        <v>157</v>
      </c>
      <c r="O381" t="str">
        <f>VLOOKUP(N381,'Products (2)'!A:G,3,0)</f>
        <v>Light</v>
      </c>
      <c r="P381">
        <f>VLOOKUP(N381,'Products (2)'!A:G,7,0)</f>
        <v>0.43019999999999992</v>
      </c>
      <c r="Q381">
        <v>6</v>
      </c>
      <c r="R381">
        <f>INDEX([1]products!$A$1:$G$49,MATCH([1]orders!$D381,[1]products!$A$1:$A$49,0),MATCH([1]orders!K$1,[1]products!$A$1:$G$1,0))</f>
        <v>0.5</v>
      </c>
      <c r="S381">
        <f>INDEX([1]products!$A$1:$G$49,MATCH([1]orders!$D381,[1]products!$A$1:$A$49,0),MATCH([1]orders!L$1,[1]products!$A$1:$G$1,0))</f>
        <v>7.169999999999999</v>
      </c>
      <c r="T381">
        <f t="shared" si="31"/>
        <v>43.019999999999996</v>
      </c>
      <c r="U381">
        <f t="shared" si="34"/>
        <v>2.5811999999999995</v>
      </c>
      <c r="V381">
        <f t="shared" si="35"/>
        <v>5.9999999999999991</v>
      </c>
    </row>
    <row r="382" spans="1:22" x14ac:dyDescent="0.25">
      <c r="A382" t="s">
        <v>764</v>
      </c>
      <c r="B382">
        <v>44249</v>
      </c>
      <c r="C382" t="str">
        <f t="shared" si="32"/>
        <v>22</v>
      </c>
      <c r="D382" t="str">
        <f t="shared" si="30"/>
        <v>February</v>
      </c>
      <c r="E382" t="str">
        <f t="shared" si="33"/>
        <v>2021</v>
      </c>
      <c r="F382" t="s">
        <v>664</v>
      </c>
      <c r="G382" t="str">
        <f>VLOOKUP(F382,'Customers (2)'!A:I,2,0)</f>
        <v>Flynn Antony</v>
      </c>
      <c r="H382">
        <f>VLOOKUP(F382,'Customers (2)'!A:I,3,0)</f>
        <v>0</v>
      </c>
      <c r="I382" t="str">
        <f>VLOOKUP(F382,'Customers (2)'!A:I,4,0)</f>
        <v>+1 (205) 680-5859</v>
      </c>
      <c r="J382" t="str">
        <f>VLOOKUP(F382,'Customers (2)'!A:I,6,0)</f>
        <v>Birmingham</v>
      </c>
      <c r="K382" t="str">
        <f>VLOOKUP(F382,'Customers (2)'!A:I,7,0)</f>
        <v>United States</v>
      </c>
      <c r="L382" t="str">
        <f>VLOOKUP(F382,'Customers (2)'!A:I,9,0)</f>
        <v>No</v>
      </c>
      <c r="M382" t="str">
        <f>VLOOKUP(N382,'Products (2)'!A:G,2,0)</f>
        <v>Liberica</v>
      </c>
      <c r="N382" t="s">
        <v>123</v>
      </c>
      <c r="O382" t="str">
        <f>VLOOKUP(N382,'Products (2)'!A:G,3,0)</f>
        <v>Dark</v>
      </c>
      <c r="P382">
        <f>VLOOKUP(N382,'Products (2)'!A:G,7,0)</f>
        <v>1.0101</v>
      </c>
      <c r="Q382">
        <v>3</v>
      </c>
      <c r="R382">
        <f>INDEX([1]products!$A$1:$G$49,MATCH([1]orders!$D382,[1]products!$A$1:$A$49,0),MATCH([1]orders!K$1,[1]products!$A$1:$G$1,0))</f>
        <v>0.5</v>
      </c>
      <c r="S382">
        <f>INDEX([1]products!$A$1:$G$49,MATCH([1]orders!$D382,[1]products!$A$1:$A$49,0),MATCH([1]orders!L$1,[1]products!$A$1:$G$1,0))</f>
        <v>7.77</v>
      </c>
      <c r="T382">
        <f t="shared" si="31"/>
        <v>23.31</v>
      </c>
      <c r="U382">
        <f t="shared" si="34"/>
        <v>3.0303</v>
      </c>
      <c r="V382">
        <f t="shared" si="35"/>
        <v>13</v>
      </c>
    </row>
    <row r="383" spans="1:22" x14ac:dyDescent="0.25">
      <c r="A383" t="s">
        <v>765</v>
      </c>
      <c r="B383">
        <v>44646</v>
      </c>
      <c r="C383" t="str">
        <f t="shared" si="32"/>
        <v>26</v>
      </c>
      <c r="D383" t="str">
        <f t="shared" si="30"/>
        <v>March</v>
      </c>
      <c r="E383" t="str">
        <f t="shared" si="33"/>
        <v>2022</v>
      </c>
      <c r="F383" t="s">
        <v>766</v>
      </c>
      <c r="G383" t="str">
        <f>VLOOKUP(F383,'Customers (2)'!A:I,2,0)</f>
        <v>Pren Bess</v>
      </c>
      <c r="H383" t="str">
        <f>VLOOKUP(F383,'Customers (2)'!A:I,3,0)</f>
        <v>pbessal@qq.com</v>
      </c>
      <c r="I383" t="str">
        <f>VLOOKUP(F383,'Customers (2)'!A:I,4,0)</f>
        <v>+1 (949) 121-4600</v>
      </c>
      <c r="J383" t="str">
        <f>VLOOKUP(F383,'Customers (2)'!A:I,6,0)</f>
        <v>Los Angeles</v>
      </c>
      <c r="K383" t="str">
        <f>VLOOKUP(F383,'Customers (2)'!A:I,7,0)</f>
        <v>United States</v>
      </c>
      <c r="L383" t="str">
        <f>VLOOKUP(F383,'Customers (2)'!A:I,9,0)</f>
        <v>Yes</v>
      </c>
      <c r="M383" t="str">
        <f>VLOOKUP(N383,'Products (2)'!A:G,2,0)</f>
        <v>Arabica</v>
      </c>
      <c r="N383" t="s">
        <v>54</v>
      </c>
      <c r="O383" t="str">
        <f>VLOOKUP(N383,'Products (2)'!A:G,3,0)</f>
        <v>Dark</v>
      </c>
      <c r="P383">
        <f>VLOOKUP(N383,'Products (2)'!A:G,7,0)</f>
        <v>0.26865</v>
      </c>
      <c r="Q383">
        <v>5</v>
      </c>
      <c r="R383">
        <f>INDEX([1]products!$A$1:$G$49,MATCH([1]orders!$D383,[1]products!$A$1:$A$49,0),MATCH([1]orders!K$1,[1]products!$A$1:$G$1,0))</f>
        <v>0.2</v>
      </c>
      <c r="S383">
        <f>INDEX([1]products!$A$1:$G$49,MATCH([1]orders!$D383,[1]products!$A$1:$A$49,0),MATCH([1]orders!L$1,[1]products!$A$1:$G$1,0))</f>
        <v>2.9849999999999999</v>
      </c>
      <c r="T383">
        <f t="shared" si="31"/>
        <v>14.924999999999999</v>
      </c>
      <c r="U383">
        <f t="shared" si="34"/>
        <v>1.3432500000000001</v>
      </c>
      <c r="V383">
        <f t="shared" si="35"/>
        <v>9.0000000000000018</v>
      </c>
    </row>
    <row r="384" spans="1:22" x14ac:dyDescent="0.25">
      <c r="A384" t="s">
        <v>767</v>
      </c>
      <c r="B384">
        <v>43840</v>
      </c>
      <c r="C384" t="str">
        <f t="shared" si="32"/>
        <v>10</v>
      </c>
      <c r="D384" t="str">
        <f t="shared" si="30"/>
        <v>January</v>
      </c>
      <c r="E384" t="str">
        <f t="shared" si="33"/>
        <v>2020</v>
      </c>
      <c r="F384" t="s">
        <v>768</v>
      </c>
      <c r="G384" t="str">
        <f>VLOOKUP(F384,'Customers (2)'!A:I,2,0)</f>
        <v>Elka Windress</v>
      </c>
      <c r="H384" t="str">
        <f>VLOOKUP(F384,'Customers (2)'!A:I,3,0)</f>
        <v>ewindressam@marketwatch.com</v>
      </c>
      <c r="I384" t="str">
        <f>VLOOKUP(F384,'Customers (2)'!A:I,4,0)</f>
        <v>+1 (443) 619-7953</v>
      </c>
      <c r="J384" t="str">
        <f>VLOOKUP(F384,'Customers (2)'!A:I,6,0)</f>
        <v>Baltimore</v>
      </c>
      <c r="K384" t="str">
        <f>VLOOKUP(F384,'Customers (2)'!A:I,7,0)</f>
        <v>United States</v>
      </c>
      <c r="L384" t="str">
        <f>VLOOKUP(F384,'Customers (2)'!A:I,9,0)</f>
        <v>No</v>
      </c>
      <c r="M384" t="str">
        <f>VLOOKUP(N384,'Products (2)'!A:G,2,0)</f>
        <v>Excelsa</v>
      </c>
      <c r="N384" t="s">
        <v>16</v>
      </c>
      <c r="O384" t="str">
        <f>VLOOKUP(N384,'Products (2)'!A:G,3,0)</f>
        <v>Dark</v>
      </c>
      <c r="P384">
        <f>VLOOKUP(N384,'Products (2)'!A:G,7,0)</f>
        <v>0.80190000000000006</v>
      </c>
      <c r="Q384">
        <v>3</v>
      </c>
      <c r="R384">
        <f>INDEX([1]products!$A$1:$G$49,MATCH([1]orders!$D384,[1]products!$A$1:$A$49,0),MATCH([1]orders!K$1,[1]products!$A$1:$G$1,0))</f>
        <v>0.5</v>
      </c>
      <c r="S384">
        <f>INDEX([1]products!$A$1:$G$49,MATCH([1]orders!$D384,[1]products!$A$1:$A$49,0),MATCH([1]orders!L$1,[1]products!$A$1:$G$1,0))</f>
        <v>7.29</v>
      </c>
      <c r="T384">
        <f t="shared" si="31"/>
        <v>21.87</v>
      </c>
      <c r="U384">
        <f t="shared" si="34"/>
        <v>2.4057000000000004</v>
      </c>
      <c r="V384">
        <f t="shared" si="35"/>
        <v>11.000000000000002</v>
      </c>
    </row>
    <row r="385" spans="1:22" x14ac:dyDescent="0.25">
      <c r="A385" t="s">
        <v>769</v>
      </c>
      <c r="B385">
        <v>43586</v>
      </c>
      <c r="C385" t="str">
        <f t="shared" si="32"/>
        <v>01</v>
      </c>
      <c r="D385" t="str">
        <f t="shared" si="30"/>
        <v>May</v>
      </c>
      <c r="E385" t="str">
        <f t="shared" si="33"/>
        <v>2019</v>
      </c>
      <c r="F385" t="s">
        <v>770</v>
      </c>
      <c r="G385" t="str">
        <f>VLOOKUP(F385,'Customers (2)'!A:I,2,0)</f>
        <v>Marty Kidstoun</v>
      </c>
      <c r="H385">
        <f>VLOOKUP(F385,'Customers (2)'!A:I,3,0)</f>
        <v>0</v>
      </c>
      <c r="I385" t="str">
        <f>VLOOKUP(F385,'Customers (2)'!A:I,4,0)</f>
        <v>+1 (717) 990-3931</v>
      </c>
      <c r="J385" t="str">
        <f>VLOOKUP(F385,'Customers (2)'!A:I,6,0)</f>
        <v>Harrisburg</v>
      </c>
      <c r="K385" t="str">
        <f>VLOOKUP(F385,'Customers (2)'!A:I,7,0)</f>
        <v>United States</v>
      </c>
      <c r="L385" t="str">
        <f>VLOOKUP(F385,'Customers (2)'!A:I,9,0)</f>
        <v>Yes</v>
      </c>
      <c r="M385" t="str">
        <f>VLOOKUP(N385,'Products (2)'!A:G,2,0)</f>
        <v>Excelsa</v>
      </c>
      <c r="N385" t="s">
        <v>176</v>
      </c>
      <c r="O385" t="str">
        <f>VLOOKUP(N385,'Products (2)'!A:G,3,0)</f>
        <v>Light</v>
      </c>
      <c r="P385">
        <f>VLOOKUP(N385,'Products (2)'!A:G,7,0)</f>
        <v>0.98009999999999997</v>
      </c>
      <c r="Q385">
        <v>6</v>
      </c>
      <c r="R385">
        <f>INDEX([1]products!$A$1:$G$49,MATCH([1]orders!$D385,[1]products!$A$1:$A$49,0),MATCH([1]orders!K$1,[1]products!$A$1:$G$1,0))</f>
        <v>0.5</v>
      </c>
      <c r="S385">
        <f>INDEX([1]products!$A$1:$G$49,MATCH([1]orders!$D385,[1]products!$A$1:$A$49,0),MATCH([1]orders!L$1,[1]products!$A$1:$G$1,0))</f>
        <v>8.91</v>
      </c>
      <c r="T385">
        <f t="shared" si="31"/>
        <v>53.46</v>
      </c>
      <c r="U385">
        <f t="shared" si="34"/>
        <v>5.8805999999999994</v>
      </c>
      <c r="V385">
        <f t="shared" si="35"/>
        <v>10.999999999999998</v>
      </c>
    </row>
    <row r="386" spans="1:22" x14ac:dyDescent="0.25">
      <c r="A386" t="s">
        <v>771</v>
      </c>
      <c r="B386">
        <v>43870</v>
      </c>
      <c r="C386" t="str">
        <f t="shared" si="32"/>
        <v>09</v>
      </c>
      <c r="D386" t="str">
        <f t="shared" ref="D386:D449" si="36">TEXT(B:B,"MMMM")</f>
        <v>February</v>
      </c>
      <c r="E386" t="str">
        <f t="shared" si="33"/>
        <v>2020</v>
      </c>
      <c r="F386" t="s">
        <v>772</v>
      </c>
      <c r="G386" t="str">
        <f>VLOOKUP(F386,'Customers (2)'!A:I,2,0)</f>
        <v>Nickey Dimbleby</v>
      </c>
      <c r="H386">
        <f>VLOOKUP(F386,'Customers (2)'!A:I,3,0)</f>
        <v>0</v>
      </c>
      <c r="I386" t="str">
        <f>VLOOKUP(F386,'Customers (2)'!A:I,4,0)</f>
        <v>+1 (469) 579-2051</v>
      </c>
      <c r="J386" t="str">
        <f>VLOOKUP(F386,'Customers (2)'!A:I,6,0)</f>
        <v>Dallas</v>
      </c>
      <c r="K386" t="str">
        <f>VLOOKUP(F386,'Customers (2)'!A:I,7,0)</f>
        <v>United States</v>
      </c>
      <c r="L386" t="str">
        <f>VLOOKUP(F386,'Customers (2)'!A:I,9,0)</f>
        <v>No</v>
      </c>
      <c r="M386" t="str">
        <f>VLOOKUP(N386,'Products (2)'!A:G,2,0)</f>
        <v>Arabica</v>
      </c>
      <c r="N386" t="s">
        <v>204</v>
      </c>
      <c r="O386" t="str">
        <f>VLOOKUP(N386,'Products (2)'!A:G,3,0)</f>
        <v>Light</v>
      </c>
      <c r="P386">
        <f>VLOOKUP(N386,'Products (2)'!A:G,7,0)</f>
        <v>2.6806499999999995</v>
      </c>
      <c r="Q386">
        <v>4</v>
      </c>
      <c r="R386">
        <f>INDEX([1]products!$A$1:$G$49,MATCH([1]orders!$D386,[1]products!$A$1:$A$49,0),MATCH([1]orders!K$1,[1]products!$A$1:$G$1,0))</f>
        <v>2.5</v>
      </c>
      <c r="S386">
        <f>INDEX([1]products!$A$1:$G$49,MATCH([1]orders!$D386,[1]products!$A$1:$A$49,0),MATCH([1]orders!L$1,[1]products!$A$1:$G$1,0))</f>
        <v>29.784999999999997</v>
      </c>
      <c r="T386">
        <f t="shared" ref="T386:T449" si="37">Q386*S386</f>
        <v>119.13999999999999</v>
      </c>
      <c r="U386">
        <f t="shared" si="34"/>
        <v>10.722599999999998</v>
      </c>
      <c r="V386">
        <f t="shared" si="35"/>
        <v>9</v>
      </c>
    </row>
    <row r="387" spans="1:22" x14ac:dyDescent="0.25">
      <c r="A387" t="s">
        <v>773</v>
      </c>
      <c r="B387">
        <v>44559</v>
      </c>
      <c r="C387" t="str">
        <f t="shared" ref="C387:C450" si="38">TEXT(B:B,"DD")</f>
        <v>29</v>
      </c>
      <c r="D387" t="str">
        <f t="shared" si="36"/>
        <v>December</v>
      </c>
      <c r="E387" t="str">
        <f t="shared" ref="E387:E450" si="39">TEXT(B:B,"yyyy")</f>
        <v>2021</v>
      </c>
      <c r="F387" t="s">
        <v>774</v>
      </c>
      <c r="G387" t="str">
        <f>VLOOKUP(F387,'Customers (2)'!A:I,2,0)</f>
        <v>Virgil Baumadier</v>
      </c>
      <c r="H387" t="str">
        <f>VLOOKUP(F387,'Customers (2)'!A:I,3,0)</f>
        <v>vbaumadierap@google.cn</v>
      </c>
      <c r="I387" t="str">
        <f>VLOOKUP(F387,'Customers (2)'!A:I,4,0)</f>
        <v>+1 (816) 987-4857</v>
      </c>
      <c r="J387" t="str">
        <f>VLOOKUP(F387,'Customers (2)'!A:I,6,0)</f>
        <v>Kansas City</v>
      </c>
      <c r="K387" t="str">
        <f>VLOOKUP(F387,'Customers (2)'!A:I,7,0)</f>
        <v>United States</v>
      </c>
      <c r="L387" t="str">
        <f>VLOOKUP(F387,'Customers (2)'!A:I,9,0)</f>
        <v>Yes</v>
      </c>
      <c r="M387" t="str">
        <f>VLOOKUP(N387,'Products (2)'!A:G,2,0)</f>
        <v>Liberica</v>
      </c>
      <c r="N387" t="s">
        <v>78</v>
      </c>
      <c r="O387" t="str">
        <f>VLOOKUP(N387,'Products (2)'!A:G,3,0)</f>
        <v>Medium</v>
      </c>
      <c r="P387">
        <f>VLOOKUP(N387,'Products (2)'!A:G,7,0)</f>
        <v>1.1349</v>
      </c>
      <c r="Q387">
        <v>5</v>
      </c>
      <c r="R387">
        <f>INDEX([1]products!$A$1:$G$49,MATCH([1]orders!$D387,[1]products!$A$1:$A$49,0),MATCH([1]orders!K$1,[1]products!$A$1:$G$1,0))</f>
        <v>0.5</v>
      </c>
      <c r="S387">
        <f>INDEX([1]products!$A$1:$G$49,MATCH([1]orders!$D387,[1]products!$A$1:$A$49,0),MATCH([1]orders!L$1,[1]products!$A$1:$G$1,0))</f>
        <v>8.73</v>
      </c>
      <c r="T387">
        <f t="shared" si="37"/>
        <v>43.650000000000006</v>
      </c>
      <c r="U387">
        <f t="shared" ref="U387:U450" si="40">Q387*P387</f>
        <v>5.6745000000000001</v>
      </c>
      <c r="V387">
        <f t="shared" ref="V387:V450" si="41">U387/T387*100</f>
        <v>12.999999999999998</v>
      </c>
    </row>
    <row r="388" spans="1:22" x14ac:dyDescent="0.25">
      <c r="A388" t="s">
        <v>775</v>
      </c>
      <c r="B388">
        <v>44083</v>
      </c>
      <c r="C388" t="str">
        <f t="shared" si="38"/>
        <v>09</v>
      </c>
      <c r="D388" t="str">
        <f t="shared" si="36"/>
        <v>September</v>
      </c>
      <c r="E388" t="str">
        <f t="shared" si="39"/>
        <v>2020</v>
      </c>
      <c r="F388" t="s">
        <v>776</v>
      </c>
      <c r="G388" t="str">
        <f>VLOOKUP(F388,'Customers (2)'!A:I,2,0)</f>
        <v>Lenore Messenbird</v>
      </c>
      <c r="H388">
        <f>VLOOKUP(F388,'Customers (2)'!A:I,3,0)</f>
        <v>0</v>
      </c>
      <c r="I388" t="str">
        <f>VLOOKUP(F388,'Customers (2)'!A:I,4,0)</f>
        <v>+1 (217) 713-5108</v>
      </c>
      <c r="J388" t="str">
        <f>VLOOKUP(F388,'Customers (2)'!A:I,6,0)</f>
        <v>Springfield</v>
      </c>
      <c r="K388" t="str">
        <f>VLOOKUP(F388,'Customers (2)'!A:I,7,0)</f>
        <v>United States</v>
      </c>
      <c r="L388" t="str">
        <f>VLOOKUP(F388,'Customers (2)'!A:I,9,0)</f>
        <v>Yes</v>
      </c>
      <c r="M388" t="str">
        <f>VLOOKUP(N388,'Products (2)'!A:G,2,0)</f>
        <v>Arabica</v>
      </c>
      <c r="N388" t="s">
        <v>54</v>
      </c>
      <c r="O388" t="str">
        <f>VLOOKUP(N388,'Products (2)'!A:G,3,0)</f>
        <v>Dark</v>
      </c>
      <c r="P388">
        <f>VLOOKUP(N388,'Products (2)'!A:G,7,0)</f>
        <v>0.26865</v>
      </c>
      <c r="Q388">
        <v>6</v>
      </c>
      <c r="R388">
        <f>INDEX([1]products!$A$1:$G$49,MATCH([1]orders!$D388,[1]products!$A$1:$A$49,0),MATCH([1]orders!K$1,[1]products!$A$1:$G$1,0))</f>
        <v>0.2</v>
      </c>
      <c r="S388">
        <f>INDEX([1]products!$A$1:$G$49,MATCH([1]orders!$D388,[1]products!$A$1:$A$49,0),MATCH([1]orders!L$1,[1]products!$A$1:$G$1,0))</f>
        <v>2.9849999999999999</v>
      </c>
      <c r="T388">
        <f t="shared" si="37"/>
        <v>17.91</v>
      </c>
      <c r="U388">
        <f t="shared" si="40"/>
        <v>1.6118999999999999</v>
      </c>
      <c r="V388">
        <f t="shared" si="41"/>
        <v>9</v>
      </c>
    </row>
    <row r="389" spans="1:22" x14ac:dyDescent="0.25">
      <c r="A389" t="s">
        <v>777</v>
      </c>
      <c r="B389">
        <v>44455</v>
      </c>
      <c r="C389" t="str">
        <f t="shared" si="38"/>
        <v>16</v>
      </c>
      <c r="D389" t="str">
        <f t="shared" si="36"/>
        <v>September</v>
      </c>
      <c r="E389" t="str">
        <f t="shared" si="39"/>
        <v>2021</v>
      </c>
      <c r="F389" t="s">
        <v>778</v>
      </c>
      <c r="G389" t="str">
        <f>VLOOKUP(F389,'Customers (2)'!A:I,2,0)</f>
        <v>Shirleen Welds</v>
      </c>
      <c r="H389" t="str">
        <f>VLOOKUP(F389,'Customers (2)'!A:I,3,0)</f>
        <v>sweldsar@wired.com</v>
      </c>
      <c r="I389" t="str">
        <f>VLOOKUP(F389,'Customers (2)'!A:I,4,0)</f>
        <v>+1 (203) 568-7058</v>
      </c>
      <c r="J389" t="str">
        <f>VLOOKUP(F389,'Customers (2)'!A:I,6,0)</f>
        <v>New Haven</v>
      </c>
      <c r="K389" t="str">
        <f>VLOOKUP(F389,'Customers (2)'!A:I,7,0)</f>
        <v>United States</v>
      </c>
      <c r="L389" t="str">
        <f>VLOOKUP(F389,'Customers (2)'!A:I,9,0)</f>
        <v>Yes</v>
      </c>
      <c r="M389" t="str">
        <f>VLOOKUP(N389,'Products (2)'!A:G,2,0)</f>
        <v>Excelsa</v>
      </c>
      <c r="N389" t="s">
        <v>137</v>
      </c>
      <c r="O389" t="str">
        <f>VLOOKUP(N389,'Products (2)'!A:G,3,0)</f>
        <v>Light</v>
      </c>
      <c r="P389">
        <f>VLOOKUP(N389,'Products (2)'!A:G,7,0)</f>
        <v>1.6335</v>
      </c>
      <c r="Q389">
        <v>5</v>
      </c>
      <c r="R389">
        <f>INDEX([1]products!$A$1:$G$49,MATCH([1]orders!$D389,[1]products!$A$1:$A$49,0),MATCH([1]orders!K$1,[1]products!$A$1:$G$1,0))</f>
        <v>1</v>
      </c>
      <c r="S389">
        <f>INDEX([1]products!$A$1:$G$49,MATCH([1]orders!$D389,[1]products!$A$1:$A$49,0),MATCH([1]orders!L$1,[1]products!$A$1:$G$1,0))</f>
        <v>14.85</v>
      </c>
      <c r="T389">
        <f t="shared" si="37"/>
        <v>74.25</v>
      </c>
      <c r="U389">
        <f t="shared" si="40"/>
        <v>8.1675000000000004</v>
      </c>
      <c r="V389">
        <f t="shared" si="41"/>
        <v>11</v>
      </c>
    </row>
    <row r="390" spans="1:22" x14ac:dyDescent="0.25">
      <c r="A390" t="s">
        <v>779</v>
      </c>
      <c r="B390">
        <v>44130</v>
      </c>
      <c r="C390" t="str">
        <f t="shared" si="38"/>
        <v>26</v>
      </c>
      <c r="D390" t="str">
        <f t="shared" si="36"/>
        <v>October</v>
      </c>
      <c r="E390" t="str">
        <f t="shared" si="39"/>
        <v>2020</v>
      </c>
      <c r="F390" t="s">
        <v>780</v>
      </c>
      <c r="G390" t="str">
        <f>VLOOKUP(F390,'Customers (2)'!A:I,2,0)</f>
        <v>Maisie Sarvar</v>
      </c>
      <c r="H390" t="str">
        <f>VLOOKUP(F390,'Customers (2)'!A:I,3,0)</f>
        <v>msarvaras@artisteer.com</v>
      </c>
      <c r="I390" t="str">
        <f>VLOOKUP(F390,'Customers (2)'!A:I,4,0)</f>
        <v>+1 (404) 401-6865</v>
      </c>
      <c r="J390" t="str">
        <f>VLOOKUP(F390,'Customers (2)'!A:I,6,0)</f>
        <v>Lawrenceville</v>
      </c>
      <c r="K390" t="str">
        <f>VLOOKUP(F390,'Customers (2)'!A:I,7,0)</f>
        <v>United States</v>
      </c>
      <c r="L390" t="str">
        <f>VLOOKUP(F390,'Customers (2)'!A:I,9,0)</f>
        <v>Yes</v>
      </c>
      <c r="M390" t="str">
        <f>VLOOKUP(N390,'Products (2)'!A:G,2,0)</f>
        <v>Liberica</v>
      </c>
      <c r="N390" t="s">
        <v>38</v>
      </c>
      <c r="O390" t="str">
        <f>VLOOKUP(N390,'Products (2)'!A:G,3,0)</f>
        <v>Dark</v>
      </c>
      <c r="P390">
        <f>VLOOKUP(N390,'Products (2)'!A:G,7,0)</f>
        <v>0.50505</v>
      </c>
      <c r="Q390">
        <v>3</v>
      </c>
      <c r="R390">
        <f>INDEX([1]products!$A$1:$G$49,MATCH([1]orders!$D390,[1]products!$A$1:$A$49,0),MATCH([1]orders!K$1,[1]products!$A$1:$G$1,0))</f>
        <v>0.2</v>
      </c>
      <c r="S390">
        <f>INDEX([1]products!$A$1:$G$49,MATCH([1]orders!$D390,[1]products!$A$1:$A$49,0),MATCH([1]orders!L$1,[1]products!$A$1:$G$1,0))</f>
        <v>3.8849999999999998</v>
      </c>
      <c r="T390">
        <f t="shared" si="37"/>
        <v>11.654999999999999</v>
      </c>
      <c r="U390">
        <f t="shared" si="40"/>
        <v>1.51515</v>
      </c>
      <c r="V390">
        <f t="shared" si="41"/>
        <v>13</v>
      </c>
    </row>
    <row r="391" spans="1:22" x14ac:dyDescent="0.25">
      <c r="A391" t="s">
        <v>781</v>
      </c>
      <c r="B391">
        <v>43536</v>
      </c>
      <c r="C391" t="str">
        <f t="shared" si="38"/>
        <v>12</v>
      </c>
      <c r="D391" t="str">
        <f t="shared" si="36"/>
        <v>March</v>
      </c>
      <c r="E391" t="str">
        <f t="shared" si="39"/>
        <v>2019</v>
      </c>
      <c r="F391" t="s">
        <v>782</v>
      </c>
      <c r="G391" t="str">
        <f>VLOOKUP(F391,'Customers (2)'!A:I,2,0)</f>
        <v>Andrej Havick</v>
      </c>
      <c r="H391" t="str">
        <f>VLOOKUP(F391,'Customers (2)'!A:I,3,0)</f>
        <v>ahavickat@nsw.gov.au</v>
      </c>
      <c r="I391" t="str">
        <f>VLOOKUP(F391,'Customers (2)'!A:I,4,0)</f>
        <v>+1 (828) 769-0743</v>
      </c>
      <c r="J391" t="str">
        <f>VLOOKUP(F391,'Customers (2)'!A:I,6,0)</f>
        <v>Asheville</v>
      </c>
      <c r="K391" t="str">
        <f>VLOOKUP(F391,'Customers (2)'!A:I,7,0)</f>
        <v>United States</v>
      </c>
      <c r="L391" t="str">
        <f>VLOOKUP(F391,'Customers (2)'!A:I,9,0)</f>
        <v>Yes</v>
      </c>
      <c r="M391" t="str">
        <f>VLOOKUP(N391,'Products (2)'!A:G,2,0)</f>
        <v>Liberica</v>
      </c>
      <c r="N391" t="s">
        <v>123</v>
      </c>
      <c r="O391" t="str">
        <f>VLOOKUP(N391,'Products (2)'!A:G,3,0)</f>
        <v>Dark</v>
      </c>
      <c r="P391">
        <f>VLOOKUP(N391,'Products (2)'!A:G,7,0)</f>
        <v>1.0101</v>
      </c>
      <c r="Q391">
        <v>3</v>
      </c>
      <c r="R391">
        <f>INDEX([1]products!$A$1:$G$49,MATCH([1]orders!$D391,[1]products!$A$1:$A$49,0),MATCH([1]orders!K$1,[1]products!$A$1:$G$1,0))</f>
        <v>0.5</v>
      </c>
      <c r="S391">
        <f>INDEX([1]products!$A$1:$G$49,MATCH([1]orders!$D391,[1]products!$A$1:$A$49,0),MATCH([1]orders!L$1,[1]products!$A$1:$G$1,0))</f>
        <v>7.77</v>
      </c>
      <c r="T391">
        <f t="shared" si="37"/>
        <v>23.31</v>
      </c>
      <c r="U391">
        <f t="shared" si="40"/>
        <v>3.0303</v>
      </c>
      <c r="V391">
        <f t="shared" si="41"/>
        <v>13</v>
      </c>
    </row>
    <row r="392" spans="1:22" x14ac:dyDescent="0.25">
      <c r="A392" t="s">
        <v>783</v>
      </c>
      <c r="B392">
        <v>44245</v>
      </c>
      <c r="C392" t="str">
        <f t="shared" si="38"/>
        <v>18</v>
      </c>
      <c r="D392" t="str">
        <f t="shared" si="36"/>
        <v>February</v>
      </c>
      <c r="E392" t="str">
        <f t="shared" si="39"/>
        <v>2021</v>
      </c>
      <c r="F392" t="s">
        <v>784</v>
      </c>
      <c r="G392" t="str">
        <f>VLOOKUP(F392,'Customers (2)'!A:I,2,0)</f>
        <v>Sloan Diviny</v>
      </c>
      <c r="H392" t="str">
        <f>VLOOKUP(F392,'Customers (2)'!A:I,3,0)</f>
        <v>sdivinyau@ask.com</v>
      </c>
      <c r="I392">
        <f>VLOOKUP(F392,'Customers (2)'!A:I,4,0)</f>
        <v>0</v>
      </c>
      <c r="J392" t="str">
        <f>VLOOKUP(F392,'Customers (2)'!A:I,6,0)</f>
        <v>Saint Paul</v>
      </c>
      <c r="K392" t="str">
        <f>VLOOKUP(F392,'Customers (2)'!A:I,7,0)</f>
        <v>United States</v>
      </c>
      <c r="L392" t="str">
        <f>VLOOKUP(F392,'Customers (2)'!A:I,9,0)</f>
        <v>Yes</v>
      </c>
      <c r="M392" t="str">
        <f>VLOOKUP(N392,'Products (2)'!A:G,2,0)</f>
        <v>Excelsa</v>
      </c>
      <c r="N392" t="s">
        <v>16</v>
      </c>
      <c r="O392" t="str">
        <f>VLOOKUP(N392,'Products (2)'!A:G,3,0)</f>
        <v>Dark</v>
      </c>
      <c r="P392">
        <f>VLOOKUP(N392,'Products (2)'!A:G,7,0)</f>
        <v>0.80190000000000006</v>
      </c>
      <c r="Q392">
        <v>2</v>
      </c>
      <c r="R392">
        <f>INDEX([1]products!$A$1:$G$49,MATCH([1]orders!$D392,[1]products!$A$1:$A$49,0),MATCH([1]orders!K$1,[1]products!$A$1:$G$1,0))</f>
        <v>0.5</v>
      </c>
      <c r="S392">
        <f>INDEX([1]products!$A$1:$G$49,MATCH([1]orders!$D392,[1]products!$A$1:$A$49,0),MATCH([1]orders!L$1,[1]products!$A$1:$G$1,0))</f>
        <v>7.29</v>
      </c>
      <c r="T392">
        <f t="shared" si="37"/>
        <v>14.58</v>
      </c>
      <c r="U392">
        <f t="shared" si="40"/>
        <v>1.6038000000000001</v>
      </c>
      <c r="V392">
        <f t="shared" si="41"/>
        <v>11</v>
      </c>
    </row>
    <row r="393" spans="1:22" x14ac:dyDescent="0.25">
      <c r="A393" t="s">
        <v>785</v>
      </c>
      <c r="B393">
        <v>44133</v>
      </c>
      <c r="C393" t="str">
        <f t="shared" si="38"/>
        <v>29</v>
      </c>
      <c r="D393" t="str">
        <f t="shared" si="36"/>
        <v>October</v>
      </c>
      <c r="E393" t="str">
        <f t="shared" si="39"/>
        <v>2020</v>
      </c>
      <c r="F393" t="s">
        <v>786</v>
      </c>
      <c r="G393" t="str">
        <f>VLOOKUP(F393,'Customers (2)'!A:I,2,0)</f>
        <v>Itch Norquoy</v>
      </c>
      <c r="H393" t="str">
        <f>VLOOKUP(F393,'Customers (2)'!A:I,3,0)</f>
        <v>inorquoyav@businessweek.com</v>
      </c>
      <c r="I393">
        <f>VLOOKUP(F393,'Customers (2)'!A:I,4,0)</f>
        <v>0</v>
      </c>
      <c r="J393" t="str">
        <f>VLOOKUP(F393,'Customers (2)'!A:I,6,0)</f>
        <v>Minneapolis</v>
      </c>
      <c r="K393" t="str">
        <f>VLOOKUP(F393,'Customers (2)'!A:I,7,0)</f>
        <v>United States</v>
      </c>
      <c r="L393" t="str">
        <f>VLOOKUP(F393,'Customers (2)'!A:I,9,0)</f>
        <v>No</v>
      </c>
      <c r="M393" t="str">
        <f>VLOOKUP(N393,'Products (2)'!A:G,2,0)</f>
        <v>Arabica</v>
      </c>
      <c r="N393" t="s">
        <v>67</v>
      </c>
      <c r="O393" t="str">
        <f>VLOOKUP(N393,'Products (2)'!A:G,3,0)</f>
        <v>Medium</v>
      </c>
      <c r="P393">
        <f>VLOOKUP(N393,'Products (2)'!A:G,7,0)</f>
        <v>0.60749999999999993</v>
      </c>
      <c r="Q393">
        <v>2</v>
      </c>
      <c r="R393">
        <f>INDEX([1]products!$A$1:$G$49,MATCH([1]orders!$D393,[1]products!$A$1:$A$49,0),MATCH([1]orders!K$1,[1]products!$A$1:$G$1,0))</f>
        <v>0.5</v>
      </c>
      <c r="S393">
        <f>INDEX([1]products!$A$1:$G$49,MATCH([1]orders!$D393,[1]products!$A$1:$A$49,0),MATCH([1]orders!L$1,[1]products!$A$1:$G$1,0))</f>
        <v>6.75</v>
      </c>
      <c r="T393">
        <f t="shared" si="37"/>
        <v>13.5</v>
      </c>
      <c r="U393">
        <f t="shared" si="40"/>
        <v>1.2149999999999999</v>
      </c>
      <c r="V393">
        <f t="shared" si="41"/>
        <v>8.9999999999999982</v>
      </c>
    </row>
    <row r="394" spans="1:22" x14ac:dyDescent="0.25">
      <c r="A394" t="s">
        <v>787</v>
      </c>
      <c r="B394">
        <v>44445</v>
      </c>
      <c r="C394" t="str">
        <f t="shared" si="38"/>
        <v>06</v>
      </c>
      <c r="D394" t="str">
        <f t="shared" si="36"/>
        <v>September</v>
      </c>
      <c r="E394" t="str">
        <f t="shared" si="39"/>
        <v>2021</v>
      </c>
      <c r="F394" t="s">
        <v>788</v>
      </c>
      <c r="G394" t="str">
        <f>VLOOKUP(F394,'Customers (2)'!A:I,2,0)</f>
        <v>Anson Iddison</v>
      </c>
      <c r="H394" t="str">
        <f>VLOOKUP(F394,'Customers (2)'!A:I,3,0)</f>
        <v>aiddisonaw@usa.gov</v>
      </c>
      <c r="I394" t="str">
        <f>VLOOKUP(F394,'Customers (2)'!A:I,4,0)</f>
        <v>+1 (714) 658-0310</v>
      </c>
      <c r="J394" t="str">
        <f>VLOOKUP(F394,'Customers (2)'!A:I,6,0)</f>
        <v>Santa Ana</v>
      </c>
      <c r="K394" t="str">
        <f>VLOOKUP(F394,'Customers (2)'!A:I,7,0)</f>
        <v>United States</v>
      </c>
      <c r="L394" t="str">
        <f>VLOOKUP(F394,'Customers (2)'!A:I,9,0)</f>
        <v>No</v>
      </c>
      <c r="M394" t="str">
        <f>VLOOKUP(N394,'Products (2)'!A:G,2,0)</f>
        <v>Excelsa</v>
      </c>
      <c r="N394" t="s">
        <v>137</v>
      </c>
      <c r="O394" t="str">
        <f>VLOOKUP(N394,'Products (2)'!A:G,3,0)</f>
        <v>Light</v>
      </c>
      <c r="P394">
        <f>VLOOKUP(N394,'Products (2)'!A:G,7,0)</f>
        <v>1.6335</v>
      </c>
      <c r="Q394">
        <v>6</v>
      </c>
      <c r="R394">
        <f>INDEX([1]products!$A$1:$G$49,MATCH([1]orders!$D394,[1]products!$A$1:$A$49,0),MATCH([1]orders!K$1,[1]products!$A$1:$G$1,0))</f>
        <v>1</v>
      </c>
      <c r="S394">
        <f>INDEX([1]products!$A$1:$G$49,MATCH([1]orders!$D394,[1]products!$A$1:$A$49,0),MATCH([1]orders!L$1,[1]products!$A$1:$G$1,0))</f>
        <v>14.85</v>
      </c>
      <c r="T394">
        <f t="shared" si="37"/>
        <v>89.1</v>
      </c>
      <c r="U394">
        <f t="shared" si="40"/>
        <v>9.8010000000000002</v>
      </c>
      <c r="V394">
        <f t="shared" si="41"/>
        <v>11.000000000000002</v>
      </c>
    </row>
    <row r="395" spans="1:22" x14ac:dyDescent="0.25">
      <c r="A395" t="s">
        <v>787</v>
      </c>
      <c r="B395">
        <v>44445</v>
      </c>
      <c r="C395" t="str">
        <f t="shared" si="38"/>
        <v>06</v>
      </c>
      <c r="D395" t="str">
        <f t="shared" si="36"/>
        <v>September</v>
      </c>
      <c r="E395" t="str">
        <f t="shared" si="39"/>
        <v>2021</v>
      </c>
      <c r="F395" t="s">
        <v>788</v>
      </c>
      <c r="G395" t="str">
        <f>VLOOKUP(F395,'Customers (2)'!A:I,2,0)</f>
        <v>Anson Iddison</v>
      </c>
      <c r="H395" t="str">
        <f>VLOOKUP(F395,'Customers (2)'!A:I,3,0)</f>
        <v>aiddisonaw@usa.gov</v>
      </c>
      <c r="I395" t="str">
        <f>VLOOKUP(F395,'Customers (2)'!A:I,4,0)</f>
        <v>+1 (714) 658-0310</v>
      </c>
      <c r="J395" t="str">
        <f>VLOOKUP(F395,'Customers (2)'!A:I,6,0)</f>
        <v>Santa Ana</v>
      </c>
      <c r="K395" t="str">
        <f>VLOOKUP(F395,'Customers (2)'!A:I,7,0)</f>
        <v>United States</v>
      </c>
      <c r="L395" t="str">
        <f>VLOOKUP(F395,'Customers (2)'!A:I,9,0)</f>
        <v>No</v>
      </c>
      <c r="M395" t="str">
        <f>VLOOKUP(N395,'Products (2)'!A:G,2,0)</f>
        <v>Arabica</v>
      </c>
      <c r="N395" t="s">
        <v>115</v>
      </c>
      <c r="O395" t="str">
        <f>VLOOKUP(N395,'Products (2)'!A:G,3,0)</f>
        <v>Light</v>
      </c>
      <c r="P395">
        <f>VLOOKUP(N395,'Products (2)'!A:G,7,0)</f>
        <v>0.34964999999999996</v>
      </c>
      <c r="Q395">
        <v>1</v>
      </c>
      <c r="R395">
        <f>INDEX([1]products!$A$1:$G$49,MATCH([1]orders!$D395,[1]products!$A$1:$A$49,0),MATCH([1]orders!K$1,[1]products!$A$1:$G$1,0))</f>
        <v>0.2</v>
      </c>
      <c r="S395">
        <f>INDEX([1]products!$A$1:$G$49,MATCH([1]orders!$D395,[1]products!$A$1:$A$49,0),MATCH([1]orders!L$1,[1]products!$A$1:$G$1,0))</f>
        <v>3.8849999999999998</v>
      </c>
      <c r="T395">
        <f t="shared" si="37"/>
        <v>3.8849999999999998</v>
      </c>
      <c r="U395">
        <f t="shared" si="40"/>
        <v>0.34964999999999996</v>
      </c>
      <c r="V395">
        <f t="shared" si="41"/>
        <v>9</v>
      </c>
    </row>
    <row r="396" spans="1:22" x14ac:dyDescent="0.25">
      <c r="A396" t="s">
        <v>789</v>
      </c>
      <c r="B396">
        <v>44083</v>
      </c>
      <c r="C396" t="str">
        <f t="shared" si="38"/>
        <v>09</v>
      </c>
      <c r="D396" t="str">
        <f t="shared" si="36"/>
        <v>September</v>
      </c>
      <c r="E396" t="str">
        <f t="shared" si="39"/>
        <v>2020</v>
      </c>
      <c r="F396" t="s">
        <v>790</v>
      </c>
      <c r="G396" t="str">
        <f>VLOOKUP(F396,'Customers (2)'!A:I,2,0)</f>
        <v>Randal Longfield</v>
      </c>
      <c r="H396" t="str">
        <f>VLOOKUP(F396,'Customers (2)'!A:I,3,0)</f>
        <v>rlongfielday@bluehost.com</v>
      </c>
      <c r="I396" t="str">
        <f>VLOOKUP(F396,'Customers (2)'!A:I,4,0)</f>
        <v>+1 (612) 210-6966</v>
      </c>
      <c r="J396" t="str">
        <f>VLOOKUP(F396,'Customers (2)'!A:I,6,0)</f>
        <v>Minneapolis</v>
      </c>
      <c r="K396" t="str">
        <f>VLOOKUP(F396,'Customers (2)'!A:I,7,0)</f>
        <v>United States</v>
      </c>
      <c r="L396" t="str">
        <f>VLOOKUP(F396,'Customers (2)'!A:I,9,0)</f>
        <v>No</v>
      </c>
      <c r="M396" t="str">
        <f>VLOOKUP(N396,'Products (2)'!A:G,2,0)</f>
        <v>Robusta</v>
      </c>
      <c r="N396" t="s">
        <v>10</v>
      </c>
      <c r="O396" t="str">
        <f>VLOOKUP(N396,'Products (2)'!A:G,3,0)</f>
        <v>Light</v>
      </c>
      <c r="P396">
        <f>VLOOKUP(N396,'Products (2)'!A:G,7,0)</f>
        <v>1.6490999999999998</v>
      </c>
      <c r="Q396">
        <v>4</v>
      </c>
      <c r="R396">
        <f>INDEX([1]products!$A$1:$G$49,MATCH([1]orders!$D396,[1]products!$A$1:$A$49,0),MATCH([1]orders!K$1,[1]products!$A$1:$G$1,0))</f>
        <v>2.5</v>
      </c>
      <c r="S396">
        <f>INDEX([1]products!$A$1:$G$49,MATCH([1]orders!$D396,[1]products!$A$1:$A$49,0),MATCH([1]orders!L$1,[1]products!$A$1:$G$1,0))</f>
        <v>27.484999999999996</v>
      </c>
      <c r="T396">
        <f t="shared" si="37"/>
        <v>109.93999999999998</v>
      </c>
      <c r="U396">
        <f t="shared" si="40"/>
        <v>6.5963999999999992</v>
      </c>
      <c r="V396">
        <f t="shared" si="41"/>
        <v>6.0000000000000009</v>
      </c>
    </row>
    <row r="397" spans="1:22" x14ac:dyDescent="0.25">
      <c r="A397" t="s">
        <v>791</v>
      </c>
      <c r="B397">
        <v>44465</v>
      </c>
      <c r="C397" t="str">
        <f t="shared" si="38"/>
        <v>26</v>
      </c>
      <c r="D397" t="str">
        <f t="shared" si="36"/>
        <v>September</v>
      </c>
      <c r="E397" t="str">
        <f t="shared" si="39"/>
        <v>2021</v>
      </c>
      <c r="F397" t="s">
        <v>792</v>
      </c>
      <c r="G397" t="str">
        <f>VLOOKUP(F397,'Customers (2)'!A:I,2,0)</f>
        <v>Gregorius Kislingbury</v>
      </c>
      <c r="H397" t="str">
        <f>VLOOKUP(F397,'Customers (2)'!A:I,3,0)</f>
        <v>gkislingburyaz@samsung.com</v>
      </c>
      <c r="I397">
        <f>VLOOKUP(F397,'Customers (2)'!A:I,4,0)</f>
        <v>0</v>
      </c>
      <c r="J397" t="str">
        <f>VLOOKUP(F397,'Customers (2)'!A:I,6,0)</f>
        <v>Washington</v>
      </c>
      <c r="K397" t="str">
        <f>VLOOKUP(F397,'Customers (2)'!A:I,7,0)</f>
        <v>United States</v>
      </c>
      <c r="L397" t="str">
        <f>VLOOKUP(F397,'Customers (2)'!A:I,9,0)</f>
        <v>Yes</v>
      </c>
      <c r="M397" t="str">
        <f>VLOOKUP(N397,'Products (2)'!A:G,2,0)</f>
        <v>Liberica</v>
      </c>
      <c r="N397" t="s">
        <v>123</v>
      </c>
      <c r="O397" t="str">
        <f>VLOOKUP(N397,'Products (2)'!A:G,3,0)</f>
        <v>Dark</v>
      </c>
      <c r="P397">
        <f>VLOOKUP(N397,'Products (2)'!A:G,7,0)</f>
        <v>1.0101</v>
      </c>
      <c r="Q397">
        <v>6</v>
      </c>
      <c r="R397">
        <f>INDEX([1]products!$A$1:$G$49,MATCH([1]orders!$D397,[1]products!$A$1:$A$49,0),MATCH([1]orders!K$1,[1]products!$A$1:$G$1,0))</f>
        <v>0.5</v>
      </c>
      <c r="S397">
        <f>INDEX([1]products!$A$1:$G$49,MATCH([1]orders!$D397,[1]products!$A$1:$A$49,0),MATCH([1]orders!L$1,[1]products!$A$1:$G$1,0))</f>
        <v>7.77</v>
      </c>
      <c r="T397">
        <f t="shared" si="37"/>
        <v>46.62</v>
      </c>
      <c r="U397">
        <f t="shared" si="40"/>
        <v>6.0606</v>
      </c>
      <c r="V397">
        <f t="shared" si="41"/>
        <v>13</v>
      </c>
    </row>
    <row r="398" spans="1:22" x14ac:dyDescent="0.25">
      <c r="A398" t="s">
        <v>793</v>
      </c>
      <c r="B398">
        <v>44140</v>
      </c>
      <c r="C398" t="str">
        <f t="shared" si="38"/>
        <v>05</v>
      </c>
      <c r="D398" t="str">
        <f t="shared" si="36"/>
        <v>November</v>
      </c>
      <c r="E398" t="str">
        <f t="shared" si="39"/>
        <v>2020</v>
      </c>
      <c r="F398" t="s">
        <v>794</v>
      </c>
      <c r="G398" t="str">
        <f>VLOOKUP(F398,'Customers (2)'!A:I,2,0)</f>
        <v>Xenos Gibbons</v>
      </c>
      <c r="H398" t="str">
        <f>VLOOKUP(F398,'Customers (2)'!A:I,3,0)</f>
        <v>xgibbonsb0@artisteer.com</v>
      </c>
      <c r="I398" t="str">
        <f>VLOOKUP(F398,'Customers (2)'!A:I,4,0)</f>
        <v>+1 (909) 614-0008</v>
      </c>
      <c r="J398" t="str">
        <f>VLOOKUP(F398,'Customers (2)'!A:I,6,0)</f>
        <v>San Bernardino</v>
      </c>
      <c r="K398" t="str">
        <f>VLOOKUP(F398,'Customers (2)'!A:I,7,0)</f>
        <v>United States</v>
      </c>
      <c r="L398" t="str">
        <f>VLOOKUP(F398,'Customers (2)'!A:I,9,0)</f>
        <v>No</v>
      </c>
      <c r="M398" t="str">
        <f>VLOOKUP(N398,'Products (2)'!A:G,2,0)</f>
        <v>Arabica</v>
      </c>
      <c r="N398" t="s">
        <v>192</v>
      </c>
      <c r="O398" t="str">
        <f>VLOOKUP(N398,'Products (2)'!A:G,3,0)</f>
        <v>Light</v>
      </c>
      <c r="P398">
        <f>VLOOKUP(N398,'Products (2)'!A:G,7,0)</f>
        <v>0.69929999999999992</v>
      </c>
      <c r="Q398">
        <v>5</v>
      </c>
      <c r="R398">
        <f>INDEX([1]products!$A$1:$G$49,MATCH([1]orders!$D398,[1]products!$A$1:$A$49,0),MATCH([1]orders!K$1,[1]products!$A$1:$G$1,0))</f>
        <v>0.5</v>
      </c>
      <c r="S398">
        <f>INDEX([1]products!$A$1:$G$49,MATCH([1]orders!$D398,[1]products!$A$1:$A$49,0),MATCH([1]orders!L$1,[1]products!$A$1:$G$1,0))</f>
        <v>7.77</v>
      </c>
      <c r="T398">
        <f t="shared" si="37"/>
        <v>38.849999999999994</v>
      </c>
      <c r="U398">
        <f t="shared" si="40"/>
        <v>3.4964999999999997</v>
      </c>
      <c r="V398">
        <f t="shared" si="41"/>
        <v>9.0000000000000018</v>
      </c>
    </row>
    <row r="399" spans="1:22" x14ac:dyDescent="0.25">
      <c r="A399" t="s">
        <v>795</v>
      </c>
      <c r="B399">
        <v>43720</v>
      </c>
      <c r="C399" t="str">
        <f t="shared" si="38"/>
        <v>12</v>
      </c>
      <c r="D399" t="str">
        <f t="shared" si="36"/>
        <v>September</v>
      </c>
      <c r="E399" t="str">
        <f t="shared" si="39"/>
        <v>2019</v>
      </c>
      <c r="F399" t="s">
        <v>796</v>
      </c>
      <c r="G399" t="str">
        <f>VLOOKUP(F399,'Customers (2)'!A:I,2,0)</f>
        <v>Fleur Parres</v>
      </c>
      <c r="H399" t="str">
        <f>VLOOKUP(F399,'Customers (2)'!A:I,3,0)</f>
        <v>fparresb1@imageshack.us</v>
      </c>
      <c r="I399" t="str">
        <f>VLOOKUP(F399,'Customers (2)'!A:I,4,0)</f>
        <v>+1 (585) 672-4256</v>
      </c>
      <c r="J399" t="str">
        <f>VLOOKUP(F399,'Customers (2)'!A:I,6,0)</f>
        <v>Rochester</v>
      </c>
      <c r="K399" t="str">
        <f>VLOOKUP(F399,'Customers (2)'!A:I,7,0)</f>
        <v>United States</v>
      </c>
      <c r="L399" t="str">
        <f>VLOOKUP(F399,'Customers (2)'!A:I,9,0)</f>
        <v>Yes</v>
      </c>
      <c r="M399" t="str">
        <f>VLOOKUP(N399,'Products (2)'!A:G,2,0)</f>
        <v>Liberica</v>
      </c>
      <c r="N399" t="s">
        <v>123</v>
      </c>
      <c r="O399" t="str">
        <f>VLOOKUP(N399,'Products (2)'!A:G,3,0)</f>
        <v>Dark</v>
      </c>
      <c r="P399">
        <f>VLOOKUP(N399,'Products (2)'!A:G,7,0)</f>
        <v>1.0101</v>
      </c>
      <c r="Q399">
        <v>4</v>
      </c>
      <c r="R399">
        <f>INDEX([1]products!$A$1:$G$49,MATCH([1]orders!$D399,[1]products!$A$1:$A$49,0),MATCH([1]orders!K$1,[1]products!$A$1:$G$1,0))</f>
        <v>0.5</v>
      </c>
      <c r="S399">
        <f>INDEX([1]products!$A$1:$G$49,MATCH([1]orders!$D399,[1]products!$A$1:$A$49,0),MATCH([1]orders!L$1,[1]products!$A$1:$G$1,0))</f>
        <v>7.77</v>
      </c>
      <c r="T399">
        <f t="shared" si="37"/>
        <v>31.08</v>
      </c>
      <c r="U399">
        <f t="shared" si="40"/>
        <v>4.0404</v>
      </c>
      <c r="V399">
        <f t="shared" si="41"/>
        <v>13</v>
      </c>
    </row>
    <row r="400" spans="1:22" x14ac:dyDescent="0.25">
      <c r="A400" t="s">
        <v>797</v>
      </c>
      <c r="B400">
        <v>43677</v>
      </c>
      <c r="C400" t="str">
        <f t="shared" si="38"/>
        <v>31</v>
      </c>
      <c r="D400" t="str">
        <f t="shared" si="36"/>
        <v>July</v>
      </c>
      <c r="E400" t="str">
        <f t="shared" si="39"/>
        <v>2019</v>
      </c>
      <c r="F400" t="s">
        <v>798</v>
      </c>
      <c r="G400" t="str">
        <f>VLOOKUP(F400,'Customers (2)'!A:I,2,0)</f>
        <v>Gran Sibray</v>
      </c>
      <c r="H400" t="str">
        <f>VLOOKUP(F400,'Customers (2)'!A:I,3,0)</f>
        <v>gsibrayb2@wsj.com</v>
      </c>
      <c r="I400" t="str">
        <f>VLOOKUP(F400,'Customers (2)'!A:I,4,0)</f>
        <v>+1 (360) 389-5295</v>
      </c>
      <c r="J400" t="str">
        <f>VLOOKUP(F400,'Customers (2)'!A:I,6,0)</f>
        <v>Vancouver</v>
      </c>
      <c r="K400" t="str">
        <f>VLOOKUP(F400,'Customers (2)'!A:I,7,0)</f>
        <v>United States</v>
      </c>
      <c r="L400" t="str">
        <f>VLOOKUP(F400,'Customers (2)'!A:I,9,0)</f>
        <v>Yes</v>
      </c>
      <c r="M400" t="str">
        <f>VLOOKUP(N400,'Products (2)'!A:G,2,0)</f>
        <v>Arabica</v>
      </c>
      <c r="N400" t="s">
        <v>54</v>
      </c>
      <c r="O400" t="str">
        <f>VLOOKUP(N400,'Products (2)'!A:G,3,0)</f>
        <v>Dark</v>
      </c>
      <c r="P400">
        <f>VLOOKUP(N400,'Products (2)'!A:G,7,0)</f>
        <v>0.26865</v>
      </c>
      <c r="Q400">
        <v>6</v>
      </c>
      <c r="R400">
        <f>INDEX([1]products!$A$1:$G$49,MATCH([1]orders!$D400,[1]products!$A$1:$A$49,0),MATCH([1]orders!K$1,[1]products!$A$1:$G$1,0))</f>
        <v>0.2</v>
      </c>
      <c r="S400">
        <f>INDEX([1]products!$A$1:$G$49,MATCH([1]orders!$D400,[1]products!$A$1:$A$49,0),MATCH([1]orders!L$1,[1]products!$A$1:$G$1,0))</f>
        <v>2.9849999999999999</v>
      </c>
      <c r="T400">
        <f t="shared" si="37"/>
        <v>17.91</v>
      </c>
      <c r="U400">
        <f t="shared" si="40"/>
        <v>1.6118999999999999</v>
      </c>
      <c r="V400">
        <f t="shared" si="41"/>
        <v>9</v>
      </c>
    </row>
    <row r="401" spans="1:22" x14ac:dyDescent="0.25">
      <c r="A401" t="s">
        <v>799</v>
      </c>
      <c r="B401">
        <v>43539</v>
      </c>
      <c r="C401" t="str">
        <f t="shared" si="38"/>
        <v>15</v>
      </c>
      <c r="D401" t="str">
        <f t="shared" si="36"/>
        <v>March</v>
      </c>
      <c r="E401" t="str">
        <f t="shared" si="39"/>
        <v>2019</v>
      </c>
      <c r="F401" t="s">
        <v>800</v>
      </c>
      <c r="G401" t="str">
        <f>VLOOKUP(F401,'Customers (2)'!A:I,2,0)</f>
        <v>Ingelbert Hotchkin</v>
      </c>
      <c r="H401" t="str">
        <f>VLOOKUP(F401,'Customers (2)'!A:I,3,0)</f>
        <v>ihotchkinb3@mit.edu</v>
      </c>
      <c r="I401" t="str">
        <f>VLOOKUP(F401,'Customers (2)'!A:I,4,0)</f>
        <v>+44 (387) 464-9544</v>
      </c>
      <c r="J401" t="str">
        <f>VLOOKUP(F401,'Customers (2)'!A:I,6,0)</f>
        <v>Preston</v>
      </c>
      <c r="K401" t="str">
        <f>VLOOKUP(F401,'Customers (2)'!A:I,7,0)</f>
        <v>United Kingdom</v>
      </c>
      <c r="L401" t="str">
        <f>VLOOKUP(F401,'Customers (2)'!A:I,9,0)</f>
        <v>No</v>
      </c>
      <c r="M401" t="str">
        <f>VLOOKUP(N401,'Products (2)'!A:G,2,0)</f>
        <v>Excelsa</v>
      </c>
      <c r="N401" t="s">
        <v>530</v>
      </c>
      <c r="O401" t="str">
        <f>VLOOKUP(N401,'Products (2)'!A:G,3,0)</f>
        <v>Dark</v>
      </c>
      <c r="P401">
        <f>VLOOKUP(N401,'Products (2)'!A:G,7,0)</f>
        <v>3.07395</v>
      </c>
      <c r="Q401">
        <v>6</v>
      </c>
      <c r="R401">
        <f>INDEX([1]products!$A$1:$G$49,MATCH([1]orders!$D401,[1]products!$A$1:$A$49,0),MATCH([1]orders!K$1,[1]products!$A$1:$G$1,0))</f>
        <v>2.5</v>
      </c>
      <c r="S401">
        <f>INDEX([1]products!$A$1:$G$49,MATCH([1]orders!$D401,[1]products!$A$1:$A$49,0),MATCH([1]orders!L$1,[1]products!$A$1:$G$1,0))</f>
        <v>27.945</v>
      </c>
      <c r="T401">
        <f t="shared" si="37"/>
        <v>167.67000000000002</v>
      </c>
      <c r="U401">
        <f t="shared" si="40"/>
        <v>18.4437</v>
      </c>
      <c r="V401">
        <f t="shared" si="41"/>
        <v>10.999999999999998</v>
      </c>
    </row>
    <row r="402" spans="1:22" x14ac:dyDescent="0.25">
      <c r="A402" t="s">
        <v>801</v>
      </c>
      <c r="B402">
        <v>44332</v>
      </c>
      <c r="C402" t="str">
        <f t="shared" si="38"/>
        <v>16</v>
      </c>
      <c r="D402" t="str">
        <f t="shared" si="36"/>
        <v>May</v>
      </c>
      <c r="E402" t="str">
        <f t="shared" si="39"/>
        <v>2021</v>
      </c>
      <c r="F402" t="s">
        <v>802</v>
      </c>
      <c r="G402" t="str">
        <f>VLOOKUP(F402,'Customers (2)'!A:I,2,0)</f>
        <v>Neely Broadberrie</v>
      </c>
      <c r="H402" t="str">
        <f>VLOOKUP(F402,'Customers (2)'!A:I,3,0)</f>
        <v>nbroadberrieb4@gnu.org</v>
      </c>
      <c r="I402" t="str">
        <f>VLOOKUP(F402,'Customers (2)'!A:I,4,0)</f>
        <v>+1 (202) 327-2217</v>
      </c>
      <c r="J402" t="str">
        <f>VLOOKUP(F402,'Customers (2)'!A:I,6,0)</f>
        <v>Washington</v>
      </c>
      <c r="K402" t="str">
        <f>VLOOKUP(F402,'Customers (2)'!A:I,7,0)</f>
        <v>United States</v>
      </c>
      <c r="L402" t="str">
        <f>VLOOKUP(F402,'Customers (2)'!A:I,9,0)</f>
        <v>No</v>
      </c>
      <c r="M402" t="str">
        <f>VLOOKUP(N402,'Products (2)'!A:G,2,0)</f>
        <v>Liberica</v>
      </c>
      <c r="N402" t="s">
        <v>132</v>
      </c>
      <c r="O402" t="str">
        <f>VLOOKUP(N402,'Products (2)'!A:G,3,0)</f>
        <v>Light</v>
      </c>
      <c r="P402">
        <f>VLOOKUP(N402,'Products (2)'!A:G,7,0)</f>
        <v>2.0605000000000002</v>
      </c>
      <c r="Q402">
        <v>4</v>
      </c>
      <c r="R402">
        <f>INDEX([1]products!$A$1:$G$49,MATCH([1]orders!$D402,[1]products!$A$1:$A$49,0),MATCH([1]orders!K$1,[1]products!$A$1:$G$1,0))</f>
        <v>1</v>
      </c>
      <c r="S402">
        <f>INDEX([1]products!$A$1:$G$49,MATCH([1]orders!$D402,[1]products!$A$1:$A$49,0),MATCH([1]orders!L$1,[1]products!$A$1:$G$1,0))</f>
        <v>15.85</v>
      </c>
      <c r="T402">
        <f t="shared" si="37"/>
        <v>63.4</v>
      </c>
      <c r="U402">
        <f t="shared" si="40"/>
        <v>8.2420000000000009</v>
      </c>
      <c r="V402">
        <f t="shared" si="41"/>
        <v>13</v>
      </c>
    </row>
    <row r="403" spans="1:22" x14ac:dyDescent="0.25">
      <c r="A403" t="s">
        <v>803</v>
      </c>
      <c r="B403">
        <v>43591</v>
      </c>
      <c r="C403" t="str">
        <f t="shared" si="38"/>
        <v>06</v>
      </c>
      <c r="D403" t="str">
        <f t="shared" si="36"/>
        <v>May</v>
      </c>
      <c r="E403" t="str">
        <f t="shared" si="39"/>
        <v>2019</v>
      </c>
      <c r="F403" t="s">
        <v>804</v>
      </c>
      <c r="G403" t="str">
        <f>VLOOKUP(F403,'Customers (2)'!A:I,2,0)</f>
        <v>Rutger Pithcock</v>
      </c>
      <c r="H403" t="str">
        <f>VLOOKUP(F403,'Customers (2)'!A:I,3,0)</f>
        <v>rpithcockb5@yellowbook.com</v>
      </c>
      <c r="I403" t="str">
        <f>VLOOKUP(F403,'Customers (2)'!A:I,4,0)</f>
        <v>+1 (865) 655-9540</v>
      </c>
      <c r="J403" t="str">
        <f>VLOOKUP(F403,'Customers (2)'!A:I,6,0)</f>
        <v>Knoxville</v>
      </c>
      <c r="K403" t="str">
        <f>VLOOKUP(F403,'Customers (2)'!A:I,7,0)</f>
        <v>United States</v>
      </c>
      <c r="L403" t="str">
        <f>VLOOKUP(F403,'Customers (2)'!A:I,9,0)</f>
        <v>Yes</v>
      </c>
      <c r="M403" t="str">
        <f>VLOOKUP(N403,'Products (2)'!A:G,2,0)</f>
        <v>Liberica</v>
      </c>
      <c r="N403" t="s">
        <v>77</v>
      </c>
      <c r="O403" t="str">
        <f>VLOOKUP(N403,'Products (2)'!A:G,3,0)</f>
        <v>Medium</v>
      </c>
      <c r="P403">
        <f>VLOOKUP(N403,'Products (2)'!A:G,7,0)</f>
        <v>0.56745000000000001</v>
      </c>
      <c r="Q403">
        <v>2</v>
      </c>
      <c r="R403">
        <f>INDEX([1]products!$A$1:$G$49,MATCH([1]orders!$D403,[1]products!$A$1:$A$49,0),MATCH([1]orders!K$1,[1]products!$A$1:$G$1,0))</f>
        <v>0.2</v>
      </c>
      <c r="S403">
        <f>INDEX([1]products!$A$1:$G$49,MATCH([1]orders!$D403,[1]products!$A$1:$A$49,0),MATCH([1]orders!L$1,[1]products!$A$1:$G$1,0))</f>
        <v>4.3650000000000002</v>
      </c>
      <c r="T403">
        <f t="shared" si="37"/>
        <v>8.73</v>
      </c>
      <c r="U403">
        <f t="shared" si="40"/>
        <v>1.1349</v>
      </c>
      <c r="V403">
        <f t="shared" si="41"/>
        <v>13</v>
      </c>
    </row>
    <row r="404" spans="1:22" x14ac:dyDescent="0.25">
      <c r="A404" t="s">
        <v>805</v>
      </c>
      <c r="B404">
        <v>43502</v>
      </c>
      <c r="C404" t="str">
        <f t="shared" si="38"/>
        <v>06</v>
      </c>
      <c r="D404" t="str">
        <f t="shared" si="36"/>
        <v>February</v>
      </c>
      <c r="E404" t="str">
        <f t="shared" si="39"/>
        <v>2019</v>
      </c>
      <c r="F404" t="s">
        <v>806</v>
      </c>
      <c r="G404" t="str">
        <f>VLOOKUP(F404,'Customers (2)'!A:I,2,0)</f>
        <v>Gale Croysdale</v>
      </c>
      <c r="H404" t="str">
        <f>VLOOKUP(F404,'Customers (2)'!A:I,3,0)</f>
        <v>gcroysdaleb6@nih.gov</v>
      </c>
      <c r="I404" t="str">
        <f>VLOOKUP(F404,'Customers (2)'!A:I,4,0)</f>
        <v>+1 (304) 384-2939</v>
      </c>
      <c r="J404" t="str">
        <f>VLOOKUP(F404,'Customers (2)'!A:I,6,0)</f>
        <v>Charleston</v>
      </c>
      <c r="K404" t="str">
        <f>VLOOKUP(F404,'Customers (2)'!A:I,7,0)</f>
        <v>United States</v>
      </c>
      <c r="L404" t="str">
        <f>VLOOKUP(F404,'Customers (2)'!A:I,9,0)</f>
        <v>Yes</v>
      </c>
      <c r="M404" t="str">
        <f>VLOOKUP(N404,'Products (2)'!A:G,2,0)</f>
        <v>Robusta</v>
      </c>
      <c r="N404" t="s">
        <v>179</v>
      </c>
      <c r="O404" t="str">
        <f>VLOOKUP(N404,'Products (2)'!A:G,3,0)</f>
        <v>Dark</v>
      </c>
      <c r="P404">
        <f>VLOOKUP(N404,'Products (2)'!A:G,7,0)</f>
        <v>0.53699999999999992</v>
      </c>
      <c r="Q404">
        <v>3</v>
      </c>
      <c r="R404">
        <f>INDEX([1]products!$A$1:$G$49,MATCH([1]orders!$D404,[1]products!$A$1:$A$49,0),MATCH([1]orders!K$1,[1]products!$A$1:$G$1,0))</f>
        <v>1</v>
      </c>
      <c r="S404">
        <f>INDEX([1]products!$A$1:$G$49,MATCH([1]orders!$D404,[1]products!$A$1:$A$49,0),MATCH([1]orders!L$1,[1]products!$A$1:$G$1,0))</f>
        <v>8.9499999999999993</v>
      </c>
      <c r="T404">
        <f t="shared" si="37"/>
        <v>26.849999999999998</v>
      </c>
      <c r="U404">
        <f t="shared" si="40"/>
        <v>1.6109999999999998</v>
      </c>
      <c r="V404">
        <f t="shared" si="41"/>
        <v>6</v>
      </c>
    </row>
    <row r="405" spans="1:22" x14ac:dyDescent="0.25">
      <c r="A405" t="s">
        <v>807</v>
      </c>
      <c r="B405">
        <v>44295</v>
      </c>
      <c r="C405" t="str">
        <f t="shared" si="38"/>
        <v>09</v>
      </c>
      <c r="D405" t="str">
        <f t="shared" si="36"/>
        <v>April</v>
      </c>
      <c r="E405" t="str">
        <f t="shared" si="39"/>
        <v>2021</v>
      </c>
      <c r="F405" t="s">
        <v>808</v>
      </c>
      <c r="G405" t="str">
        <f>VLOOKUP(F405,'Customers (2)'!A:I,2,0)</f>
        <v>Benedetto Gozzett</v>
      </c>
      <c r="H405" t="str">
        <f>VLOOKUP(F405,'Customers (2)'!A:I,3,0)</f>
        <v>bgozzettb7@github.com</v>
      </c>
      <c r="I405" t="str">
        <f>VLOOKUP(F405,'Customers (2)'!A:I,4,0)</f>
        <v>+1 (214) 700-0229</v>
      </c>
      <c r="J405" t="str">
        <f>VLOOKUP(F405,'Customers (2)'!A:I,6,0)</f>
        <v>Dallas</v>
      </c>
      <c r="K405" t="str">
        <f>VLOOKUP(F405,'Customers (2)'!A:I,7,0)</f>
        <v>United States</v>
      </c>
      <c r="L405" t="str">
        <f>VLOOKUP(F405,'Customers (2)'!A:I,9,0)</f>
        <v>No</v>
      </c>
      <c r="M405" t="str">
        <f>VLOOKUP(N405,'Products (2)'!A:G,2,0)</f>
        <v>Liberica</v>
      </c>
      <c r="N405" t="s">
        <v>19</v>
      </c>
      <c r="O405" t="str">
        <f>VLOOKUP(N405,'Products (2)'!A:G,3,0)</f>
        <v>Light</v>
      </c>
      <c r="P405">
        <f>VLOOKUP(N405,'Products (2)'!A:G,7,0)</f>
        <v>0.61814999999999998</v>
      </c>
      <c r="Q405">
        <v>2</v>
      </c>
      <c r="R405">
        <f>INDEX([1]products!$A$1:$G$49,MATCH([1]orders!$D405,[1]products!$A$1:$A$49,0),MATCH([1]orders!K$1,[1]products!$A$1:$G$1,0))</f>
        <v>0.2</v>
      </c>
      <c r="S405">
        <f>INDEX([1]products!$A$1:$G$49,MATCH([1]orders!$D405,[1]products!$A$1:$A$49,0),MATCH([1]orders!L$1,[1]products!$A$1:$G$1,0))</f>
        <v>4.7549999999999999</v>
      </c>
      <c r="T405">
        <f t="shared" si="37"/>
        <v>9.51</v>
      </c>
      <c r="U405">
        <f t="shared" si="40"/>
        <v>1.2363</v>
      </c>
      <c r="V405">
        <f t="shared" si="41"/>
        <v>13</v>
      </c>
    </row>
    <row r="406" spans="1:22" x14ac:dyDescent="0.25">
      <c r="A406" t="s">
        <v>809</v>
      </c>
      <c r="B406">
        <v>43971</v>
      </c>
      <c r="C406" t="str">
        <f t="shared" si="38"/>
        <v>20</v>
      </c>
      <c r="D406" t="str">
        <f t="shared" si="36"/>
        <v>May</v>
      </c>
      <c r="E406" t="str">
        <f t="shared" si="39"/>
        <v>2020</v>
      </c>
      <c r="F406" t="s">
        <v>810</v>
      </c>
      <c r="G406" t="str">
        <f>VLOOKUP(F406,'Customers (2)'!A:I,2,0)</f>
        <v>Tania Craggs</v>
      </c>
      <c r="H406" t="str">
        <f>VLOOKUP(F406,'Customers (2)'!A:I,3,0)</f>
        <v>tcraggsb8@house.gov</v>
      </c>
      <c r="I406" t="str">
        <f>VLOOKUP(F406,'Customers (2)'!A:I,4,0)</f>
        <v>+353 (239) 197-6142</v>
      </c>
      <c r="J406" t="str">
        <f>VLOOKUP(F406,'Customers (2)'!A:I,6,0)</f>
        <v>Whitegate</v>
      </c>
      <c r="K406" t="str">
        <f>VLOOKUP(F406,'Customers (2)'!A:I,7,0)</f>
        <v>Ireland</v>
      </c>
      <c r="L406" t="str">
        <f>VLOOKUP(F406,'Customers (2)'!A:I,9,0)</f>
        <v>No</v>
      </c>
      <c r="M406" t="str">
        <f>VLOOKUP(N406,'Products (2)'!A:G,2,0)</f>
        <v>Arabica</v>
      </c>
      <c r="N406" t="s">
        <v>27</v>
      </c>
      <c r="O406" t="str">
        <f>VLOOKUP(N406,'Products (2)'!A:G,3,0)</f>
        <v>Dark</v>
      </c>
      <c r="P406">
        <f>VLOOKUP(N406,'Products (2)'!A:G,7,0)</f>
        <v>0.89549999999999985</v>
      </c>
      <c r="Q406">
        <v>4</v>
      </c>
      <c r="R406">
        <f>INDEX([1]products!$A$1:$G$49,MATCH([1]orders!$D406,[1]products!$A$1:$A$49,0),MATCH([1]orders!K$1,[1]products!$A$1:$G$1,0))</f>
        <v>1</v>
      </c>
      <c r="S406">
        <f>INDEX([1]products!$A$1:$G$49,MATCH([1]orders!$D406,[1]products!$A$1:$A$49,0),MATCH([1]orders!L$1,[1]products!$A$1:$G$1,0))</f>
        <v>9.9499999999999993</v>
      </c>
      <c r="T406">
        <f t="shared" si="37"/>
        <v>39.799999999999997</v>
      </c>
      <c r="U406">
        <f t="shared" si="40"/>
        <v>3.5819999999999994</v>
      </c>
      <c r="V406">
        <f t="shared" si="41"/>
        <v>9</v>
      </c>
    </row>
    <row r="407" spans="1:22" x14ac:dyDescent="0.25">
      <c r="A407" t="s">
        <v>811</v>
      </c>
      <c r="B407">
        <v>44167</v>
      </c>
      <c r="C407" t="str">
        <f t="shared" si="38"/>
        <v>02</v>
      </c>
      <c r="D407" t="str">
        <f t="shared" si="36"/>
        <v>December</v>
      </c>
      <c r="E407" t="str">
        <f t="shared" si="39"/>
        <v>2020</v>
      </c>
      <c r="F407" t="s">
        <v>812</v>
      </c>
      <c r="G407" t="str">
        <f>VLOOKUP(F407,'Customers (2)'!A:I,2,0)</f>
        <v>Leonie Cullrford</v>
      </c>
      <c r="H407" t="str">
        <f>VLOOKUP(F407,'Customers (2)'!A:I,3,0)</f>
        <v>lcullrfordb9@xing.com</v>
      </c>
      <c r="I407" t="str">
        <f>VLOOKUP(F407,'Customers (2)'!A:I,4,0)</f>
        <v>+1 (530) 998-9789</v>
      </c>
      <c r="J407" t="str">
        <f>VLOOKUP(F407,'Customers (2)'!A:I,6,0)</f>
        <v>Chico</v>
      </c>
      <c r="K407" t="str">
        <f>VLOOKUP(F407,'Customers (2)'!A:I,7,0)</f>
        <v>United States</v>
      </c>
      <c r="L407" t="str">
        <f>VLOOKUP(F407,'Customers (2)'!A:I,9,0)</f>
        <v>Yes</v>
      </c>
      <c r="M407" t="str">
        <f>VLOOKUP(N407,'Products (2)'!A:G,2,0)</f>
        <v>Excelsa</v>
      </c>
      <c r="N407" t="s">
        <v>3</v>
      </c>
      <c r="O407" t="str">
        <f>VLOOKUP(N407,'Products (2)'!A:G,3,0)</f>
        <v>Medium</v>
      </c>
      <c r="P407">
        <f>VLOOKUP(N407,'Products (2)'!A:G,7,0)</f>
        <v>0.90749999999999997</v>
      </c>
      <c r="Q407">
        <v>3</v>
      </c>
      <c r="R407">
        <f>INDEX([1]products!$A$1:$G$49,MATCH([1]orders!$D407,[1]products!$A$1:$A$49,0),MATCH([1]orders!K$1,[1]products!$A$1:$G$1,0))</f>
        <v>0.5</v>
      </c>
      <c r="S407">
        <f>INDEX([1]products!$A$1:$G$49,MATCH([1]orders!$D407,[1]products!$A$1:$A$49,0),MATCH([1]orders!L$1,[1]products!$A$1:$G$1,0))</f>
        <v>8.25</v>
      </c>
      <c r="T407">
        <f t="shared" si="37"/>
        <v>24.75</v>
      </c>
      <c r="U407">
        <f t="shared" si="40"/>
        <v>2.7225000000000001</v>
      </c>
      <c r="V407">
        <f t="shared" si="41"/>
        <v>11</v>
      </c>
    </row>
    <row r="408" spans="1:22" x14ac:dyDescent="0.25">
      <c r="A408" t="s">
        <v>813</v>
      </c>
      <c r="B408">
        <v>44416</v>
      </c>
      <c r="C408" t="str">
        <f t="shared" si="38"/>
        <v>08</v>
      </c>
      <c r="D408" t="str">
        <f t="shared" si="36"/>
        <v>August</v>
      </c>
      <c r="E408" t="str">
        <f t="shared" si="39"/>
        <v>2021</v>
      </c>
      <c r="F408" t="s">
        <v>814</v>
      </c>
      <c r="G408" t="str">
        <f>VLOOKUP(F408,'Customers (2)'!A:I,2,0)</f>
        <v>Auguste Rizon</v>
      </c>
      <c r="H408" t="str">
        <f>VLOOKUP(F408,'Customers (2)'!A:I,3,0)</f>
        <v>arizonba@xing.com</v>
      </c>
      <c r="I408" t="str">
        <f>VLOOKUP(F408,'Customers (2)'!A:I,4,0)</f>
        <v>+1 (501) 732-3644</v>
      </c>
      <c r="J408" t="str">
        <f>VLOOKUP(F408,'Customers (2)'!A:I,6,0)</f>
        <v>Little Rock</v>
      </c>
      <c r="K408" t="str">
        <f>VLOOKUP(F408,'Customers (2)'!A:I,7,0)</f>
        <v>United States</v>
      </c>
      <c r="L408" t="str">
        <f>VLOOKUP(F408,'Customers (2)'!A:I,9,0)</f>
        <v>Yes</v>
      </c>
      <c r="M408" t="str">
        <f>VLOOKUP(N408,'Products (2)'!A:G,2,0)</f>
        <v>Excelsa</v>
      </c>
      <c r="N408" t="s">
        <v>9</v>
      </c>
      <c r="O408" t="str">
        <f>VLOOKUP(N408,'Products (2)'!A:G,3,0)</f>
        <v>Medium</v>
      </c>
      <c r="P408">
        <f>VLOOKUP(N408,'Products (2)'!A:G,7,0)</f>
        <v>1.5125</v>
      </c>
      <c r="Q408">
        <v>5</v>
      </c>
      <c r="R408">
        <f>INDEX([1]products!$A$1:$G$49,MATCH([1]orders!$D408,[1]products!$A$1:$A$49,0),MATCH([1]orders!K$1,[1]products!$A$1:$G$1,0))</f>
        <v>1</v>
      </c>
      <c r="S408">
        <f>INDEX([1]products!$A$1:$G$49,MATCH([1]orders!$D408,[1]products!$A$1:$A$49,0),MATCH([1]orders!L$1,[1]products!$A$1:$G$1,0))</f>
        <v>13.75</v>
      </c>
      <c r="T408">
        <f t="shared" si="37"/>
        <v>68.75</v>
      </c>
      <c r="U408">
        <f t="shared" si="40"/>
        <v>7.5625</v>
      </c>
      <c r="V408">
        <f t="shared" si="41"/>
        <v>11</v>
      </c>
    </row>
    <row r="409" spans="1:22" x14ac:dyDescent="0.25">
      <c r="A409" t="s">
        <v>815</v>
      </c>
      <c r="B409">
        <v>44595</v>
      </c>
      <c r="C409" t="str">
        <f t="shared" si="38"/>
        <v>03</v>
      </c>
      <c r="D409" t="str">
        <f t="shared" si="36"/>
        <v>February</v>
      </c>
      <c r="E409" t="str">
        <f t="shared" si="39"/>
        <v>2022</v>
      </c>
      <c r="F409" t="s">
        <v>816</v>
      </c>
      <c r="G409" t="str">
        <f>VLOOKUP(F409,'Customers (2)'!A:I,2,0)</f>
        <v>Lorin Guerrazzi</v>
      </c>
      <c r="H409">
        <f>VLOOKUP(F409,'Customers (2)'!A:I,3,0)</f>
        <v>0</v>
      </c>
      <c r="I409" t="str">
        <f>VLOOKUP(F409,'Customers (2)'!A:I,4,0)</f>
        <v>+353 (764) 294-5957</v>
      </c>
      <c r="J409" t="str">
        <f>VLOOKUP(F409,'Customers (2)'!A:I,6,0)</f>
        <v>Balrothery</v>
      </c>
      <c r="K409" t="str">
        <f>VLOOKUP(F409,'Customers (2)'!A:I,7,0)</f>
        <v>Ireland</v>
      </c>
      <c r="L409" t="str">
        <f>VLOOKUP(F409,'Customers (2)'!A:I,9,0)</f>
        <v>No</v>
      </c>
      <c r="M409" t="str">
        <f>VLOOKUP(N409,'Products (2)'!A:G,2,0)</f>
        <v>Excelsa</v>
      </c>
      <c r="N409" t="s">
        <v>3</v>
      </c>
      <c r="O409" t="str">
        <f>VLOOKUP(N409,'Products (2)'!A:G,3,0)</f>
        <v>Medium</v>
      </c>
      <c r="P409">
        <f>VLOOKUP(N409,'Products (2)'!A:G,7,0)</f>
        <v>0.90749999999999997</v>
      </c>
      <c r="Q409">
        <v>6</v>
      </c>
      <c r="R409">
        <f>INDEX([1]products!$A$1:$G$49,MATCH([1]orders!$D409,[1]products!$A$1:$A$49,0),MATCH([1]orders!K$1,[1]products!$A$1:$G$1,0))</f>
        <v>0.5</v>
      </c>
      <c r="S409">
        <f>INDEX([1]products!$A$1:$G$49,MATCH([1]orders!$D409,[1]products!$A$1:$A$49,0),MATCH([1]orders!L$1,[1]products!$A$1:$G$1,0))</f>
        <v>8.25</v>
      </c>
      <c r="T409">
        <f t="shared" si="37"/>
        <v>49.5</v>
      </c>
      <c r="U409">
        <f t="shared" si="40"/>
        <v>5.4450000000000003</v>
      </c>
      <c r="V409">
        <f t="shared" si="41"/>
        <v>11</v>
      </c>
    </row>
    <row r="410" spans="1:22" x14ac:dyDescent="0.25">
      <c r="A410" t="s">
        <v>817</v>
      </c>
      <c r="B410">
        <v>44659</v>
      </c>
      <c r="C410" t="str">
        <f t="shared" si="38"/>
        <v>08</v>
      </c>
      <c r="D410" t="str">
        <f t="shared" si="36"/>
        <v>April</v>
      </c>
      <c r="E410" t="str">
        <f t="shared" si="39"/>
        <v>2022</v>
      </c>
      <c r="F410" t="s">
        <v>818</v>
      </c>
      <c r="G410" t="str">
        <f>VLOOKUP(F410,'Customers (2)'!A:I,2,0)</f>
        <v>Felice Miell</v>
      </c>
      <c r="H410" t="str">
        <f>VLOOKUP(F410,'Customers (2)'!A:I,3,0)</f>
        <v>fmiellbc@spiegel.de</v>
      </c>
      <c r="I410" t="str">
        <f>VLOOKUP(F410,'Customers (2)'!A:I,4,0)</f>
        <v>+1 (732) 770-5368</v>
      </c>
      <c r="J410" t="str">
        <f>VLOOKUP(F410,'Customers (2)'!A:I,6,0)</f>
        <v>New Brunswick</v>
      </c>
      <c r="K410" t="str">
        <f>VLOOKUP(F410,'Customers (2)'!A:I,7,0)</f>
        <v>United States</v>
      </c>
      <c r="L410" t="str">
        <f>VLOOKUP(F410,'Customers (2)'!A:I,9,0)</f>
        <v>Yes</v>
      </c>
      <c r="M410" t="str">
        <f>VLOOKUP(N410,'Products (2)'!A:G,2,0)</f>
        <v>Arabica</v>
      </c>
      <c r="N410" t="s">
        <v>171</v>
      </c>
      <c r="O410" t="str">
        <f>VLOOKUP(N410,'Products (2)'!A:G,3,0)</f>
        <v>Medium</v>
      </c>
      <c r="P410">
        <f>VLOOKUP(N410,'Products (2)'!A:G,7,0)</f>
        <v>2.3287499999999994</v>
      </c>
      <c r="Q410">
        <v>2</v>
      </c>
      <c r="R410">
        <f>INDEX([1]products!$A$1:$G$49,MATCH([1]orders!$D410,[1]products!$A$1:$A$49,0),MATCH([1]orders!K$1,[1]products!$A$1:$G$1,0))</f>
        <v>2.5</v>
      </c>
      <c r="S410">
        <f>INDEX([1]products!$A$1:$G$49,MATCH([1]orders!$D410,[1]products!$A$1:$A$49,0),MATCH([1]orders!L$1,[1]products!$A$1:$G$1,0))</f>
        <v>25.874999999999996</v>
      </c>
      <c r="T410">
        <f t="shared" si="37"/>
        <v>51.749999999999993</v>
      </c>
      <c r="U410">
        <f t="shared" si="40"/>
        <v>4.6574999999999989</v>
      </c>
      <c r="V410">
        <f t="shared" si="41"/>
        <v>9</v>
      </c>
    </row>
    <row r="411" spans="1:22" x14ac:dyDescent="0.25">
      <c r="A411" t="s">
        <v>819</v>
      </c>
      <c r="B411">
        <v>44203</v>
      </c>
      <c r="C411" t="str">
        <f t="shared" si="38"/>
        <v>07</v>
      </c>
      <c r="D411" t="str">
        <f t="shared" si="36"/>
        <v>January</v>
      </c>
      <c r="E411" t="str">
        <f t="shared" si="39"/>
        <v>2021</v>
      </c>
      <c r="F411" t="s">
        <v>820</v>
      </c>
      <c r="G411" t="str">
        <f>VLOOKUP(F411,'Customers (2)'!A:I,2,0)</f>
        <v>Hamish Skeech</v>
      </c>
      <c r="H411">
        <f>VLOOKUP(F411,'Customers (2)'!A:I,3,0)</f>
        <v>0</v>
      </c>
      <c r="I411" t="str">
        <f>VLOOKUP(F411,'Customers (2)'!A:I,4,0)</f>
        <v>+353 (677) 415-3920</v>
      </c>
      <c r="J411" t="str">
        <f>VLOOKUP(F411,'Customers (2)'!A:I,6,0)</f>
        <v>Valleymount</v>
      </c>
      <c r="K411" t="str">
        <f>VLOOKUP(F411,'Customers (2)'!A:I,7,0)</f>
        <v>Ireland</v>
      </c>
      <c r="L411" t="str">
        <f>VLOOKUP(F411,'Customers (2)'!A:I,9,0)</f>
        <v>Yes</v>
      </c>
      <c r="M411" t="str">
        <f>VLOOKUP(N411,'Products (2)'!A:G,2,0)</f>
        <v>Liberica</v>
      </c>
      <c r="N411" t="s">
        <v>132</v>
      </c>
      <c r="O411" t="str">
        <f>VLOOKUP(N411,'Products (2)'!A:G,3,0)</f>
        <v>Light</v>
      </c>
      <c r="P411">
        <f>VLOOKUP(N411,'Products (2)'!A:G,7,0)</f>
        <v>2.0605000000000002</v>
      </c>
      <c r="Q411">
        <v>3</v>
      </c>
      <c r="R411">
        <f>INDEX([1]products!$A$1:$G$49,MATCH([1]orders!$D411,[1]products!$A$1:$A$49,0),MATCH([1]orders!K$1,[1]products!$A$1:$G$1,0))</f>
        <v>1</v>
      </c>
      <c r="S411">
        <f>INDEX([1]products!$A$1:$G$49,MATCH([1]orders!$D411,[1]products!$A$1:$A$49,0),MATCH([1]orders!L$1,[1]products!$A$1:$G$1,0))</f>
        <v>15.85</v>
      </c>
      <c r="T411">
        <f t="shared" si="37"/>
        <v>47.55</v>
      </c>
      <c r="U411">
        <f t="shared" si="40"/>
        <v>6.1815000000000007</v>
      </c>
      <c r="V411">
        <f t="shared" si="41"/>
        <v>13.000000000000004</v>
      </c>
    </row>
    <row r="412" spans="1:22" x14ac:dyDescent="0.25">
      <c r="A412" t="s">
        <v>821</v>
      </c>
      <c r="B412">
        <v>44441</v>
      </c>
      <c r="C412" t="str">
        <f t="shared" si="38"/>
        <v>02</v>
      </c>
      <c r="D412" t="str">
        <f t="shared" si="36"/>
        <v>September</v>
      </c>
      <c r="E412" t="str">
        <f t="shared" si="39"/>
        <v>2021</v>
      </c>
      <c r="F412" t="s">
        <v>822</v>
      </c>
      <c r="G412" t="str">
        <f>VLOOKUP(F412,'Customers (2)'!A:I,2,0)</f>
        <v>Giordano Lorenzin</v>
      </c>
      <c r="H412">
        <f>VLOOKUP(F412,'Customers (2)'!A:I,3,0)</f>
        <v>0</v>
      </c>
      <c r="I412" t="str">
        <f>VLOOKUP(F412,'Customers (2)'!A:I,4,0)</f>
        <v>+1 (415) 414-0382</v>
      </c>
      <c r="J412" t="str">
        <f>VLOOKUP(F412,'Customers (2)'!A:I,6,0)</f>
        <v>San Francisco</v>
      </c>
      <c r="K412" t="str">
        <f>VLOOKUP(F412,'Customers (2)'!A:I,7,0)</f>
        <v>United States</v>
      </c>
      <c r="L412" t="str">
        <f>VLOOKUP(F412,'Customers (2)'!A:I,9,0)</f>
        <v>No</v>
      </c>
      <c r="M412" t="str">
        <f>VLOOKUP(N412,'Products (2)'!A:G,2,0)</f>
        <v>Arabica</v>
      </c>
      <c r="N412" t="s">
        <v>115</v>
      </c>
      <c r="O412" t="str">
        <f>VLOOKUP(N412,'Products (2)'!A:G,3,0)</f>
        <v>Light</v>
      </c>
      <c r="P412">
        <f>VLOOKUP(N412,'Products (2)'!A:G,7,0)</f>
        <v>0.34964999999999996</v>
      </c>
      <c r="Q412">
        <v>4</v>
      </c>
      <c r="R412">
        <f>INDEX([1]products!$A$1:$G$49,MATCH([1]orders!$D412,[1]products!$A$1:$A$49,0),MATCH([1]orders!K$1,[1]products!$A$1:$G$1,0))</f>
        <v>0.2</v>
      </c>
      <c r="S412">
        <f>INDEX([1]products!$A$1:$G$49,MATCH([1]orders!$D412,[1]products!$A$1:$A$49,0),MATCH([1]orders!L$1,[1]products!$A$1:$G$1,0))</f>
        <v>3.8849999999999998</v>
      </c>
      <c r="T412">
        <f t="shared" si="37"/>
        <v>15.54</v>
      </c>
      <c r="U412">
        <f t="shared" si="40"/>
        <v>1.3985999999999998</v>
      </c>
      <c r="V412">
        <f t="shared" si="41"/>
        <v>9</v>
      </c>
    </row>
    <row r="413" spans="1:22" x14ac:dyDescent="0.25">
      <c r="A413" t="s">
        <v>823</v>
      </c>
      <c r="B413">
        <v>44504</v>
      </c>
      <c r="C413" t="str">
        <f t="shared" si="38"/>
        <v>04</v>
      </c>
      <c r="D413" t="str">
        <f t="shared" si="36"/>
        <v>November</v>
      </c>
      <c r="E413" t="str">
        <f t="shared" si="39"/>
        <v>2021</v>
      </c>
      <c r="F413" t="s">
        <v>824</v>
      </c>
      <c r="G413" t="str">
        <f>VLOOKUP(F413,'Customers (2)'!A:I,2,0)</f>
        <v>Harwilll Bishell</v>
      </c>
      <c r="H413">
        <f>VLOOKUP(F413,'Customers (2)'!A:I,3,0)</f>
        <v>0</v>
      </c>
      <c r="I413" t="str">
        <f>VLOOKUP(F413,'Customers (2)'!A:I,4,0)</f>
        <v>+1 (337) 322-9762</v>
      </c>
      <c r="J413" t="str">
        <f>VLOOKUP(F413,'Customers (2)'!A:I,6,0)</f>
        <v>Lafayette</v>
      </c>
      <c r="K413" t="str">
        <f>VLOOKUP(F413,'Customers (2)'!A:I,7,0)</f>
        <v>United States</v>
      </c>
      <c r="L413" t="str">
        <f>VLOOKUP(F413,'Customers (2)'!A:I,9,0)</f>
        <v>Yes</v>
      </c>
      <c r="M413" t="str">
        <f>VLOOKUP(N413,'Products (2)'!A:G,2,0)</f>
        <v>Liberica</v>
      </c>
      <c r="N413" t="s">
        <v>96</v>
      </c>
      <c r="O413" t="str">
        <f>VLOOKUP(N413,'Products (2)'!A:G,3,0)</f>
        <v>Medium</v>
      </c>
      <c r="P413">
        <f>VLOOKUP(N413,'Products (2)'!A:G,7,0)</f>
        <v>1.8915000000000002</v>
      </c>
      <c r="Q413">
        <v>6</v>
      </c>
      <c r="R413">
        <f>INDEX([1]products!$A$1:$G$49,MATCH([1]orders!$D413,[1]products!$A$1:$A$49,0),MATCH([1]orders!K$1,[1]products!$A$1:$G$1,0))</f>
        <v>1</v>
      </c>
      <c r="S413">
        <f>INDEX([1]products!$A$1:$G$49,MATCH([1]orders!$D413,[1]products!$A$1:$A$49,0),MATCH([1]orders!L$1,[1]products!$A$1:$G$1,0))</f>
        <v>14.55</v>
      </c>
      <c r="T413">
        <f t="shared" si="37"/>
        <v>87.300000000000011</v>
      </c>
      <c r="U413">
        <f t="shared" si="40"/>
        <v>11.349</v>
      </c>
      <c r="V413">
        <f t="shared" si="41"/>
        <v>12.999999999999998</v>
      </c>
    </row>
    <row r="414" spans="1:22" x14ac:dyDescent="0.25">
      <c r="A414" t="s">
        <v>825</v>
      </c>
      <c r="B414">
        <v>44410</v>
      </c>
      <c r="C414" t="str">
        <f t="shared" si="38"/>
        <v>02</v>
      </c>
      <c r="D414" t="str">
        <f t="shared" si="36"/>
        <v>August</v>
      </c>
      <c r="E414" t="str">
        <f t="shared" si="39"/>
        <v>2021</v>
      </c>
      <c r="F414" t="s">
        <v>826</v>
      </c>
      <c r="G414" t="str">
        <f>VLOOKUP(F414,'Customers (2)'!A:I,2,0)</f>
        <v>Freeland Missenden</v>
      </c>
      <c r="H414">
        <f>VLOOKUP(F414,'Customers (2)'!A:I,3,0)</f>
        <v>0</v>
      </c>
      <c r="I414" t="str">
        <f>VLOOKUP(F414,'Customers (2)'!A:I,4,0)</f>
        <v>+1 (619) 481-1493</v>
      </c>
      <c r="J414" t="str">
        <f>VLOOKUP(F414,'Customers (2)'!A:I,6,0)</f>
        <v>San Diego</v>
      </c>
      <c r="K414" t="str">
        <f>VLOOKUP(F414,'Customers (2)'!A:I,7,0)</f>
        <v>United States</v>
      </c>
      <c r="L414" t="str">
        <f>VLOOKUP(F414,'Customers (2)'!A:I,9,0)</f>
        <v>Yes</v>
      </c>
      <c r="M414" t="str">
        <f>VLOOKUP(N414,'Products (2)'!A:G,2,0)</f>
        <v>Arabica</v>
      </c>
      <c r="N414" t="s">
        <v>61</v>
      </c>
      <c r="O414" t="str">
        <f>VLOOKUP(N414,'Products (2)'!A:G,3,0)</f>
        <v>Medium</v>
      </c>
      <c r="P414">
        <f>VLOOKUP(N414,'Products (2)'!A:G,7,0)</f>
        <v>1.0125</v>
      </c>
      <c r="Q414">
        <v>5</v>
      </c>
      <c r="R414">
        <f>INDEX([1]products!$A$1:$G$49,MATCH([1]orders!$D414,[1]products!$A$1:$A$49,0),MATCH([1]orders!K$1,[1]products!$A$1:$G$1,0))</f>
        <v>1</v>
      </c>
      <c r="S414">
        <f>INDEX([1]products!$A$1:$G$49,MATCH([1]orders!$D414,[1]products!$A$1:$A$49,0),MATCH([1]orders!L$1,[1]products!$A$1:$G$1,0))</f>
        <v>11.25</v>
      </c>
      <c r="T414">
        <f t="shared" si="37"/>
        <v>56.25</v>
      </c>
      <c r="U414">
        <f t="shared" si="40"/>
        <v>5.0625</v>
      </c>
      <c r="V414">
        <f t="shared" si="41"/>
        <v>9</v>
      </c>
    </row>
    <row r="415" spans="1:22" x14ac:dyDescent="0.25">
      <c r="A415" t="s">
        <v>827</v>
      </c>
      <c r="B415">
        <v>43857</v>
      </c>
      <c r="C415" t="str">
        <f t="shared" si="38"/>
        <v>27</v>
      </c>
      <c r="D415" t="str">
        <f t="shared" si="36"/>
        <v>January</v>
      </c>
      <c r="E415" t="str">
        <f t="shared" si="39"/>
        <v>2020</v>
      </c>
      <c r="F415" t="s">
        <v>828</v>
      </c>
      <c r="G415" t="str">
        <f>VLOOKUP(F415,'Customers (2)'!A:I,2,0)</f>
        <v>Waylan Springall</v>
      </c>
      <c r="H415" t="str">
        <f>VLOOKUP(F415,'Customers (2)'!A:I,3,0)</f>
        <v>wspringallbh@jugem.jp</v>
      </c>
      <c r="I415" t="str">
        <f>VLOOKUP(F415,'Customers (2)'!A:I,4,0)</f>
        <v>+1 (626) 495-9253</v>
      </c>
      <c r="J415" t="str">
        <f>VLOOKUP(F415,'Customers (2)'!A:I,6,0)</f>
        <v>Alhambra</v>
      </c>
      <c r="K415" t="str">
        <f>VLOOKUP(F415,'Customers (2)'!A:I,7,0)</f>
        <v>United States</v>
      </c>
      <c r="L415" t="str">
        <f>VLOOKUP(F415,'Customers (2)'!A:I,9,0)</f>
        <v>Yes</v>
      </c>
      <c r="M415" t="str">
        <f>VLOOKUP(N415,'Products (2)'!A:G,2,0)</f>
        <v>Liberica</v>
      </c>
      <c r="N415" t="s">
        <v>104</v>
      </c>
      <c r="O415" t="str">
        <f>VLOOKUP(N415,'Products (2)'!A:G,3,0)</f>
        <v>Light</v>
      </c>
      <c r="P415">
        <f>VLOOKUP(N415,'Products (2)'!A:G,7,0)</f>
        <v>4.7391499999999995</v>
      </c>
      <c r="Q415">
        <v>1</v>
      </c>
      <c r="R415">
        <f>INDEX([1]products!$A$1:$G$49,MATCH([1]orders!$D415,[1]products!$A$1:$A$49,0),MATCH([1]orders!K$1,[1]products!$A$1:$G$1,0))</f>
        <v>2.5</v>
      </c>
      <c r="S415">
        <f>INDEX([1]products!$A$1:$G$49,MATCH([1]orders!$D415,[1]products!$A$1:$A$49,0),MATCH([1]orders!L$1,[1]products!$A$1:$G$1,0))</f>
        <v>36.454999999999998</v>
      </c>
      <c r="T415">
        <f t="shared" si="37"/>
        <v>36.454999999999998</v>
      </c>
      <c r="U415">
        <f t="shared" si="40"/>
        <v>4.7391499999999995</v>
      </c>
      <c r="V415">
        <f t="shared" si="41"/>
        <v>13</v>
      </c>
    </row>
    <row r="416" spans="1:22" x14ac:dyDescent="0.25">
      <c r="A416" t="s">
        <v>829</v>
      </c>
      <c r="B416">
        <v>43802</v>
      </c>
      <c r="C416" t="str">
        <f t="shared" si="38"/>
        <v>03</v>
      </c>
      <c r="D416" t="str">
        <f t="shared" si="36"/>
        <v>December</v>
      </c>
      <c r="E416" t="str">
        <f t="shared" si="39"/>
        <v>2019</v>
      </c>
      <c r="F416" t="s">
        <v>830</v>
      </c>
      <c r="G416" t="str">
        <f>VLOOKUP(F416,'Customers (2)'!A:I,2,0)</f>
        <v>Kiri Avramow</v>
      </c>
      <c r="H416">
        <f>VLOOKUP(F416,'Customers (2)'!A:I,3,0)</f>
        <v>0</v>
      </c>
      <c r="I416" t="str">
        <f>VLOOKUP(F416,'Customers (2)'!A:I,4,0)</f>
        <v>+1 (903) 801-9492</v>
      </c>
      <c r="J416" t="str">
        <f>VLOOKUP(F416,'Customers (2)'!A:I,6,0)</f>
        <v>Tyler</v>
      </c>
      <c r="K416" t="str">
        <f>VLOOKUP(F416,'Customers (2)'!A:I,7,0)</f>
        <v>United States</v>
      </c>
      <c r="L416" t="str">
        <f>VLOOKUP(F416,'Customers (2)'!A:I,9,0)</f>
        <v>Yes</v>
      </c>
      <c r="M416" t="str">
        <f>VLOOKUP(N416,'Products (2)'!A:G,2,0)</f>
        <v>Robusta</v>
      </c>
      <c r="N416" t="s">
        <v>182</v>
      </c>
      <c r="O416" t="str">
        <f>VLOOKUP(N416,'Products (2)'!A:G,3,0)</f>
        <v>Light</v>
      </c>
      <c r="P416">
        <f>VLOOKUP(N416,'Products (2)'!A:G,7,0)</f>
        <v>0.21509999999999996</v>
      </c>
      <c r="Q416">
        <v>3</v>
      </c>
      <c r="R416">
        <f>INDEX([1]products!$A$1:$G$49,MATCH([1]orders!$D416,[1]products!$A$1:$A$49,0),MATCH([1]orders!K$1,[1]products!$A$1:$G$1,0))</f>
        <v>0.2</v>
      </c>
      <c r="S416">
        <f>INDEX([1]products!$A$1:$G$49,MATCH([1]orders!$D416,[1]products!$A$1:$A$49,0),MATCH([1]orders!L$1,[1]products!$A$1:$G$1,0))</f>
        <v>3.5849999999999995</v>
      </c>
      <c r="T416">
        <f t="shared" si="37"/>
        <v>10.754999999999999</v>
      </c>
      <c r="U416">
        <f t="shared" si="40"/>
        <v>0.64529999999999987</v>
      </c>
      <c r="V416">
        <f t="shared" si="41"/>
        <v>5.9999999999999991</v>
      </c>
    </row>
    <row r="417" spans="1:22" x14ac:dyDescent="0.25">
      <c r="A417" t="s">
        <v>831</v>
      </c>
      <c r="B417">
        <v>43683</v>
      </c>
      <c r="C417" t="str">
        <f t="shared" si="38"/>
        <v>06</v>
      </c>
      <c r="D417" t="str">
        <f t="shared" si="36"/>
        <v>August</v>
      </c>
      <c r="E417" t="str">
        <f t="shared" si="39"/>
        <v>2019</v>
      </c>
      <c r="F417" t="s">
        <v>832</v>
      </c>
      <c r="G417" t="str">
        <f>VLOOKUP(F417,'Customers (2)'!A:I,2,0)</f>
        <v>Gregg Hawkyens</v>
      </c>
      <c r="H417" t="str">
        <f>VLOOKUP(F417,'Customers (2)'!A:I,3,0)</f>
        <v>ghawkyensbj@census.gov</v>
      </c>
      <c r="I417">
        <f>VLOOKUP(F417,'Customers (2)'!A:I,4,0)</f>
        <v>0</v>
      </c>
      <c r="J417" t="str">
        <f>VLOOKUP(F417,'Customers (2)'!A:I,6,0)</f>
        <v>Lafayette</v>
      </c>
      <c r="K417" t="str">
        <f>VLOOKUP(F417,'Customers (2)'!A:I,7,0)</f>
        <v>United States</v>
      </c>
      <c r="L417" t="str">
        <f>VLOOKUP(F417,'Customers (2)'!A:I,9,0)</f>
        <v>No</v>
      </c>
      <c r="M417" t="str">
        <f>VLOOKUP(N417,'Products (2)'!A:G,2,0)</f>
        <v>Robusta</v>
      </c>
      <c r="N417" t="s">
        <v>162</v>
      </c>
      <c r="O417" t="str">
        <f>VLOOKUP(N417,'Products (2)'!A:G,3,0)</f>
        <v>Medium</v>
      </c>
      <c r="P417">
        <f>VLOOKUP(N417,'Products (2)'!A:G,7,0)</f>
        <v>0.17909999999999998</v>
      </c>
      <c r="Q417">
        <v>3</v>
      </c>
      <c r="R417">
        <f>INDEX([1]products!$A$1:$G$49,MATCH([1]orders!$D417,[1]products!$A$1:$A$49,0),MATCH([1]orders!K$1,[1]products!$A$1:$G$1,0))</f>
        <v>0.2</v>
      </c>
      <c r="S417">
        <f>INDEX([1]products!$A$1:$G$49,MATCH([1]orders!$D417,[1]products!$A$1:$A$49,0),MATCH([1]orders!L$1,[1]products!$A$1:$G$1,0))</f>
        <v>2.9849999999999999</v>
      </c>
      <c r="T417">
        <f t="shared" si="37"/>
        <v>8.9550000000000001</v>
      </c>
      <c r="U417">
        <f t="shared" si="40"/>
        <v>0.53729999999999989</v>
      </c>
      <c r="V417">
        <f t="shared" si="41"/>
        <v>5.9999999999999982</v>
      </c>
    </row>
    <row r="418" spans="1:22" x14ac:dyDescent="0.25">
      <c r="A418" t="s">
        <v>833</v>
      </c>
      <c r="B418">
        <v>43901</v>
      </c>
      <c r="C418" t="str">
        <f t="shared" si="38"/>
        <v>11</v>
      </c>
      <c r="D418" t="str">
        <f t="shared" si="36"/>
        <v>March</v>
      </c>
      <c r="E418" t="str">
        <f t="shared" si="39"/>
        <v>2020</v>
      </c>
      <c r="F418" t="s">
        <v>834</v>
      </c>
      <c r="G418" t="str">
        <f>VLOOKUP(F418,'Customers (2)'!A:I,2,0)</f>
        <v>Reggis Pracy</v>
      </c>
      <c r="H418">
        <f>VLOOKUP(F418,'Customers (2)'!A:I,3,0)</f>
        <v>0</v>
      </c>
      <c r="I418" t="str">
        <f>VLOOKUP(F418,'Customers (2)'!A:I,4,0)</f>
        <v>+1 (937) 683-0925</v>
      </c>
      <c r="J418" t="str">
        <f>VLOOKUP(F418,'Customers (2)'!A:I,6,0)</f>
        <v>Dayton</v>
      </c>
      <c r="K418" t="str">
        <f>VLOOKUP(F418,'Customers (2)'!A:I,7,0)</f>
        <v>United States</v>
      </c>
      <c r="L418" t="str">
        <f>VLOOKUP(F418,'Customers (2)'!A:I,9,0)</f>
        <v>Yes</v>
      </c>
      <c r="M418" t="str">
        <f>VLOOKUP(N418,'Products (2)'!A:G,2,0)</f>
        <v>Arabica</v>
      </c>
      <c r="N418" t="s">
        <v>192</v>
      </c>
      <c r="O418" t="str">
        <f>VLOOKUP(N418,'Products (2)'!A:G,3,0)</f>
        <v>Light</v>
      </c>
      <c r="P418">
        <f>VLOOKUP(N418,'Products (2)'!A:G,7,0)</f>
        <v>0.69929999999999992</v>
      </c>
      <c r="Q418">
        <v>3</v>
      </c>
      <c r="R418">
        <f>INDEX([1]products!$A$1:$G$49,MATCH([1]orders!$D418,[1]products!$A$1:$A$49,0),MATCH([1]orders!K$1,[1]products!$A$1:$G$1,0))</f>
        <v>0.5</v>
      </c>
      <c r="S418">
        <f>INDEX([1]products!$A$1:$G$49,MATCH([1]orders!$D418,[1]products!$A$1:$A$49,0),MATCH([1]orders!L$1,[1]products!$A$1:$G$1,0))</f>
        <v>7.77</v>
      </c>
      <c r="T418">
        <f t="shared" si="37"/>
        <v>23.31</v>
      </c>
      <c r="U418">
        <f t="shared" si="40"/>
        <v>2.0978999999999997</v>
      </c>
      <c r="V418">
        <f t="shared" si="41"/>
        <v>9</v>
      </c>
    </row>
    <row r="419" spans="1:22" x14ac:dyDescent="0.25">
      <c r="A419" t="s">
        <v>835</v>
      </c>
      <c r="B419">
        <v>44457</v>
      </c>
      <c r="C419" t="str">
        <f t="shared" si="38"/>
        <v>18</v>
      </c>
      <c r="D419" t="str">
        <f t="shared" si="36"/>
        <v>September</v>
      </c>
      <c r="E419" t="str">
        <f t="shared" si="39"/>
        <v>2021</v>
      </c>
      <c r="F419" t="s">
        <v>836</v>
      </c>
      <c r="G419" t="str">
        <f>VLOOKUP(F419,'Customers (2)'!A:I,2,0)</f>
        <v>Paula Denis</v>
      </c>
      <c r="H419">
        <f>VLOOKUP(F419,'Customers (2)'!A:I,3,0)</f>
        <v>0</v>
      </c>
      <c r="I419" t="str">
        <f>VLOOKUP(F419,'Customers (2)'!A:I,4,0)</f>
        <v>+1 (602) 598-9823</v>
      </c>
      <c r="J419" t="str">
        <f>VLOOKUP(F419,'Customers (2)'!A:I,6,0)</f>
        <v>Phoenix</v>
      </c>
      <c r="K419" t="str">
        <f>VLOOKUP(F419,'Customers (2)'!A:I,7,0)</f>
        <v>United States</v>
      </c>
      <c r="L419" t="str">
        <f>VLOOKUP(F419,'Customers (2)'!A:I,9,0)</f>
        <v>Yes</v>
      </c>
      <c r="M419" t="str">
        <f>VLOOKUP(N419,'Products (2)'!A:G,2,0)</f>
        <v>Arabica</v>
      </c>
      <c r="N419" t="s">
        <v>204</v>
      </c>
      <c r="O419" t="str">
        <f>VLOOKUP(N419,'Products (2)'!A:G,3,0)</f>
        <v>Light</v>
      </c>
      <c r="P419">
        <f>VLOOKUP(N419,'Products (2)'!A:G,7,0)</f>
        <v>2.6806499999999995</v>
      </c>
      <c r="Q419">
        <v>1</v>
      </c>
      <c r="R419">
        <f>INDEX([1]products!$A$1:$G$49,MATCH([1]orders!$D419,[1]products!$A$1:$A$49,0),MATCH([1]orders!K$1,[1]products!$A$1:$G$1,0))</f>
        <v>2.5</v>
      </c>
      <c r="S419">
        <f>INDEX([1]products!$A$1:$G$49,MATCH([1]orders!$D419,[1]products!$A$1:$A$49,0),MATCH([1]orders!L$1,[1]products!$A$1:$G$1,0))</f>
        <v>29.784999999999997</v>
      </c>
      <c r="T419">
        <f t="shared" si="37"/>
        <v>29.784999999999997</v>
      </c>
      <c r="U419">
        <f t="shared" si="40"/>
        <v>2.6806499999999995</v>
      </c>
      <c r="V419">
        <f t="shared" si="41"/>
        <v>9</v>
      </c>
    </row>
    <row r="420" spans="1:22" x14ac:dyDescent="0.25">
      <c r="A420" t="s">
        <v>837</v>
      </c>
      <c r="B420">
        <v>44142</v>
      </c>
      <c r="C420" t="str">
        <f t="shared" si="38"/>
        <v>07</v>
      </c>
      <c r="D420" t="str">
        <f t="shared" si="36"/>
        <v>November</v>
      </c>
      <c r="E420" t="str">
        <f t="shared" si="39"/>
        <v>2020</v>
      </c>
      <c r="F420" t="s">
        <v>838</v>
      </c>
      <c r="G420" t="str">
        <f>VLOOKUP(F420,'Customers (2)'!A:I,2,0)</f>
        <v>Broderick McGilvra</v>
      </c>
      <c r="H420" t="str">
        <f>VLOOKUP(F420,'Customers (2)'!A:I,3,0)</f>
        <v>bmcgilvrabm@so-net.ne.jp</v>
      </c>
      <c r="I420">
        <f>VLOOKUP(F420,'Customers (2)'!A:I,4,0)</f>
        <v>0</v>
      </c>
      <c r="J420" t="str">
        <f>VLOOKUP(F420,'Customers (2)'!A:I,6,0)</f>
        <v>Sacramento</v>
      </c>
      <c r="K420" t="str">
        <f>VLOOKUP(F420,'Customers (2)'!A:I,7,0)</f>
        <v>United States</v>
      </c>
      <c r="L420" t="str">
        <f>VLOOKUP(F420,'Customers (2)'!A:I,9,0)</f>
        <v>Yes</v>
      </c>
      <c r="M420" t="str">
        <f>VLOOKUP(N420,'Products (2)'!A:G,2,0)</f>
        <v>Arabica</v>
      </c>
      <c r="N420" t="s">
        <v>204</v>
      </c>
      <c r="O420" t="str">
        <f>VLOOKUP(N420,'Products (2)'!A:G,3,0)</f>
        <v>Light</v>
      </c>
      <c r="P420">
        <f>VLOOKUP(N420,'Products (2)'!A:G,7,0)</f>
        <v>2.6806499999999995</v>
      </c>
      <c r="Q420">
        <v>5</v>
      </c>
      <c r="R420">
        <f>INDEX([1]products!$A$1:$G$49,MATCH([1]orders!$D420,[1]products!$A$1:$A$49,0),MATCH([1]orders!K$1,[1]products!$A$1:$G$1,0))</f>
        <v>2.5</v>
      </c>
      <c r="S420">
        <f>INDEX([1]products!$A$1:$G$49,MATCH([1]orders!$D420,[1]products!$A$1:$A$49,0),MATCH([1]orders!L$1,[1]products!$A$1:$G$1,0))</f>
        <v>29.784999999999997</v>
      </c>
      <c r="T420">
        <f t="shared" si="37"/>
        <v>148.92499999999998</v>
      </c>
      <c r="U420">
        <f t="shared" si="40"/>
        <v>13.403249999999998</v>
      </c>
      <c r="V420">
        <f t="shared" si="41"/>
        <v>9</v>
      </c>
    </row>
    <row r="421" spans="1:22" x14ac:dyDescent="0.25">
      <c r="A421" t="s">
        <v>839</v>
      </c>
      <c r="B421">
        <v>44739</v>
      </c>
      <c r="C421" t="str">
        <f t="shared" si="38"/>
        <v>27</v>
      </c>
      <c r="D421" t="str">
        <f t="shared" si="36"/>
        <v>June</v>
      </c>
      <c r="E421" t="str">
        <f t="shared" si="39"/>
        <v>2022</v>
      </c>
      <c r="F421" t="s">
        <v>840</v>
      </c>
      <c r="G421" t="str">
        <f>VLOOKUP(F421,'Customers (2)'!A:I,2,0)</f>
        <v>Annabella Danzey</v>
      </c>
      <c r="H421" t="str">
        <f>VLOOKUP(F421,'Customers (2)'!A:I,3,0)</f>
        <v>adanzeybn@github.com</v>
      </c>
      <c r="I421" t="str">
        <f>VLOOKUP(F421,'Customers (2)'!A:I,4,0)</f>
        <v>+1 (402) 633-9913</v>
      </c>
      <c r="J421" t="str">
        <f>VLOOKUP(F421,'Customers (2)'!A:I,6,0)</f>
        <v>Lincoln</v>
      </c>
      <c r="K421" t="str">
        <f>VLOOKUP(F421,'Customers (2)'!A:I,7,0)</f>
        <v>United States</v>
      </c>
      <c r="L421" t="str">
        <f>VLOOKUP(F421,'Customers (2)'!A:I,9,0)</f>
        <v>Yes</v>
      </c>
      <c r="M421" t="str">
        <f>VLOOKUP(N421,'Products (2)'!A:G,2,0)</f>
        <v>Liberica</v>
      </c>
      <c r="N421" t="s">
        <v>78</v>
      </c>
      <c r="O421" t="str">
        <f>VLOOKUP(N421,'Products (2)'!A:G,3,0)</f>
        <v>Medium</v>
      </c>
      <c r="P421">
        <f>VLOOKUP(N421,'Products (2)'!A:G,7,0)</f>
        <v>1.1349</v>
      </c>
      <c r="Q421">
        <v>1</v>
      </c>
      <c r="R421">
        <f>INDEX([1]products!$A$1:$G$49,MATCH([1]orders!$D421,[1]products!$A$1:$A$49,0),MATCH([1]orders!K$1,[1]products!$A$1:$G$1,0))</f>
        <v>0.5</v>
      </c>
      <c r="S421">
        <f>INDEX([1]products!$A$1:$G$49,MATCH([1]orders!$D421,[1]products!$A$1:$A$49,0),MATCH([1]orders!L$1,[1]products!$A$1:$G$1,0))</f>
        <v>8.73</v>
      </c>
      <c r="T421">
        <f t="shared" si="37"/>
        <v>8.73</v>
      </c>
      <c r="U421">
        <f t="shared" si="40"/>
        <v>1.1349</v>
      </c>
      <c r="V421">
        <f t="shared" si="41"/>
        <v>13</v>
      </c>
    </row>
    <row r="422" spans="1:22" x14ac:dyDescent="0.25">
      <c r="A422" t="s">
        <v>841</v>
      </c>
      <c r="B422">
        <v>43866</v>
      </c>
      <c r="C422" t="str">
        <f t="shared" si="38"/>
        <v>05</v>
      </c>
      <c r="D422" t="str">
        <f t="shared" si="36"/>
        <v>February</v>
      </c>
      <c r="E422" t="str">
        <f t="shared" si="39"/>
        <v>2020</v>
      </c>
      <c r="F422" t="s">
        <v>749</v>
      </c>
      <c r="G422" t="str">
        <f>VLOOKUP(F422,'Customers (2)'!A:I,2,0)</f>
        <v>Terri Farra</v>
      </c>
      <c r="H422" t="str">
        <f>VLOOKUP(F422,'Customers (2)'!A:I,3,0)</f>
        <v>tfarraac@behance.net</v>
      </c>
      <c r="I422" t="str">
        <f>VLOOKUP(F422,'Customers (2)'!A:I,4,0)</f>
        <v>+1 (432) 648-9589</v>
      </c>
      <c r="J422" t="str">
        <f>VLOOKUP(F422,'Customers (2)'!A:I,6,0)</f>
        <v>Odessa</v>
      </c>
      <c r="K422" t="str">
        <f>VLOOKUP(F422,'Customers (2)'!A:I,7,0)</f>
        <v>United States</v>
      </c>
      <c r="L422" t="str">
        <f>VLOOKUP(F422,'Customers (2)'!A:I,9,0)</f>
        <v>No</v>
      </c>
      <c r="M422" t="str">
        <f>VLOOKUP(N422,'Products (2)'!A:G,2,0)</f>
        <v>Liberica</v>
      </c>
      <c r="N422" t="s">
        <v>123</v>
      </c>
      <c r="O422" t="str">
        <f>VLOOKUP(N422,'Products (2)'!A:G,3,0)</f>
        <v>Dark</v>
      </c>
      <c r="P422">
        <f>VLOOKUP(N422,'Products (2)'!A:G,7,0)</f>
        <v>1.0101</v>
      </c>
      <c r="Q422">
        <v>4</v>
      </c>
      <c r="R422">
        <f>INDEX([1]products!$A$1:$G$49,MATCH([1]orders!$D422,[1]products!$A$1:$A$49,0),MATCH([1]orders!K$1,[1]products!$A$1:$G$1,0))</f>
        <v>0.5</v>
      </c>
      <c r="S422">
        <f>INDEX([1]products!$A$1:$G$49,MATCH([1]orders!$D422,[1]products!$A$1:$A$49,0),MATCH([1]orders!L$1,[1]products!$A$1:$G$1,0))</f>
        <v>7.77</v>
      </c>
      <c r="T422">
        <f t="shared" si="37"/>
        <v>31.08</v>
      </c>
      <c r="U422">
        <f t="shared" si="40"/>
        <v>4.0404</v>
      </c>
      <c r="V422">
        <f t="shared" si="41"/>
        <v>13</v>
      </c>
    </row>
    <row r="423" spans="1:22" x14ac:dyDescent="0.25">
      <c r="A423" t="s">
        <v>841</v>
      </c>
      <c r="B423">
        <v>43866</v>
      </c>
      <c r="C423" t="str">
        <f t="shared" si="38"/>
        <v>05</v>
      </c>
      <c r="D423" t="str">
        <f t="shared" si="36"/>
        <v>February</v>
      </c>
      <c r="E423" t="str">
        <f t="shared" si="39"/>
        <v>2020</v>
      </c>
      <c r="F423" t="s">
        <v>749</v>
      </c>
      <c r="G423" t="str">
        <f>VLOOKUP(F423,'Customers (2)'!A:I,2,0)</f>
        <v>Terri Farra</v>
      </c>
      <c r="H423" t="str">
        <f>VLOOKUP(F423,'Customers (2)'!A:I,3,0)</f>
        <v>tfarraac@behance.net</v>
      </c>
      <c r="I423" t="str">
        <f>VLOOKUP(F423,'Customers (2)'!A:I,4,0)</f>
        <v>+1 (432) 648-9589</v>
      </c>
      <c r="J423" t="str">
        <f>VLOOKUP(F423,'Customers (2)'!A:I,6,0)</f>
        <v>Odessa</v>
      </c>
      <c r="K423" t="str">
        <f>VLOOKUP(F423,'Customers (2)'!A:I,7,0)</f>
        <v>United States</v>
      </c>
      <c r="L423" t="str">
        <f>VLOOKUP(F423,'Customers (2)'!A:I,9,0)</f>
        <v>No</v>
      </c>
      <c r="M423" t="str">
        <f>VLOOKUP(N423,'Products (2)'!A:G,2,0)</f>
        <v>Arabica</v>
      </c>
      <c r="N423" t="s">
        <v>118</v>
      </c>
      <c r="O423" t="str">
        <f>VLOOKUP(N423,'Products (2)'!A:G,3,0)</f>
        <v>Dark</v>
      </c>
      <c r="P423">
        <f>VLOOKUP(N423,'Products (2)'!A:G,7,0)</f>
        <v>2.0596499999999995</v>
      </c>
      <c r="Q423">
        <v>6</v>
      </c>
      <c r="R423">
        <f>INDEX([1]products!$A$1:$G$49,MATCH([1]orders!$D423,[1]products!$A$1:$A$49,0),MATCH([1]orders!K$1,[1]products!$A$1:$G$1,0))</f>
        <v>2.5</v>
      </c>
      <c r="S423">
        <f>INDEX([1]products!$A$1:$G$49,MATCH([1]orders!$D423,[1]products!$A$1:$A$49,0),MATCH([1]orders!L$1,[1]products!$A$1:$G$1,0))</f>
        <v>22.884999999999998</v>
      </c>
      <c r="T423">
        <f t="shared" si="37"/>
        <v>137.31</v>
      </c>
      <c r="U423">
        <f t="shared" si="40"/>
        <v>12.357899999999997</v>
      </c>
      <c r="V423">
        <f t="shared" si="41"/>
        <v>8.9999999999999982</v>
      </c>
    </row>
    <row r="424" spans="1:22" x14ac:dyDescent="0.25">
      <c r="A424" t="s">
        <v>842</v>
      </c>
      <c r="B424">
        <v>43868</v>
      </c>
      <c r="C424" t="str">
        <f t="shared" si="38"/>
        <v>07</v>
      </c>
      <c r="D424" t="str">
        <f t="shared" si="36"/>
        <v>February</v>
      </c>
      <c r="E424" t="str">
        <f t="shared" si="39"/>
        <v>2020</v>
      </c>
      <c r="F424" t="s">
        <v>843</v>
      </c>
      <c r="G424" t="str">
        <f>VLOOKUP(F424,'Customers (2)'!A:I,2,0)</f>
        <v>Nevins Glowacz</v>
      </c>
      <c r="H424">
        <f>VLOOKUP(F424,'Customers (2)'!A:I,3,0)</f>
        <v>0</v>
      </c>
      <c r="I424" t="str">
        <f>VLOOKUP(F424,'Customers (2)'!A:I,4,0)</f>
        <v>+1 (608) 617-1365</v>
      </c>
      <c r="J424" t="str">
        <f>VLOOKUP(F424,'Customers (2)'!A:I,6,0)</f>
        <v>Madison</v>
      </c>
      <c r="K424" t="str">
        <f>VLOOKUP(F424,'Customers (2)'!A:I,7,0)</f>
        <v>United States</v>
      </c>
      <c r="L424" t="str">
        <f>VLOOKUP(F424,'Customers (2)'!A:I,9,0)</f>
        <v>No</v>
      </c>
      <c r="M424" t="str">
        <f>VLOOKUP(N424,'Products (2)'!A:G,2,0)</f>
        <v>Arabica</v>
      </c>
      <c r="N424" t="s">
        <v>72</v>
      </c>
      <c r="O424" t="str">
        <f>VLOOKUP(N424,'Products (2)'!A:G,3,0)</f>
        <v>Dark</v>
      </c>
      <c r="P424">
        <f>VLOOKUP(N424,'Products (2)'!A:G,7,0)</f>
        <v>0.5373</v>
      </c>
      <c r="Q424">
        <v>5</v>
      </c>
      <c r="R424">
        <f>INDEX([1]products!$A$1:$G$49,MATCH([1]orders!$D424,[1]products!$A$1:$A$49,0),MATCH([1]orders!K$1,[1]products!$A$1:$G$1,0))</f>
        <v>0.5</v>
      </c>
      <c r="S424">
        <f>INDEX([1]products!$A$1:$G$49,MATCH([1]orders!$D424,[1]products!$A$1:$A$49,0),MATCH([1]orders!L$1,[1]products!$A$1:$G$1,0))</f>
        <v>5.97</v>
      </c>
      <c r="T424">
        <f t="shared" si="37"/>
        <v>29.849999999999998</v>
      </c>
      <c r="U424">
        <f t="shared" si="40"/>
        <v>2.6865000000000001</v>
      </c>
      <c r="V424">
        <f t="shared" si="41"/>
        <v>9.0000000000000018</v>
      </c>
    </row>
    <row r="425" spans="1:22" x14ac:dyDescent="0.25">
      <c r="A425" t="s">
        <v>844</v>
      </c>
      <c r="B425">
        <v>44183</v>
      </c>
      <c r="C425" t="str">
        <f t="shared" si="38"/>
        <v>18</v>
      </c>
      <c r="D425" t="str">
        <f t="shared" si="36"/>
        <v>December</v>
      </c>
      <c r="E425" t="str">
        <f t="shared" si="39"/>
        <v>2020</v>
      </c>
      <c r="F425" t="s">
        <v>845</v>
      </c>
      <c r="G425" t="str">
        <f>VLOOKUP(F425,'Customers (2)'!A:I,2,0)</f>
        <v>Adelice Isabell</v>
      </c>
      <c r="H425">
        <f>VLOOKUP(F425,'Customers (2)'!A:I,3,0)</f>
        <v>0</v>
      </c>
      <c r="I425" t="str">
        <f>VLOOKUP(F425,'Customers (2)'!A:I,4,0)</f>
        <v>+1 (304) 604-2131</v>
      </c>
      <c r="J425" t="str">
        <f>VLOOKUP(F425,'Customers (2)'!A:I,6,0)</f>
        <v>Charleston</v>
      </c>
      <c r="K425" t="str">
        <f>VLOOKUP(F425,'Customers (2)'!A:I,7,0)</f>
        <v>United States</v>
      </c>
      <c r="L425" t="str">
        <f>VLOOKUP(F425,'Customers (2)'!A:I,9,0)</f>
        <v>No</v>
      </c>
      <c r="M425" t="str">
        <f>VLOOKUP(N425,'Products (2)'!A:G,2,0)</f>
        <v>Robusta</v>
      </c>
      <c r="N425" t="s">
        <v>22</v>
      </c>
      <c r="O425" t="str">
        <f>VLOOKUP(N425,'Products (2)'!A:G,3,0)</f>
        <v>Medium</v>
      </c>
      <c r="P425">
        <f>VLOOKUP(N425,'Products (2)'!A:G,7,0)</f>
        <v>0.35819999999999996</v>
      </c>
      <c r="Q425">
        <v>3</v>
      </c>
      <c r="R425">
        <f>INDEX([1]products!$A$1:$G$49,MATCH([1]orders!$D425,[1]products!$A$1:$A$49,0),MATCH([1]orders!K$1,[1]products!$A$1:$G$1,0))</f>
        <v>0.5</v>
      </c>
      <c r="S425">
        <f>INDEX([1]products!$A$1:$G$49,MATCH([1]orders!$D425,[1]products!$A$1:$A$49,0),MATCH([1]orders!L$1,[1]products!$A$1:$G$1,0))</f>
        <v>5.97</v>
      </c>
      <c r="T425">
        <f t="shared" si="37"/>
        <v>17.91</v>
      </c>
      <c r="U425">
        <f t="shared" si="40"/>
        <v>1.0745999999999998</v>
      </c>
      <c r="V425">
        <f t="shared" si="41"/>
        <v>5.9999999999999982</v>
      </c>
    </row>
    <row r="426" spans="1:22" x14ac:dyDescent="0.25">
      <c r="A426" t="s">
        <v>846</v>
      </c>
      <c r="B426">
        <v>44431</v>
      </c>
      <c r="C426" t="str">
        <f t="shared" si="38"/>
        <v>23</v>
      </c>
      <c r="D426" t="str">
        <f t="shared" si="36"/>
        <v>August</v>
      </c>
      <c r="E426" t="str">
        <f t="shared" si="39"/>
        <v>2021</v>
      </c>
      <c r="F426" t="s">
        <v>847</v>
      </c>
      <c r="G426" t="str">
        <f>VLOOKUP(F426,'Customers (2)'!A:I,2,0)</f>
        <v>Yulma Dombrell</v>
      </c>
      <c r="H426" t="str">
        <f>VLOOKUP(F426,'Customers (2)'!A:I,3,0)</f>
        <v>ydombrellbs@dedecms.com</v>
      </c>
      <c r="I426" t="str">
        <f>VLOOKUP(F426,'Customers (2)'!A:I,4,0)</f>
        <v>+1 (501) 136-0040</v>
      </c>
      <c r="J426" t="str">
        <f>VLOOKUP(F426,'Customers (2)'!A:I,6,0)</f>
        <v>Little Rock</v>
      </c>
      <c r="K426" t="str">
        <f>VLOOKUP(F426,'Customers (2)'!A:I,7,0)</f>
        <v>United States</v>
      </c>
      <c r="L426" t="str">
        <f>VLOOKUP(F426,'Customers (2)'!A:I,9,0)</f>
        <v>Yes</v>
      </c>
      <c r="M426" t="str">
        <f>VLOOKUP(N426,'Products (2)'!A:G,2,0)</f>
        <v>Excelsa</v>
      </c>
      <c r="N426" t="s">
        <v>176</v>
      </c>
      <c r="O426" t="str">
        <f>VLOOKUP(N426,'Products (2)'!A:G,3,0)</f>
        <v>Light</v>
      </c>
      <c r="P426">
        <f>VLOOKUP(N426,'Products (2)'!A:G,7,0)</f>
        <v>0.98009999999999997</v>
      </c>
      <c r="Q426">
        <v>3</v>
      </c>
      <c r="R426">
        <f>INDEX([1]products!$A$1:$G$49,MATCH([1]orders!$D426,[1]products!$A$1:$A$49,0),MATCH([1]orders!K$1,[1]products!$A$1:$G$1,0))</f>
        <v>0.5</v>
      </c>
      <c r="S426">
        <f>INDEX([1]products!$A$1:$G$49,MATCH([1]orders!$D426,[1]products!$A$1:$A$49,0),MATCH([1]orders!L$1,[1]products!$A$1:$G$1,0))</f>
        <v>8.91</v>
      </c>
      <c r="T426">
        <f t="shared" si="37"/>
        <v>26.73</v>
      </c>
      <c r="U426">
        <f t="shared" si="40"/>
        <v>2.9402999999999997</v>
      </c>
      <c r="V426">
        <f t="shared" si="41"/>
        <v>10.999999999999998</v>
      </c>
    </row>
    <row r="427" spans="1:22" x14ac:dyDescent="0.25">
      <c r="A427" t="s">
        <v>848</v>
      </c>
      <c r="B427">
        <v>44428</v>
      </c>
      <c r="C427" t="str">
        <f t="shared" si="38"/>
        <v>20</v>
      </c>
      <c r="D427" t="str">
        <f t="shared" si="36"/>
        <v>August</v>
      </c>
      <c r="E427" t="str">
        <f t="shared" si="39"/>
        <v>2021</v>
      </c>
      <c r="F427" t="s">
        <v>849</v>
      </c>
      <c r="G427" t="str">
        <f>VLOOKUP(F427,'Customers (2)'!A:I,2,0)</f>
        <v>Alric Darth</v>
      </c>
      <c r="H427" t="str">
        <f>VLOOKUP(F427,'Customers (2)'!A:I,3,0)</f>
        <v>adarthbt@t.co</v>
      </c>
      <c r="I427" t="str">
        <f>VLOOKUP(F427,'Customers (2)'!A:I,4,0)</f>
        <v>+1 (907) 557-6903</v>
      </c>
      <c r="J427" t="str">
        <f>VLOOKUP(F427,'Customers (2)'!A:I,6,0)</f>
        <v>Anchorage</v>
      </c>
      <c r="K427" t="str">
        <f>VLOOKUP(F427,'Customers (2)'!A:I,7,0)</f>
        <v>United States</v>
      </c>
      <c r="L427" t="str">
        <f>VLOOKUP(F427,'Customers (2)'!A:I,9,0)</f>
        <v>No</v>
      </c>
      <c r="M427" t="str">
        <f>VLOOKUP(N427,'Products (2)'!A:G,2,0)</f>
        <v>Robusta</v>
      </c>
      <c r="N427" t="s">
        <v>179</v>
      </c>
      <c r="O427" t="str">
        <f>VLOOKUP(N427,'Products (2)'!A:G,3,0)</f>
        <v>Dark</v>
      </c>
      <c r="P427">
        <f>VLOOKUP(N427,'Products (2)'!A:G,7,0)</f>
        <v>0.53699999999999992</v>
      </c>
      <c r="Q427">
        <v>2</v>
      </c>
      <c r="R427">
        <f>INDEX([1]products!$A$1:$G$49,MATCH([1]orders!$D427,[1]products!$A$1:$A$49,0),MATCH([1]orders!K$1,[1]products!$A$1:$G$1,0))</f>
        <v>1</v>
      </c>
      <c r="S427">
        <f>INDEX([1]products!$A$1:$G$49,MATCH([1]orders!$D427,[1]products!$A$1:$A$49,0),MATCH([1]orders!L$1,[1]products!$A$1:$G$1,0))</f>
        <v>8.9499999999999993</v>
      </c>
      <c r="T427">
        <f t="shared" si="37"/>
        <v>17.899999999999999</v>
      </c>
      <c r="U427">
        <f t="shared" si="40"/>
        <v>1.0739999999999998</v>
      </c>
      <c r="V427">
        <f t="shared" si="41"/>
        <v>6</v>
      </c>
    </row>
    <row r="428" spans="1:22" x14ac:dyDescent="0.25">
      <c r="A428" t="s">
        <v>850</v>
      </c>
      <c r="B428">
        <v>43556</v>
      </c>
      <c r="C428" t="str">
        <f t="shared" si="38"/>
        <v>01</v>
      </c>
      <c r="D428" t="str">
        <f t="shared" si="36"/>
        <v>April</v>
      </c>
      <c r="E428" t="str">
        <f t="shared" si="39"/>
        <v>2019</v>
      </c>
      <c r="F428" t="s">
        <v>851</v>
      </c>
      <c r="G428" t="str">
        <f>VLOOKUP(F428,'Customers (2)'!A:I,2,0)</f>
        <v>Manuel Darrigoe</v>
      </c>
      <c r="H428" t="str">
        <f>VLOOKUP(F428,'Customers (2)'!A:I,3,0)</f>
        <v>mdarrigoebu@hud.gov</v>
      </c>
      <c r="I428" t="str">
        <f>VLOOKUP(F428,'Customers (2)'!A:I,4,0)</f>
        <v>+353 (973) 320-9537</v>
      </c>
      <c r="J428" t="str">
        <f>VLOOKUP(F428,'Customers (2)'!A:I,6,0)</f>
        <v>Longwood</v>
      </c>
      <c r="K428" t="str">
        <f>VLOOKUP(F428,'Customers (2)'!A:I,7,0)</f>
        <v>Ireland</v>
      </c>
      <c r="L428" t="str">
        <f>VLOOKUP(F428,'Customers (2)'!A:I,9,0)</f>
        <v>Yes</v>
      </c>
      <c r="M428" t="str">
        <f>VLOOKUP(N428,'Products (2)'!A:G,2,0)</f>
        <v>Robusta</v>
      </c>
      <c r="N428" t="s">
        <v>182</v>
      </c>
      <c r="O428" t="str">
        <f>VLOOKUP(N428,'Products (2)'!A:G,3,0)</f>
        <v>Light</v>
      </c>
      <c r="P428">
        <f>VLOOKUP(N428,'Products (2)'!A:G,7,0)</f>
        <v>0.21509999999999996</v>
      </c>
      <c r="Q428">
        <v>4</v>
      </c>
      <c r="R428">
        <f>INDEX([1]products!$A$1:$G$49,MATCH([1]orders!$D428,[1]products!$A$1:$A$49,0),MATCH([1]orders!K$1,[1]products!$A$1:$G$1,0))</f>
        <v>0.2</v>
      </c>
      <c r="S428">
        <f>INDEX([1]products!$A$1:$G$49,MATCH([1]orders!$D428,[1]products!$A$1:$A$49,0),MATCH([1]orders!L$1,[1]products!$A$1:$G$1,0))</f>
        <v>3.5849999999999995</v>
      </c>
      <c r="T428">
        <f t="shared" si="37"/>
        <v>14.339999999999998</v>
      </c>
      <c r="U428">
        <f t="shared" si="40"/>
        <v>0.86039999999999983</v>
      </c>
      <c r="V428">
        <f t="shared" si="41"/>
        <v>6</v>
      </c>
    </row>
    <row r="429" spans="1:22" x14ac:dyDescent="0.25">
      <c r="A429" t="s">
        <v>852</v>
      </c>
      <c r="B429">
        <v>44224</v>
      </c>
      <c r="C429" t="str">
        <f t="shared" si="38"/>
        <v>28</v>
      </c>
      <c r="D429" t="str">
        <f t="shared" si="36"/>
        <v>January</v>
      </c>
      <c r="E429" t="str">
        <f t="shared" si="39"/>
        <v>2021</v>
      </c>
      <c r="F429" t="s">
        <v>853</v>
      </c>
      <c r="G429" t="str">
        <f>VLOOKUP(F429,'Customers (2)'!A:I,2,0)</f>
        <v>Kynthia Berick</v>
      </c>
      <c r="H429">
        <f>VLOOKUP(F429,'Customers (2)'!A:I,3,0)</f>
        <v>0</v>
      </c>
      <c r="I429" t="str">
        <f>VLOOKUP(F429,'Customers (2)'!A:I,4,0)</f>
        <v>+1 (562) 331-4713</v>
      </c>
      <c r="J429" t="str">
        <f>VLOOKUP(F429,'Customers (2)'!A:I,6,0)</f>
        <v>San Francisco</v>
      </c>
      <c r="K429" t="str">
        <f>VLOOKUP(F429,'Customers (2)'!A:I,7,0)</f>
        <v>United States</v>
      </c>
      <c r="L429" t="str">
        <f>VLOOKUP(F429,'Customers (2)'!A:I,9,0)</f>
        <v>Yes</v>
      </c>
      <c r="M429" t="str">
        <f>VLOOKUP(N429,'Products (2)'!A:G,2,0)</f>
        <v>Arabica</v>
      </c>
      <c r="N429" t="s">
        <v>171</v>
      </c>
      <c r="O429" t="str">
        <f>VLOOKUP(N429,'Products (2)'!A:G,3,0)</f>
        <v>Medium</v>
      </c>
      <c r="P429">
        <f>VLOOKUP(N429,'Products (2)'!A:G,7,0)</f>
        <v>2.3287499999999994</v>
      </c>
      <c r="Q429">
        <v>3</v>
      </c>
      <c r="R429">
        <f>INDEX([1]products!$A$1:$G$49,MATCH([1]orders!$D429,[1]products!$A$1:$A$49,0),MATCH([1]orders!K$1,[1]products!$A$1:$G$1,0))</f>
        <v>2.5</v>
      </c>
      <c r="S429">
        <f>INDEX([1]products!$A$1:$G$49,MATCH([1]orders!$D429,[1]products!$A$1:$A$49,0),MATCH([1]orders!L$1,[1]products!$A$1:$G$1,0))</f>
        <v>25.874999999999996</v>
      </c>
      <c r="T429">
        <f t="shared" si="37"/>
        <v>77.624999999999986</v>
      </c>
      <c r="U429">
        <f t="shared" si="40"/>
        <v>6.9862499999999983</v>
      </c>
      <c r="V429">
        <f t="shared" si="41"/>
        <v>9</v>
      </c>
    </row>
    <row r="430" spans="1:22" x14ac:dyDescent="0.25">
      <c r="A430" t="s">
        <v>854</v>
      </c>
      <c r="B430">
        <v>43759</v>
      </c>
      <c r="C430" t="str">
        <f t="shared" si="38"/>
        <v>21</v>
      </c>
      <c r="D430" t="str">
        <f t="shared" si="36"/>
        <v>October</v>
      </c>
      <c r="E430" t="str">
        <f t="shared" si="39"/>
        <v>2019</v>
      </c>
      <c r="F430" t="s">
        <v>855</v>
      </c>
      <c r="G430" t="str">
        <f>VLOOKUP(F430,'Customers (2)'!A:I,2,0)</f>
        <v>Minetta Ackrill</v>
      </c>
      <c r="H430" t="str">
        <f>VLOOKUP(F430,'Customers (2)'!A:I,3,0)</f>
        <v>mackrillbw@bandcamp.com</v>
      </c>
      <c r="I430" t="str">
        <f>VLOOKUP(F430,'Customers (2)'!A:I,4,0)</f>
        <v>+1 (330) 603-2373</v>
      </c>
      <c r="J430" t="str">
        <f>VLOOKUP(F430,'Customers (2)'!A:I,6,0)</f>
        <v>Warren</v>
      </c>
      <c r="K430" t="str">
        <f>VLOOKUP(F430,'Customers (2)'!A:I,7,0)</f>
        <v>United States</v>
      </c>
      <c r="L430" t="str">
        <f>VLOOKUP(F430,'Customers (2)'!A:I,9,0)</f>
        <v>No</v>
      </c>
      <c r="M430" t="str">
        <f>VLOOKUP(N430,'Products (2)'!A:G,2,0)</f>
        <v>Robusta</v>
      </c>
      <c r="N430" t="s">
        <v>189</v>
      </c>
      <c r="O430" t="str">
        <f>VLOOKUP(N430,'Products (2)'!A:G,3,0)</f>
        <v>Light</v>
      </c>
      <c r="P430">
        <f>VLOOKUP(N430,'Products (2)'!A:G,7,0)</f>
        <v>0.71699999999999997</v>
      </c>
      <c r="Q430">
        <v>5</v>
      </c>
      <c r="R430">
        <f>INDEX([1]products!$A$1:$G$49,MATCH([1]orders!$D430,[1]products!$A$1:$A$49,0),MATCH([1]orders!K$1,[1]products!$A$1:$G$1,0))</f>
        <v>1</v>
      </c>
      <c r="S430">
        <f>INDEX([1]products!$A$1:$G$49,MATCH([1]orders!$D430,[1]products!$A$1:$A$49,0),MATCH([1]orders!L$1,[1]products!$A$1:$G$1,0))</f>
        <v>11.95</v>
      </c>
      <c r="T430">
        <f t="shared" si="37"/>
        <v>59.75</v>
      </c>
      <c r="U430">
        <f t="shared" si="40"/>
        <v>3.585</v>
      </c>
      <c r="V430">
        <f t="shared" si="41"/>
        <v>6</v>
      </c>
    </row>
    <row r="431" spans="1:22" x14ac:dyDescent="0.25">
      <c r="A431" t="s">
        <v>856</v>
      </c>
      <c r="B431">
        <v>44367</v>
      </c>
      <c r="C431" t="str">
        <f t="shared" si="38"/>
        <v>20</v>
      </c>
      <c r="D431" t="str">
        <f t="shared" si="36"/>
        <v>June</v>
      </c>
      <c r="E431" t="str">
        <f t="shared" si="39"/>
        <v>2021</v>
      </c>
      <c r="F431" t="s">
        <v>749</v>
      </c>
      <c r="G431" t="str">
        <f>VLOOKUP(F431,'Customers (2)'!A:I,2,0)</f>
        <v>Terri Farra</v>
      </c>
      <c r="H431" t="str">
        <f>VLOOKUP(F431,'Customers (2)'!A:I,3,0)</f>
        <v>tfarraac@behance.net</v>
      </c>
      <c r="I431" t="str">
        <f>VLOOKUP(F431,'Customers (2)'!A:I,4,0)</f>
        <v>+1 (432) 648-9589</v>
      </c>
      <c r="J431" t="str">
        <f>VLOOKUP(F431,'Customers (2)'!A:I,6,0)</f>
        <v>Odessa</v>
      </c>
      <c r="K431" t="str">
        <f>VLOOKUP(F431,'Customers (2)'!A:I,7,0)</f>
        <v>United States</v>
      </c>
      <c r="L431" t="str">
        <f>VLOOKUP(F431,'Customers (2)'!A:I,9,0)</f>
        <v>No</v>
      </c>
      <c r="M431" t="str">
        <f>VLOOKUP(N431,'Products (2)'!A:G,2,0)</f>
        <v>Arabica</v>
      </c>
      <c r="N431" t="s">
        <v>6</v>
      </c>
      <c r="O431" t="str">
        <f>VLOOKUP(N431,'Products (2)'!A:G,3,0)</f>
        <v>Light</v>
      </c>
      <c r="P431">
        <f>VLOOKUP(N431,'Products (2)'!A:G,7,0)</f>
        <v>1.1655</v>
      </c>
      <c r="Q431">
        <v>6</v>
      </c>
      <c r="R431">
        <f>INDEX([1]products!$A$1:$G$49,MATCH([1]orders!$D431,[1]products!$A$1:$A$49,0),MATCH([1]orders!K$1,[1]products!$A$1:$G$1,0))</f>
        <v>1</v>
      </c>
      <c r="S431">
        <f>INDEX([1]products!$A$1:$G$49,MATCH([1]orders!$D431,[1]products!$A$1:$A$49,0),MATCH([1]orders!L$1,[1]products!$A$1:$G$1,0))</f>
        <v>12.95</v>
      </c>
      <c r="T431">
        <f t="shared" si="37"/>
        <v>77.699999999999989</v>
      </c>
      <c r="U431">
        <f t="shared" si="40"/>
        <v>6.9930000000000003</v>
      </c>
      <c r="V431">
        <f t="shared" si="41"/>
        <v>9.0000000000000018</v>
      </c>
    </row>
    <row r="432" spans="1:22" x14ac:dyDescent="0.25">
      <c r="A432" t="s">
        <v>857</v>
      </c>
      <c r="B432">
        <v>44504</v>
      </c>
      <c r="C432" t="str">
        <f t="shared" si="38"/>
        <v>04</v>
      </c>
      <c r="D432" t="str">
        <f t="shared" si="36"/>
        <v>November</v>
      </c>
      <c r="E432" t="str">
        <f t="shared" si="39"/>
        <v>2021</v>
      </c>
      <c r="F432" t="s">
        <v>858</v>
      </c>
      <c r="G432" t="str">
        <f>VLOOKUP(F432,'Customers (2)'!A:I,2,0)</f>
        <v>Melosa Kippen</v>
      </c>
      <c r="H432" t="str">
        <f>VLOOKUP(F432,'Customers (2)'!A:I,3,0)</f>
        <v>mkippenby@dion.ne.jp</v>
      </c>
      <c r="I432" t="str">
        <f>VLOOKUP(F432,'Customers (2)'!A:I,4,0)</f>
        <v>+1 (601) 262-2557</v>
      </c>
      <c r="J432" t="str">
        <f>VLOOKUP(F432,'Customers (2)'!A:I,6,0)</f>
        <v>Jackson</v>
      </c>
      <c r="K432" t="str">
        <f>VLOOKUP(F432,'Customers (2)'!A:I,7,0)</f>
        <v>United States</v>
      </c>
      <c r="L432" t="str">
        <f>VLOOKUP(F432,'Customers (2)'!A:I,9,0)</f>
        <v>Yes</v>
      </c>
      <c r="M432" t="str">
        <f>VLOOKUP(N432,'Products (2)'!A:G,2,0)</f>
        <v>Robusta</v>
      </c>
      <c r="N432" t="s">
        <v>101</v>
      </c>
      <c r="O432" t="str">
        <f>VLOOKUP(N432,'Products (2)'!A:G,3,0)</f>
        <v>Dark</v>
      </c>
      <c r="P432">
        <f>VLOOKUP(N432,'Products (2)'!A:G,7,0)</f>
        <v>0.16109999999999997</v>
      </c>
      <c r="Q432">
        <v>2</v>
      </c>
      <c r="R432">
        <f>INDEX([1]products!$A$1:$G$49,MATCH([1]orders!$D432,[1]products!$A$1:$A$49,0),MATCH([1]orders!K$1,[1]products!$A$1:$G$1,0))</f>
        <v>0.2</v>
      </c>
      <c r="S432">
        <f>INDEX([1]products!$A$1:$G$49,MATCH([1]orders!$D432,[1]products!$A$1:$A$49,0),MATCH([1]orders!L$1,[1]products!$A$1:$G$1,0))</f>
        <v>2.6849999999999996</v>
      </c>
      <c r="T432">
        <f t="shared" si="37"/>
        <v>5.3699999999999992</v>
      </c>
      <c r="U432">
        <f t="shared" si="40"/>
        <v>0.32219999999999993</v>
      </c>
      <c r="V432">
        <f t="shared" si="41"/>
        <v>6</v>
      </c>
    </row>
    <row r="433" spans="1:22" x14ac:dyDescent="0.25">
      <c r="A433" t="s">
        <v>859</v>
      </c>
      <c r="B433">
        <v>44291</v>
      </c>
      <c r="C433" t="str">
        <f t="shared" si="38"/>
        <v>05</v>
      </c>
      <c r="D433" t="str">
        <f t="shared" si="36"/>
        <v>April</v>
      </c>
      <c r="E433" t="str">
        <f t="shared" si="39"/>
        <v>2021</v>
      </c>
      <c r="F433" t="s">
        <v>860</v>
      </c>
      <c r="G433" t="str">
        <f>VLOOKUP(F433,'Customers (2)'!A:I,2,0)</f>
        <v>Witty Ranson</v>
      </c>
      <c r="H433" t="str">
        <f>VLOOKUP(F433,'Customers (2)'!A:I,3,0)</f>
        <v>wransonbz@ted.com</v>
      </c>
      <c r="I433" t="str">
        <f>VLOOKUP(F433,'Customers (2)'!A:I,4,0)</f>
        <v>+353 (376) 165-2897</v>
      </c>
      <c r="J433" t="str">
        <f>VLOOKUP(F433,'Customers (2)'!A:I,6,0)</f>
        <v>Kildare</v>
      </c>
      <c r="K433" t="str">
        <f>VLOOKUP(F433,'Customers (2)'!A:I,7,0)</f>
        <v>Ireland</v>
      </c>
      <c r="L433" t="str">
        <f>VLOOKUP(F433,'Customers (2)'!A:I,9,0)</f>
        <v>Yes</v>
      </c>
      <c r="M433" t="str">
        <f>VLOOKUP(N433,'Products (2)'!A:G,2,0)</f>
        <v>Excelsa</v>
      </c>
      <c r="N433" t="s">
        <v>530</v>
      </c>
      <c r="O433" t="str">
        <f>VLOOKUP(N433,'Products (2)'!A:G,3,0)</f>
        <v>Dark</v>
      </c>
      <c r="P433">
        <f>VLOOKUP(N433,'Products (2)'!A:G,7,0)</f>
        <v>3.07395</v>
      </c>
      <c r="Q433">
        <v>3</v>
      </c>
      <c r="R433">
        <f>INDEX([1]products!$A$1:$G$49,MATCH([1]orders!$D433,[1]products!$A$1:$A$49,0),MATCH([1]orders!K$1,[1]products!$A$1:$G$1,0))</f>
        <v>2.5</v>
      </c>
      <c r="S433">
        <f>INDEX([1]products!$A$1:$G$49,MATCH([1]orders!$D433,[1]products!$A$1:$A$49,0),MATCH([1]orders!L$1,[1]products!$A$1:$G$1,0))</f>
        <v>27.945</v>
      </c>
      <c r="T433">
        <f t="shared" si="37"/>
        <v>83.835000000000008</v>
      </c>
      <c r="U433">
        <f t="shared" si="40"/>
        <v>9.2218499999999999</v>
      </c>
      <c r="V433">
        <f t="shared" si="41"/>
        <v>10.999999999999998</v>
      </c>
    </row>
    <row r="434" spans="1:22" x14ac:dyDescent="0.25">
      <c r="A434" t="s">
        <v>861</v>
      </c>
      <c r="B434">
        <v>43808</v>
      </c>
      <c r="C434" t="str">
        <f t="shared" si="38"/>
        <v>09</v>
      </c>
      <c r="D434" t="str">
        <f t="shared" si="36"/>
        <v>December</v>
      </c>
      <c r="E434" t="str">
        <f t="shared" si="39"/>
        <v>2019</v>
      </c>
      <c r="F434" t="s">
        <v>862</v>
      </c>
      <c r="G434" t="str">
        <f>VLOOKUP(F434,'Customers (2)'!A:I,2,0)</f>
        <v>Rod Gowdie</v>
      </c>
      <c r="H434">
        <f>VLOOKUP(F434,'Customers (2)'!A:I,3,0)</f>
        <v>0</v>
      </c>
      <c r="I434" t="str">
        <f>VLOOKUP(F434,'Customers (2)'!A:I,4,0)</f>
        <v>+1 (360) 347-6756</v>
      </c>
      <c r="J434" t="str">
        <f>VLOOKUP(F434,'Customers (2)'!A:I,6,0)</f>
        <v>Milwaukee</v>
      </c>
      <c r="K434" t="str">
        <f>VLOOKUP(F434,'Customers (2)'!A:I,7,0)</f>
        <v>United States</v>
      </c>
      <c r="L434" t="str">
        <f>VLOOKUP(F434,'Customers (2)'!A:I,9,0)</f>
        <v>No</v>
      </c>
      <c r="M434" t="str">
        <f>VLOOKUP(N434,'Products (2)'!A:G,2,0)</f>
        <v>Arabica</v>
      </c>
      <c r="N434" t="s">
        <v>61</v>
      </c>
      <c r="O434" t="str">
        <f>VLOOKUP(N434,'Products (2)'!A:G,3,0)</f>
        <v>Medium</v>
      </c>
      <c r="P434">
        <f>VLOOKUP(N434,'Products (2)'!A:G,7,0)</f>
        <v>1.0125</v>
      </c>
      <c r="Q434">
        <v>2</v>
      </c>
      <c r="R434">
        <f>INDEX([1]products!$A$1:$G$49,MATCH([1]orders!$D434,[1]products!$A$1:$A$49,0),MATCH([1]orders!K$1,[1]products!$A$1:$G$1,0))</f>
        <v>1</v>
      </c>
      <c r="S434">
        <f>INDEX([1]products!$A$1:$G$49,MATCH([1]orders!$D434,[1]products!$A$1:$A$49,0),MATCH([1]orders!L$1,[1]products!$A$1:$G$1,0))</f>
        <v>11.25</v>
      </c>
      <c r="T434">
        <f t="shared" si="37"/>
        <v>22.5</v>
      </c>
      <c r="U434">
        <f t="shared" si="40"/>
        <v>2.0249999999999999</v>
      </c>
      <c r="V434">
        <f t="shared" si="41"/>
        <v>9</v>
      </c>
    </row>
    <row r="435" spans="1:22" x14ac:dyDescent="0.25">
      <c r="A435" t="s">
        <v>863</v>
      </c>
      <c r="B435">
        <v>44563</v>
      </c>
      <c r="C435" t="str">
        <f t="shared" si="38"/>
        <v>02</v>
      </c>
      <c r="D435" t="str">
        <f t="shared" si="36"/>
        <v>January</v>
      </c>
      <c r="E435" t="str">
        <f t="shared" si="39"/>
        <v>2022</v>
      </c>
      <c r="F435" t="s">
        <v>864</v>
      </c>
      <c r="G435" t="str">
        <f>VLOOKUP(F435,'Customers (2)'!A:I,2,0)</f>
        <v>Lemuel Rignold</v>
      </c>
      <c r="H435" t="str">
        <f>VLOOKUP(F435,'Customers (2)'!A:I,3,0)</f>
        <v>lrignoldc1@miibeian.gov.cn</v>
      </c>
      <c r="I435" t="str">
        <f>VLOOKUP(F435,'Customers (2)'!A:I,4,0)</f>
        <v>+1 (916) 472-7804</v>
      </c>
      <c r="J435" t="str">
        <f>VLOOKUP(F435,'Customers (2)'!A:I,6,0)</f>
        <v>Sacramento</v>
      </c>
      <c r="K435" t="str">
        <f>VLOOKUP(F435,'Customers (2)'!A:I,7,0)</f>
        <v>United States</v>
      </c>
      <c r="L435" t="str">
        <f>VLOOKUP(F435,'Customers (2)'!A:I,9,0)</f>
        <v>Yes</v>
      </c>
      <c r="M435" t="str">
        <f>VLOOKUP(N435,'Products (2)'!A:G,2,0)</f>
        <v>Liberica</v>
      </c>
      <c r="N435" t="s">
        <v>197</v>
      </c>
      <c r="O435" t="str">
        <f>VLOOKUP(N435,'Products (2)'!A:G,3,0)</f>
        <v>Medium</v>
      </c>
      <c r="P435">
        <f>VLOOKUP(N435,'Products (2)'!A:G,7,0)</f>
        <v>4.3504499999999995</v>
      </c>
      <c r="Q435">
        <v>6</v>
      </c>
      <c r="R435">
        <f>INDEX([1]products!$A$1:$G$49,MATCH([1]orders!$D435,[1]products!$A$1:$A$49,0),MATCH([1]orders!K$1,[1]products!$A$1:$G$1,0))</f>
        <v>2.5</v>
      </c>
      <c r="S435">
        <f>INDEX([1]products!$A$1:$G$49,MATCH([1]orders!$D435,[1]products!$A$1:$A$49,0),MATCH([1]orders!L$1,[1]products!$A$1:$G$1,0))</f>
        <v>33.464999999999996</v>
      </c>
      <c r="T435">
        <f t="shared" si="37"/>
        <v>200.78999999999996</v>
      </c>
      <c r="U435">
        <f t="shared" si="40"/>
        <v>26.102699999999999</v>
      </c>
      <c r="V435">
        <f t="shared" si="41"/>
        <v>13</v>
      </c>
    </row>
    <row r="436" spans="1:22" x14ac:dyDescent="0.25">
      <c r="A436" t="s">
        <v>865</v>
      </c>
      <c r="B436">
        <v>43807</v>
      </c>
      <c r="C436" t="str">
        <f t="shared" si="38"/>
        <v>08</v>
      </c>
      <c r="D436" t="str">
        <f t="shared" si="36"/>
        <v>December</v>
      </c>
      <c r="E436" t="str">
        <f t="shared" si="39"/>
        <v>2019</v>
      </c>
      <c r="F436" t="s">
        <v>866</v>
      </c>
      <c r="G436" t="str">
        <f>VLOOKUP(F436,'Customers (2)'!A:I,2,0)</f>
        <v>Nevsa Fields</v>
      </c>
      <c r="H436">
        <f>VLOOKUP(F436,'Customers (2)'!A:I,3,0)</f>
        <v>0</v>
      </c>
      <c r="I436" t="str">
        <f>VLOOKUP(F436,'Customers (2)'!A:I,4,0)</f>
        <v>+1 (617) 535-7583</v>
      </c>
      <c r="J436" t="str">
        <f>VLOOKUP(F436,'Customers (2)'!A:I,6,0)</f>
        <v>Boston</v>
      </c>
      <c r="K436" t="str">
        <f>VLOOKUP(F436,'Customers (2)'!A:I,7,0)</f>
        <v>United States</v>
      </c>
      <c r="L436" t="str">
        <f>VLOOKUP(F436,'Customers (2)'!A:I,9,0)</f>
        <v>No</v>
      </c>
      <c r="M436" t="str">
        <f>VLOOKUP(N436,'Products (2)'!A:G,2,0)</f>
        <v>Arabica</v>
      </c>
      <c r="N436" t="s">
        <v>61</v>
      </c>
      <c r="O436" t="str">
        <f>VLOOKUP(N436,'Products (2)'!A:G,3,0)</f>
        <v>Medium</v>
      </c>
      <c r="P436">
        <f>VLOOKUP(N436,'Products (2)'!A:G,7,0)</f>
        <v>1.0125</v>
      </c>
      <c r="Q436">
        <v>6</v>
      </c>
      <c r="R436">
        <f>INDEX([1]products!$A$1:$G$49,MATCH([1]orders!$D436,[1]products!$A$1:$A$49,0),MATCH([1]orders!K$1,[1]products!$A$1:$G$1,0))</f>
        <v>1</v>
      </c>
      <c r="S436">
        <f>INDEX([1]products!$A$1:$G$49,MATCH([1]orders!$D436,[1]products!$A$1:$A$49,0),MATCH([1]orders!L$1,[1]products!$A$1:$G$1,0))</f>
        <v>11.25</v>
      </c>
      <c r="T436">
        <f t="shared" si="37"/>
        <v>67.5</v>
      </c>
      <c r="U436">
        <f t="shared" si="40"/>
        <v>6.0749999999999993</v>
      </c>
      <c r="V436">
        <f t="shared" si="41"/>
        <v>8.9999999999999982</v>
      </c>
    </row>
    <row r="437" spans="1:22" x14ac:dyDescent="0.25">
      <c r="A437" t="s">
        <v>867</v>
      </c>
      <c r="B437">
        <v>44528</v>
      </c>
      <c r="C437" t="str">
        <f t="shared" si="38"/>
        <v>28</v>
      </c>
      <c r="D437" t="str">
        <f t="shared" si="36"/>
        <v>November</v>
      </c>
      <c r="E437" t="str">
        <f t="shared" si="39"/>
        <v>2021</v>
      </c>
      <c r="F437" t="s">
        <v>868</v>
      </c>
      <c r="G437" t="str">
        <f>VLOOKUP(F437,'Customers (2)'!A:I,2,0)</f>
        <v>Chance Rowthorn</v>
      </c>
      <c r="H437" t="str">
        <f>VLOOKUP(F437,'Customers (2)'!A:I,3,0)</f>
        <v>crowthornc3@msn.com</v>
      </c>
      <c r="I437" t="str">
        <f>VLOOKUP(F437,'Customers (2)'!A:I,4,0)</f>
        <v>+1 (785) 380-3311</v>
      </c>
      <c r="J437" t="str">
        <f>VLOOKUP(F437,'Customers (2)'!A:I,6,0)</f>
        <v>Topeka</v>
      </c>
      <c r="K437" t="str">
        <f>VLOOKUP(F437,'Customers (2)'!A:I,7,0)</f>
        <v>United States</v>
      </c>
      <c r="L437" t="str">
        <f>VLOOKUP(F437,'Customers (2)'!A:I,9,0)</f>
        <v>No</v>
      </c>
      <c r="M437" t="str">
        <f>VLOOKUP(N437,'Products (2)'!A:G,2,0)</f>
        <v>Excelsa</v>
      </c>
      <c r="N437" t="s">
        <v>3</v>
      </c>
      <c r="O437" t="str">
        <f>VLOOKUP(N437,'Products (2)'!A:G,3,0)</f>
        <v>Medium</v>
      </c>
      <c r="P437">
        <f>VLOOKUP(N437,'Products (2)'!A:G,7,0)</f>
        <v>0.90749999999999997</v>
      </c>
      <c r="Q437">
        <v>1</v>
      </c>
      <c r="R437">
        <f>INDEX([1]products!$A$1:$G$49,MATCH([1]orders!$D437,[1]products!$A$1:$A$49,0),MATCH([1]orders!K$1,[1]products!$A$1:$G$1,0))</f>
        <v>0.5</v>
      </c>
      <c r="S437">
        <f>INDEX([1]products!$A$1:$G$49,MATCH([1]orders!$D437,[1]products!$A$1:$A$49,0),MATCH([1]orders!L$1,[1]products!$A$1:$G$1,0))</f>
        <v>8.25</v>
      </c>
      <c r="T437">
        <f t="shared" si="37"/>
        <v>8.25</v>
      </c>
      <c r="U437">
        <f t="shared" si="40"/>
        <v>0.90749999999999997</v>
      </c>
      <c r="V437">
        <f t="shared" si="41"/>
        <v>11</v>
      </c>
    </row>
    <row r="438" spans="1:22" x14ac:dyDescent="0.25">
      <c r="A438" t="s">
        <v>869</v>
      </c>
      <c r="B438">
        <v>44631</v>
      </c>
      <c r="C438" t="str">
        <f t="shared" si="38"/>
        <v>11</v>
      </c>
      <c r="D438" t="str">
        <f t="shared" si="36"/>
        <v>March</v>
      </c>
      <c r="E438" t="str">
        <f t="shared" si="39"/>
        <v>2022</v>
      </c>
      <c r="F438" t="s">
        <v>870</v>
      </c>
      <c r="G438" t="str">
        <f>VLOOKUP(F438,'Customers (2)'!A:I,2,0)</f>
        <v>Orly Ryland</v>
      </c>
      <c r="H438" t="str">
        <f>VLOOKUP(F438,'Customers (2)'!A:I,3,0)</f>
        <v>orylandc4@deviantart.com</v>
      </c>
      <c r="I438" t="str">
        <f>VLOOKUP(F438,'Customers (2)'!A:I,4,0)</f>
        <v>+1 (701) 417-3513</v>
      </c>
      <c r="J438" t="str">
        <f>VLOOKUP(F438,'Customers (2)'!A:I,6,0)</f>
        <v>Fargo</v>
      </c>
      <c r="K438" t="str">
        <f>VLOOKUP(F438,'Customers (2)'!A:I,7,0)</f>
        <v>United States</v>
      </c>
      <c r="L438" t="str">
        <f>VLOOKUP(F438,'Customers (2)'!A:I,9,0)</f>
        <v>Yes</v>
      </c>
      <c r="M438" t="str">
        <f>VLOOKUP(N438,'Products (2)'!A:G,2,0)</f>
        <v>Liberica</v>
      </c>
      <c r="N438" t="s">
        <v>19</v>
      </c>
      <c r="O438" t="str">
        <f>VLOOKUP(N438,'Products (2)'!A:G,3,0)</f>
        <v>Light</v>
      </c>
      <c r="P438">
        <f>VLOOKUP(N438,'Products (2)'!A:G,7,0)</f>
        <v>0.61814999999999998</v>
      </c>
      <c r="Q438">
        <v>2</v>
      </c>
      <c r="R438">
        <f>INDEX([1]products!$A$1:$G$49,MATCH([1]orders!$D438,[1]products!$A$1:$A$49,0),MATCH([1]orders!K$1,[1]products!$A$1:$G$1,0))</f>
        <v>0.2</v>
      </c>
      <c r="S438">
        <f>INDEX([1]products!$A$1:$G$49,MATCH([1]orders!$D438,[1]products!$A$1:$A$49,0),MATCH([1]orders!L$1,[1]products!$A$1:$G$1,0))</f>
        <v>4.7549999999999999</v>
      </c>
      <c r="T438">
        <f t="shared" si="37"/>
        <v>9.51</v>
      </c>
      <c r="U438">
        <f t="shared" si="40"/>
        <v>1.2363</v>
      </c>
      <c r="V438">
        <f t="shared" si="41"/>
        <v>13</v>
      </c>
    </row>
    <row r="439" spans="1:22" x14ac:dyDescent="0.25">
      <c r="A439" t="s">
        <v>871</v>
      </c>
      <c r="B439">
        <v>44213</v>
      </c>
      <c r="C439" t="str">
        <f t="shared" si="38"/>
        <v>17</v>
      </c>
      <c r="D439" t="str">
        <f t="shared" si="36"/>
        <v>January</v>
      </c>
      <c r="E439" t="str">
        <f t="shared" si="39"/>
        <v>2021</v>
      </c>
      <c r="F439" t="s">
        <v>872</v>
      </c>
      <c r="G439" t="str">
        <f>VLOOKUP(F439,'Customers (2)'!A:I,2,0)</f>
        <v>Willabella Abramski</v>
      </c>
      <c r="H439">
        <f>VLOOKUP(F439,'Customers (2)'!A:I,3,0)</f>
        <v>0</v>
      </c>
      <c r="I439" t="str">
        <f>VLOOKUP(F439,'Customers (2)'!A:I,4,0)</f>
        <v>+1 (832) 263-0050</v>
      </c>
      <c r="J439" t="str">
        <f>VLOOKUP(F439,'Customers (2)'!A:I,6,0)</f>
        <v>Houston</v>
      </c>
      <c r="K439" t="str">
        <f>VLOOKUP(F439,'Customers (2)'!A:I,7,0)</f>
        <v>United States</v>
      </c>
      <c r="L439" t="str">
        <f>VLOOKUP(F439,'Customers (2)'!A:I,9,0)</f>
        <v>No</v>
      </c>
      <c r="M439" t="str">
        <f>VLOOKUP(N439,'Products (2)'!A:G,2,0)</f>
        <v>Liberica</v>
      </c>
      <c r="N439" t="s">
        <v>109</v>
      </c>
      <c r="O439" t="str">
        <f>VLOOKUP(N439,'Products (2)'!A:G,3,0)</f>
        <v>Dark</v>
      </c>
      <c r="P439">
        <f>VLOOKUP(N439,'Products (2)'!A:G,7,0)</f>
        <v>3.8720499999999998</v>
      </c>
      <c r="Q439">
        <v>1</v>
      </c>
      <c r="R439">
        <f>INDEX([1]products!$A$1:$G$49,MATCH([1]orders!$D439,[1]products!$A$1:$A$49,0),MATCH([1]orders!K$1,[1]products!$A$1:$G$1,0))</f>
        <v>2.5</v>
      </c>
      <c r="S439">
        <f>INDEX([1]products!$A$1:$G$49,MATCH([1]orders!$D439,[1]products!$A$1:$A$49,0),MATCH([1]orders!L$1,[1]products!$A$1:$G$1,0))</f>
        <v>29.784999999999997</v>
      </c>
      <c r="T439">
        <f t="shared" si="37"/>
        <v>29.784999999999997</v>
      </c>
      <c r="U439">
        <f t="shared" si="40"/>
        <v>3.8720499999999998</v>
      </c>
      <c r="V439">
        <f t="shared" si="41"/>
        <v>13</v>
      </c>
    </row>
    <row r="440" spans="1:22" x14ac:dyDescent="0.25">
      <c r="A440" t="s">
        <v>873</v>
      </c>
      <c r="B440">
        <v>43483</v>
      </c>
      <c r="C440" t="str">
        <f t="shared" si="38"/>
        <v>18</v>
      </c>
      <c r="D440" t="str">
        <f t="shared" si="36"/>
        <v>January</v>
      </c>
      <c r="E440" t="str">
        <f t="shared" si="39"/>
        <v>2019</v>
      </c>
      <c r="F440" t="s">
        <v>874</v>
      </c>
      <c r="G440" t="str">
        <f>VLOOKUP(F440,'Customers (2)'!A:I,2,0)</f>
        <v>Morgen Seson</v>
      </c>
      <c r="H440" t="str">
        <f>VLOOKUP(F440,'Customers (2)'!A:I,3,0)</f>
        <v>msesonck@census.gov</v>
      </c>
      <c r="I440" t="str">
        <f>VLOOKUP(F440,'Customers (2)'!A:I,4,0)</f>
        <v>+1 (206) 642-0902</v>
      </c>
      <c r="J440" t="str">
        <f>VLOOKUP(F440,'Customers (2)'!A:I,6,0)</f>
        <v>Seattle</v>
      </c>
      <c r="K440" t="str">
        <f>VLOOKUP(F440,'Customers (2)'!A:I,7,0)</f>
        <v>United States</v>
      </c>
      <c r="L440" t="str">
        <f>VLOOKUP(F440,'Customers (2)'!A:I,9,0)</f>
        <v>No</v>
      </c>
      <c r="M440" t="str">
        <f>VLOOKUP(N440,'Products (2)'!A:G,2,0)</f>
        <v>Liberica</v>
      </c>
      <c r="N440" t="s">
        <v>123</v>
      </c>
      <c r="O440" t="str">
        <f>VLOOKUP(N440,'Products (2)'!A:G,3,0)</f>
        <v>Dark</v>
      </c>
      <c r="P440">
        <f>VLOOKUP(N440,'Products (2)'!A:G,7,0)</f>
        <v>1.0101</v>
      </c>
      <c r="Q440">
        <v>2</v>
      </c>
      <c r="R440">
        <f>INDEX([1]products!$A$1:$G$49,MATCH([1]orders!$D440,[1]products!$A$1:$A$49,0),MATCH([1]orders!K$1,[1]products!$A$1:$G$1,0))</f>
        <v>0.5</v>
      </c>
      <c r="S440">
        <f>INDEX([1]products!$A$1:$G$49,MATCH([1]orders!$D440,[1]products!$A$1:$A$49,0),MATCH([1]orders!L$1,[1]products!$A$1:$G$1,0))</f>
        <v>7.77</v>
      </c>
      <c r="T440">
        <f t="shared" si="37"/>
        <v>15.54</v>
      </c>
      <c r="U440">
        <f t="shared" si="40"/>
        <v>2.0202</v>
      </c>
      <c r="V440">
        <f t="shared" si="41"/>
        <v>13</v>
      </c>
    </row>
    <row r="441" spans="1:22" x14ac:dyDescent="0.25">
      <c r="A441" t="s">
        <v>875</v>
      </c>
      <c r="B441">
        <v>43562</v>
      </c>
      <c r="C441" t="str">
        <f t="shared" si="38"/>
        <v>07</v>
      </c>
      <c r="D441" t="str">
        <f t="shared" si="36"/>
        <v>April</v>
      </c>
      <c r="E441" t="str">
        <f t="shared" si="39"/>
        <v>2019</v>
      </c>
      <c r="F441" t="s">
        <v>876</v>
      </c>
      <c r="G441" t="str">
        <f>VLOOKUP(F441,'Customers (2)'!A:I,2,0)</f>
        <v>Chickie Ragless</v>
      </c>
      <c r="H441" t="str">
        <f>VLOOKUP(F441,'Customers (2)'!A:I,3,0)</f>
        <v>craglessc7@webmd.com</v>
      </c>
      <c r="I441" t="str">
        <f>VLOOKUP(F441,'Customers (2)'!A:I,4,0)</f>
        <v>+353 (736) 602-8469</v>
      </c>
      <c r="J441" t="str">
        <f>VLOOKUP(F441,'Customers (2)'!A:I,6,0)</f>
        <v>Caherconlish</v>
      </c>
      <c r="K441" t="str">
        <f>VLOOKUP(F441,'Customers (2)'!A:I,7,0)</f>
        <v>Ireland</v>
      </c>
      <c r="L441" t="str">
        <f>VLOOKUP(F441,'Customers (2)'!A:I,9,0)</f>
        <v>No</v>
      </c>
      <c r="M441" t="str">
        <f>VLOOKUP(N441,'Products (2)'!A:G,2,0)</f>
        <v>Excelsa</v>
      </c>
      <c r="N441" t="s">
        <v>176</v>
      </c>
      <c r="O441" t="str">
        <f>VLOOKUP(N441,'Products (2)'!A:G,3,0)</f>
        <v>Light</v>
      </c>
      <c r="P441">
        <f>VLOOKUP(N441,'Products (2)'!A:G,7,0)</f>
        <v>0.98009999999999997</v>
      </c>
      <c r="Q441">
        <v>4</v>
      </c>
      <c r="R441">
        <f>INDEX([1]products!$A$1:$G$49,MATCH([1]orders!$D441,[1]products!$A$1:$A$49,0),MATCH([1]orders!K$1,[1]products!$A$1:$G$1,0))</f>
        <v>0.5</v>
      </c>
      <c r="S441">
        <f>INDEX([1]products!$A$1:$G$49,MATCH([1]orders!$D441,[1]products!$A$1:$A$49,0),MATCH([1]orders!L$1,[1]products!$A$1:$G$1,0))</f>
        <v>8.91</v>
      </c>
      <c r="T441">
        <f t="shared" si="37"/>
        <v>35.64</v>
      </c>
      <c r="U441">
        <f t="shared" si="40"/>
        <v>3.9203999999999999</v>
      </c>
      <c r="V441">
        <f t="shared" si="41"/>
        <v>11</v>
      </c>
    </row>
    <row r="442" spans="1:22" x14ac:dyDescent="0.25">
      <c r="A442" t="s">
        <v>877</v>
      </c>
      <c r="B442">
        <v>44230</v>
      </c>
      <c r="C442" t="str">
        <f t="shared" si="38"/>
        <v>03</v>
      </c>
      <c r="D442" t="str">
        <f t="shared" si="36"/>
        <v>February</v>
      </c>
      <c r="E442" t="str">
        <f t="shared" si="39"/>
        <v>2021</v>
      </c>
      <c r="F442" t="s">
        <v>878</v>
      </c>
      <c r="G442" t="str">
        <f>VLOOKUP(F442,'Customers (2)'!A:I,2,0)</f>
        <v>Freda Hollows</v>
      </c>
      <c r="H442" t="str">
        <f>VLOOKUP(F442,'Customers (2)'!A:I,3,0)</f>
        <v>fhollowsc8@blogtalkradio.com</v>
      </c>
      <c r="I442" t="str">
        <f>VLOOKUP(F442,'Customers (2)'!A:I,4,0)</f>
        <v>+1 (716) 632-6865</v>
      </c>
      <c r="J442" t="str">
        <f>VLOOKUP(F442,'Customers (2)'!A:I,6,0)</f>
        <v>Buffalo</v>
      </c>
      <c r="K442" t="str">
        <f>VLOOKUP(F442,'Customers (2)'!A:I,7,0)</f>
        <v>United States</v>
      </c>
      <c r="L442" t="str">
        <f>VLOOKUP(F442,'Customers (2)'!A:I,9,0)</f>
        <v>Yes</v>
      </c>
      <c r="M442" t="str">
        <f>VLOOKUP(N442,'Products (2)'!A:G,2,0)</f>
        <v>Arabica</v>
      </c>
      <c r="N442" t="s">
        <v>171</v>
      </c>
      <c r="O442" t="str">
        <f>VLOOKUP(N442,'Products (2)'!A:G,3,0)</f>
        <v>Medium</v>
      </c>
      <c r="P442">
        <f>VLOOKUP(N442,'Products (2)'!A:G,7,0)</f>
        <v>2.3287499999999994</v>
      </c>
      <c r="Q442">
        <v>4</v>
      </c>
      <c r="R442">
        <f>INDEX([1]products!$A$1:$G$49,MATCH([1]orders!$D442,[1]products!$A$1:$A$49,0),MATCH([1]orders!K$1,[1]products!$A$1:$G$1,0))</f>
        <v>2.5</v>
      </c>
      <c r="S442">
        <f>INDEX([1]products!$A$1:$G$49,MATCH([1]orders!$D442,[1]products!$A$1:$A$49,0),MATCH([1]orders!L$1,[1]products!$A$1:$G$1,0))</f>
        <v>25.874999999999996</v>
      </c>
      <c r="T442">
        <f t="shared" si="37"/>
        <v>103.49999999999999</v>
      </c>
      <c r="U442">
        <f t="shared" si="40"/>
        <v>9.3149999999999977</v>
      </c>
      <c r="V442">
        <f t="shared" si="41"/>
        <v>9</v>
      </c>
    </row>
    <row r="443" spans="1:22" x14ac:dyDescent="0.25">
      <c r="A443" t="s">
        <v>879</v>
      </c>
      <c r="B443">
        <v>43573</v>
      </c>
      <c r="C443" t="str">
        <f t="shared" si="38"/>
        <v>18</v>
      </c>
      <c r="D443" t="str">
        <f t="shared" si="36"/>
        <v>April</v>
      </c>
      <c r="E443" t="str">
        <f t="shared" si="39"/>
        <v>2019</v>
      </c>
      <c r="F443" t="s">
        <v>880</v>
      </c>
      <c r="G443" t="str">
        <f>VLOOKUP(F443,'Customers (2)'!A:I,2,0)</f>
        <v>Livy Lathleiff</v>
      </c>
      <c r="H443" t="str">
        <f>VLOOKUP(F443,'Customers (2)'!A:I,3,0)</f>
        <v>llathleiffc9@nationalgeographic.com</v>
      </c>
      <c r="I443" t="str">
        <f>VLOOKUP(F443,'Customers (2)'!A:I,4,0)</f>
        <v>+353 (895) 566-0110</v>
      </c>
      <c r="J443" t="str">
        <f>VLOOKUP(F443,'Customers (2)'!A:I,6,0)</f>
        <v>Shankill</v>
      </c>
      <c r="K443" t="str">
        <f>VLOOKUP(F443,'Customers (2)'!A:I,7,0)</f>
        <v>Ireland</v>
      </c>
      <c r="L443" t="str">
        <f>VLOOKUP(F443,'Customers (2)'!A:I,9,0)</f>
        <v>Yes</v>
      </c>
      <c r="M443" t="str">
        <f>VLOOKUP(N443,'Products (2)'!A:G,2,0)</f>
        <v>Excelsa</v>
      </c>
      <c r="N443" t="s">
        <v>245</v>
      </c>
      <c r="O443" t="str">
        <f>VLOOKUP(N443,'Products (2)'!A:G,3,0)</f>
        <v>Dark</v>
      </c>
      <c r="P443">
        <f>VLOOKUP(N443,'Products (2)'!A:G,7,0)</f>
        <v>1.3365</v>
      </c>
      <c r="Q443">
        <v>3</v>
      </c>
      <c r="R443">
        <f>INDEX([1]products!$A$1:$G$49,MATCH([1]orders!$D443,[1]products!$A$1:$A$49,0),MATCH([1]orders!K$1,[1]products!$A$1:$G$1,0))</f>
        <v>1</v>
      </c>
      <c r="S443">
        <f>INDEX([1]products!$A$1:$G$49,MATCH([1]orders!$D443,[1]products!$A$1:$A$49,0),MATCH([1]orders!L$1,[1]products!$A$1:$G$1,0))</f>
        <v>12.15</v>
      </c>
      <c r="T443">
        <f t="shared" si="37"/>
        <v>36.450000000000003</v>
      </c>
      <c r="U443">
        <f t="shared" si="40"/>
        <v>4.0095000000000001</v>
      </c>
      <c r="V443">
        <f t="shared" si="41"/>
        <v>10.999999999999998</v>
      </c>
    </row>
    <row r="444" spans="1:22" x14ac:dyDescent="0.25">
      <c r="A444" t="s">
        <v>881</v>
      </c>
      <c r="B444">
        <v>44384</v>
      </c>
      <c r="C444" t="str">
        <f t="shared" si="38"/>
        <v>07</v>
      </c>
      <c r="D444" t="str">
        <f t="shared" si="36"/>
        <v>July</v>
      </c>
      <c r="E444" t="str">
        <f t="shared" si="39"/>
        <v>2021</v>
      </c>
      <c r="F444" t="s">
        <v>882</v>
      </c>
      <c r="G444" t="str">
        <f>VLOOKUP(F444,'Customers (2)'!A:I,2,0)</f>
        <v>Koralle Heads</v>
      </c>
      <c r="H444" t="str">
        <f>VLOOKUP(F444,'Customers (2)'!A:I,3,0)</f>
        <v>kheadsca@jalbum.net</v>
      </c>
      <c r="I444" t="str">
        <f>VLOOKUP(F444,'Customers (2)'!A:I,4,0)</f>
        <v>+1 (484) 131-2636</v>
      </c>
      <c r="J444" t="str">
        <f>VLOOKUP(F444,'Customers (2)'!A:I,6,0)</f>
        <v>Bethlehem</v>
      </c>
      <c r="K444" t="str">
        <f>VLOOKUP(F444,'Customers (2)'!A:I,7,0)</f>
        <v>United States</v>
      </c>
      <c r="L444" t="str">
        <f>VLOOKUP(F444,'Customers (2)'!A:I,9,0)</f>
        <v>No</v>
      </c>
      <c r="M444" t="str">
        <f>VLOOKUP(N444,'Products (2)'!A:G,2,0)</f>
        <v>Robusta</v>
      </c>
      <c r="N444" t="s">
        <v>157</v>
      </c>
      <c r="O444" t="str">
        <f>VLOOKUP(N444,'Products (2)'!A:G,3,0)</f>
        <v>Light</v>
      </c>
      <c r="P444">
        <f>VLOOKUP(N444,'Products (2)'!A:G,7,0)</f>
        <v>0.43019999999999992</v>
      </c>
      <c r="Q444">
        <v>5</v>
      </c>
      <c r="R444">
        <f>INDEX([1]products!$A$1:$G$49,MATCH([1]orders!$D444,[1]products!$A$1:$A$49,0),MATCH([1]orders!K$1,[1]products!$A$1:$G$1,0))</f>
        <v>0.5</v>
      </c>
      <c r="S444">
        <f>INDEX([1]products!$A$1:$G$49,MATCH([1]orders!$D444,[1]products!$A$1:$A$49,0),MATCH([1]orders!L$1,[1]products!$A$1:$G$1,0))</f>
        <v>7.169999999999999</v>
      </c>
      <c r="T444">
        <f t="shared" si="37"/>
        <v>35.849999999999994</v>
      </c>
      <c r="U444">
        <f t="shared" si="40"/>
        <v>2.1509999999999998</v>
      </c>
      <c r="V444">
        <f t="shared" si="41"/>
        <v>6.0000000000000009</v>
      </c>
    </row>
    <row r="445" spans="1:22" x14ac:dyDescent="0.25">
      <c r="A445" t="s">
        <v>883</v>
      </c>
      <c r="B445">
        <v>44250</v>
      </c>
      <c r="C445" t="str">
        <f t="shared" si="38"/>
        <v>23</v>
      </c>
      <c r="D445" t="str">
        <f t="shared" si="36"/>
        <v>February</v>
      </c>
      <c r="E445" t="str">
        <f t="shared" si="39"/>
        <v>2021</v>
      </c>
      <c r="F445" t="s">
        <v>884</v>
      </c>
      <c r="G445" t="str">
        <f>VLOOKUP(F445,'Customers (2)'!A:I,2,0)</f>
        <v>Theo Bowne</v>
      </c>
      <c r="H445" t="str">
        <f>VLOOKUP(F445,'Customers (2)'!A:I,3,0)</f>
        <v>tbownecb@unicef.org</v>
      </c>
      <c r="I445" t="str">
        <f>VLOOKUP(F445,'Customers (2)'!A:I,4,0)</f>
        <v>+353 (540) 432-8009</v>
      </c>
      <c r="J445" t="str">
        <f>VLOOKUP(F445,'Customers (2)'!A:I,6,0)</f>
        <v>Watergrasshill</v>
      </c>
      <c r="K445" t="str">
        <f>VLOOKUP(F445,'Customers (2)'!A:I,7,0)</f>
        <v>Ireland</v>
      </c>
      <c r="L445" t="str">
        <f>VLOOKUP(F445,'Customers (2)'!A:I,9,0)</f>
        <v>Yes</v>
      </c>
      <c r="M445" t="str">
        <f>VLOOKUP(N445,'Products (2)'!A:G,2,0)</f>
        <v>Excelsa</v>
      </c>
      <c r="N445" t="s">
        <v>254</v>
      </c>
      <c r="O445" t="str">
        <f>VLOOKUP(N445,'Products (2)'!A:G,3,0)</f>
        <v>Light</v>
      </c>
      <c r="P445">
        <f>VLOOKUP(N445,'Products (2)'!A:G,7,0)</f>
        <v>0.49004999999999999</v>
      </c>
      <c r="Q445">
        <v>5</v>
      </c>
      <c r="R445">
        <f>INDEX([1]products!$A$1:$G$49,MATCH([1]orders!$D445,[1]products!$A$1:$A$49,0),MATCH([1]orders!K$1,[1]products!$A$1:$G$1,0))</f>
        <v>0.2</v>
      </c>
      <c r="S445">
        <f>INDEX([1]products!$A$1:$G$49,MATCH([1]orders!$D445,[1]products!$A$1:$A$49,0),MATCH([1]orders!L$1,[1]products!$A$1:$G$1,0))</f>
        <v>4.4550000000000001</v>
      </c>
      <c r="T445">
        <f t="shared" si="37"/>
        <v>22.274999999999999</v>
      </c>
      <c r="U445">
        <f t="shared" si="40"/>
        <v>2.45025</v>
      </c>
      <c r="V445">
        <f t="shared" si="41"/>
        <v>11.000000000000002</v>
      </c>
    </row>
    <row r="446" spans="1:22" x14ac:dyDescent="0.25">
      <c r="A446" t="s">
        <v>885</v>
      </c>
      <c r="B446">
        <v>44418</v>
      </c>
      <c r="C446" t="str">
        <f t="shared" si="38"/>
        <v>10</v>
      </c>
      <c r="D446" t="str">
        <f t="shared" si="36"/>
        <v>August</v>
      </c>
      <c r="E446" t="str">
        <f t="shared" si="39"/>
        <v>2021</v>
      </c>
      <c r="F446" t="s">
        <v>886</v>
      </c>
      <c r="G446" t="str">
        <f>VLOOKUP(F446,'Customers (2)'!A:I,2,0)</f>
        <v>Rasia Jacquemard</v>
      </c>
      <c r="H446" t="str">
        <f>VLOOKUP(F446,'Customers (2)'!A:I,3,0)</f>
        <v>rjacquemardcc@acquirethisname.com</v>
      </c>
      <c r="I446" t="str">
        <f>VLOOKUP(F446,'Customers (2)'!A:I,4,0)</f>
        <v>+353 (959) 389-1521</v>
      </c>
      <c r="J446" t="str">
        <f>VLOOKUP(F446,'Customers (2)'!A:I,6,0)</f>
        <v>Monasterevin</v>
      </c>
      <c r="K446" t="str">
        <f>VLOOKUP(F446,'Customers (2)'!A:I,7,0)</f>
        <v>Ireland</v>
      </c>
      <c r="L446" t="str">
        <f>VLOOKUP(F446,'Customers (2)'!A:I,9,0)</f>
        <v>No</v>
      </c>
      <c r="M446" t="str">
        <f>VLOOKUP(N446,'Products (2)'!A:G,2,0)</f>
        <v>Excelsa</v>
      </c>
      <c r="N446" t="s">
        <v>64</v>
      </c>
      <c r="O446" t="str">
        <f>VLOOKUP(N446,'Products (2)'!A:G,3,0)</f>
        <v>Medium</v>
      </c>
      <c r="P446">
        <f>VLOOKUP(N446,'Products (2)'!A:G,7,0)</f>
        <v>0.45374999999999999</v>
      </c>
      <c r="Q446">
        <v>6</v>
      </c>
      <c r="R446">
        <f>INDEX([1]products!$A$1:$G$49,MATCH([1]orders!$D446,[1]products!$A$1:$A$49,0),MATCH([1]orders!K$1,[1]products!$A$1:$G$1,0))</f>
        <v>0.2</v>
      </c>
      <c r="S446">
        <f>INDEX([1]products!$A$1:$G$49,MATCH([1]orders!$D446,[1]products!$A$1:$A$49,0),MATCH([1]orders!L$1,[1]products!$A$1:$G$1,0))</f>
        <v>4.125</v>
      </c>
      <c r="T446">
        <f t="shared" si="37"/>
        <v>24.75</v>
      </c>
      <c r="U446">
        <f t="shared" si="40"/>
        <v>2.7225000000000001</v>
      </c>
      <c r="V446">
        <f t="shared" si="41"/>
        <v>11</v>
      </c>
    </row>
    <row r="447" spans="1:22" x14ac:dyDescent="0.25">
      <c r="A447" t="s">
        <v>887</v>
      </c>
      <c r="B447">
        <v>43784</v>
      </c>
      <c r="C447" t="str">
        <f t="shared" si="38"/>
        <v>15</v>
      </c>
      <c r="D447" t="str">
        <f t="shared" si="36"/>
        <v>November</v>
      </c>
      <c r="E447" t="str">
        <f t="shared" si="39"/>
        <v>2019</v>
      </c>
      <c r="F447" t="s">
        <v>888</v>
      </c>
      <c r="G447" t="str">
        <f>VLOOKUP(F447,'Customers (2)'!A:I,2,0)</f>
        <v>Kizzie Warman</v>
      </c>
      <c r="H447" t="str">
        <f>VLOOKUP(F447,'Customers (2)'!A:I,3,0)</f>
        <v>kwarmancd@printfriendly.com</v>
      </c>
      <c r="I447">
        <f>VLOOKUP(F447,'Customers (2)'!A:I,4,0)</f>
        <v>0</v>
      </c>
      <c r="J447" t="str">
        <f>VLOOKUP(F447,'Customers (2)'!A:I,6,0)</f>
        <v>Sandyford</v>
      </c>
      <c r="K447" t="str">
        <f>VLOOKUP(F447,'Customers (2)'!A:I,7,0)</f>
        <v>Ireland</v>
      </c>
      <c r="L447" t="str">
        <f>VLOOKUP(F447,'Customers (2)'!A:I,9,0)</f>
        <v>Yes</v>
      </c>
      <c r="M447" t="str">
        <f>VLOOKUP(N447,'Products (2)'!A:G,2,0)</f>
        <v>Liberica</v>
      </c>
      <c r="N447" t="s">
        <v>197</v>
      </c>
      <c r="O447" t="str">
        <f>VLOOKUP(N447,'Products (2)'!A:G,3,0)</f>
        <v>Medium</v>
      </c>
      <c r="P447">
        <f>VLOOKUP(N447,'Products (2)'!A:G,7,0)</f>
        <v>4.3504499999999995</v>
      </c>
      <c r="Q447">
        <v>2</v>
      </c>
      <c r="R447">
        <f>INDEX([1]products!$A$1:$G$49,MATCH([1]orders!$D447,[1]products!$A$1:$A$49,0),MATCH([1]orders!K$1,[1]products!$A$1:$G$1,0))</f>
        <v>2.5</v>
      </c>
      <c r="S447">
        <f>INDEX([1]products!$A$1:$G$49,MATCH([1]orders!$D447,[1]products!$A$1:$A$49,0),MATCH([1]orders!L$1,[1]products!$A$1:$G$1,0))</f>
        <v>33.464999999999996</v>
      </c>
      <c r="T447">
        <f t="shared" si="37"/>
        <v>66.929999999999993</v>
      </c>
      <c r="U447">
        <f t="shared" si="40"/>
        <v>8.700899999999999</v>
      </c>
      <c r="V447">
        <f t="shared" si="41"/>
        <v>13</v>
      </c>
    </row>
    <row r="448" spans="1:22" x14ac:dyDescent="0.25">
      <c r="A448" t="s">
        <v>889</v>
      </c>
      <c r="B448">
        <v>43816</v>
      </c>
      <c r="C448" t="str">
        <f t="shared" si="38"/>
        <v>17</v>
      </c>
      <c r="D448" t="str">
        <f t="shared" si="36"/>
        <v>December</v>
      </c>
      <c r="E448" t="str">
        <f t="shared" si="39"/>
        <v>2019</v>
      </c>
      <c r="F448" t="s">
        <v>890</v>
      </c>
      <c r="G448" t="str">
        <f>VLOOKUP(F448,'Customers (2)'!A:I,2,0)</f>
        <v>Wain Cholomin</v>
      </c>
      <c r="H448" t="str">
        <f>VLOOKUP(F448,'Customers (2)'!A:I,3,0)</f>
        <v>wcholomince@about.com</v>
      </c>
      <c r="I448" t="str">
        <f>VLOOKUP(F448,'Customers (2)'!A:I,4,0)</f>
        <v>+44 (512) 340-9049</v>
      </c>
      <c r="J448" t="str">
        <f>VLOOKUP(F448,'Customers (2)'!A:I,6,0)</f>
        <v>Birmingham</v>
      </c>
      <c r="K448" t="str">
        <f>VLOOKUP(F448,'Customers (2)'!A:I,7,0)</f>
        <v>United Kingdom</v>
      </c>
      <c r="L448" t="str">
        <f>VLOOKUP(F448,'Customers (2)'!A:I,9,0)</f>
        <v>Yes</v>
      </c>
      <c r="M448" t="str">
        <f>VLOOKUP(N448,'Products (2)'!A:G,2,0)</f>
        <v>Liberica</v>
      </c>
      <c r="N448" t="s">
        <v>78</v>
      </c>
      <c r="O448" t="str">
        <f>VLOOKUP(N448,'Products (2)'!A:G,3,0)</f>
        <v>Medium</v>
      </c>
      <c r="P448">
        <f>VLOOKUP(N448,'Products (2)'!A:G,7,0)</f>
        <v>1.1349</v>
      </c>
      <c r="Q448">
        <v>1</v>
      </c>
      <c r="R448">
        <f>INDEX([1]products!$A$1:$G$49,MATCH([1]orders!$D448,[1]products!$A$1:$A$49,0),MATCH([1]orders!K$1,[1]products!$A$1:$G$1,0))</f>
        <v>0.5</v>
      </c>
      <c r="S448">
        <f>INDEX([1]products!$A$1:$G$49,MATCH([1]orders!$D448,[1]products!$A$1:$A$49,0),MATCH([1]orders!L$1,[1]products!$A$1:$G$1,0))</f>
        <v>8.73</v>
      </c>
      <c r="T448">
        <f t="shared" si="37"/>
        <v>8.73</v>
      </c>
      <c r="U448">
        <f t="shared" si="40"/>
        <v>1.1349</v>
      </c>
      <c r="V448">
        <f t="shared" si="41"/>
        <v>13</v>
      </c>
    </row>
    <row r="449" spans="1:22" x14ac:dyDescent="0.25">
      <c r="A449" t="s">
        <v>891</v>
      </c>
      <c r="B449">
        <v>43908</v>
      </c>
      <c r="C449" t="str">
        <f t="shared" si="38"/>
        <v>18</v>
      </c>
      <c r="D449" t="str">
        <f t="shared" si="36"/>
        <v>March</v>
      </c>
      <c r="E449" t="str">
        <f t="shared" si="39"/>
        <v>2020</v>
      </c>
      <c r="F449" t="s">
        <v>892</v>
      </c>
      <c r="G449" t="str">
        <f>VLOOKUP(F449,'Customers (2)'!A:I,2,0)</f>
        <v>Arleen Braidman</v>
      </c>
      <c r="H449" t="str">
        <f>VLOOKUP(F449,'Customers (2)'!A:I,3,0)</f>
        <v>abraidmancf@census.gov</v>
      </c>
      <c r="I449">
        <f>VLOOKUP(F449,'Customers (2)'!A:I,4,0)</f>
        <v>0</v>
      </c>
      <c r="J449" t="str">
        <f>VLOOKUP(F449,'Customers (2)'!A:I,6,0)</f>
        <v>Phoenix</v>
      </c>
      <c r="K449" t="str">
        <f>VLOOKUP(F449,'Customers (2)'!A:I,7,0)</f>
        <v>United States</v>
      </c>
      <c r="L449" t="str">
        <f>VLOOKUP(F449,'Customers (2)'!A:I,9,0)</f>
        <v>No</v>
      </c>
      <c r="M449" t="str">
        <f>VLOOKUP(N449,'Products (2)'!A:G,2,0)</f>
        <v>Robusta</v>
      </c>
      <c r="N449" t="s">
        <v>22</v>
      </c>
      <c r="O449" t="str">
        <f>VLOOKUP(N449,'Products (2)'!A:G,3,0)</f>
        <v>Medium</v>
      </c>
      <c r="P449">
        <f>VLOOKUP(N449,'Products (2)'!A:G,7,0)</f>
        <v>0.35819999999999996</v>
      </c>
      <c r="Q449">
        <v>3</v>
      </c>
      <c r="R449">
        <f>INDEX([1]products!$A$1:$G$49,MATCH([1]orders!$D449,[1]products!$A$1:$A$49,0),MATCH([1]orders!K$1,[1]products!$A$1:$G$1,0))</f>
        <v>0.5</v>
      </c>
      <c r="S449">
        <f>INDEX([1]products!$A$1:$G$49,MATCH([1]orders!$D449,[1]products!$A$1:$A$49,0),MATCH([1]orders!L$1,[1]products!$A$1:$G$1,0))</f>
        <v>5.97</v>
      </c>
      <c r="T449">
        <f t="shared" si="37"/>
        <v>17.91</v>
      </c>
      <c r="U449">
        <f t="shared" si="40"/>
        <v>1.0745999999999998</v>
      </c>
      <c r="V449">
        <f t="shared" si="41"/>
        <v>5.9999999999999982</v>
      </c>
    </row>
    <row r="450" spans="1:22" x14ac:dyDescent="0.25">
      <c r="A450" t="s">
        <v>893</v>
      </c>
      <c r="B450">
        <v>44718</v>
      </c>
      <c r="C450" t="str">
        <f t="shared" si="38"/>
        <v>06</v>
      </c>
      <c r="D450" t="str">
        <f t="shared" ref="D450:D513" si="42">TEXT(B:B,"MMMM")</f>
        <v>June</v>
      </c>
      <c r="E450" t="str">
        <f t="shared" si="39"/>
        <v>2022</v>
      </c>
      <c r="F450" t="s">
        <v>894</v>
      </c>
      <c r="G450" t="str">
        <f>VLOOKUP(F450,'Customers (2)'!A:I,2,0)</f>
        <v>Pru Durban</v>
      </c>
      <c r="H450" t="str">
        <f>VLOOKUP(F450,'Customers (2)'!A:I,3,0)</f>
        <v>pdurbancg@symantec.com</v>
      </c>
      <c r="I450" t="str">
        <f>VLOOKUP(F450,'Customers (2)'!A:I,4,0)</f>
        <v>+353 (709) 884-1892</v>
      </c>
      <c r="J450" t="str">
        <f>VLOOKUP(F450,'Customers (2)'!A:I,6,0)</f>
        <v>Longford</v>
      </c>
      <c r="K450" t="str">
        <f>VLOOKUP(F450,'Customers (2)'!A:I,7,0)</f>
        <v>Ireland</v>
      </c>
      <c r="L450" t="str">
        <f>VLOOKUP(F450,'Customers (2)'!A:I,9,0)</f>
        <v>No</v>
      </c>
      <c r="M450" t="str">
        <f>VLOOKUP(N450,'Products (2)'!A:G,2,0)</f>
        <v>Robusta</v>
      </c>
      <c r="N450" t="s">
        <v>157</v>
      </c>
      <c r="O450" t="str">
        <f>VLOOKUP(N450,'Products (2)'!A:G,3,0)</f>
        <v>Light</v>
      </c>
      <c r="P450">
        <f>VLOOKUP(N450,'Products (2)'!A:G,7,0)</f>
        <v>0.43019999999999992</v>
      </c>
      <c r="Q450">
        <v>1</v>
      </c>
      <c r="R450">
        <f>INDEX([1]products!$A$1:$G$49,MATCH([1]orders!$D450,[1]products!$A$1:$A$49,0),MATCH([1]orders!K$1,[1]products!$A$1:$G$1,0))</f>
        <v>0.5</v>
      </c>
      <c r="S450">
        <f>INDEX([1]products!$A$1:$G$49,MATCH([1]orders!$D450,[1]products!$A$1:$A$49,0),MATCH([1]orders!L$1,[1]products!$A$1:$G$1,0))</f>
        <v>7.169999999999999</v>
      </c>
      <c r="T450">
        <f t="shared" ref="T450:T513" si="43">Q450*S450</f>
        <v>7.169999999999999</v>
      </c>
      <c r="U450">
        <f t="shared" si="40"/>
        <v>0.43019999999999992</v>
      </c>
      <c r="V450">
        <f t="shared" si="41"/>
        <v>6</v>
      </c>
    </row>
    <row r="451" spans="1:22" x14ac:dyDescent="0.25">
      <c r="A451" t="s">
        <v>895</v>
      </c>
      <c r="B451">
        <v>44336</v>
      </c>
      <c r="C451" t="str">
        <f t="shared" ref="C451:C514" si="44">TEXT(B:B,"DD")</f>
        <v>20</v>
      </c>
      <c r="D451" t="str">
        <f t="shared" si="42"/>
        <v>May</v>
      </c>
      <c r="E451" t="str">
        <f t="shared" ref="E451:E514" si="45">TEXT(B:B,"yyyy")</f>
        <v>2021</v>
      </c>
      <c r="F451" t="s">
        <v>896</v>
      </c>
      <c r="G451" t="str">
        <f>VLOOKUP(F451,'Customers (2)'!A:I,2,0)</f>
        <v>Antone Harrold</v>
      </c>
      <c r="H451" t="str">
        <f>VLOOKUP(F451,'Customers (2)'!A:I,3,0)</f>
        <v>aharroldch@miibeian.gov.cn</v>
      </c>
      <c r="I451" t="str">
        <f>VLOOKUP(F451,'Customers (2)'!A:I,4,0)</f>
        <v>+1 (419) 153-2104</v>
      </c>
      <c r="J451" t="str">
        <f>VLOOKUP(F451,'Customers (2)'!A:I,6,0)</f>
        <v>Toledo</v>
      </c>
      <c r="K451" t="str">
        <f>VLOOKUP(F451,'Customers (2)'!A:I,7,0)</f>
        <v>United States</v>
      </c>
      <c r="L451" t="str">
        <f>VLOOKUP(F451,'Customers (2)'!A:I,9,0)</f>
        <v>No</v>
      </c>
      <c r="M451" t="str">
        <f>VLOOKUP(N451,'Products (2)'!A:G,2,0)</f>
        <v>Robusta</v>
      </c>
      <c r="N451" t="s">
        <v>101</v>
      </c>
      <c r="O451" t="str">
        <f>VLOOKUP(N451,'Products (2)'!A:G,3,0)</f>
        <v>Dark</v>
      </c>
      <c r="P451">
        <f>VLOOKUP(N451,'Products (2)'!A:G,7,0)</f>
        <v>0.16109999999999997</v>
      </c>
      <c r="Q451">
        <v>2</v>
      </c>
      <c r="R451">
        <f>INDEX([1]products!$A$1:$G$49,MATCH([1]orders!$D451,[1]products!$A$1:$A$49,0),MATCH([1]orders!K$1,[1]products!$A$1:$G$1,0))</f>
        <v>0.2</v>
      </c>
      <c r="S451">
        <f>INDEX([1]products!$A$1:$G$49,MATCH([1]orders!$D451,[1]products!$A$1:$A$49,0),MATCH([1]orders!L$1,[1]products!$A$1:$G$1,0))</f>
        <v>2.6849999999999996</v>
      </c>
      <c r="T451">
        <f t="shared" si="43"/>
        <v>5.3699999999999992</v>
      </c>
      <c r="U451">
        <f t="shared" ref="U451:U514" si="46">Q451*P451</f>
        <v>0.32219999999999993</v>
      </c>
      <c r="V451">
        <f t="shared" ref="V451:V514" si="47">U451/T451*100</f>
        <v>6</v>
      </c>
    </row>
    <row r="452" spans="1:22" x14ac:dyDescent="0.25">
      <c r="A452" t="s">
        <v>897</v>
      </c>
      <c r="B452">
        <v>44207</v>
      </c>
      <c r="C452" t="str">
        <f t="shared" si="44"/>
        <v>11</v>
      </c>
      <c r="D452" t="str">
        <f t="shared" si="42"/>
        <v>January</v>
      </c>
      <c r="E452" t="str">
        <f t="shared" si="45"/>
        <v>2021</v>
      </c>
      <c r="F452" t="s">
        <v>898</v>
      </c>
      <c r="G452" t="str">
        <f>VLOOKUP(F452,'Customers (2)'!A:I,2,0)</f>
        <v>Sim Pamphilon</v>
      </c>
      <c r="H452" t="str">
        <f>VLOOKUP(F452,'Customers (2)'!A:I,3,0)</f>
        <v>spamphilonci@mlb.com</v>
      </c>
      <c r="I452" t="str">
        <f>VLOOKUP(F452,'Customers (2)'!A:I,4,0)</f>
        <v>+353 (456) 630-8490</v>
      </c>
      <c r="J452" t="str">
        <f>VLOOKUP(F452,'Customers (2)'!A:I,6,0)</f>
        <v>Ballylinan</v>
      </c>
      <c r="K452" t="str">
        <f>VLOOKUP(F452,'Customers (2)'!A:I,7,0)</f>
        <v>Ireland</v>
      </c>
      <c r="L452" t="str">
        <f>VLOOKUP(F452,'Customers (2)'!A:I,9,0)</f>
        <v>No</v>
      </c>
      <c r="M452" t="str">
        <f>VLOOKUP(N452,'Products (2)'!A:G,2,0)</f>
        <v>Liberica</v>
      </c>
      <c r="N452" t="s">
        <v>19</v>
      </c>
      <c r="O452" t="str">
        <f>VLOOKUP(N452,'Products (2)'!A:G,3,0)</f>
        <v>Light</v>
      </c>
      <c r="P452">
        <f>VLOOKUP(N452,'Products (2)'!A:G,7,0)</f>
        <v>0.61814999999999998</v>
      </c>
      <c r="Q452">
        <v>5</v>
      </c>
      <c r="R452">
        <f>INDEX([1]products!$A$1:$G$49,MATCH([1]orders!$D452,[1]products!$A$1:$A$49,0),MATCH([1]orders!K$1,[1]products!$A$1:$G$1,0))</f>
        <v>0.2</v>
      </c>
      <c r="S452">
        <f>INDEX([1]products!$A$1:$G$49,MATCH([1]orders!$D452,[1]products!$A$1:$A$49,0),MATCH([1]orders!L$1,[1]products!$A$1:$G$1,0))</f>
        <v>4.7549999999999999</v>
      </c>
      <c r="T452">
        <f t="shared" si="43"/>
        <v>23.774999999999999</v>
      </c>
      <c r="U452">
        <f t="shared" si="46"/>
        <v>3.0907499999999999</v>
      </c>
      <c r="V452">
        <f t="shared" si="47"/>
        <v>13</v>
      </c>
    </row>
    <row r="453" spans="1:22" x14ac:dyDescent="0.25">
      <c r="A453" t="s">
        <v>899</v>
      </c>
      <c r="B453">
        <v>43518</v>
      </c>
      <c r="C453" t="str">
        <f t="shared" si="44"/>
        <v>22</v>
      </c>
      <c r="D453" t="str">
        <f t="shared" si="42"/>
        <v>February</v>
      </c>
      <c r="E453" t="str">
        <f t="shared" si="45"/>
        <v>2019</v>
      </c>
      <c r="F453" t="s">
        <v>900</v>
      </c>
      <c r="G453" t="str">
        <f>VLOOKUP(F453,'Customers (2)'!A:I,2,0)</f>
        <v>Mohandis Spurden</v>
      </c>
      <c r="H453" t="str">
        <f>VLOOKUP(F453,'Customers (2)'!A:I,3,0)</f>
        <v>mspurdencj@exblog.jp</v>
      </c>
      <c r="I453" t="str">
        <f>VLOOKUP(F453,'Customers (2)'!A:I,4,0)</f>
        <v>+1 (704) 256-1371</v>
      </c>
      <c r="J453" t="str">
        <f>VLOOKUP(F453,'Customers (2)'!A:I,6,0)</f>
        <v>Charlotte</v>
      </c>
      <c r="K453" t="str">
        <f>VLOOKUP(F453,'Customers (2)'!A:I,7,0)</f>
        <v>United States</v>
      </c>
      <c r="L453" t="str">
        <f>VLOOKUP(F453,'Customers (2)'!A:I,9,0)</f>
        <v>Yes</v>
      </c>
      <c r="M453" t="str">
        <f>VLOOKUP(N453,'Products (2)'!A:G,2,0)</f>
        <v>Robusta</v>
      </c>
      <c r="N453" t="s">
        <v>35</v>
      </c>
      <c r="O453" t="str">
        <f>VLOOKUP(N453,'Products (2)'!A:G,3,0)</f>
        <v>Dark</v>
      </c>
      <c r="P453">
        <f>VLOOKUP(N453,'Products (2)'!A:G,7,0)</f>
        <v>1.2350999999999999</v>
      </c>
      <c r="Q453">
        <v>2</v>
      </c>
      <c r="R453">
        <f>INDEX([1]products!$A$1:$G$49,MATCH([1]orders!$D453,[1]products!$A$1:$A$49,0),MATCH([1]orders!K$1,[1]products!$A$1:$G$1,0))</f>
        <v>2.5</v>
      </c>
      <c r="S453">
        <f>INDEX([1]products!$A$1:$G$49,MATCH([1]orders!$D453,[1]products!$A$1:$A$49,0),MATCH([1]orders!L$1,[1]products!$A$1:$G$1,0))</f>
        <v>20.584999999999997</v>
      </c>
      <c r="T453">
        <f t="shared" si="43"/>
        <v>41.169999999999995</v>
      </c>
      <c r="U453">
        <f t="shared" si="46"/>
        <v>2.4701999999999997</v>
      </c>
      <c r="V453">
        <f t="shared" si="47"/>
        <v>6.0000000000000009</v>
      </c>
    </row>
    <row r="454" spans="1:22" x14ac:dyDescent="0.25">
      <c r="A454" t="s">
        <v>901</v>
      </c>
      <c r="B454">
        <v>44524</v>
      </c>
      <c r="C454" t="str">
        <f t="shared" si="44"/>
        <v>24</v>
      </c>
      <c r="D454" t="str">
        <f t="shared" si="42"/>
        <v>November</v>
      </c>
      <c r="E454" t="str">
        <f t="shared" si="45"/>
        <v>2021</v>
      </c>
      <c r="F454" t="s">
        <v>874</v>
      </c>
      <c r="G454" t="str">
        <f>VLOOKUP(F454,'Customers (2)'!A:I,2,0)</f>
        <v>Morgen Seson</v>
      </c>
      <c r="H454" t="str">
        <f>VLOOKUP(F454,'Customers (2)'!A:I,3,0)</f>
        <v>msesonck@census.gov</v>
      </c>
      <c r="I454" t="str">
        <f>VLOOKUP(F454,'Customers (2)'!A:I,4,0)</f>
        <v>+1 (206) 642-0902</v>
      </c>
      <c r="J454" t="str">
        <f>VLOOKUP(F454,'Customers (2)'!A:I,6,0)</f>
        <v>Seattle</v>
      </c>
      <c r="K454" t="str">
        <f>VLOOKUP(F454,'Customers (2)'!A:I,7,0)</f>
        <v>United States</v>
      </c>
      <c r="L454" t="str">
        <f>VLOOKUP(F454,'Customers (2)'!A:I,9,0)</f>
        <v>No</v>
      </c>
      <c r="M454" t="str">
        <f>VLOOKUP(N454,'Products (2)'!A:G,2,0)</f>
        <v>Arabica</v>
      </c>
      <c r="N454" t="s">
        <v>115</v>
      </c>
      <c r="O454" t="str">
        <f>VLOOKUP(N454,'Products (2)'!A:G,3,0)</f>
        <v>Light</v>
      </c>
      <c r="P454">
        <f>VLOOKUP(N454,'Products (2)'!A:G,7,0)</f>
        <v>0.34964999999999996</v>
      </c>
      <c r="Q454">
        <v>3</v>
      </c>
      <c r="R454">
        <f>INDEX([1]products!$A$1:$G$49,MATCH([1]orders!$D454,[1]products!$A$1:$A$49,0),MATCH([1]orders!K$1,[1]products!$A$1:$G$1,0))</f>
        <v>0.2</v>
      </c>
      <c r="S454">
        <f>INDEX([1]products!$A$1:$G$49,MATCH([1]orders!$D454,[1]products!$A$1:$A$49,0),MATCH([1]orders!L$1,[1]products!$A$1:$G$1,0))</f>
        <v>3.8849999999999998</v>
      </c>
      <c r="T454">
        <f t="shared" si="43"/>
        <v>11.654999999999999</v>
      </c>
      <c r="U454">
        <f t="shared" si="46"/>
        <v>1.0489499999999998</v>
      </c>
      <c r="V454">
        <f t="shared" si="47"/>
        <v>9</v>
      </c>
    </row>
    <row r="455" spans="1:22" x14ac:dyDescent="0.25">
      <c r="A455" t="s">
        <v>902</v>
      </c>
      <c r="B455">
        <v>44579</v>
      </c>
      <c r="C455" t="str">
        <f t="shared" si="44"/>
        <v>18</v>
      </c>
      <c r="D455" t="str">
        <f t="shared" si="42"/>
        <v>January</v>
      </c>
      <c r="E455" t="str">
        <f t="shared" si="45"/>
        <v>2022</v>
      </c>
      <c r="F455" t="s">
        <v>903</v>
      </c>
      <c r="G455" t="str">
        <f>VLOOKUP(F455,'Customers (2)'!A:I,2,0)</f>
        <v>Nalani Pirrone</v>
      </c>
      <c r="H455" t="str">
        <f>VLOOKUP(F455,'Customers (2)'!A:I,3,0)</f>
        <v>npirronecl@weibo.com</v>
      </c>
      <c r="I455" t="str">
        <f>VLOOKUP(F455,'Customers (2)'!A:I,4,0)</f>
        <v>+1 (570) 223-3194</v>
      </c>
      <c r="J455" t="str">
        <f>VLOOKUP(F455,'Customers (2)'!A:I,6,0)</f>
        <v>Wilkes Barre</v>
      </c>
      <c r="K455" t="str">
        <f>VLOOKUP(F455,'Customers (2)'!A:I,7,0)</f>
        <v>United States</v>
      </c>
      <c r="L455" t="str">
        <f>VLOOKUP(F455,'Customers (2)'!A:I,9,0)</f>
        <v>No</v>
      </c>
      <c r="M455" t="str">
        <f>VLOOKUP(N455,'Products (2)'!A:G,2,0)</f>
        <v>Liberica</v>
      </c>
      <c r="N455" t="s">
        <v>83</v>
      </c>
      <c r="O455" t="str">
        <f>VLOOKUP(N455,'Products (2)'!A:G,3,0)</f>
        <v>Light</v>
      </c>
      <c r="P455">
        <f>VLOOKUP(N455,'Products (2)'!A:G,7,0)</f>
        <v>1.2363</v>
      </c>
      <c r="Q455">
        <v>4</v>
      </c>
      <c r="R455">
        <f>INDEX([1]products!$A$1:$G$49,MATCH([1]orders!$D455,[1]products!$A$1:$A$49,0),MATCH([1]orders!K$1,[1]products!$A$1:$G$1,0))</f>
        <v>0.5</v>
      </c>
      <c r="S455">
        <f>INDEX([1]products!$A$1:$G$49,MATCH([1]orders!$D455,[1]products!$A$1:$A$49,0),MATCH([1]orders!L$1,[1]products!$A$1:$G$1,0))</f>
        <v>9.51</v>
      </c>
      <c r="T455">
        <f t="shared" si="43"/>
        <v>38.04</v>
      </c>
      <c r="U455">
        <f t="shared" si="46"/>
        <v>4.9451999999999998</v>
      </c>
      <c r="V455">
        <f t="shared" si="47"/>
        <v>13</v>
      </c>
    </row>
    <row r="456" spans="1:22" x14ac:dyDescent="0.25">
      <c r="A456" t="s">
        <v>904</v>
      </c>
      <c r="B456">
        <v>44421</v>
      </c>
      <c r="C456" t="str">
        <f t="shared" si="44"/>
        <v>13</v>
      </c>
      <c r="D456" t="str">
        <f t="shared" si="42"/>
        <v>August</v>
      </c>
      <c r="E456" t="str">
        <f t="shared" si="45"/>
        <v>2021</v>
      </c>
      <c r="F456" t="s">
        <v>905</v>
      </c>
      <c r="G456" t="str">
        <f>VLOOKUP(F456,'Customers (2)'!A:I,2,0)</f>
        <v>Reube Cawley</v>
      </c>
      <c r="H456" t="str">
        <f>VLOOKUP(F456,'Customers (2)'!A:I,3,0)</f>
        <v>rcawleycm@yellowbook.com</v>
      </c>
      <c r="I456">
        <f>VLOOKUP(F456,'Customers (2)'!A:I,4,0)</f>
        <v>0</v>
      </c>
      <c r="J456" t="str">
        <f>VLOOKUP(F456,'Customers (2)'!A:I,6,0)</f>
        <v>Ballyboden</v>
      </c>
      <c r="K456" t="str">
        <f>VLOOKUP(F456,'Customers (2)'!A:I,7,0)</f>
        <v>Ireland</v>
      </c>
      <c r="L456" t="str">
        <f>VLOOKUP(F456,'Customers (2)'!A:I,9,0)</f>
        <v>Yes</v>
      </c>
      <c r="M456" t="str">
        <f>VLOOKUP(N456,'Products (2)'!A:G,2,0)</f>
        <v>Robusta</v>
      </c>
      <c r="N456" t="s">
        <v>35</v>
      </c>
      <c r="O456" t="str">
        <f>VLOOKUP(N456,'Products (2)'!A:G,3,0)</f>
        <v>Dark</v>
      </c>
      <c r="P456">
        <f>VLOOKUP(N456,'Products (2)'!A:G,7,0)</f>
        <v>1.2350999999999999</v>
      </c>
      <c r="Q456">
        <v>4</v>
      </c>
      <c r="R456">
        <f>INDEX([1]products!$A$1:$G$49,MATCH([1]orders!$D456,[1]products!$A$1:$A$49,0),MATCH([1]orders!K$1,[1]products!$A$1:$G$1,0))</f>
        <v>2.5</v>
      </c>
      <c r="S456">
        <f>INDEX([1]products!$A$1:$G$49,MATCH([1]orders!$D456,[1]products!$A$1:$A$49,0),MATCH([1]orders!L$1,[1]products!$A$1:$G$1,0))</f>
        <v>20.584999999999997</v>
      </c>
      <c r="T456">
        <f t="shared" si="43"/>
        <v>82.339999999999989</v>
      </c>
      <c r="U456">
        <f t="shared" si="46"/>
        <v>4.9403999999999995</v>
      </c>
      <c r="V456">
        <f t="shared" si="47"/>
        <v>6.0000000000000009</v>
      </c>
    </row>
    <row r="457" spans="1:22" x14ac:dyDescent="0.25">
      <c r="A457" t="s">
        <v>906</v>
      </c>
      <c r="B457">
        <v>43841</v>
      </c>
      <c r="C457" t="str">
        <f t="shared" si="44"/>
        <v>11</v>
      </c>
      <c r="D457" t="str">
        <f t="shared" si="42"/>
        <v>January</v>
      </c>
      <c r="E457" t="str">
        <f t="shared" si="45"/>
        <v>2020</v>
      </c>
      <c r="F457" t="s">
        <v>907</v>
      </c>
      <c r="G457" t="str">
        <f>VLOOKUP(F457,'Customers (2)'!A:I,2,0)</f>
        <v>Stan Barribal</v>
      </c>
      <c r="H457" t="str">
        <f>VLOOKUP(F457,'Customers (2)'!A:I,3,0)</f>
        <v>sbarribalcn@microsoft.com</v>
      </c>
      <c r="I457" t="str">
        <f>VLOOKUP(F457,'Customers (2)'!A:I,4,0)</f>
        <v>+353 (310) 256-3698</v>
      </c>
      <c r="J457" t="str">
        <f>VLOOKUP(F457,'Customers (2)'!A:I,6,0)</f>
        <v>Bagenalstown</v>
      </c>
      <c r="K457" t="str">
        <f>VLOOKUP(F457,'Customers (2)'!A:I,7,0)</f>
        <v>Ireland</v>
      </c>
      <c r="L457" t="str">
        <f>VLOOKUP(F457,'Customers (2)'!A:I,9,0)</f>
        <v>Yes</v>
      </c>
      <c r="M457" t="str">
        <f>VLOOKUP(N457,'Products (2)'!A:G,2,0)</f>
        <v>Liberica</v>
      </c>
      <c r="N457" t="s">
        <v>19</v>
      </c>
      <c r="O457" t="str">
        <f>VLOOKUP(N457,'Products (2)'!A:G,3,0)</f>
        <v>Light</v>
      </c>
      <c r="P457">
        <f>VLOOKUP(N457,'Products (2)'!A:G,7,0)</f>
        <v>0.61814999999999998</v>
      </c>
      <c r="Q457">
        <v>2</v>
      </c>
      <c r="R457">
        <f>INDEX([1]products!$A$1:$G$49,MATCH([1]orders!$D457,[1]products!$A$1:$A$49,0),MATCH([1]orders!K$1,[1]products!$A$1:$G$1,0))</f>
        <v>0.2</v>
      </c>
      <c r="S457">
        <f>INDEX([1]products!$A$1:$G$49,MATCH([1]orders!$D457,[1]products!$A$1:$A$49,0),MATCH([1]orders!L$1,[1]products!$A$1:$G$1,0))</f>
        <v>4.7549999999999999</v>
      </c>
      <c r="T457">
        <f t="shared" si="43"/>
        <v>9.51</v>
      </c>
      <c r="U457">
        <f t="shared" si="46"/>
        <v>1.2363</v>
      </c>
      <c r="V457">
        <f t="shared" si="47"/>
        <v>13</v>
      </c>
    </row>
    <row r="458" spans="1:22" x14ac:dyDescent="0.25">
      <c r="A458" t="s">
        <v>908</v>
      </c>
      <c r="B458">
        <v>44017</v>
      </c>
      <c r="C458" t="str">
        <f t="shared" si="44"/>
        <v>05</v>
      </c>
      <c r="D458" t="str">
        <f t="shared" si="42"/>
        <v>July</v>
      </c>
      <c r="E458" t="str">
        <f t="shared" si="45"/>
        <v>2020</v>
      </c>
      <c r="F458" t="s">
        <v>909</v>
      </c>
      <c r="G458" t="str">
        <f>VLOOKUP(F458,'Customers (2)'!A:I,2,0)</f>
        <v>Agnes Adamides</v>
      </c>
      <c r="H458" t="str">
        <f>VLOOKUP(F458,'Customers (2)'!A:I,3,0)</f>
        <v>aadamidesco@bizjournals.com</v>
      </c>
      <c r="I458" t="str">
        <f>VLOOKUP(F458,'Customers (2)'!A:I,4,0)</f>
        <v>+44 (131) 485-2183</v>
      </c>
      <c r="J458" t="str">
        <f>VLOOKUP(F458,'Customers (2)'!A:I,6,0)</f>
        <v>Liverpool</v>
      </c>
      <c r="K458" t="str">
        <f>VLOOKUP(F458,'Customers (2)'!A:I,7,0)</f>
        <v>United Kingdom</v>
      </c>
      <c r="L458" t="str">
        <f>VLOOKUP(F458,'Customers (2)'!A:I,9,0)</f>
        <v>No</v>
      </c>
      <c r="M458" t="str">
        <f>VLOOKUP(N458,'Products (2)'!A:G,2,0)</f>
        <v>Robusta</v>
      </c>
      <c r="N458" t="s">
        <v>35</v>
      </c>
      <c r="O458" t="str">
        <f>VLOOKUP(N458,'Products (2)'!A:G,3,0)</f>
        <v>Dark</v>
      </c>
      <c r="P458">
        <f>VLOOKUP(N458,'Products (2)'!A:G,7,0)</f>
        <v>1.2350999999999999</v>
      </c>
      <c r="Q458">
        <v>2</v>
      </c>
      <c r="R458">
        <f>INDEX([1]products!$A$1:$G$49,MATCH([1]orders!$D458,[1]products!$A$1:$A$49,0),MATCH([1]orders!K$1,[1]products!$A$1:$G$1,0))</f>
        <v>2.5</v>
      </c>
      <c r="S458">
        <f>INDEX([1]products!$A$1:$G$49,MATCH([1]orders!$D458,[1]products!$A$1:$A$49,0),MATCH([1]orders!L$1,[1]products!$A$1:$G$1,0))</f>
        <v>20.584999999999997</v>
      </c>
      <c r="T458">
        <f t="shared" si="43"/>
        <v>41.169999999999995</v>
      </c>
      <c r="U458">
        <f t="shared" si="46"/>
        <v>2.4701999999999997</v>
      </c>
      <c r="V458">
        <f t="shared" si="47"/>
        <v>6.0000000000000009</v>
      </c>
    </row>
    <row r="459" spans="1:22" x14ac:dyDescent="0.25">
      <c r="A459" t="s">
        <v>910</v>
      </c>
      <c r="B459">
        <v>43671</v>
      </c>
      <c r="C459" t="str">
        <f t="shared" si="44"/>
        <v>25</v>
      </c>
      <c r="D459" t="str">
        <f t="shared" si="42"/>
        <v>July</v>
      </c>
      <c r="E459" t="str">
        <f t="shared" si="45"/>
        <v>2019</v>
      </c>
      <c r="F459" t="s">
        <v>911</v>
      </c>
      <c r="G459" t="str">
        <f>VLOOKUP(F459,'Customers (2)'!A:I,2,0)</f>
        <v>Carmelita Thowes</v>
      </c>
      <c r="H459" t="str">
        <f>VLOOKUP(F459,'Customers (2)'!A:I,3,0)</f>
        <v>cthowescp@craigslist.org</v>
      </c>
      <c r="I459" t="str">
        <f>VLOOKUP(F459,'Customers (2)'!A:I,4,0)</f>
        <v>+1 (585) 785-2424</v>
      </c>
      <c r="J459" t="str">
        <f>VLOOKUP(F459,'Customers (2)'!A:I,6,0)</f>
        <v>Rochester</v>
      </c>
      <c r="K459" t="str">
        <f>VLOOKUP(F459,'Customers (2)'!A:I,7,0)</f>
        <v>United States</v>
      </c>
      <c r="L459" t="str">
        <f>VLOOKUP(F459,'Customers (2)'!A:I,9,0)</f>
        <v>No</v>
      </c>
      <c r="M459" t="str">
        <f>VLOOKUP(N459,'Products (2)'!A:G,2,0)</f>
        <v>Liberica</v>
      </c>
      <c r="N459" t="s">
        <v>83</v>
      </c>
      <c r="O459" t="str">
        <f>VLOOKUP(N459,'Products (2)'!A:G,3,0)</f>
        <v>Light</v>
      </c>
      <c r="P459">
        <f>VLOOKUP(N459,'Products (2)'!A:G,7,0)</f>
        <v>1.2363</v>
      </c>
      <c r="Q459">
        <v>5</v>
      </c>
      <c r="R459">
        <f>INDEX([1]products!$A$1:$G$49,MATCH([1]orders!$D459,[1]products!$A$1:$A$49,0),MATCH([1]orders!K$1,[1]products!$A$1:$G$1,0))</f>
        <v>0.5</v>
      </c>
      <c r="S459">
        <f>INDEX([1]products!$A$1:$G$49,MATCH([1]orders!$D459,[1]products!$A$1:$A$49,0),MATCH([1]orders!L$1,[1]products!$A$1:$G$1,0))</f>
        <v>9.51</v>
      </c>
      <c r="T459">
        <f t="shared" si="43"/>
        <v>47.55</v>
      </c>
      <c r="U459">
        <f t="shared" si="46"/>
        <v>6.1814999999999998</v>
      </c>
      <c r="V459">
        <f t="shared" si="47"/>
        <v>13</v>
      </c>
    </row>
    <row r="460" spans="1:22" x14ac:dyDescent="0.25">
      <c r="A460" t="s">
        <v>912</v>
      </c>
      <c r="B460">
        <v>44707</v>
      </c>
      <c r="C460" t="str">
        <f t="shared" si="44"/>
        <v>26</v>
      </c>
      <c r="D460" t="str">
        <f t="shared" si="42"/>
        <v>May</v>
      </c>
      <c r="E460" t="str">
        <f t="shared" si="45"/>
        <v>2022</v>
      </c>
      <c r="F460" t="s">
        <v>913</v>
      </c>
      <c r="G460" t="str">
        <f>VLOOKUP(F460,'Customers (2)'!A:I,2,0)</f>
        <v>Rodolfo Willoway</v>
      </c>
      <c r="H460" t="str">
        <f>VLOOKUP(F460,'Customers (2)'!A:I,3,0)</f>
        <v>rwillowaycq@admin.ch</v>
      </c>
      <c r="I460" t="str">
        <f>VLOOKUP(F460,'Customers (2)'!A:I,4,0)</f>
        <v>+1 (520) 126-8439</v>
      </c>
      <c r="J460" t="str">
        <f>VLOOKUP(F460,'Customers (2)'!A:I,6,0)</f>
        <v>Tucson</v>
      </c>
      <c r="K460" t="str">
        <f>VLOOKUP(F460,'Customers (2)'!A:I,7,0)</f>
        <v>United States</v>
      </c>
      <c r="L460" t="str">
        <f>VLOOKUP(F460,'Customers (2)'!A:I,9,0)</f>
        <v>No</v>
      </c>
      <c r="M460" t="str">
        <f>VLOOKUP(N460,'Products (2)'!A:G,2,0)</f>
        <v>Arabica</v>
      </c>
      <c r="N460" t="s">
        <v>61</v>
      </c>
      <c r="O460" t="str">
        <f>VLOOKUP(N460,'Products (2)'!A:G,3,0)</f>
        <v>Medium</v>
      </c>
      <c r="P460">
        <f>VLOOKUP(N460,'Products (2)'!A:G,7,0)</f>
        <v>1.0125</v>
      </c>
      <c r="Q460">
        <v>4</v>
      </c>
      <c r="R460">
        <f>INDEX([1]products!$A$1:$G$49,MATCH([1]orders!$D460,[1]products!$A$1:$A$49,0),MATCH([1]orders!K$1,[1]products!$A$1:$G$1,0))</f>
        <v>1</v>
      </c>
      <c r="S460">
        <f>INDEX([1]products!$A$1:$G$49,MATCH([1]orders!$D460,[1]products!$A$1:$A$49,0),MATCH([1]orders!L$1,[1]products!$A$1:$G$1,0))</f>
        <v>11.25</v>
      </c>
      <c r="T460">
        <f t="shared" si="43"/>
        <v>45</v>
      </c>
      <c r="U460">
        <f t="shared" si="46"/>
        <v>4.05</v>
      </c>
      <c r="V460">
        <f t="shared" si="47"/>
        <v>9</v>
      </c>
    </row>
    <row r="461" spans="1:22" x14ac:dyDescent="0.25">
      <c r="A461" t="s">
        <v>914</v>
      </c>
      <c r="B461">
        <v>43840</v>
      </c>
      <c r="C461" t="str">
        <f t="shared" si="44"/>
        <v>10</v>
      </c>
      <c r="D461" t="str">
        <f t="shared" si="42"/>
        <v>January</v>
      </c>
      <c r="E461" t="str">
        <f t="shared" si="45"/>
        <v>2020</v>
      </c>
      <c r="F461" t="s">
        <v>915</v>
      </c>
      <c r="G461" t="str">
        <f>VLOOKUP(F461,'Customers (2)'!A:I,2,0)</f>
        <v>Alvis Elwin</v>
      </c>
      <c r="H461" t="str">
        <f>VLOOKUP(F461,'Customers (2)'!A:I,3,0)</f>
        <v>aelwincr@privacy.gov.au</v>
      </c>
      <c r="I461" t="str">
        <f>VLOOKUP(F461,'Customers (2)'!A:I,4,0)</f>
        <v>+1 (612) 244-0885</v>
      </c>
      <c r="J461" t="str">
        <f>VLOOKUP(F461,'Customers (2)'!A:I,6,0)</f>
        <v>Minneapolis</v>
      </c>
      <c r="K461" t="str">
        <f>VLOOKUP(F461,'Customers (2)'!A:I,7,0)</f>
        <v>United States</v>
      </c>
      <c r="L461" t="str">
        <f>VLOOKUP(F461,'Customers (2)'!A:I,9,0)</f>
        <v>No</v>
      </c>
      <c r="M461" t="str">
        <f>VLOOKUP(N461,'Products (2)'!A:G,2,0)</f>
        <v>Liberica</v>
      </c>
      <c r="N461" t="s">
        <v>19</v>
      </c>
      <c r="O461" t="str">
        <f>VLOOKUP(N461,'Products (2)'!A:G,3,0)</f>
        <v>Light</v>
      </c>
      <c r="P461">
        <f>VLOOKUP(N461,'Products (2)'!A:G,7,0)</f>
        <v>0.61814999999999998</v>
      </c>
      <c r="Q461">
        <v>5</v>
      </c>
      <c r="R461">
        <f>INDEX([1]products!$A$1:$G$49,MATCH([1]orders!$D461,[1]products!$A$1:$A$49,0),MATCH([1]orders!K$1,[1]products!$A$1:$G$1,0))</f>
        <v>0.2</v>
      </c>
      <c r="S461">
        <f>INDEX([1]products!$A$1:$G$49,MATCH([1]orders!$D461,[1]products!$A$1:$A$49,0),MATCH([1]orders!L$1,[1]products!$A$1:$G$1,0))</f>
        <v>4.7549999999999999</v>
      </c>
      <c r="T461">
        <f t="shared" si="43"/>
        <v>23.774999999999999</v>
      </c>
      <c r="U461">
        <f t="shared" si="46"/>
        <v>3.0907499999999999</v>
      </c>
      <c r="V461">
        <f t="shared" si="47"/>
        <v>13</v>
      </c>
    </row>
    <row r="462" spans="1:22" x14ac:dyDescent="0.25">
      <c r="A462" t="s">
        <v>916</v>
      </c>
      <c r="B462">
        <v>43602</v>
      </c>
      <c r="C462" t="str">
        <f t="shared" si="44"/>
        <v>17</v>
      </c>
      <c r="D462" t="str">
        <f t="shared" si="42"/>
        <v>May</v>
      </c>
      <c r="E462" t="str">
        <f t="shared" si="45"/>
        <v>2019</v>
      </c>
      <c r="F462" t="s">
        <v>917</v>
      </c>
      <c r="G462" t="str">
        <f>VLOOKUP(F462,'Customers (2)'!A:I,2,0)</f>
        <v>Araldo Bilbrook</v>
      </c>
      <c r="H462" t="str">
        <f>VLOOKUP(F462,'Customers (2)'!A:I,3,0)</f>
        <v>abilbrookcs@booking.com</v>
      </c>
      <c r="I462" t="str">
        <f>VLOOKUP(F462,'Customers (2)'!A:I,4,0)</f>
        <v>+353 (138) 323-3320</v>
      </c>
      <c r="J462" t="str">
        <f>VLOOKUP(F462,'Customers (2)'!A:I,6,0)</f>
        <v>Ashbourne</v>
      </c>
      <c r="K462" t="str">
        <f>VLOOKUP(F462,'Customers (2)'!A:I,7,0)</f>
        <v>Ireland</v>
      </c>
      <c r="L462" t="str">
        <f>VLOOKUP(F462,'Customers (2)'!A:I,9,0)</f>
        <v>Yes</v>
      </c>
      <c r="M462" t="str">
        <f>VLOOKUP(N462,'Products (2)'!A:G,2,0)</f>
        <v>Robusta</v>
      </c>
      <c r="N462" t="s">
        <v>146</v>
      </c>
      <c r="O462" t="str">
        <f>VLOOKUP(N462,'Products (2)'!A:G,3,0)</f>
        <v>Dark</v>
      </c>
      <c r="P462">
        <f>VLOOKUP(N462,'Products (2)'!A:G,7,0)</f>
        <v>0.32219999999999993</v>
      </c>
      <c r="Q462">
        <v>3</v>
      </c>
      <c r="R462">
        <f>INDEX([1]products!$A$1:$G$49,MATCH([1]orders!$D462,[1]products!$A$1:$A$49,0),MATCH([1]orders!K$1,[1]products!$A$1:$G$1,0))</f>
        <v>0.5</v>
      </c>
      <c r="S462">
        <f>INDEX([1]products!$A$1:$G$49,MATCH([1]orders!$D462,[1]products!$A$1:$A$49,0),MATCH([1]orders!L$1,[1]products!$A$1:$G$1,0))</f>
        <v>5.3699999999999992</v>
      </c>
      <c r="T462">
        <f t="shared" si="43"/>
        <v>16.11</v>
      </c>
      <c r="U462">
        <f t="shared" si="46"/>
        <v>0.96659999999999979</v>
      </c>
      <c r="V462">
        <f t="shared" si="47"/>
        <v>5.9999999999999991</v>
      </c>
    </row>
    <row r="463" spans="1:22" x14ac:dyDescent="0.25">
      <c r="A463" t="s">
        <v>918</v>
      </c>
      <c r="B463">
        <v>44036</v>
      </c>
      <c r="C463" t="str">
        <f t="shared" si="44"/>
        <v>24</v>
      </c>
      <c r="D463" t="str">
        <f t="shared" si="42"/>
        <v>July</v>
      </c>
      <c r="E463" t="str">
        <f t="shared" si="45"/>
        <v>2020</v>
      </c>
      <c r="F463" t="s">
        <v>919</v>
      </c>
      <c r="G463" t="str">
        <f>VLOOKUP(F463,'Customers (2)'!A:I,2,0)</f>
        <v>Ransell McKall</v>
      </c>
      <c r="H463" t="str">
        <f>VLOOKUP(F463,'Customers (2)'!A:I,3,0)</f>
        <v>rmckallct@sakura.ne.jp</v>
      </c>
      <c r="I463" t="str">
        <f>VLOOKUP(F463,'Customers (2)'!A:I,4,0)</f>
        <v>+44 (841) 988-2775</v>
      </c>
      <c r="J463" t="str">
        <f>VLOOKUP(F463,'Customers (2)'!A:I,6,0)</f>
        <v>Bristol</v>
      </c>
      <c r="K463" t="str">
        <f>VLOOKUP(F463,'Customers (2)'!A:I,7,0)</f>
        <v>United Kingdom</v>
      </c>
      <c r="L463" t="str">
        <f>VLOOKUP(F463,'Customers (2)'!A:I,9,0)</f>
        <v>Yes</v>
      </c>
      <c r="M463" t="str">
        <f>VLOOKUP(N463,'Products (2)'!A:G,2,0)</f>
        <v>Robusta</v>
      </c>
      <c r="N463" t="s">
        <v>101</v>
      </c>
      <c r="O463" t="str">
        <f>VLOOKUP(N463,'Products (2)'!A:G,3,0)</f>
        <v>Dark</v>
      </c>
      <c r="P463">
        <f>VLOOKUP(N463,'Products (2)'!A:G,7,0)</f>
        <v>0.16109999999999997</v>
      </c>
      <c r="Q463">
        <v>4</v>
      </c>
      <c r="R463">
        <f>INDEX([1]products!$A$1:$G$49,MATCH([1]orders!$D463,[1]products!$A$1:$A$49,0),MATCH([1]orders!K$1,[1]products!$A$1:$G$1,0))</f>
        <v>0.2</v>
      </c>
      <c r="S463">
        <f>INDEX([1]products!$A$1:$G$49,MATCH([1]orders!$D463,[1]products!$A$1:$A$49,0),MATCH([1]orders!L$1,[1]products!$A$1:$G$1,0))</f>
        <v>2.6849999999999996</v>
      </c>
      <c r="T463">
        <f t="shared" si="43"/>
        <v>10.739999999999998</v>
      </c>
      <c r="U463">
        <f t="shared" si="46"/>
        <v>0.64439999999999986</v>
      </c>
      <c r="V463">
        <f t="shared" si="47"/>
        <v>6</v>
      </c>
    </row>
    <row r="464" spans="1:22" x14ac:dyDescent="0.25">
      <c r="A464" t="s">
        <v>920</v>
      </c>
      <c r="B464">
        <v>44124</v>
      </c>
      <c r="C464" t="str">
        <f t="shared" si="44"/>
        <v>20</v>
      </c>
      <c r="D464" t="str">
        <f t="shared" si="42"/>
        <v>October</v>
      </c>
      <c r="E464" t="str">
        <f t="shared" si="45"/>
        <v>2020</v>
      </c>
      <c r="F464" t="s">
        <v>921</v>
      </c>
      <c r="G464" t="str">
        <f>VLOOKUP(F464,'Customers (2)'!A:I,2,0)</f>
        <v>Borg Daile</v>
      </c>
      <c r="H464" t="str">
        <f>VLOOKUP(F464,'Customers (2)'!A:I,3,0)</f>
        <v>bdailecu@vistaprint.com</v>
      </c>
      <c r="I464" t="str">
        <f>VLOOKUP(F464,'Customers (2)'!A:I,4,0)</f>
        <v>+1 (770) 330-7785</v>
      </c>
      <c r="J464" t="str">
        <f>VLOOKUP(F464,'Customers (2)'!A:I,6,0)</f>
        <v>Atlanta</v>
      </c>
      <c r="K464" t="str">
        <f>VLOOKUP(F464,'Customers (2)'!A:I,7,0)</f>
        <v>United States</v>
      </c>
      <c r="L464" t="str">
        <f>VLOOKUP(F464,'Customers (2)'!A:I,9,0)</f>
        <v>Yes</v>
      </c>
      <c r="M464" t="str">
        <f>VLOOKUP(N464,'Products (2)'!A:G,2,0)</f>
        <v>Arabica</v>
      </c>
      <c r="N464" t="s">
        <v>27</v>
      </c>
      <c r="O464" t="str">
        <f>VLOOKUP(N464,'Products (2)'!A:G,3,0)</f>
        <v>Dark</v>
      </c>
      <c r="P464">
        <f>VLOOKUP(N464,'Products (2)'!A:G,7,0)</f>
        <v>0.89549999999999985</v>
      </c>
      <c r="Q464">
        <v>5</v>
      </c>
      <c r="R464">
        <f>INDEX([1]products!$A$1:$G$49,MATCH([1]orders!$D464,[1]products!$A$1:$A$49,0),MATCH([1]orders!K$1,[1]products!$A$1:$G$1,0))</f>
        <v>1</v>
      </c>
      <c r="S464">
        <f>INDEX([1]products!$A$1:$G$49,MATCH([1]orders!$D464,[1]products!$A$1:$A$49,0),MATCH([1]orders!L$1,[1]products!$A$1:$G$1,0))</f>
        <v>9.9499999999999993</v>
      </c>
      <c r="T464">
        <f t="shared" si="43"/>
        <v>49.75</v>
      </c>
      <c r="U464">
        <f t="shared" si="46"/>
        <v>4.4774999999999991</v>
      </c>
      <c r="V464">
        <f t="shared" si="47"/>
        <v>8.9999999999999982</v>
      </c>
    </row>
    <row r="465" spans="1:22" x14ac:dyDescent="0.25">
      <c r="A465" t="s">
        <v>922</v>
      </c>
      <c r="B465">
        <v>43730</v>
      </c>
      <c r="C465" t="str">
        <f t="shared" si="44"/>
        <v>22</v>
      </c>
      <c r="D465" t="str">
        <f t="shared" si="42"/>
        <v>September</v>
      </c>
      <c r="E465" t="str">
        <f t="shared" si="45"/>
        <v>2019</v>
      </c>
      <c r="F465" t="s">
        <v>923</v>
      </c>
      <c r="G465" t="str">
        <f>VLOOKUP(F465,'Customers (2)'!A:I,2,0)</f>
        <v>Adolphe Treherne</v>
      </c>
      <c r="H465" t="str">
        <f>VLOOKUP(F465,'Customers (2)'!A:I,3,0)</f>
        <v>atrehernecv@state.tx.us</v>
      </c>
      <c r="I465" t="str">
        <f>VLOOKUP(F465,'Customers (2)'!A:I,4,0)</f>
        <v>+353 (860) 359-7907</v>
      </c>
      <c r="J465" t="str">
        <f>VLOOKUP(F465,'Customers (2)'!A:I,6,0)</f>
        <v>Farranacoush</v>
      </c>
      <c r="K465" t="str">
        <f>VLOOKUP(F465,'Customers (2)'!A:I,7,0)</f>
        <v>Ireland</v>
      </c>
      <c r="L465" t="str">
        <f>VLOOKUP(F465,'Customers (2)'!A:I,9,0)</f>
        <v>No</v>
      </c>
      <c r="M465" t="str">
        <f>VLOOKUP(N465,'Products (2)'!A:G,2,0)</f>
        <v>Excelsa</v>
      </c>
      <c r="N465" t="s">
        <v>9</v>
      </c>
      <c r="O465" t="str">
        <f>VLOOKUP(N465,'Products (2)'!A:G,3,0)</f>
        <v>Medium</v>
      </c>
      <c r="P465">
        <f>VLOOKUP(N465,'Products (2)'!A:G,7,0)</f>
        <v>1.5125</v>
      </c>
      <c r="Q465">
        <v>2</v>
      </c>
      <c r="R465">
        <f>INDEX([1]products!$A$1:$G$49,MATCH([1]orders!$D465,[1]products!$A$1:$A$49,0),MATCH([1]orders!K$1,[1]products!$A$1:$G$1,0))</f>
        <v>1</v>
      </c>
      <c r="S465">
        <f>INDEX([1]products!$A$1:$G$49,MATCH([1]orders!$D465,[1]products!$A$1:$A$49,0),MATCH([1]orders!L$1,[1]products!$A$1:$G$1,0))</f>
        <v>13.75</v>
      </c>
      <c r="T465">
        <f t="shared" si="43"/>
        <v>27.5</v>
      </c>
      <c r="U465">
        <f t="shared" si="46"/>
        <v>3.0249999999999999</v>
      </c>
      <c r="V465">
        <f t="shared" si="47"/>
        <v>11</v>
      </c>
    </row>
    <row r="466" spans="1:22" x14ac:dyDescent="0.25">
      <c r="A466" t="s">
        <v>924</v>
      </c>
      <c r="B466">
        <v>43989</v>
      </c>
      <c r="C466" t="str">
        <f t="shared" si="44"/>
        <v>07</v>
      </c>
      <c r="D466" t="str">
        <f t="shared" si="42"/>
        <v>June</v>
      </c>
      <c r="E466" t="str">
        <f t="shared" si="45"/>
        <v>2020</v>
      </c>
      <c r="F466" t="s">
        <v>925</v>
      </c>
      <c r="G466" t="str">
        <f>VLOOKUP(F466,'Customers (2)'!A:I,2,0)</f>
        <v>Annetta Brentnall</v>
      </c>
      <c r="H466" t="str">
        <f>VLOOKUP(F466,'Customers (2)'!A:I,3,0)</f>
        <v>abrentnallcw@biglobe.ne.jp</v>
      </c>
      <c r="I466" t="str">
        <f>VLOOKUP(F466,'Customers (2)'!A:I,4,0)</f>
        <v>+44 (373) 897-1797</v>
      </c>
      <c r="J466" t="str">
        <f>VLOOKUP(F466,'Customers (2)'!A:I,6,0)</f>
        <v>East End</v>
      </c>
      <c r="K466" t="str">
        <f>VLOOKUP(F466,'Customers (2)'!A:I,7,0)</f>
        <v>United Kingdom</v>
      </c>
      <c r="L466" t="str">
        <f>VLOOKUP(F466,'Customers (2)'!A:I,9,0)</f>
        <v>No</v>
      </c>
      <c r="M466" t="str">
        <f>VLOOKUP(N466,'Products (2)'!A:G,2,0)</f>
        <v>Liberica</v>
      </c>
      <c r="N466" t="s">
        <v>109</v>
      </c>
      <c r="O466" t="str">
        <f>VLOOKUP(N466,'Products (2)'!A:G,3,0)</f>
        <v>Dark</v>
      </c>
      <c r="P466">
        <f>VLOOKUP(N466,'Products (2)'!A:G,7,0)</f>
        <v>3.8720499999999998</v>
      </c>
      <c r="Q466">
        <v>4</v>
      </c>
      <c r="R466">
        <f>INDEX([1]products!$A$1:$G$49,MATCH([1]orders!$D466,[1]products!$A$1:$A$49,0),MATCH([1]orders!K$1,[1]products!$A$1:$G$1,0))</f>
        <v>2.5</v>
      </c>
      <c r="S466">
        <f>INDEX([1]products!$A$1:$G$49,MATCH([1]orders!$D466,[1]products!$A$1:$A$49,0),MATCH([1]orders!L$1,[1]products!$A$1:$G$1,0))</f>
        <v>29.784999999999997</v>
      </c>
      <c r="T466">
        <f t="shared" si="43"/>
        <v>119.13999999999999</v>
      </c>
      <c r="U466">
        <f t="shared" si="46"/>
        <v>15.488199999999999</v>
      </c>
      <c r="V466">
        <f t="shared" si="47"/>
        <v>13</v>
      </c>
    </row>
    <row r="467" spans="1:22" x14ac:dyDescent="0.25">
      <c r="A467" t="s">
        <v>926</v>
      </c>
      <c r="B467">
        <v>43814</v>
      </c>
      <c r="C467" t="str">
        <f t="shared" si="44"/>
        <v>15</v>
      </c>
      <c r="D467" t="str">
        <f t="shared" si="42"/>
        <v>December</v>
      </c>
      <c r="E467" t="str">
        <f t="shared" si="45"/>
        <v>2019</v>
      </c>
      <c r="F467" t="s">
        <v>927</v>
      </c>
      <c r="G467" t="str">
        <f>VLOOKUP(F467,'Customers (2)'!A:I,2,0)</f>
        <v>Dick Drinkall</v>
      </c>
      <c r="H467" t="str">
        <f>VLOOKUP(F467,'Customers (2)'!A:I,3,0)</f>
        <v>ddrinkallcx@psu.edu</v>
      </c>
      <c r="I467" t="str">
        <f>VLOOKUP(F467,'Customers (2)'!A:I,4,0)</f>
        <v>+1 (865) 407-3871</v>
      </c>
      <c r="J467" t="str">
        <f>VLOOKUP(F467,'Customers (2)'!A:I,6,0)</f>
        <v>Knoxville</v>
      </c>
      <c r="K467" t="str">
        <f>VLOOKUP(F467,'Customers (2)'!A:I,7,0)</f>
        <v>United States</v>
      </c>
      <c r="L467" t="str">
        <f>VLOOKUP(F467,'Customers (2)'!A:I,9,0)</f>
        <v>Yes</v>
      </c>
      <c r="M467" t="str">
        <f>VLOOKUP(N467,'Products (2)'!A:G,2,0)</f>
        <v>Robusta</v>
      </c>
      <c r="N467" t="s">
        <v>35</v>
      </c>
      <c r="O467" t="str">
        <f>VLOOKUP(N467,'Products (2)'!A:G,3,0)</f>
        <v>Dark</v>
      </c>
      <c r="P467">
        <f>VLOOKUP(N467,'Products (2)'!A:G,7,0)</f>
        <v>1.2350999999999999</v>
      </c>
      <c r="Q467">
        <v>1</v>
      </c>
      <c r="R467">
        <f>INDEX([1]products!$A$1:$G$49,MATCH([1]orders!$D467,[1]products!$A$1:$A$49,0),MATCH([1]orders!K$1,[1]products!$A$1:$G$1,0))</f>
        <v>2.5</v>
      </c>
      <c r="S467">
        <f>INDEX([1]products!$A$1:$G$49,MATCH([1]orders!$D467,[1]products!$A$1:$A$49,0),MATCH([1]orders!L$1,[1]products!$A$1:$G$1,0))</f>
        <v>20.584999999999997</v>
      </c>
      <c r="T467">
        <f t="shared" si="43"/>
        <v>20.584999999999997</v>
      </c>
      <c r="U467">
        <f t="shared" si="46"/>
        <v>1.2350999999999999</v>
      </c>
      <c r="V467">
        <f t="shared" si="47"/>
        <v>6.0000000000000009</v>
      </c>
    </row>
    <row r="468" spans="1:22" x14ac:dyDescent="0.25">
      <c r="A468" t="s">
        <v>928</v>
      </c>
      <c r="B468">
        <v>44171</v>
      </c>
      <c r="C468" t="str">
        <f t="shared" si="44"/>
        <v>06</v>
      </c>
      <c r="D468" t="str">
        <f t="shared" si="42"/>
        <v>December</v>
      </c>
      <c r="E468" t="str">
        <f t="shared" si="45"/>
        <v>2020</v>
      </c>
      <c r="F468" t="s">
        <v>929</v>
      </c>
      <c r="G468" t="str">
        <f>VLOOKUP(F468,'Customers (2)'!A:I,2,0)</f>
        <v>Dagny Kornel</v>
      </c>
      <c r="H468" t="str">
        <f>VLOOKUP(F468,'Customers (2)'!A:I,3,0)</f>
        <v>dkornelcy@cyberchimps.com</v>
      </c>
      <c r="I468" t="str">
        <f>VLOOKUP(F468,'Customers (2)'!A:I,4,0)</f>
        <v>+1 (989) 565-9120</v>
      </c>
      <c r="J468" t="str">
        <f>VLOOKUP(F468,'Customers (2)'!A:I,6,0)</f>
        <v>Saginaw</v>
      </c>
      <c r="K468" t="str">
        <f>VLOOKUP(F468,'Customers (2)'!A:I,7,0)</f>
        <v>United States</v>
      </c>
      <c r="L468" t="str">
        <f>VLOOKUP(F468,'Customers (2)'!A:I,9,0)</f>
        <v>Yes</v>
      </c>
      <c r="M468" t="str">
        <f>VLOOKUP(N468,'Products (2)'!A:G,2,0)</f>
        <v>Arabica</v>
      </c>
      <c r="N468" t="s">
        <v>54</v>
      </c>
      <c r="O468" t="str">
        <f>VLOOKUP(N468,'Products (2)'!A:G,3,0)</f>
        <v>Dark</v>
      </c>
      <c r="P468">
        <f>VLOOKUP(N468,'Products (2)'!A:G,7,0)</f>
        <v>0.26865</v>
      </c>
      <c r="Q468">
        <v>3</v>
      </c>
      <c r="R468">
        <f>INDEX([1]products!$A$1:$G$49,MATCH([1]orders!$D468,[1]products!$A$1:$A$49,0),MATCH([1]orders!K$1,[1]products!$A$1:$G$1,0))</f>
        <v>0.2</v>
      </c>
      <c r="S468">
        <f>INDEX([1]products!$A$1:$G$49,MATCH([1]orders!$D468,[1]products!$A$1:$A$49,0),MATCH([1]orders!L$1,[1]products!$A$1:$G$1,0))</f>
        <v>2.9849999999999999</v>
      </c>
      <c r="T468">
        <f t="shared" si="43"/>
        <v>8.9550000000000001</v>
      </c>
      <c r="U468">
        <f t="shared" si="46"/>
        <v>0.80594999999999994</v>
      </c>
      <c r="V468">
        <f t="shared" si="47"/>
        <v>9</v>
      </c>
    </row>
    <row r="469" spans="1:22" x14ac:dyDescent="0.25">
      <c r="A469" t="s">
        <v>930</v>
      </c>
      <c r="B469">
        <v>44536</v>
      </c>
      <c r="C469" t="str">
        <f t="shared" si="44"/>
        <v>06</v>
      </c>
      <c r="D469" t="str">
        <f t="shared" si="42"/>
        <v>December</v>
      </c>
      <c r="E469" t="str">
        <f t="shared" si="45"/>
        <v>2021</v>
      </c>
      <c r="F469" t="s">
        <v>931</v>
      </c>
      <c r="G469" t="str">
        <f>VLOOKUP(F469,'Customers (2)'!A:I,2,0)</f>
        <v>Rhona Lequeux</v>
      </c>
      <c r="H469" t="str">
        <f>VLOOKUP(F469,'Customers (2)'!A:I,3,0)</f>
        <v>rlequeuxcz@newyorker.com</v>
      </c>
      <c r="I469" t="str">
        <f>VLOOKUP(F469,'Customers (2)'!A:I,4,0)</f>
        <v>+1 (904) 161-6088</v>
      </c>
      <c r="J469" t="str">
        <f>VLOOKUP(F469,'Customers (2)'!A:I,6,0)</f>
        <v>Saint Augustine</v>
      </c>
      <c r="K469" t="str">
        <f>VLOOKUP(F469,'Customers (2)'!A:I,7,0)</f>
        <v>United States</v>
      </c>
      <c r="L469" t="str">
        <f>VLOOKUP(F469,'Customers (2)'!A:I,9,0)</f>
        <v>No</v>
      </c>
      <c r="M469" t="str">
        <f>VLOOKUP(N469,'Products (2)'!A:G,2,0)</f>
        <v>Arabica</v>
      </c>
      <c r="N469" t="s">
        <v>72</v>
      </c>
      <c r="O469" t="str">
        <f>VLOOKUP(N469,'Products (2)'!A:G,3,0)</f>
        <v>Dark</v>
      </c>
      <c r="P469">
        <f>VLOOKUP(N469,'Products (2)'!A:G,7,0)</f>
        <v>0.5373</v>
      </c>
      <c r="Q469">
        <v>1</v>
      </c>
      <c r="R469">
        <f>INDEX([1]products!$A$1:$G$49,MATCH([1]orders!$D469,[1]products!$A$1:$A$49,0),MATCH([1]orders!K$1,[1]products!$A$1:$G$1,0))</f>
        <v>0.5</v>
      </c>
      <c r="S469">
        <f>INDEX([1]products!$A$1:$G$49,MATCH([1]orders!$D469,[1]products!$A$1:$A$49,0),MATCH([1]orders!L$1,[1]products!$A$1:$G$1,0))</f>
        <v>5.97</v>
      </c>
      <c r="T469">
        <f t="shared" si="43"/>
        <v>5.97</v>
      </c>
      <c r="U469">
        <f t="shared" si="46"/>
        <v>0.5373</v>
      </c>
      <c r="V469">
        <f t="shared" si="47"/>
        <v>9.0000000000000018</v>
      </c>
    </row>
    <row r="470" spans="1:22" x14ac:dyDescent="0.25">
      <c r="A470" t="s">
        <v>932</v>
      </c>
      <c r="B470">
        <v>44023</v>
      </c>
      <c r="C470" t="str">
        <f t="shared" si="44"/>
        <v>11</v>
      </c>
      <c r="D470" t="str">
        <f t="shared" si="42"/>
        <v>July</v>
      </c>
      <c r="E470" t="str">
        <f t="shared" si="45"/>
        <v>2020</v>
      </c>
      <c r="F470" t="s">
        <v>933</v>
      </c>
      <c r="G470" t="str">
        <f>VLOOKUP(F470,'Customers (2)'!A:I,2,0)</f>
        <v>Julius Mccaull</v>
      </c>
      <c r="H470" t="str">
        <f>VLOOKUP(F470,'Customers (2)'!A:I,3,0)</f>
        <v>jmccaulld0@parallels.com</v>
      </c>
      <c r="I470">
        <f>VLOOKUP(F470,'Customers (2)'!A:I,4,0)</f>
        <v>0</v>
      </c>
      <c r="J470" t="str">
        <f>VLOOKUP(F470,'Customers (2)'!A:I,6,0)</f>
        <v>San Rafael</v>
      </c>
      <c r="K470" t="str">
        <f>VLOOKUP(F470,'Customers (2)'!A:I,7,0)</f>
        <v>United States</v>
      </c>
      <c r="L470" t="str">
        <f>VLOOKUP(F470,'Customers (2)'!A:I,9,0)</f>
        <v>Yes</v>
      </c>
      <c r="M470" t="str">
        <f>VLOOKUP(N470,'Products (2)'!A:G,2,0)</f>
        <v>Excelsa</v>
      </c>
      <c r="N470" t="s">
        <v>9</v>
      </c>
      <c r="O470" t="str">
        <f>VLOOKUP(N470,'Products (2)'!A:G,3,0)</f>
        <v>Medium</v>
      </c>
      <c r="P470">
        <f>VLOOKUP(N470,'Products (2)'!A:G,7,0)</f>
        <v>1.5125</v>
      </c>
      <c r="Q470">
        <v>3</v>
      </c>
      <c r="R470">
        <f>INDEX([1]products!$A$1:$G$49,MATCH([1]orders!$D470,[1]products!$A$1:$A$49,0),MATCH([1]orders!K$1,[1]products!$A$1:$G$1,0))</f>
        <v>1</v>
      </c>
      <c r="S470">
        <f>INDEX([1]products!$A$1:$G$49,MATCH([1]orders!$D470,[1]products!$A$1:$A$49,0),MATCH([1]orders!L$1,[1]products!$A$1:$G$1,0))</f>
        <v>13.75</v>
      </c>
      <c r="T470">
        <f t="shared" si="43"/>
        <v>41.25</v>
      </c>
      <c r="U470">
        <f t="shared" si="46"/>
        <v>4.5374999999999996</v>
      </c>
      <c r="V470">
        <f t="shared" si="47"/>
        <v>10.999999999999998</v>
      </c>
    </row>
    <row r="471" spans="1:22" x14ac:dyDescent="0.25">
      <c r="A471" t="s">
        <v>934</v>
      </c>
      <c r="B471">
        <v>44375</v>
      </c>
      <c r="C471" t="str">
        <f t="shared" si="44"/>
        <v>28</v>
      </c>
      <c r="D471" t="str">
        <f t="shared" si="42"/>
        <v>June</v>
      </c>
      <c r="E471" t="str">
        <f t="shared" si="45"/>
        <v>2021</v>
      </c>
      <c r="F471" t="s">
        <v>935</v>
      </c>
      <c r="G471" t="str">
        <f>VLOOKUP(F471,'Customers (2)'!A:I,2,0)</f>
        <v>Ailey Brash</v>
      </c>
      <c r="H471" t="str">
        <f>VLOOKUP(F471,'Customers (2)'!A:I,3,0)</f>
        <v>abrashda@plala.or.jp</v>
      </c>
      <c r="I471" t="str">
        <f>VLOOKUP(F471,'Customers (2)'!A:I,4,0)</f>
        <v>+1 (917) 544-7136</v>
      </c>
      <c r="J471" t="str">
        <f>VLOOKUP(F471,'Customers (2)'!A:I,6,0)</f>
        <v>Flushing</v>
      </c>
      <c r="K471" t="str">
        <f>VLOOKUP(F471,'Customers (2)'!A:I,7,0)</f>
        <v>United States</v>
      </c>
      <c r="L471" t="str">
        <f>VLOOKUP(F471,'Customers (2)'!A:I,9,0)</f>
        <v>Yes</v>
      </c>
      <c r="M471" t="str">
        <f>VLOOKUP(N471,'Products (2)'!A:G,2,0)</f>
        <v>Excelsa</v>
      </c>
      <c r="N471" t="s">
        <v>254</v>
      </c>
      <c r="O471" t="str">
        <f>VLOOKUP(N471,'Products (2)'!A:G,3,0)</f>
        <v>Light</v>
      </c>
      <c r="P471">
        <f>VLOOKUP(N471,'Products (2)'!A:G,7,0)</f>
        <v>0.49004999999999999</v>
      </c>
      <c r="Q471">
        <v>5</v>
      </c>
      <c r="R471">
        <f>INDEX([1]products!$A$1:$G$49,MATCH([1]orders!$D471,[1]products!$A$1:$A$49,0),MATCH([1]orders!K$1,[1]products!$A$1:$G$1,0))</f>
        <v>0.2</v>
      </c>
      <c r="S471">
        <f>INDEX([1]products!$A$1:$G$49,MATCH([1]orders!$D471,[1]products!$A$1:$A$49,0),MATCH([1]orders!L$1,[1]products!$A$1:$G$1,0))</f>
        <v>4.4550000000000001</v>
      </c>
      <c r="T471">
        <f t="shared" si="43"/>
        <v>22.274999999999999</v>
      </c>
      <c r="U471">
        <f t="shared" si="46"/>
        <v>2.45025</v>
      </c>
      <c r="V471">
        <f t="shared" si="47"/>
        <v>11.000000000000002</v>
      </c>
    </row>
    <row r="472" spans="1:22" x14ac:dyDescent="0.25">
      <c r="A472" t="s">
        <v>936</v>
      </c>
      <c r="B472">
        <v>44656</v>
      </c>
      <c r="C472" t="str">
        <f t="shared" si="44"/>
        <v>05</v>
      </c>
      <c r="D472" t="str">
        <f t="shared" si="42"/>
        <v>April</v>
      </c>
      <c r="E472" t="str">
        <f t="shared" si="45"/>
        <v>2022</v>
      </c>
      <c r="F472" t="s">
        <v>937</v>
      </c>
      <c r="G472" t="str">
        <f>VLOOKUP(F472,'Customers (2)'!A:I,2,0)</f>
        <v>Alberto Hutchinson</v>
      </c>
      <c r="H472" t="str">
        <f>VLOOKUP(F472,'Customers (2)'!A:I,3,0)</f>
        <v>ahutchinsond2@imgur.com</v>
      </c>
      <c r="I472" t="str">
        <f>VLOOKUP(F472,'Customers (2)'!A:I,4,0)</f>
        <v>+1 (404) 775-3251</v>
      </c>
      <c r="J472" t="str">
        <f>VLOOKUP(F472,'Customers (2)'!A:I,6,0)</f>
        <v>Lawrenceville</v>
      </c>
      <c r="K472" t="str">
        <f>VLOOKUP(F472,'Customers (2)'!A:I,7,0)</f>
        <v>United States</v>
      </c>
      <c r="L472" t="str">
        <f>VLOOKUP(F472,'Customers (2)'!A:I,9,0)</f>
        <v>Yes</v>
      </c>
      <c r="M472" t="str">
        <f>VLOOKUP(N472,'Products (2)'!A:G,2,0)</f>
        <v>Arabica</v>
      </c>
      <c r="N472" t="s">
        <v>67</v>
      </c>
      <c r="O472" t="str">
        <f>VLOOKUP(N472,'Products (2)'!A:G,3,0)</f>
        <v>Medium</v>
      </c>
      <c r="P472">
        <f>VLOOKUP(N472,'Products (2)'!A:G,7,0)</f>
        <v>0.60749999999999993</v>
      </c>
      <c r="Q472">
        <v>1</v>
      </c>
      <c r="R472">
        <f>INDEX([1]products!$A$1:$G$49,MATCH([1]orders!$D472,[1]products!$A$1:$A$49,0),MATCH([1]orders!K$1,[1]products!$A$1:$G$1,0))</f>
        <v>0.5</v>
      </c>
      <c r="S472">
        <f>INDEX([1]products!$A$1:$G$49,MATCH([1]orders!$D472,[1]products!$A$1:$A$49,0),MATCH([1]orders!L$1,[1]products!$A$1:$G$1,0))</f>
        <v>6.75</v>
      </c>
      <c r="T472">
        <f t="shared" si="43"/>
        <v>6.75</v>
      </c>
      <c r="U472">
        <f t="shared" si="46"/>
        <v>0.60749999999999993</v>
      </c>
      <c r="V472">
        <f t="shared" si="47"/>
        <v>8.9999999999999982</v>
      </c>
    </row>
    <row r="473" spans="1:22" x14ac:dyDescent="0.25">
      <c r="A473" t="s">
        <v>938</v>
      </c>
      <c r="B473">
        <v>44644</v>
      </c>
      <c r="C473" t="str">
        <f t="shared" si="44"/>
        <v>24</v>
      </c>
      <c r="D473" t="str">
        <f t="shared" si="42"/>
        <v>March</v>
      </c>
      <c r="E473" t="str">
        <f t="shared" si="45"/>
        <v>2022</v>
      </c>
      <c r="F473" t="s">
        <v>939</v>
      </c>
      <c r="G473" t="str">
        <f>VLOOKUP(F473,'Customers (2)'!A:I,2,0)</f>
        <v>Lamond Gheeraert</v>
      </c>
      <c r="H473">
        <f>VLOOKUP(F473,'Customers (2)'!A:I,3,0)</f>
        <v>0</v>
      </c>
      <c r="I473" t="str">
        <f>VLOOKUP(F473,'Customers (2)'!A:I,4,0)</f>
        <v>+1 (785) 654-9564</v>
      </c>
      <c r="J473" t="str">
        <f>VLOOKUP(F473,'Customers (2)'!A:I,6,0)</f>
        <v>Topeka</v>
      </c>
      <c r="K473" t="str">
        <f>VLOOKUP(F473,'Customers (2)'!A:I,7,0)</f>
        <v>United States</v>
      </c>
      <c r="L473" t="str">
        <f>VLOOKUP(F473,'Customers (2)'!A:I,9,0)</f>
        <v>Yes</v>
      </c>
      <c r="M473" t="str">
        <f>VLOOKUP(N473,'Products (2)'!A:G,2,0)</f>
        <v>Liberica</v>
      </c>
      <c r="N473" t="s">
        <v>197</v>
      </c>
      <c r="O473" t="str">
        <f>VLOOKUP(N473,'Products (2)'!A:G,3,0)</f>
        <v>Medium</v>
      </c>
      <c r="P473">
        <f>VLOOKUP(N473,'Products (2)'!A:G,7,0)</f>
        <v>4.3504499999999995</v>
      </c>
      <c r="Q473">
        <v>4</v>
      </c>
      <c r="R473">
        <f>INDEX([1]products!$A$1:$G$49,MATCH([1]orders!$D473,[1]products!$A$1:$A$49,0),MATCH([1]orders!K$1,[1]products!$A$1:$G$1,0))</f>
        <v>2.5</v>
      </c>
      <c r="S473">
        <f>INDEX([1]products!$A$1:$G$49,MATCH([1]orders!$D473,[1]products!$A$1:$A$49,0),MATCH([1]orders!L$1,[1]products!$A$1:$G$1,0))</f>
        <v>33.464999999999996</v>
      </c>
      <c r="T473">
        <f t="shared" si="43"/>
        <v>133.85999999999999</v>
      </c>
      <c r="U473">
        <f t="shared" si="46"/>
        <v>17.401799999999998</v>
      </c>
      <c r="V473">
        <f t="shared" si="47"/>
        <v>13</v>
      </c>
    </row>
    <row r="474" spans="1:22" x14ac:dyDescent="0.25">
      <c r="A474" t="s">
        <v>940</v>
      </c>
      <c r="B474">
        <v>43869</v>
      </c>
      <c r="C474" t="str">
        <f t="shared" si="44"/>
        <v>08</v>
      </c>
      <c r="D474" t="str">
        <f t="shared" si="42"/>
        <v>February</v>
      </c>
      <c r="E474" t="str">
        <f t="shared" si="45"/>
        <v>2020</v>
      </c>
      <c r="F474" t="s">
        <v>941</v>
      </c>
      <c r="G474" t="str">
        <f>VLOOKUP(F474,'Customers (2)'!A:I,2,0)</f>
        <v>Roxine Drivers</v>
      </c>
      <c r="H474" t="str">
        <f>VLOOKUP(F474,'Customers (2)'!A:I,3,0)</f>
        <v>rdriversd4@hexun.com</v>
      </c>
      <c r="I474" t="str">
        <f>VLOOKUP(F474,'Customers (2)'!A:I,4,0)</f>
        <v>+1 (913) 127-4257</v>
      </c>
      <c r="J474" t="str">
        <f>VLOOKUP(F474,'Customers (2)'!A:I,6,0)</f>
        <v>Shawnee Mission</v>
      </c>
      <c r="K474" t="str">
        <f>VLOOKUP(F474,'Customers (2)'!A:I,7,0)</f>
        <v>United States</v>
      </c>
      <c r="L474" t="str">
        <f>VLOOKUP(F474,'Customers (2)'!A:I,9,0)</f>
        <v>No</v>
      </c>
      <c r="M474" t="str">
        <f>VLOOKUP(N474,'Products (2)'!A:G,2,0)</f>
        <v>Arabica</v>
      </c>
      <c r="N474" t="s">
        <v>54</v>
      </c>
      <c r="O474" t="str">
        <f>VLOOKUP(N474,'Products (2)'!A:G,3,0)</f>
        <v>Dark</v>
      </c>
      <c r="P474">
        <f>VLOOKUP(N474,'Products (2)'!A:G,7,0)</f>
        <v>0.26865</v>
      </c>
      <c r="Q474">
        <v>2</v>
      </c>
      <c r="R474">
        <f>INDEX([1]products!$A$1:$G$49,MATCH([1]orders!$D474,[1]products!$A$1:$A$49,0),MATCH([1]orders!K$1,[1]products!$A$1:$G$1,0))</f>
        <v>0.2</v>
      </c>
      <c r="S474">
        <f>INDEX([1]products!$A$1:$G$49,MATCH([1]orders!$D474,[1]products!$A$1:$A$49,0),MATCH([1]orders!L$1,[1]products!$A$1:$G$1,0))</f>
        <v>2.9849999999999999</v>
      </c>
      <c r="T474">
        <f t="shared" si="43"/>
        <v>5.97</v>
      </c>
      <c r="U474">
        <f t="shared" si="46"/>
        <v>0.5373</v>
      </c>
      <c r="V474">
        <f t="shared" si="47"/>
        <v>9.0000000000000018</v>
      </c>
    </row>
    <row r="475" spans="1:22" x14ac:dyDescent="0.25">
      <c r="A475" t="s">
        <v>942</v>
      </c>
      <c r="B475">
        <v>44603</v>
      </c>
      <c r="C475" t="str">
        <f t="shared" si="44"/>
        <v>11</v>
      </c>
      <c r="D475" t="str">
        <f t="shared" si="42"/>
        <v>February</v>
      </c>
      <c r="E475" t="str">
        <f t="shared" si="45"/>
        <v>2022</v>
      </c>
      <c r="F475" t="s">
        <v>943</v>
      </c>
      <c r="G475" t="str">
        <f>VLOOKUP(F475,'Customers (2)'!A:I,2,0)</f>
        <v>Heloise Zeal</v>
      </c>
      <c r="H475" t="str">
        <f>VLOOKUP(F475,'Customers (2)'!A:I,3,0)</f>
        <v>hzeald5@google.de</v>
      </c>
      <c r="I475" t="str">
        <f>VLOOKUP(F475,'Customers (2)'!A:I,4,0)</f>
        <v>+1 (206) 775-4468</v>
      </c>
      <c r="J475" t="str">
        <f>VLOOKUP(F475,'Customers (2)'!A:I,6,0)</f>
        <v>Seattle</v>
      </c>
      <c r="K475" t="str">
        <f>VLOOKUP(F475,'Customers (2)'!A:I,7,0)</f>
        <v>United States</v>
      </c>
      <c r="L475" t="str">
        <f>VLOOKUP(F475,'Customers (2)'!A:I,9,0)</f>
        <v>No</v>
      </c>
      <c r="M475" t="str">
        <f>VLOOKUP(N475,'Products (2)'!A:G,2,0)</f>
        <v>Arabica</v>
      </c>
      <c r="N475" t="s">
        <v>6</v>
      </c>
      <c r="O475" t="str">
        <f>VLOOKUP(N475,'Products (2)'!A:G,3,0)</f>
        <v>Light</v>
      </c>
      <c r="P475">
        <f>VLOOKUP(N475,'Products (2)'!A:G,7,0)</f>
        <v>1.1655</v>
      </c>
      <c r="Q475">
        <v>2</v>
      </c>
      <c r="R475">
        <f>INDEX([1]products!$A$1:$G$49,MATCH([1]orders!$D475,[1]products!$A$1:$A$49,0),MATCH([1]orders!K$1,[1]products!$A$1:$G$1,0))</f>
        <v>1</v>
      </c>
      <c r="S475">
        <f>INDEX([1]products!$A$1:$G$49,MATCH([1]orders!$D475,[1]products!$A$1:$A$49,0),MATCH([1]orders!L$1,[1]products!$A$1:$G$1,0))</f>
        <v>12.95</v>
      </c>
      <c r="T475">
        <f t="shared" si="43"/>
        <v>25.9</v>
      </c>
      <c r="U475">
        <f t="shared" si="46"/>
        <v>2.331</v>
      </c>
      <c r="V475">
        <f t="shared" si="47"/>
        <v>9</v>
      </c>
    </row>
    <row r="476" spans="1:22" x14ac:dyDescent="0.25">
      <c r="A476" t="s">
        <v>944</v>
      </c>
      <c r="B476">
        <v>44014</v>
      </c>
      <c r="C476" t="str">
        <f t="shared" si="44"/>
        <v>02</v>
      </c>
      <c r="D476" t="str">
        <f t="shared" si="42"/>
        <v>July</v>
      </c>
      <c r="E476" t="str">
        <f t="shared" si="45"/>
        <v>2020</v>
      </c>
      <c r="F476" t="s">
        <v>945</v>
      </c>
      <c r="G476" t="str">
        <f>VLOOKUP(F476,'Customers (2)'!A:I,2,0)</f>
        <v>Granger Smallcombe</v>
      </c>
      <c r="H476" t="str">
        <f>VLOOKUP(F476,'Customers (2)'!A:I,3,0)</f>
        <v>gsmallcombed6@ucla.edu</v>
      </c>
      <c r="I476" t="str">
        <f>VLOOKUP(F476,'Customers (2)'!A:I,4,0)</f>
        <v>+353 (374) 810-4528</v>
      </c>
      <c r="J476" t="str">
        <f>VLOOKUP(F476,'Customers (2)'!A:I,6,0)</f>
        <v>Kilkenny</v>
      </c>
      <c r="K476" t="str">
        <f>VLOOKUP(F476,'Customers (2)'!A:I,7,0)</f>
        <v>Ireland</v>
      </c>
      <c r="L476" t="str">
        <f>VLOOKUP(F476,'Customers (2)'!A:I,9,0)</f>
        <v>Yes</v>
      </c>
      <c r="M476" t="str">
        <f>VLOOKUP(N476,'Products (2)'!A:G,2,0)</f>
        <v>Excelsa</v>
      </c>
      <c r="N476" t="s">
        <v>112</v>
      </c>
      <c r="O476" t="str">
        <f>VLOOKUP(N476,'Products (2)'!A:G,3,0)</f>
        <v>Medium</v>
      </c>
      <c r="P476">
        <f>VLOOKUP(N476,'Products (2)'!A:G,7,0)</f>
        <v>3.4787499999999998</v>
      </c>
      <c r="Q476">
        <v>1</v>
      </c>
      <c r="R476">
        <f>INDEX([1]products!$A$1:$G$49,MATCH([1]orders!$D476,[1]products!$A$1:$A$49,0),MATCH([1]orders!K$1,[1]products!$A$1:$G$1,0))</f>
        <v>2.5</v>
      </c>
      <c r="S476">
        <f>INDEX([1]products!$A$1:$G$49,MATCH([1]orders!$D476,[1]products!$A$1:$A$49,0),MATCH([1]orders!L$1,[1]products!$A$1:$G$1,0))</f>
        <v>31.624999999999996</v>
      </c>
      <c r="T476">
        <f t="shared" si="43"/>
        <v>31.624999999999996</v>
      </c>
      <c r="U476">
        <f t="shared" si="46"/>
        <v>3.4787499999999998</v>
      </c>
      <c r="V476">
        <f t="shared" si="47"/>
        <v>11</v>
      </c>
    </row>
    <row r="477" spans="1:22" x14ac:dyDescent="0.25">
      <c r="A477" t="s">
        <v>946</v>
      </c>
      <c r="B477">
        <v>44767</v>
      </c>
      <c r="C477" t="str">
        <f t="shared" si="44"/>
        <v>25</v>
      </c>
      <c r="D477" t="str">
        <f t="shared" si="42"/>
        <v>July</v>
      </c>
      <c r="E477" t="str">
        <f t="shared" si="45"/>
        <v>2022</v>
      </c>
      <c r="F477" t="s">
        <v>947</v>
      </c>
      <c r="G477" t="str">
        <f>VLOOKUP(F477,'Customers (2)'!A:I,2,0)</f>
        <v>Daryn Dibley</v>
      </c>
      <c r="H477" t="str">
        <f>VLOOKUP(F477,'Customers (2)'!A:I,3,0)</f>
        <v>ddibleyd7@feedburner.com</v>
      </c>
      <c r="I477">
        <f>VLOOKUP(F477,'Customers (2)'!A:I,4,0)</f>
        <v>0</v>
      </c>
      <c r="J477" t="str">
        <f>VLOOKUP(F477,'Customers (2)'!A:I,6,0)</f>
        <v>Kissimmee</v>
      </c>
      <c r="K477" t="str">
        <f>VLOOKUP(F477,'Customers (2)'!A:I,7,0)</f>
        <v>United States</v>
      </c>
      <c r="L477" t="str">
        <f>VLOOKUP(F477,'Customers (2)'!A:I,9,0)</f>
        <v>No</v>
      </c>
      <c r="M477" t="str">
        <f>VLOOKUP(N477,'Products (2)'!A:G,2,0)</f>
        <v>Liberica</v>
      </c>
      <c r="N477" t="s">
        <v>77</v>
      </c>
      <c r="O477" t="str">
        <f>VLOOKUP(N477,'Products (2)'!A:G,3,0)</f>
        <v>Medium</v>
      </c>
      <c r="P477">
        <f>VLOOKUP(N477,'Products (2)'!A:G,7,0)</f>
        <v>0.56745000000000001</v>
      </c>
      <c r="Q477">
        <v>2</v>
      </c>
      <c r="R477">
        <f>INDEX([1]products!$A$1:$G$49,MATCH([1]orders!$D477,[1]products!$A$1:$A$49,0),MATCH([1]orders!K$1,[1]products!$A$1:$G$1,0))</f>
        <v>0.2</v>
      </c>
      <c r="S477">
        <f>INDEX([1]products!$A$1:$G$49,MATCH([1]orders!$D477,[1]products!$A$1:$A$49,0),MATCH([1]orders!L$1,[1]products!$A$1:$G$1,0))</f>
        <v>4.3650000000000002</v>
      </c>
      <c r="T477">
        <f t="shared" si="43"/>
        <v>8.73</v>
      </c>
      <c r="U477">
        <f t="shared" si="46"/>
        <v>1.1349</v>
      </c>
      <c r="V477">
        <f t="shared" si="47"/>
        <v>13</v>
      </c>
    </row>
    <row r="478" spans="1:22" x14ac:dyDescent="0.25">
      <c r="A478" t="s">
        <v>948</v>
      </c>
      <c r="B478">
        <v>44274</v>
      </c>
      <c r="C478" t="str">
        <f t="shared" si="44"/>
        <v>19</v>
      </c>
      <c r="D478" t="str">
        <f t="shared" si="42"/>
        <v>March</v>
      </c>
      <c r="E478" t="str">
        <f t="shared" si="45"/>
        <v>2021</v>
      </c>
      <c r="F478" t="s">
        <v>949</v>
      </c>
      <c r="G478" t="str">
        <f>VLOOKUP(F478,'Customers (2)'!A:I,2,0)</f>
        <v>Gardy Dimitriou</v>
      </c>
      <c r="H478" t="str">
        <f>VLOOKUP(F478,'Customers (2)'!A:I,3,0)</f>
        <v>gdimitrioud8@chronoengine.com</v>
      </c>
      <c r="I478" t="str">
        <f>VLOOKUP(F478,'Customers (2)'!A:I,4,0)</f>
        <v>+1 (585) 303-7337</v>
      </c>
      <c r="J478" t="str">
        <f>VLOOKUP(F478,'Customers (2)'!A:I,6,0)</f>
        <v>Rochester</v>
      </c>
      <c r="K478" t="str">
        <f>VLOOKUP(F478,'Customers (2)'!A:I,7,0)</f>
        <v>United States</v>
      </c>
      <c r="L478" t="str">
        <f>VLOOKUP(F478,'Customers (2)'!A:I,9,0)</f>
        <v>Yes</v>
      </c>
      <c r="M478" t="str">
        <f>VLOOKUP(N478,'Products (2)'!A:G,2,0)</f>
        <v>Excelsa</v>
      </c>
      <c r="N478" t="s">
        <v>254</v>
      </c>
      <c r="O478" t="str">
        <f>VLOOKUP(N478,'Products (2)'!A:G,3,0)</f>
        <v>Light</v>
      </c>
      <c r="P478">
        <f>VLOOKUP(N478,'Products (2)'!A:G,7,0)</f>
        <v>0.49004999999999999</v>
      </c>
      <c r="Q478">
        <v>6</v>
      </c>
      <c r="R478">
        <f>INDEX([1]products!$A$1:$G$49,MATCH([1]orders!$D478,[1]products!$A$1:$A$49,0),MATCH([1]orders!K$1,[1]products!$A$1:$G$1,0))</f>
        <v>0.2</v>
      </c>
      <c r="S478">
        <f>INDEX([1]products!$A$1:$G$49,MATCH([1]orders!$D478,[1]products!$A$1:$A$49,0),MATCH([1]orders!L$1,[1]products!$A$1:$G$1,0))</f>
        <v>4.4550000000000001</v>
      </c>
      <c r="T478">
        <f t="shared" si="43"/>
        <v>26.73</v>
      </c>
      <c r="U478">
        <f t="shared" si="46"/>
        <v>2.9402999999999997</v>
      </c>
      <c r="V478">
        <f t="shared" si="47"/>
        <v>10.999999999999998</v>
      </c>
    </row>
    <row r="479" spans="1:22" x14ac:dyDescent="0.25">
      <c r="A479" t="s">
        <v>950</v>
      </c>
      <c r="B479">
        <v>43962</v>
      </c>
      <c r="C479" t="str">
        <f t="shared" si="44"/>
        <v>11</v>
      </c>
      <c r="D479" t="str">
        <f t="shared" si="42"/>
        <v>May</v>
      </c>
      <c r="E479" t="str">
        <f t="shared" si="45"/>
        <v>2020</v>
      </c>
      <c r="F479" t="s">
        <v>951</v>
      </c>
      <c r="G479" t="str">
        <f>VLOOKUP(F479,'Customers (2)'!A:I,2,0)</f>
        <v>Fanny Flanagan</v>
      </c>
      <c r="H479" t="str">
        <f>VLOOKUP(F479,'Customers (2)'!A:I,3,0)</f>
        <v>fflanagand9@woothemes.com</v>
      </c>
      <c r="I479" t="str">
        <f>VLOOKUP(F479,'Customers (2)'!A:I,4,0)</f>
        <v>+1 (903) 455-7155</v>
      </c>
      <c r="J479" t="str">
        <f>VLOOKUP(F479,'Customers (2)'!A:I,6,0)</f>
        <v>Tyler</v>
      </c>
      <c r="K479" t="str">
        <f>VLOOKUP(F479,'Customers (2)'!A:I,7,0)</f>
        <v>United States</v>
      </c>
      <c r="L479" t="str">
        <f>VLOOKUP(F479,'Customers (2)'!A:I,9,0)</f>
        <v>No</v>
      </c>
      <c r="M479" t="str">
        <f>VLOOKUP(N479,'Products (2)'!A:G,2,0)</f>
        <v>Liberica</v>
      </c>
      <c r="N479" t="s">
        <v>77</v>
      </c>
      <c r="O479" t="str">
        <f>VLOOKUP(N479,'Products (2)'!A:G,3,0)</f>
        <v>Medium</v>
      </c>
      <c r="P479">
        <f>VLOOKUP(N479,'Products (2)'!A:G,7,0)</f>
        <v>0.56745000000000001</v>
      </c>
      <c r="Q479">
        <v>6</v>
      </c>
      <c r="R479">
        <f>INDEX([1]products!$A$1:$G$49,MATCH([1]orders!$D479,[1]products!$A$1:$A$49,0),MATCH([1]orders!K$1,[1]products!$A$1:$G$1,0))</f>
        <v>0.2</v>
      </c>
      <c r="S479">
        <f>INDEX([1]products!$A$1:$G$49,MATCH([1]orders!$D479,[1]products!$A$1:$A$49,0),MATCH([1]orders!L$1,[1]products!$A$1:$G$1,0))</f>
        <v>4.3650000000000002</v>
      </c>
      <c r="T479">
        <f t="shared" si="43"/>
        <v>26.19</v>
      </c>
      <c r="U479">
        <f t="shared" si="46"/>
        <v>3.4047000000000001</v>
      </c>
      <c r="V479">
        <f t="shared" si="47"/>
        <v>13</v>
      </c>
    </row>
    <row r="480" spans="1:22" x14ac:dyDescent="0.25">
      <c r="A480" t="s">
        <v>952</v>
      </c>
      <c r="B480">
        <v>43624</v>
      </c>
      <c r="C480" t="str">
        <f t="shared" si="44"/>
        <v>08</v>
      </c>
      <c r="D480" t="str">
        <f t="shared" si="42"/>
        <v>June</v>
      </c>
      <c r="E480" t="str">
        <f t="shared" si="45"/>
        <v>2019</v>
      </c>
      <c r="F480" t="s">
        <v>935</v>
      </c>
      <c r="G480" t="str">
        <f>VLOOKUP(F480,'Customers (2)'!A:I,2,0)</f>
        <v>Ailey Brash</v>
      </c>
      <c r="H480" t="str">
        <f>VLOOKUP(F480,'Customers (2)'!A:I,3,0)</f>
        <v>abrashda@plala.or.jp</v>
      </c>
      <c r="I480" t="str">
        <f>VLOOKUP(F480,'Customers (2)'!A:I,4,0)</f>
        <v>+1 (917) 544-7136</v>
      </c>
      <c r="J480" t="str">
        <f>VLOOKUP(F480,'Customers (2)'!A:I,6,0)</f>
        <v>Flushing</v>
      </c>
      <c r="K480" t="str">
        <f>VLOOKUP(F480,'Customers (2)'!A:I,7,0)</f>
        <v>United States</v>
      </c>
      <c r="L480" t="str">
        <f>VLOOKUP(F480,'Customers (2)'!A:I,9,0)</f>
        <v>Yes</v>
      </c>
      <c r="M480" t="str">
        <f>VLOOKUP(N480,'Products (2)'!A:G,2,0)</f>
        <v>Robusta</v>
      </c>
      <c r="N480" t="s">
        <v>179</v>
      </c>
      <c r="O480" t="str">
        <f>VLOOKUP(N480,'Products (2)'!A:G,3,0)</f>
        <v>Dark</v>
      </c>
      <c r="P480">
        <f>VLOOKUP(N480,'Products (2)'!A:G,7,0)</f>
        <v>0.53699999999999992</v>
      </c>
      <c r="Q480">
        <v>6</v>
      </c>
      <c r="R480">
        <f>INDEX([1]products!$A$1:$G$49,MATCH([1]orders!$D480,[1]products!$A$1:$A$49,0),MATCH([1]orders!K$1,[1]products!$A$1:$G$1,0))</f>
        <v>1</v>
      </c>
      <c r="S480">
        <f>INDEX([1]products!$A$1:$G$49,MATCH([1]orders!$D480,[1]products!$A$1:$A$49,0),MATCH([1]orders!L$1,[1]products!$A$1:$G$1,0))</f>
        <v>8.9499999999999993</v>
      </c>
      <c r="T480">
        <f t="shared" si="43"/>
        <v>53.699999999999996</v>
      </c>
      <c r="U480">
        <f t="shared" si="46"/>
        <v>3.2219999999999995</v>
      </c>
      <c r="V480">
        <f t="shared" si="47"/>
        <v>6</v>
      </c>
    </row>
    <row r="481" spans="1:22" x14ac:dyDescent="0.25">
      <c r="A481" t="s">
        <v>952</v>
      </c>
      <c r="B481">
        <v>43624</v>
      </c>
      <c r="C481" t="str">
        <f t="shared" si="44"/>
        <v>08</v>
      </c>
      <c r="D481" t="str">
        <f t="shared" si="42"/>
        <v>June</v>
      </c>
      <c r="E481" t="str">
        <f t="shared" si="45"/>
        <v>2019</v>
      </c>
      <c r="F481" t="s">
        <v>935</v>
      </c>
      <c r="G481" t="str">
        <f>VLOOKUP(F481,'Customers (2)'!A:I,2,0)</f>
        <v>Ailey Brash</v>
      </c>
      <c r="H481" t="str">
        <f>VLOOKUP(F481,'Customers (2)'!A:I,3,0)</f>
        <v>abrashda@plala.or.jp</v>
      </c>
      <c r="I481" t="str">
        <f>VLOOKUP(F481,'Customers (2)'!A:I,4,0)</f>
        <v>+1 (917) 544-7136</v>
      </c>
      <c r="J481" t="str">
        <f>VLOOKUP(F481,'Customers (2)'!A:I,6,0)</f>
        <v>Flushing</v>
      </c>
      <c r="K481" t="str">
        <f>VLOOKUP(F481,'Customers (2)'!A:I,7,0)</f>
        <v>United States</v>
      </c>
      <c r="L481" t="str">
        <f>VLOOKUP(F481,'Customers (2)'!A:I,9,0)</f>
        <v>Yes</v>
      </c>
      <c r="M481" t="str">
        <f>VLOOKUP(N481,'Products (2)'!A:G,2,0)</f>
        <v>Excelsa</v>
      </c>
      <c r="N481" t="s">
        <v>112</v>
      </c>
      <c r="O481" t="str">
        <f>VLOOKUP(N481,'Products (2)'!A:G,3,0)</f>
        <v>Medium</v>
      </c>
      <c r="P481">
        <f>VLOOKUP(N481,'Products (2)'!A:G,7,0)</f>
        <v>3.4787499999999998</v>
      </c>
      <c r="Q481">
        <v>4</v>
      </c>
      <c r="R481">
        <f>INDEX([1]products!$A$1:$G$49,MATCH([1]orders!$D481,[1]products!$A$1:$A$49,0),MATCH([1]orders!K$1,[1]products!$A$1:$G$1,0))</f>
        <v>2.5</v>
      </c>
      <c r="S481">
        <f>INDEX([1]products!$A$1:$G$49,MATCH([1]orders!$D481,[1]products!$A$1:$A$49,0),MATCH([1]orders!L$1,[1]products!$A$1:$G$1,0))</f>
        <v>31.624999999999996</v>
      </c>
      <c r="T481">
        <f t="shared" si="43"/>
        <v>126.49999999999999</v>
      </c>
      <c r="U481">
        <f t="shared" si="46"/>
        <v>13.914999999999999</v>
      </c>
      <c r="V481">
        <f t="shared" si="47"/>
        <v>11</v>
      </c>
    </row>
    <row r="482" spans="1:22" x14ac:dyDescent="0.25">
      <c r="A482" t="s">
        <v>952</v>
      </c>
      <c r="B482">
        <v>43624</v>
      </c>
      <c r="C482" t="str">
        <f t="shared" si="44"/>
        <v>08</v>
      </c>
      <c r="D482" t="str">
        <f t="shared" si="42"/>
        <v>June</v>
      </c>
      <c r="E482" t="str">
        <f t="shared" si="45"/>
        <v>2019</v>
      </c>
      <c r="F482" t="s">
        <v>935</v>
      </c>
      <c r="G482" t="str">
        <f>VLOOKUP(F482,'Customers (2)'!A:I,2,0)</f>
        <v>Ailey Brash</v>
      </c>
      <c r="H482" t="str">
        <f>VLOOKUP(F482,'Customers (2)'!A:I,3,0)</f>
        <v>abrashda@plala.or.jp</v>
      </c>
      <c r="I482" t="str">
        <f>VLOOKUP(F482,'Customers (2)'!A:I,4,0)</f>
        <v>+1 (917) 544-7136</v>
      </c>
      <c r="J482" t="str">
        <f>VLOOKUP(F482,'Customers (2)'!A:I,6,0)</f>
        <v>Flushing</v>
      </c>
      <c r="K482" t="str">
        <f>VLOOKUP(F482,'Customers (2)'!A:I,7,0)</f>
        <v>United States</v>
      </c>
      <c r="L482" t="str">
        <f>VLOOKUP(F482,'Customers (2)'!A:I,9,0)</f>
        <v>Yes</v>
      </c>
      <c r="M482" t="str">
        <f>VLOOKUP(N482,'Products (2)'!A:G,2,0)</f>
        <v>Excelsa</v>
      </c>
      <c r="N482" t="s">
        <v>64</v>
      </c>
      <c r="O482" t="str">
        <f>VLOOKUP(N482,'Products (2)'!A:G,3,0)</f>
        <v>Medium</v>
      </c>
      <c r="P482">
        <f>VLOOKUP(N482,'Products (2)'!A:G,7,0)</f>
        <v>0.45374999999999999</v>
      </c>
      <c r="Q482">
        <v>1</v>
      </c>
      <c r="R482">
        <f>INDEX([1]products!$A$1:$G$49,MATCH([1]orders!$D482,[1]products!$A$1:$A$49,0),MATCH([1]orders!K$1,[1]products!$A$1:$G$1,0))</f>
        <v>0.2</v>
      </c>
      <c r="S482">
        <f>INDEX([1]products!$A$1:$G$49,MATCH([1]orders!$D482,[1]products!$A$1:$A$49,0),MATCH([1]orders!L$1,[1]products!$A$1:$G$1,0))</f>
        <v>4.125</v>
      </c>
      <c r="T482">
        <f t="shared" si="43"/>
        <v>4.125</v>
      </c>
      <c r="U482">
        <f t="shared" si="46"/>
        <v>0.45374999999999999</v>
      </c>
      <c r="V482">
        <f t="shared" si="47"/>
        <v>11</v>
      </c>
    </row>
    <row r="483" spans="1:22" x14ac:dyDescent="0.25">
      <c r="A483" t="s">
        <v>953</v>
      </c>
      <c r="B483">
        <v>43747</v>
      </c>
      <c r="C483" t="str">
        <f t="shared" si="44"/>
        <v>09</v>
      </c>
      <c r="D483" t="str">
        <f t="shared" si="42"/>
        <v>October</v>
      </c>
      <c r="E483" t="str">
        <f t="shared" si="45"/>
        <v>2019</v>
      </c>
      <c r="F483" t="s">
        <v>954</v>
      </c>
      <c r="G483" t="str">
        <f>VLOOKUP(F483,'Customers (2)'!A:I,2,0)</f>
        <v>Nanny Izhakov</v>
      </c>
      <c r="H483" t="str">
        <f>VLOOKUP(F483,'Customers (2)'!A:I,3,0)</f>
        <v>nizhakovdd@aol.com</v>
      </c>
      <c r="I483" t="str">
        <f>VLOOKUP(F483,'Customers (2)'!A:I,4,0)</f>
        <v>+44 (570) 683-9517</v>
      </c>
      <c r="J483" t="str">
        <f>VLOOKUP(F483,'Customers (2)'!A:I,6,0)</f>
        <v>Seaton</v>
      </c>
      <c r="K483" t="str">
        <f>VLOOKUP(F483,'Customers (2)'!A:I,7,0)</f>
        <v>United Kingdom</v>
      </c>
      <c r="L483" t="str">
        <f>VLOOKUP(F483,'Customers (2)'!A:I,9,0)</f>
        <v>No</v>
      </c>
      <c r="M483" t="str">
        <f>VLOOKUP(N483,'Products (2)'!A:G,2,0)</f>
        <v>Robusta</v>
      </c>
      <c r="N483" t="s">
        <v>189</v>
      </c>
      <c r="O483" t="str">
        <f>VLOOKUP(N483,'Products (2)'!A:G,3,0)</f>
        <v>Light</v>
      </c>
      <c r="P483">
        <f>VLOOKUP(N483,'Products (2)'!A:G,7,0)</f>
        <v>0.71699999999999997</v>
      </c>
      <c r="Q483">
        <v>2</v>
      </c>
      <c r="R483">
        <f>INDEX([1]products!$A$1:$G$49,MATCH([1]orders!$D483,[1]products!$A$1:$A$49,0),MATCH([1]orders!K$1,[1]products!$A$1:$G$1,0))</f>
        <v>1</v>
      </c>
      <c r="S483">
        <f>INDEX([1]products!$A$1:$G$49,MATCH([1]orders!$D483,[1]products!$A$1:$A$49,0),MATCH([1]orders!L$1,[1]products!$A$1:$G$1,0))</f>
        <v>11.95</v>
      </c>
      <c r="T483">
        <f t="shared" si="43"/>
        <v>23.9</v>
      </c>
      <c r="U483">
        <f t="shared" si="46"/>
        <v>1.4339999999999999</v>
      </c>
      <c r="V483">
        <f t="shared" si="47"/>
        <v>6</v>
      </c>
    </row>
    <row r="484" spans="1:22" x14ac:dyDescent="0.25">
      <c r="A484" t="s">
        <v>955</v>
      </c>
      <c r="B484">
        <v>44247</v>
      </c>
      <c r="C484" t="str">
        <f t="shared" si="44"/>
        <v>20</v>
      </c>
      <c r="D484" t="str">
        <f t="shared" si="42"/>
        <v>February</v>
      </c>
      <c r="E484" t="str">
        <f t="shared" si="45"/>
        <v>2021</v>
      </c>
      <c r="F484" t="s">
        <v>956</v>
      </c>
      <c r="G484" t="str">
        <f>VLOOKUP(F484,'Customers (2)'!A:I,2,0)</f>
        <v>Stanly Keets</v>
      </c>
      <c r="H484" t="str">
        <f>VLOOKUP(F484,'Customers (2)'!A:I,3,0)</f>
        <v>skeetsde@answers.com</v>
      </c>
      <c r="I484" t="str">
        <f>VLOOKUP(F484,'Customers (2)'!A:I,4,0)</f>
        <v>+1 (703) 230-2979</v>
      </c>
      <c r="J484" t="str">
        <f>VLOOKUP(F484,'Customers (2)'!A:I,6,0)</f>
        <v>Alexandria</v>
      </c>
      <c r="K484" t="str">
        <f>VLOOKUP(F484,'Customers (2)'!A:I,7,0)</f>
        <v>United States</v>
      </c>
      <c r="L484" t="str">
        <f>VLOOKUP(F484,'Customers (2)'!A:I,9,0)</f>
        <v>Yes</v>
      </c>
      <c r="M484" t="str">
        <f>VLOOKUP(N484,'Products (2)'!A:G,2,0)</f>
        <v>Excelsa</v>
      </c>
      <c r="N484" t="s">
        <v>530</v>
      </c>
      <c r="O484" t="str">
        <f>VLOOKUP(N484,'Products (2)'!A:G,3,0)</f>
        <v>Dark</v>
      </c>
      <c r="P484">
        <f>VLOOKUP(N484,'Products (2)'!A:G,7,0)</f>
        <v>3.07395</v>
      </c>
      <c r="Q484">
        <v>5</v>
      </c>
      <c r="R484">
        <f>INDEX([1]products!$A$1:$G$49,MATCH([1]orders!$D484,[1]products!$A$1:$A$49,0),MATCH([1]orders!K$1,[1]products!$A$1:$G$1,0))</f>
        <v>2.5</v>
      </c>
      <c r="S484">
        <f>INDEX([1]products!$A$1:$G$49,MATCH([1]orders!$D484,[1]products!$A$1:$A$49,0),MATCH([1]orders!L$1,[1]products!$A$1:$G$1,0))</f>
        <v>27.945</v>
      </c>
      <c r="T484">
        <f t="shared" si="43"/>
        <v>139.72499999999999</v>
      </c>
      <c r="U484">
        <f t="shared" si="46"/>
        <v>15.36975</v>
      </c>
      <c r="V484">
        <f t="shared" si="47"/>
        <v>11</v>
      </c>
    </row>
    <row r="485" spans="1:22" x14ac:dyDescent="0.25">
      <c r="A485" t="s">
        <v>957</v>
      </c>
      <c r="B485">
        <v>43790</v>
      </c>
      <c r="C485" t="str">
        <f t="shared" si="44"/>
        <v>21</v>
      </c>
      <c r="D485" t="str">
        <f t="shared" si="42"/>
        <v>November</v>
      </c>
      <c r="E485" t="str">
        <f t="shared" si="45"/>
        <v>2019</v>
      </c>
      <c r="F485" t="s">
        <v>958</v>
      </c>
      <c r="G485" t="str">
        <f>VLOOKUP(F485,'Customers (2)'!A:I,2,0)</f>
        <v>Orion Dyott</v>
      </c>
      <c r="H485">
        <f>VLOOKUP(F485,'Customers (2)'!A:I,3,0)</f>
        <v>0</v>
      </c>
      <c r="I485" t="str">
        <f>VLOOKUP(F485,'Customers (2)'!A:I,4,0)</f>
        <v>+1 (801) 322-2923</v>
      </c>
      <c r="J485" t="str">
        <f>VLOOKUP(F485,'Customers (2)'!A:I,6,0)</f>
        <v>Salt Lake City</v>
      </c>
      <c r="K485" t="str">
        <f>VLOOKUP(F485,'Customers (2)'!A:I,7,0)</f>
        <v>United States</v>
      </c>
      <c r="L485" t="str">
        <f>VLOOKUP(F485,'Customers (2)'!A:I,9,0)</f>
        <v>Yes</v>
      </c>
      <c r="M485" t="str">
        <f>VLOOKUP(N485,'Products (2)'!A:G,2,0)</f>
        <v>Liberica</v>
      </c>
      <c r="N485" t="s">
        <v>109</v>
      </c>
      <c r="O485" t="str">
        <f>VLOOKUP(N485,'Products (2)'!A:G,3,0)</f>
        <v>Dark</v>
      </c>
      <c r="P485">
        <f>VLOOKUP(N485,'Products (2)'!A:G,7,0)</f>
        <v>3.8720499999999998</v>
      </c>
      <c r="Q485">
        <v>2</v>
      </c>
      <c r="R485">
        <f>INDEX([1]products!$A$1:$G$49,MATCH([1]orders!$D485,[1]products!$A$1:$A$49,0),MATCH([1]orders!K$1,[1]products!$A$1:$G$1,0))</f>
        <v>2.5</v>
      </c>
      <c r="S485">
        <f>INDEX([1]products!$A$1:$G$49,MATCH([1]orders!$D485,[1]products!$A$1:$A$49,0),MATCH([1]orders!L$1,[1]products!$A$1:$G$1,0))</f>
        <v>29.784999999999997</v>
      </c>
      <c r="T485">
        <f t="shared" si="43"/>
        <v>59.569999999999993</v>
      </c>
      <c r="U485">
        <f t="shared" si="46"/>
        <v>7.7440999999999995</v>
      </c>
      <c r="V485">
        <f t="shared" si="47"/>
        <v>13</v>
      </c>
    </row>
    <row r="486" spans="1:22" x14ac:dyDescent="0.25">
      <c r="A486" t="s">
        <v>959</v>
      </c>
      <c r="B486">
        <v>44479</v>
      </c>
      <c r="C486" t="str">
        <f t="shared" si="44"/>
        <v>10</v>
      </c>
      <c r="D486" t="str">
        <f t="shared" si="42"/>
        <v>October</v>
      </c>
      <c r="E486" t="str">
        <f t="shared" si="45"/>
        <v>2021</v>
      </c>
      <c r="F486" t="s">
        <v>960</v>
      </c>
      <c r="G486" t="str">
        <f>VLOOKUP(F486,'Customers (2)'!A:I,2,0)</f>
        <v>Keefer Cake</v>
      </c>
      <c r="H486" t="str">
        <f>VLOOKUP(F486,'Customers (2)'!A:I,3,0)</f>
        <v>kcakedg@huffingtonpost.com</v>
      </c>
      <c r="I486">
        <f>VLOOKUP(F486,'Customers (2)'!A:I,4,0)</f>
        <v>0</v>
      </c>
      <c r="J486" t="str">
        <f>VLOOKUP(F486,'Customers (2)'!A:I,6,0)</f>
        <v>San Jose</v>
      </c>
      <c r="K486" t="str">
        <f>VLOOKUP(F486,'Customers (2)'!A:I,7,0)</f>
        <v>United States</v>
      </c>
      <c r="L486" t="str">
        <f>VLOOKUP(F486,'Customers (2)'!A:I,9,0)</f>
        <v>No</v>
      </c>
      <c r="M486" t="str">
        <f>VLOOKUP(N486,'Products (2)'!A:G,2,0)</f>
        <v>Liberica</v>
      </c>
      <c r="N486" t="s">
        <v>83</v>
      </c>
      <c r="O486" t="str">
        <f>VLOOKUP(N486,'Products (2)'!A:G,3,0)</f>
        <v>Light</v>
      </c>
      <c r="P486">
        <f>VLOOKUP(N486,'Products (2)'!A:G,7,0)</f>
        <v>1.2363</v>
      </c>
      <c r="Q486">
        <v>6</v>
      </c>
      <c r="R486">
        <f>INDEX([1]products!$A$1:$G$49,MATCH([1]orders!$D486,[1]products!$A$1:$A$49,0),MATCH([1]orders!K$1,[1]products!$A$1:$G$1,0))</f>
        <v>0.5</v>
      </c>
      <c r="S486">
        <f>INDEX([1]products!$A$1:$G$49,MATCH([1]orders!$D486,[1]products!$A$1:$A$49,0),MATCH([1]orders!L$1,[1]products!$A$1:$G$1,0))</f>
        <v>9.51</v>
      </c>
      <c r="T486">
        <f t="shared" si="43"/>
        <v>57.06</v>
      </c>
      <c r="U486">
        <f t="shared" si="46"/>
        <v>7.4177999999999997</v>
      </c>
      <c r="V486">
        <f t="shared" si="47"/>
        <v>12.999999999999998</v>
      </c>
    </row>
    <row r="487" spans="1:22" x14ac:dyDescent="0.25">
      <c r="A487" t="s">
        <v>961</v>
      </c>
      <c r="B487">
        <v>44413</v>
      </c>
      <c r="C487" t="str">
        <f t="shared" si="44"/>
        <v>05</v>
      </c>
      <c r="D487" t="str">
        <f t="shared" si="42"/>
        <v>August</v>
      </c>
      <c r="E487" t="str">
        <f t="shared" si="45"/>
        <v>2021</v>
      </c>
      <c r="F487" t="s">
        <v>962</v>
      </c>
      <c r="G487" t="str">
        <f>VLOOKUP(F487,'Customers (2)'!A:I,2,0)</f>
        <v>Morna Hansed</v>
      </c>
      <c r="H487" t="str">
        <f>VLOOKUP(F487,'Customers (2)'!A:I,3,0)</f>
        <v>mhanseddh@instagram.com</v>
      </c>
      <c r="I487" t="str">
        <f>VLOOKUP(F487,'Customers (2)'!A:I,4,0)</f>
        <v>+353 (997) 520-7802</v>
      </c>
      <c r="J487" t="str">
        <f>VLOOKUP(F487,'Customers (2)'!A:I,6,0)</f>
        <v>Tr谩 Mh贸r</v>
      </c>
      <c r="K487" t="str">
        <f>VLOOKUP(F487,'Customers (2)'!A:I,7,0)</f>
        <v>Ireland</v>
      </c>
      <c r="L487" t="str">
        <f>VLOOKUP(F487,'Customers (2)'!A:I,9,0)</f>
        <v>Yes</v>
      </c>
      <c r="M487" t="str">
        <f>VLOOKUP(N487,'Products (2)'!A:G,2,0)</f>
        <v>Robusta</v>
      </c>
      <c r="N487" t="s">
        <v>182</v>
      </c>
      <c r="O487" t="str">
        <f>VLOOKUP(N487,'Products (2)'!A:G,3,0)</f>
        <v>Light</v>
      </c>
      <c r="P487">
        <f>VLOOKUP(N487,'Products (2)'!A:G,7,0)</f>
        <v>0.21509999999999996</v>
      </c>
      <c r="Q487">
        <v>6</v>
      </c>
      <c r="R487">
        <f>INDEX([1]products!$A$1:$G$49,MATCH([1]orders!$D487,[1]products!$A$1:$A$49,0),MATCH([1]orders!K$1,[1]products!$A$1:$G$1,0))</f>
        <v>0.2</v>
      </c>
      <c r="S487">
        <f>INDEX([1]products!$A$1:$G$49,MATCH([1]orders!$D487,[1]products!$A$1:$A$49,0),MATCH([1]orders!L$1,[1]products!$A$1:$G$1,0))</f>
        <v>3.5849999999999995</v>
      </c>
      <c r="T487">
        <f t="shared" si="43"/>
        <v>21.509999999999998</v>
      </c>
      <c r="U487">
        <f t="shared" si="46"/>
        <v>1.2905999999999997</v>
      </c>
      <c r="V487">
        <f t="shared" si="47"/>
        <v>5.9999999999999991</v>
      </c>
    </row>
    <row r="488" spans="1:22" x14ac:dyDescent="0.25">
      <c r="A488" t="s">
        <v>963</v>
      </c>
      <c r="B488">
        <v>44043</v>
      </c>
      <c r="C488" t="str">
        <f t="shared" si="44"/>
        <v>31</v>
      </c>
      <c r="D488" t="str">
        <f t="shared" si="42"/>
        <v>July</v>
      </c>
      <c r="E488" t="str">
        <f t="shared" si="45"/>
        <v>2020</v>
      </c>
      <c r="F488" t="s">
        <v>964</v>
      </c>
      <c r="G488" t="str">
        <f>VLOOKUP(F488,'Customers (2)'!A:I,2,0)</f>
        <v>Franny Kienlein</v>
      </c>
      <c r="H488" t="str">
        <f>VLOOKUP(F488,'Customers (2)'!A:I,3,0)</f>
        <v>fkienleindi@trellian.com</v>
      </c>
      <c r="I488" t="str">
        <f>VLOOKUP(F488,'Customers (2)'!A:I,4,0)</f>
        <v>+353 (972) 241-3434</v>
      </c>
      <c r="J488" t="str">
        <f>VLOOKUP(F488,'Customers (2)'!A:I,6,0)</f>
        <v>Coolock</v>
      </c>
      <c r="K488" t="str">
        <f>VLOOKUP(F488,'Customers (2)'!A:I,7,0)</f>
        <v>Ireland</v>
      </c>
      <c r="L488" t="str">
        <f>VLOOKUP(F488,'Customers (2)'!A:I,9,0)</f>
        <v>Yes</v>
      </c>
      <c r="M488" t="str">
        <f>VLOOKUP(N488,'Products (2)'!A:G,2,0)</f>
        <v>Liberica</v>
      </c>
      <c r="N488" t="s">
        <v>78</v>
      </c>
      <c r="O488" t="str">
        <f>VLOOKUP(N488,'Products (2)'!A:G,3,0)</f>
        <v>Medium</v>
      </c>
      <c r="P488">
        <f>VLOOKUP(N488,'Products (2)'!A:G,7,0)</f>
        <v>1.1349</v>
      </c>
      <c r="Q488">
        <v>6</v>
      </c>
      <c r="R488">
        <f>INDEX([1]products!$A$1:$G$49,MATCH([1]orders!$D488,[1]products!$A$1:$A$49,0),MATCH([1]orders!K$1,[1]products!$A$1:$G$1,0))</f>
        <v>0.5</v>
      </c>
      <c r="S488">
        <f>INDEX([1]products!$A$1:$G$49,MATCH([1]orders!$D488,[1]products!$A$1:$A$49,0),MATCH([1]orders!L$1,[1]products!$A$1:$G$1,0))</f>
        <v>8.73</v>
      </c>
      <c r="T488">
        <f t="shared" si="43"/>
        <v>52.38</v>
      </c>
      <c r="U488">
        <f t="shared" si="46"/>
        <v>6.8094000000000001</v>
      </c>
      <c r="V488">
        <f t="shared" si="47"/>
        <v>13</v>
      </c>
    </row>
    <row r="489" spans="1:22" x14ac:dyDescent="0.25">
      <c r="A489" t="s">
        <v>965</v>
      </c>
      <c r="B489">
        <v>44093</v>
      </c>
      <c r="C489" t="str">
        <f t="shared" si="44"/>
        <v>19</v>
      </c>
      <c r="D489" t="str">
        <f t="shared" si="42"/>
        <v>September</v>
      </c>
      <c r="E489" t="str">
        <f t="shared" si="45"/>
        <v>2020</v>
      </c>
      <c r="F489" t="s">
        <v>966</v>
      </c>
      <c r="G489" t="str">
        <f>VLOOKUP(F489,'Customers (2)'!A:I,2,0)</f>
        <v>Klarika Egglestone</v>
      </c>
      <c r="H489" t="str">
        <f>VLOOKUP(F489,'Customers (2)'!A:I,3,0)</f>
        <v>kegglestonedj@sphinn.com</v>
      </c>
      <c r="I489" t="str">
        <f>VLOOKUP(F489,'Customers (2)'!A:I,4,0)</f>
        <v>+353 (452) 975-6438</v>
      </c>
      <c r="J489" t="str">
        <f>VLOOKUP(F489,'Customers (2)'!A:I,6,0)</f>
        <v>Coolock</v>
      </c>
      <c r="K489" t="str">
        <f>VLOOKUP(F489,'Customers (2)'!A:I,7,0)</f>
        <v>Ireland</v>
      </c>
      <c r="L489" t="str">
        <f>VLOOKUP(F489,'Customers (2)'!A:I,9,0)</f>
        <v>No</v>
      </c>
      <c r="M489" t="str">
        <f>VLOOKUP(N489,'Products (2)'!A:G,2,0)</f>
        <v>Excelsa</v>
      </c>
      <c r="N489" t="s">
        <v>245</v>
      </c>
      <c r="O489" t="str">
        <f>VLOOKUP(N489,'Products (2)'!A:G,3,0)</f>
        <v>Dark</v>
      </c>
      <c r="P489">
        <f>VLOOKUP(N489,'Products (2)'!A:G,7,0)</f>
        <v>1.3365</v>
      </c>
      <c r="Q489">
        <v>6</v>
      </c>
      <c r="R489">
        <f>INDEX([1]products!$A$1:$G$49,MATCH([1]orders!$D489,[1]products!$A$1:$A$49,0),MATCH([1]orders!K$1,[1]products!$A$1:$G$1,0))</f>
        <v>1</v>
      </c>
      <c r="S489">
        <f>INDEX([1]products!$A$1:$G$49,MATCH([1]orders!$D489,[1]products!$A$1:$A$49,0),MATCH([1]orders!L$1,[1]products!$A$1:$G$1,0))</f>
        <v>12.15</v>
      </c>
      <c r="T489">
        <f t="shared" si="43"/>
        <v>72.900000000000006</v>
      </c>
      <c r="U489">
        <f t="shared" si="46"/>
        <v>8.0190000000000001</v>
      </c>
      <c r="V489">
        <f t="shared" si="47"/>
        <v>10.999999999999998</v>
      </c>
    </row>
    <row r="490" spans="1:22" x14ac:dyDescent="0.25">
      <c r="A490" t="s">
        <v>967</v>
      </c>
      <c r="B490">
        <v>43954</v>
      </c>
      <c r="C490" t="str">
        <f t="shared" si="44"/>
        <v>03</v>
      </c>
      <c r="D490" t="str">
        <f t="shared" si="42"/>
        <v>May</v>
      </c>
      <c r="E490" t="str">
        <f t="shared" si="45"/>
        <v>2020</v>
      </c>
      <c r="F490" t="s">
        <v>968</v>
      </c>
      <c r="G490" t="str">
        <f>VLOOKUP(F490,'Customers (2)'!A:I,2,0)</f>
        <v>Becky Semkins</v>
      </c>
      <c r="H490" t="str">
        <f>VLOOKUP(F490,'Customers (2)'!A:I,3,0)</f>
        <v>bsemkinsdk@unc.edu</v>
      </c>
      <c r="I490" t="str">
        <f>VLOOKUP(F490,'Customers (2)'!A:I,4,0)</f>
        <v>+353 (209) 764-2690</v>
      </c>
      <c r="J490" t="str">
        <f>VLOOKUP(F490,'Customers (2)'!A:I,6,0)</f>
        <v>Kinnegad</v>
      </c>
      <c r="K490" t="str">
        <f>VLOOKUP(F490,'Customers (2)'!A:I,7,0)</f>
        <v>Ireland</v>
      </c>
      <c r="L490" t="str">
        <f>VLOOKUP(F490,'Customers (2)'!A:I,9,0)</f>
        <v>Yes</v>
      </c>
      <c r="M490" t="str">
        <f>VLOOKUP(N490,'Products (2)'!A:G,2,0)</f>
        <v>Robusta</v>
      </c>
      <c r="N490" t="s">
        <v>162</v>
      </c>
      <c r="O490" t="str">
        <f>VLOOKUP(N490,'Products (2)'!A:G,3,0)</f>
        <v>Medium</v>
      </c>
      <c r="P490">
        <f>VLOOKUP(N490,'Products (2)'!A:G,7,0)</f>
        <v>0.17909999999999998</v>
      </c>
      <c r="Q490">
        <v>5</v>
      </c>
      <c r="R490">
        <f>INDEX([1]products!$A$1:$G$49,MATCH([1]orders!$D490,[1]products!$A$1:$A$49,0),MATCH([1]orders!K$1,[1]products!$A$1:$G$1,0))</f>
        <v>0.2</v>
      </c>
      <c r="S490">
        <f>INDEX([1]products!$A$1:$G$49,MATCH([1]orders!$D490,[1]products!$A$1:$A$49,0),MATCH([1]orders!L$1,[1]products!$A$1:$G$1,0))</f>
        <v>2.9849999999999999</v>
      </c>
      <c r="T490">
        <f t="shared" si="43"/>
        <v>14.924999999999999</v>
      </c>
      <c r="U490">
        <f t="shared" si="46"/>
        <v>0.89549999999999996</v>
      </c>
      <c r="V490">
        <f t="shared" si="47"/>
        <v>6.0000000000000009</v>
      </c>
    </row>
    <row r="491" spans="1:22" x14ac:dyDescent="0.25">
      <c r="A491" t="s">
        <v>969</v>
      </c>
      <c r="B491">
        <v>43654</v>
      </c>
      <c r="C491" t="str">
        <f t="shared" si="44"/>
        <v>08</v>
      </c>
      <c r="D491" t="str">
        <f t="shared" si="42"/>
        <v>July</v>
      </c>
      <c r="E491" t="str">
        <f t="shared" si="45"/>
        <v>2019</v>
      </c>
      <c r="F491" t="s">
        <v>970</v>
      </c>
      <c r="G491" t="str">
        <f>VLOOKUP(F491,'Customers (2)'!A:I,2,0)</f>
        <v>Sean Lorenzetti</v>
      </c>
      <c r="H491" t="str">
        <f>VLOOKUP(F491,'Customers (2)'!A:I,3,0)</f>
        <v>slorenzettidl@is.gd</v>
      </c>
      <c r="I491" t="str">
        <f>VLOOKUP(F491,'Customers (2)'!A:I,4,0)</f>
        <v>+1 (915) 581-0694</v>
      </c>
      <c r="J491" t="str">
        <f>VLOOKUP(F491,'Customers (2)'!A:I,6,0)</f>
        <v>El Paso</v>
      </c>
      <c r="K491" t="str">
        <f>VLOOKUP(F491,'Customers (2)'!A:I,7,0)</f>
        <v>United States</v>
      </c>
      <c r="L491" t="str">
        <f>VLOOKUP(F491,'Customers (2)'!A:I,9,0)</f>
        <v>No</v>
      </c>
      <c r="M491" t="str">
        <f>VLOOKUP(N491,'Products (2)'!A:G,2,0)</f>
        <v>Liberica</v>
      </c>
      <c r="N491" t="s">
        <v>132</v>
      </c>
      <c r="O491" t="str">
        <f>VLOOKUP(N491,'Products (2)'!A:G,3,0)</f>
        <v>Light</v>
      </c>
      <c r="P491">
        <f>VLOOKUP(N491,'Products (2)'!A:G,7,0)</f>
        <v>2.0605000000000002</v>
      </c>
      <c r="Q491">
        <v>6</v>
      </c>
      <c r="R491">
        <f>INDEX([1]products!$A$1:$G$49,MATCH([1]orders!$D491,[1]products!$A$1:$A$49,0),MATCH([1]orders!K$1,[1]products!$A$1:$G$1,0))</f>
        <v>1</v>
      </c>
      <c r="S491">
        <f>INDEX([1]products!$A$1:$G$49,MATCH([1]orders!$D491,[1]products!$A$1:$A$49,0),MATCH([1]orders!L$1,[1]products!$A$1:$G$1,0))</f>
        <v>15.85</v>
      </c>
      <c r="T491">
        <f t="shared" si="43"/>
        <v>95.1</v>
      </c>
      <c r="U491">
        <f t="shared" si="46"/>
        <v>12.363000000000001</v>
      </c>
      <c r="V491">
        <f t="shared" si="47"/>
        <v>13.000000000000004</v>
      </c>
    </row>
    <row r="492" spans="1:22" x14ac:dyDescent="0.25">
      <c r="A492" t="s">
        <v>971</v>
      </c>
      <c r="B492">
        <v>43764</v>
      </c>
      <c r="C492" t="str">
        <f t="shared" si="44"/>
        <v>26</v>
      </c>
      <c r="D492" t="str">
        <f t="shared" si="42"/>
        <v>October</v>
      </c>
      <c r="E492" t="str">
        <f t="shared" si="45"/>
        <v>2019</v>
      </c>
      <c r="F492" t="s">
        <v>972</v>
      </c>
      <c r="G492" t="str">
        <f>VLOOKUP(F492,'Customers (2)'!A:I,2,0)</f>
        <v>Bob Giannazzi</v>
      </c>
      <c r="H492" t="str">
        <f>VLOOKUP(F492,'Customers (2)'!A:I,3,0)</f>
        <v>bgiannazzidm@apple.com</v>
      </c>
      <c r="I492" t="str">
        <f>VLOOKUP(F492,'Customers (2)'!A:I,4,0)</f>
        <v>+1 (754) 827-8970</v>
      </c>
      <c r="J492" t="str">
        <f>VLOOKUP(F492,'Customers (2)'!A:I,6,0)</f>
        <v>Fort Lauderdale</v>
      </c>
      <c r="K492" t="str">
        <f>VLOOKUP(F492,'Customers (2)'!A:I,7,0)</f>
        <v>United States</v>
      </c>
      <c r="L492" t="str">
        <f>VLOOKUP(F492,'Customers (2)'!A:I,9,0)</f>
        <v>No</v>
      </c>
      <c r="M492" t="str">
        <f>VLOOKUP(N492,'Products (2)'!A:G,2,0)</f>
        <v>Liberica</v>
      </c>
      <c r="N492" t="s">
        <v>123</v>
      </c>
      <c r="O492" t="str">
        <f>VLOOKUP(N492,'Products (2)'!A:G,3,0)</f>
        <v>Dark</v>
      </c>
      <c r="P492">
        <f>VLOOKUP(N492,'Products (2)'!A:G,7,0)</f>
        <v>1.0101</v>
      </c>
      <c r="Q492">
        <v>2</v>
      </c>
      <c r="R492">
        <f>INDEX([1]products!$A$1:$G$49,MATCH([1]orders!$D492,[1]products!$A$1:$A$49,0),MATCH([1]orders!K$1,[1]products!$A$1:$G$1,0))</f>
        <v>0.5</v>
      </c>
      <c r="S492">
        <f>INDEX([1]products!$A$1:$G$49,MATCH([1]orders!$D492,[1]products!$A$1:$A$49,0),MATCH([1]orders!L$1,[1]products!$A$1:$G$1,0))</f>
        <v>7.77</v>
      </c>
      <c r="T492">
        <f t="shared" si="43"/>
        <v>15.54</v>
      </c>
      <c r="U492">
        <f t="shared" si="46"/>
        <v>2.0202</v>
      </c>
      <c r="V492">
        <f t="shared" si="47"/>
        <v>13</v>
      </c>
    </row>
    <row r="493" spans="1:22" x14ac:dyDescent="0.25">
      <c r="A493" t="s">
        <v>973</v>
      </c>
      <c r="B493">
        <v>44101</v>
      </c>
      <c r="C493" t="str">
        <f t="shared" si="44"/>
        <v>27</v>
      </c>
      <c r="D493" t="str">
        <f t="shared" si="42"/>
        <v>September</v>
      </c>
      <c r="E493" t="str">
        <f t="shared" si="45"/>
        <v>2020</v>
      </c>
      <c r="F493" t="s">
        <v>974</v>
      </c>
      <c r="G493" t="str">
        <f>VLOOKUP(F493,'Customers (2)'!A:I,2,0)</f>
        <v>Kendra Backshell</v>
      </c>
      <c r="H493">
        <f>VLOOKUP(F493,'Customers (2)'!A:I,3,0)</f>
        <v>0</v>
      </c>
      <c r="I493" t="str">
        <f>VLOOKUP(F493,'Customers (2)'!A:I,4,0)</f>
        <v>+1 (317) 595-9406</v>
      </c>
      <c r="J493" t="str">
        <f>VLOOKUP(F493,'Customers (2)'!A:I,6,0)</f>
        <v>Indianapolis</v>
      </c>
      <c r="K493" t="str">
        <f>VLOOKUP(F493,'Customers (2)'!A:I,7,0)</f>
        <v>United States</v>
      </c>
      <c r="L493" t="str">
        <f>VLOOKUP(F493,'Customers (2)'!A:I,9,0)</f>
        <v>No</v>
      </c>
      <c r="M493" t="str">
        <f>VLOOKUP(N493,'Products (2)'!A:G,2,0)</f>
        <v>Liberica</v>
      </c>
      <c r="N493" t="s">
        <v>38</v>
      </c>
      <c r="O493" t="str">
        <f>VLOOKUP(N493,'Products (2)'!A:G,3,0)</f>
        <v>Dark</v>
      </c>
      <c r="P493">
        <f>VLOOKUP(N493,'Products (2)'!A:G,7,0)</f>
        <v>0.50505</v>
      </c>
      <c r="Q493">
        <v>6</v>
      </c>
      <c r="R493">
        <f>INDEX([1]products!$A$1:$G$49,MATCH([1]orders!$D493,[1]products!$A$1:$A$49,0),MATCH([1]orders!K$1,[1]products!$A$1:$G$1,0))</f>
        <v>0.2</v>
      </c>
      <c r="S493">
        <f>INDEX([1]products!$A$1:$G$49,MATCH([1]orders!$D493,[1]products!$A$1:$A$49,0),MATCH([1]orders!L$1,[1]products!$A$1:$G$1,0))</f>
        <v>3.8849999999999998</v>
      </c>
      <c r="T493">
        <f t="shared" si="43"/>
        <v>23.31</v>
      </c>
      <c r="U493">
        <f t="shared" si="46"/>
        <v>3.0303</v>
      </c>
      <c r="V493">
        <f t="shared" si="47"/>
        <v>13</v>
      </c>
    </row>
    <row r="494" spans="1:22" x14ac:dyDescent="0.25">
      <c r="A494" t="s">
        <v>975</v>
      </c>
      <c r="B494">
        <v>44620</v>
      </c>
      <c r="C494" t="str">
        <f t="shared" si="44"/>
        <v>28</v>
      </c>
      <c r="D494" t="str">
        <f t="shared" si="42"/>
        <v>February</v>
      </c>
      <c r="E494" t="str">
        <f t="shared" si="45"/>
        <v>2022</v>
      </c>
      <c r="F494" t="s">
        <v>976</v>
      </c>
      <c r="G494" t="str">
        <f>VLOOKUP(F494,'Customers (2)'!A:I,2,0)</f>
        <v>Uriah Lethbrig</v>
      </c>
      <c r="H494" t="str">
        <f>VLOOKUP(F494,'Customers (2)'!A:I,3,0)</f>
        <v>ulethbrigdo@hc360.com</v>
      </c>
      <c r="I494" t="str">
        <f>VLOOKUP(F494,'Customers (2)'!A:I,4,0)</f>
        <v>+1 (414) 580-9714</v>
      </c>
      <c r="J494" t="str">
        <f>VLOOKUP(F494,'Customers (2)'!A:I,6,0)</f>
        <v>Milwaukee</v>
      </c>
      <c r="K494" t="str">
        <f>VLOOKUP(F494,'Customers (2)'!A:I,7,0)</f>
        <v>United States</v>
      </c>
      <c r="L494" t="str">
        <f>VLOOKUP(F494,'Customers (2)'!A:I,9,0)</f>
        <v>Yes</v>
      </c>
      <c r="M494" t="str">
        <f>VLOOKUP(N494,'Products (2)'!A:G,2,0)</f>
        <v>Excelsa</v>
      </c>
      <c r="N494" t="s">
        <v>64</v>
      </c>
      <c r="O494" t="str">
        <f>VLOOKUP(N494,'Products (2)'!A:G,3,0)</f>
        <v>Medium</v>
      </c>
      <c r="P494">
        <f>VLOOKUP(N494,'Products (2)'!A:G,7,0)</f>
        <v>0.45374999999999999</v>
      </c>
      <c r="Q494">
        <v>1</v>
      </c>
      <c r="R494">
        <f>INDEX([1]products!$A$1:$G$49,MATCH([1]orders!$D494,[1]products!$A$1:$A$49,0),MATCH([1]orders!K$1,[1]products!$A$1:$G$1,0))</f>
        <v>0.2</v>
      </c>
      <c r="S494">
        <f>INDEX([1]products!$A$1:$G$49,MATCH([1]orders!$D494,[1]products!$A$1:$A$49,0),MATCH([1]orders!L$1,[1]products!$A$1:$G$1,0))</f>
        <v>4.125</v>
      </c>
      <c r="T494">
        <f t="shared" si="43"/>
        <v>4.125</v>
      </c>
      <c r="U494">
        <f t="shared" si="46"/>
        <v>0.45374999999999999</v>
      </c>
      <c r="V494">
        <f t="shared" si="47"/>
        <v>11</v>
      </c>
    </row>
    <row r="495" spans="1:22" x14ac:dyDescent="0.25">
      <c r="A495" t="s">
        <v>977</v>
      </c>
      <c r="B495">
        <v>44090</v>
      </c>
      <c r="C495" t="str">
        <f t="shared" si="44"/>
        <v>16</v>
      </c>
      <c r="D495" t="str">
        <f t="shared" si="42"/>
        <v>September</v>
      </c>
      <c r="E495" t="str">
        <f t="shared" si="45"/>
        <v>2020</v>
      </c>
      <c r="F495" t="s">
        <v>978</v>
      </c>
      <c r="G495" t="str">
        <f>VLOOKUP(F495,'Customers (2)'!A:I,2,0)</f>
        <v>Sky Farnish</v>
      </c>
      <c r="H495" t="str">
        <f>VLOOKUP(F495,'Customers (2)'!A:I,3,0)</f>
        <v>sfarnishdp@dmoz.org</v>
      </c>
      <c r="I495" t="str">
        <f>VLOOKUP(F495,'Customers (2)'!A:I,4,0)</f>
        <v>+44 (847) 377-8172</v>
      </c>
      <c r="J495" t="str">
        <f>VLOOKUP(F495,'Customers (2)'!A:I,6,0)</f>
        <v>Eaton</v>
      </c>
      <c r="K495" t="str">
        <f>VLOOKUP(F495,'Customers (2)'!A:I,7,0)</f>
        <v>United Kingdom</v>
      </c>
      <c r="L495" t="str">
        <f>VLOOKUP(F495,'Customers (2)'!A:I,9,0)</f>
        <v>No</v>
      </c>
      <c r="M495" t="str">
        <f>VLOOKUP(N495,'Products (2)'!A:G,2,0)</f>
        <v>Robusta</v>
      </c>
      <c r="N495" t="s">
        <v>22</v>
      </c>
      <c r="O495" t="str">
        <f>VLOOKUP(N495,'Products (2)'!A:G,3,0)</f>
        <v>Medium</v>
      </c>
      <c r="P495">
        <f>VLOOKUP(N495,'Products (2)'!A:G,7,0)</f>
        <v>0.35819999999999996</v>
      </c>
      <c r="Q495">
        <v>6</v>
      </c>
      <c r="R495">
        <f>INDEX([1]products!$A$1:$G$49,MATCH([1]orders!$D495,[1]products!$A$1:$A$49,0),MATCH([1]orders!K$1,[1]products!$A$1:$G$1,0))</f>
        <v>0.5</v>
      </c>
      <c r="S495">
        <f>INDEX([1]products!$A$1:$G$49,MATCH([1]orders!$D495,[1]products!$A$1:$A$49,0),MATCH([1]orders!L$1,[1]products!$A$1:$G$1,0))</f>
        <v>5.97</v>
      </c>
      <c r="T495">
        <f t="shared" si="43"/>
        <v>35.82</v>
      </c>
      <c r="U495">
        <f t="shared" si="46"/>
        <v>2.1491999999999996</v>
      </c>
      <c r="V495">
        <f t="shared" si="47"/>
        <v>5.9999999999999982</v>
      </c>
    </row>
    <row r="496" spans="1:22" x14ac:dyDescent="0.25">
      <c r="A496" t="s">
        <v>979</v>
      </c>
      <c r="B496">
        <v>44132</v>
      </c>
      <c r="C496" t="str">
        <f t="shared" si="44"/>
        <v>28</v>
      </c>
      <c r="D496" t="str">
        <f t="shared" si="42"/>
        <v>October</v>
      </c>
      <c r="E496" t="str">
        <f t="shared" si="45"/>
        <v>2020</v>
      </c>
      <c r="F496" t="s">
        <v>980</v>
      </c>
      <c r="G496" t="str">
        <f>VLOOKUP(F496,'Customers (2)'!A:I,2,0)</f>
        <v>Felicia Jecock</v>
      </c>
      <c r="H496" t="str">
        <f>VLOOKUP(F496,'Customers (2)'!A:I,3,0)</f>
        <v>fjecockdq@unicef.org</v>
      </c>
      <c r="I496" t="str">
        <f>VLOOKUP(F496,'Customers (2)'!A:I,4,0)</f>
        <v>+1 (225) 116-2959</v>
      </c>
      <c r="J496" t="str">
        <f>VLOOKUP(F496,'Customers (2)'!A:I,6,0)</f>
        <v>Baton Rouge</v>
      </c>
      <c r="K496" t="str">
        <f>VLOOKUP(F496,'Customers (2)'!A:I,7,0)</f>
        <v>United States</v>
      </c>
      <c r="L496" t="str">
        <f>VLOOKUP(F496,'Customers (2)'!A:I,9,0)</f>
        <v>No</v>
      </c>
      <c r="M496" t="str">
        <f>VLOOKUP(N496,'Products (2)'!A:G,2,0)</f>
        <v>Liberica</v>
      </c>
      <c r="N496" t="s">
        <v>132</v>
      </c>
      <c r="O496" t="str">
        <f>VLOOKUP(N496,'Products (2)'!A:G,3,0)</f>
        <v>Light</v>
      </c>
      <c r="P496">
        <f>VLOOKUP(N496,'Products (2)'!A:G,7,0)</f>
        <v>2.0605000000000002</v>
      </c>
      <c r="Q496">
        <v>2</v>
      </c>
      <c r="R496">
        <f>INDEX([1]products!$A$1:$G$49,MATCH([1]orders!$D496,[1]products!$A$1:$A$49,0),MATCH([1]orders!K$1,[1]products!$A$1:$G$1,0))</f>
        <v>1</v>
      </c>
      <c r="S496">
        <f>INDEX([1]products!$A$1:$G$49,MATCH([1]orders!$D496,[1]products!$A$1:$A$49,0),MATCH([1]orders!L$1,[1]products!$A$1:$G$1,0))</f>
        <v>15.85</v>
      </c>
      <c r="T496">
        <f t="shared" si="43"/>
        <v>31.7</v>
      </c>
      <c r="U496">
        <f t="shared" si="46"/>
        <v>4.1210000000000004</v>
      </c>
      <c r="V496">
        <f t="shared" si="47"/>
        <v>13</v>
      </c>
    </row>
    <row r="497" spans="1:22" x14ac:dyDescent="0.25">
      <c r="A497" t="s">
        <v>981</v>
      </c>
      <c r="B497">
        <v>43710</v>
      </c>
      <c r="C497" t="str">
        <f t="shared" si="44"/>
        <v>02</v>
      </c>
      <c r="D497" t="str">
        <f t="shared" si="42"/>
        <v>September</v>
      </c>
      <c r="E497" t="str">
        <f t="shared" si="45"/>
        <v>2019</v>
      </c>
      <c r="F497" t="s">
        <v>982</v>
      </c>
      <c r="G497" t="str">
        <f>VLOOKUP(F497,'Customers (2)'!A:I,2,0)</f>
        <v>Currey MacAllister</v>
      </c>
      <c r="H497">
        <f>VLOOKUP(F497,'Customers (2)'!A:I,3,0)</f>
        <v>0</v>
      </c>
      <c r="I497" t="str">
        <f>VLOOKUP(F497,'Customers (2)'!A:I,4,0)</f>
        <v>+1 (203) 490-3839</v>
      </c>
      <c r="J497" t="str">
        <f>VLOOKUP(F497,'Customers (2)'!A:I,6,0)</f>
        <v>Danbury</v>
      </c>
      <c r="K497" t="str">
        <f>VLOOKUP(F497,'Customers (2)'!A:I,7,0)</f>
        <v>United States</v>
      </c>
      <c r="L497" t="str">
        <f>VLOOKUP(F497,'Customers (2)'!A:I,9,0)</f>
        <v>Yes</v>
      </c>
      <c r="M497" t="str">
        <f>VLOOKUP(N497,'Products (2)'!A:G,2,0)</f>
        <v>Liberica</v>
      </c>
      <c r="N497" t="s">
        <v>132</v>
      </c>
      <c r="O497" t="str">
        <f>VLOOKUP(N497,'Products (2)'!A:G,3,0)</f>
        <v>Light</v>
      </c>
      <c r="P497">
        <f>VLOOKUP(N497,'Products (2)'!A:G,7,0)</f>
        <v>2.0605000000000002</v>
      </c>
      <c r="Q497">
        <v>5</v>
      </c>
      <c r="R497">
        <f>INDEX([1]products!$A$1:$G$49,MATCH([1]orders!$D497,[1]products!$A$1:$A$49,0),MATCH([1]orders!K$1,[1]products!$A$1:$G$1,0))</f>
        <v>1</v>
      </c>
      <c r="S497">
        <f>INDEX([1]products!$A$1:$G$49,MATCH([1]orders!$D497,[1]products!$A$1:$A$49,0),MATCH([1]orders!L$1,[1]products!$A$1:$G$1,0))</f>
        <v>15.85</v>
      </c>
      <c r="T497">
        <f t="shared" si="43"/>
        <v>79.25</v>
      </c>
      <c r="U497">
        <f t="shared" si="46"/>
        <v>10.302500000000002</v>
      </c>
      <c r="V497">
        <f t="shared" si="47"/>
        <v>13.000000000000004</v>
      </c>
    </row>
    <row r="498" spans="1:22" x14ac:dyDescent="0.25">
      <c r="A498" t="s">
        <v>983</v>
      </c>
      <c r="B498">
        <v>44438</v>
      </c>
      <c r="C498" t="str">
        <f t="shared" si="44"/>
        <v>30</v>
      </c>
      <c r="D498" t="str">
        <f t="shared" si="42"/>
        <v>August</v>
      </c>
      <c r="E498" t="str">
        <f t="shared" si="45"/>
        <v>2021</v>
      </c>
      <c r="F498" t="s">
        <v>984</v>
      </c>
      <c r="G498" t="str">
        <f>VLOOKUP(F498,'Customers (2)'!A:I,2,0)</f>
        <v>Hamlen Pallister</v>
      </c>
      <c r="H498" t="str">
        <f>VLOOKUP(F498,'Customers (2)'!A:I,3,0)</f>
        <v>hpallisterds@ning.com</v>
      </c>
      <c r="I498" t="str">
        <f>VLOOKUP(F498,'Customers (2)'!A:I,4,0)</f>
        <v>+1 (850) 517-1353</v>
      </c>
      <c r="J498" t="str">
        <f>VLOOKUP(F498,'Customers (2)'!A:I,6,0)</f>
        <v>Pensacola</v>
      </c>
      <c r="K498" t="str">
        <f>VLOOKUP(F498,'Customers (2)'!A:I,7,0)</f>
        <v>United States</v>
      </c>
      <c r="L498" t="str">
        <f>VLOOKUP(F498,'Customers (2)'!A:I,9,0)</f>
        <v>No</v>
      </c>
      <c r="M498" t="str">
        <f>VLOOKUP(N498,'Products (2)'!A:G,2,0)</f>
        <v>Excelsa</v>
      </c>
      <c r="N498" t="s">
        <v>51</v>
      </c>
      <c r="O498" t="str">
        <f>VLOOKUP(N498,'Products (2)'!A:G,3,0)</f>
        <v>Dark</v>
      </c>
      <c r="P498">
        <f>VLOOKUP(N498,'Products (2)'!A:G,7,0)</f>
        <v>0.40095000000000003</v>
      </c>
      <c r="Q498">
        <v>3</v>
      </c>
      <c r="R498">
        <f>INDEX([1]products!$A$1:$G$49,MATCH([1]orders!$D498,[1]products!$A$1:$A$49,0),MATCH([1]orders!K$1,[1]products!$A$1:$G$1,0))</f>
        <v>0.2</v>
      </c>
      <c r="S498">
        <f>INDEX([1]products!$A$1:$G$49,MATCH([1]orders!$D498,[1]products!$A$1:$A$49,0),MATCH([1]orders!L$1,[1]products!$A$1:$G$1,0))</f>
        <v>3.645</v>
      </c>
      <c r="T498">
        <f t="shared" si="43"/>
        <v>10.935</v>
      </c>
      <c r="U498">
        <f t="shared" si="46"/>
        <v>1.2028500000000002</v>
      </c>
      <c r="V498">
        <f t="shared" si="47"/>
        <v>11.000000000000002</v>
      </c>
    </row>
    <row r="499" spans="1:22" x14ac:dyDescent="0.25">
      <c r="A499" t="s">
        <v>985</v>
      </c>
      <c r="B499">
        <v>44351</v>
      </c>
      <c r="C499" t="str">
        <f t="shared" si="44"/>
        <v>04</v>
      </c>
      <c r="D499" t="str">
        <f t="shared" si="42"/>
        <v>June</v>
      </c>
      <c r="E499" t="str">
        <f t="shared" si="45"/>
        <v>2021</v>
      </c>
      <c r="F499" t="s">
        <v>986</v>
      </c>
      <c r="G499" t="str">
        <f>VLOOKUP(F499,'Customers (2)'!A:I,2,0)</f>
        <v>Chantal Mersh</v>
      </c>
      <c r="H499" t="str">
        <f>VLOOKUP(F499,'Customers (2)'!A:I,3,0)</f>
        <v>cmershdt@drupal.org</v>
      </c>
      <c r="I499" t="str">
        <f>VLOOKUP(F499,'Customers (2)'!A:I,4,0)</f>
        <v>+353 (343) 889-4565</v>
      </c>
      <c r="J499" t="str">
        <f>VLOOKUP(F499,'Customers (2)'!A:I,6,0)</f>
        <v>Milltown</v>
      </c>
      <c r="K499" t="str">
        <f>VLOOKUP(F499,'Customers (2)'!A:I,7,0)</f>
        <v>Ireland</v>
      </c>
      <c r="L499" t="str">
        <f>VLOOKUP(F499,'Customers (2)'!A:I,9,0)</f>
        <v>No</v>
      </c>
      <c r="M499" t="str">
        <f>VLOOKUP(N499,'Products (2)'!A:G,2,0)</f>
        <v>Arabica</v>
      </c>
      <c r="N499" t="s">
        <v>27</v>
      </c>
      <c r="O499" t="str">
        <f>VLOOKUP(N499,'Products (2)'!A:G,3,0)</f>
        <v>Dark</v>
      </c>
      <c r="P499">
        <f>VLOOKUP(N499,'Products (2)'!A:G,7,0)</f>
        <v>0.89549999999999985</v>
      </c>
      <c r="Q499">
        <v>4</v>
      </c>
      <c r="R499">
        <f>INDEX([1]products!$A$1:$G$49,MATCH([1]orders!$D499,[1]products!$A$1:$A$49,0),MATCH([1]orders!K$1,[1]products!$A$1:$G$1,0))</f>
        <v>1</v>
      </c>
      <c r="S499">
        <f>INDEX([1]products!$A$1:$G$49,MATCH([1]orders!$D499,[1]products!$A$1:$A$49,0),MATCH([1]orders!L$1,[1]products!$A$1:$G$1,0))</f>
        <v>9.9499999999999993</v>
      </c>
      <c r="T499">
        <f t="shared" si="43"/>
        <v>39.799999999999997</v>
      </c>
      <c r="U499">
        <f t="shared" si="46"/>
        <v>3.5819999999999994</v>
      </c>
      <c r="V499">
        <f t="shared" si="47"/>
        <v>9</v>
      </c>
    </row>
    <row r="500" spans="1:22" x14ac:dyDescent="0.25">
      <c r="A500" t="s">
        <v>987</v>
      </c>
      <c r="B500">
        <v>44159</v>
      </c>
      <c r="C500" t="str">
        <f t="shared" si="44"/>
        <v>24</v>
      </c>
      <c r="D500" t="str">
        <f t="shared" si="42"/>
        <v>November</v>
      </c>
      <c r="E500" t="str">
        <f t="shared" si="45"/>
        <v>2020</v>
      </c>
      <c r="F500" t="s">
        <v>988</v>
      </c>
      <c r="G500" t="str">
        <f>VLOOKUP(F500,'Customers (2)'!A:I,2,0)</f>
        <v>Marja Urion</v>
      </c>
      <c r="H500" t="str">
        <f>VLOOKUP(F500,'Customers (2)'!A:I,3,0)</f>
        <v>murione5@alexa.com</v>
      </c>
      <c r="I500" t="str">
        <f>VLOOKUP(F500,'Customers (2)'!A:I,4,0)</f>
        <v>+353 (715) 989-0283</v>
      </c>
      <c r="J500" t="str">
        <f>VLOOKUP(F500,'Customers (2)'!A:I,6,0)</f>
        <v>Virginia</v>
      </c>
      <c r="K500" t="str">
        <f>VLOOKUP(F500,'Customers (2)'!A:I,7,0)</f>
        <v>Ireland</v>
      </c>
      <c r="L500" t="str">
        <f>VLOOKUP(F500,'Customers (2)'!A:I,9,0)</f>
        <v>Yes</v>
      </c>
      <c r="M500" t="str">
        <f>VLOOKUP(N500,'Products (2)'!A:G,2,0)</f>
        <v>Robusta</v>
      </c>
      <c r="N500" t="s">
        <v>2</v>
      </c>
      <c r="O500" t="str">
        <f>VLOOKUP(N500,'Products (2)'!A:G,3,0)</f>
        <v>Medium</v>
      </c>
      <c r="P500">
        <f>VLOOKUP(N500,'Products (2)'!A:G,7,0)</f>
        <v>0.59699999999999998</v>
      </c>
      <c r="Q500">
        <v>5</v>
      </c>
      <c r="R500">
        <f>INDEX([1]products!$A$1:$G$49,MATCH([1]orders!$D500,[1]products!$A$1:$A$49,0),MATCH([1]orders!K$1,[1]products!$A$1:$G$1,0))</f>
        <v>1</v>
      </c>
      <c r="S500">
        <f>INDEX([1]products!$A$1:$G$49,MATCH([1]orders!$D500,[1]products!$A$1:$A$49,0),MATCH([1]orders!L$1,[1]products!$A$1:$G$1,0))</f>
        <v>9.9499999999999993</v>
      </c>
      <c r="T500">
        <f t="shared" si="43"/>
        <v>49.75</v>
      </c>
      <c r="U500">
        <f t="shared" si="46"/>
        <v>2.9849999999999999</v>
      </c>
      <c r="V500">
        <f t="shared" si="47"/>
        <v>6</v>
      </c>
    </row>
    <row r="501" spans="1:22" x14ac:dyDescent="0.25">
      <c r="A501" t="s">
        <v>989</v>
      </c>
      <c r="B501">
        <v>44003</v>
      </c>
      <c r="C501" t="str">
        <f t="shared" si="44"/>
        <v>21</v>
      </c>
      <c r="D501" t="str">
        <f t="shared" si="42"/>
        <v>June</v>
      </c>
      <c r="E501" t="str">
        <f t="shared" si="45"/>
        <v>2020</v>
      </c>
      <c r="F501" t="s">
        <v>990</v>
      </c>
      <c r="G501" t="str">
        <f>VLOOKUP(F501,'Customers (2)'!A:I,2,0)</f>
        <v>Malynda Purbrick</v>
      </c>
      <c r="H501">
        <f>VLOOKUP(F501,'Customers (2)'!A:I,3,0)</f>
        <v>0</v>
      </c>
      <c r="I501" t="str">
        <f>VLOOKUP(F501,'Customers (2)'!A:I,4,0)</f>
        <v>+353 (160) 183-4278</v>
      </c>
      <c r="J501" t="str">
        <f>VLOOKUP(F501,'Customers (2)'!A:I,6,0)</f>
        <v>Balally</v>
      </c>
      <c r="K501" t="str">
        <f>VLOOKUP(F501,'Customers (2)'!A:I,7,0)</f>
        <v>Ireland</v>
      </c>
      <c r="L501" t="str">
        <f>VLOOKUP(F501,'Customers (2)'!A:I,9,0)</f>
        <v>Yes</v>
      </c>
      <c r="M501" t="str">
        <f>VLOOKUP(N501,'Products (2)'!A:G,2,0)</f>
        <v>Robusta</v>
      </c>
      <c r="N501" t="s">
        <v>101</v>
      </c>
      <c r="O501" t="str">
        <f>VLOOKUP(N501,'Products (2)'!A:G,3,0)</f>
        <v>Dark</v>
      </c>
      <c r="P501">
        <f>VLOOKUP(N501,'Products (2)'!A:G,7,0)</f>
        <v>0.16109999999999997</v>
      </c>
      <c r="Q501">
        <v>3</v>
      </c>
      <c r="R501">
        <f>INDEX([1]products!$A$1:$G$49,MATCH([1]orders!$D501,[1]products!$A$1:$A$49,0),MATCH([1]orders!K$1,[1]products!$A$1:$G$1,0))</f>
        <v>0.2</v>
      </c>
      <c r="S501">
        <f>INDEX([1]products!$A$1:$G$49,MATCH([1]orders!$D501,[1]products!$A$1:$A$49,0),MATCH([1]orders!L$1,[1]products!$A$1:$G$1,0))</f>
        <v>2.6849999999999996</v>
      </c>
      <c r="T501">
        <f t="shared" si="43"/>
        <v>8.0549999999999997</v>
      </c>
      <c r="U501">
        <f t="shared" si="46"/>
        <v>0.4832999999999999</v>
      </c>
      <c r="V501">
        <f t="shared" si="47"/>
        <v>5.9999999999999991</v>
      </c>
    </row>
    <row r="502" spans="1:22" x14ac:dyDescent="0.25">
      <c r="A502" t="s">
        <v>991</v>
      </c>
      <c r="B502">
        <v>44025</v>
      </c>
      <c r="C502" t="str">
        <f t="shared" si="44"/>
        <v>13</v>
      </c>
      <c r="D502" t="str">
        <f t="shared" si="42"/>
        <v>July</v>
      </c>
      <c r="E502" t="str">
        <f t="shared" si="45"/>
        <v>2020</v>
      </c>
      <c r="F502" t="s">
        <v>992</v>
      </c>
      <c r="G502" t="str">
        <f>VLOOKUP(F502,'Customers (2)'!A:I,2,0)</f>
        <v>Alf Housaman</v>
      </c>
      <c r="H502">
        <f>VLOOKUP(F502,'Customers (2)'!A:I,3,0)</f>
        <v>0</v>
      </c>
      <c r="I502" t="str">
        <f>VLOOKUP(F502,'Customers (2)'!A:I,4,0)</f>
        <v>+1 (616) 511-3898</v>
      </c>
      <c r="J502" t="str">
        <f>VLOOKUP(F502,'Customers (2)'!A:I,6,0)</f>
        <v>Grand Rapids</v>
      </c>
      <c r="K502" t="str">
        <f>VLOOKUP(F502,'Customers (2)'!A:I,7,0)</f>
        <v>United States</v>
      </c>
      <c r="L502" t="str">
        <f>VLOOKUP(F502,'Customers (2)'!A:I,9,0)</f>
        <v>No</v>
      </c>
      <c r="M502" t="str">
        <f>VLOOKUP(N502,'Products (2)'!A:G,2,0)</f>
        <v>Robusta</v>
      </c>
      <c r="N502" t="s">
        <v>189</v>
      </c>
      <c r="O502" t="str">
        <f>VLOOKUP(N502,'Products (2)'!A:G,3,0)</f>
        <v>Light</v>
      </c>
      <c r="P502">
        <f>VLOOKUP(N502,'Products (2)'!A:G,7,0)</f>
        <v>0.71699999999999997</v>
      </c>
      <c r="Q502">
        <v>4</v>
      </c>
      <c r="R502">
        <f>INDEX([1]products!$A$1:$G$49,MATCH([1]orders!$D502,[1]products!$A$1:$A$49,0),MATCH([1]orders!K$1,[1]products!$A$1:$G$1,0))</f>
        <v>1</v>
      </c>
      <c r="S502">
        <f>INDEX([1]products!$A$1:$G$49,MATCH([1]orders!$D502,[1]products!$A$1:$A$49,0),MATCH([1]orders!L$1,[1]products!$A$1:$G$1,0))</f>
        <v>11.95</v>
      </c>
      <c r="T502">
        <f t="shared" si="43"/>
        <v>47.8</v>
      </c>
      <c r="U502">
        <f t="shared" si="46"/>
        <v>2.8679999999999999</v>
      </c>
      <c r="V502">
        <f t="shared" si="47"/>
        <v>6</v>
      </c>
    </row>
    <row r="503" spans="1:22" x14ac:dyDescent="0.25">
      <c r="A503" t="s">
        <v>993</v>
      </c>
      <c r="B503">
        <v>43467</v>
      </c>
      <c r="C503" t="str">
        <f t="shared" si="44"/>
        <v>02</v>
      </c>
      <c r="D503" t="str">
        <f t="shared" si="42"/>
        <v>January</v>
      </c>
      <c r="E503" t="str">
        <f t="shared" si="45"/>
        <v>2019</v>
      </c>
      <c r="F503" t="s">
        <v>994</v>
      </c>
      <c r="G503" t="str">
        <f>VLOOKUP(F503,'Customers (2)'!A:I,2,0)</f>
        <v>Gladi Ducker</v>
      </c>
      <c r="H503" t="str">
        <f>VLOOKUP(F503,'Customers (2)'!A:I,3,0)</f>
        <v>gduckerdx@patch.com</v>
      </c>
      <c r="I503" t="str">
        <f>VLOOKUP(F503,'Customers (2)'!A:I,4,0)</f>
        <v>+44 (749) 987-9016</v>
      </c>
      <c r="J503" t="str">
        <f>VLOOKUP(F503,'Customers (2)'!A:I,6,0)</f>
        <v>Belfast</v>
      </c>
      <c r="K503" t="str">
        <f>VLOOKUP(F503,'Customers (2)'!A:I,7,0)</f>
        <v>United Kingdom</v>
      </c>
      <c r="L503" t="str">
        <f>VLOOKUP(F503,'Customers (2)'!A:I,9,0)</f>
        <v>No</v>
      </c>
      <c r="M503" t="str">
        <f>VLOOKUP(N503,'Products (2)'!A:G,2,0)</f>
        <v>Robusta</v>
      </c>
      <c r="N503" t="s">
        <v>162</v>
      </c>
      <c r="O503" t="str">
        <f>VLOOKUP(N503,'Products (2)'!A:G,3,0)</f>
        <v>Medium</v>
      </c>
      <c r="P503">
        <f>VLOOKUP(N503,'Products (2)'!A:G,7,0)</f>
        <v>0.17909999999999998</v>
      </c>
      <c r="Q503">
        <v>4</v>
      </c>
      <c r="R503">
        <f>INDEX([1]products!$A$1:$G$49,MATCH([1]orders!$D503,[1]products!$A$1:$A$49,0),MATCH([1]orders!K$1,[1]products!$A$1:$G$1,0))</f>
        <v>0.2</v>
      </c>
      <c r="S503">
        <f>INDEX([1]products!$A$1:$G$49,MATCH([1]orders!$D503,[1]products!$A$1:$A$49,0),MATCH([1]orders!L$1,[1]products!$A$1:$G$1,0))</f>
        <v>2.9849999999999999</v>
      </c>
      <c r="T503">
        <f t="shared" si="43"/>
        <v>11.94</v>
      </c>
      <c r="U503">
        <f t="shared" si="46"/>
        <v>0.71639999999999993</v>
      </c>
      <c r="V503">
        <f t="shared" si="47"/>
        <v>6</v>
      </c>
    </row>
    <row r="504" spans="1:22" x14ac:dyDescent="0.25">
      <c r="A504" t="s">
        <v>993</v>
      </c>
      <c r="B504">
        <v>43467</v>
      </c>
      <c r="C504" t="str">
        <f t="shared" si="44"/>
        <v>02</v>
      </c>
      <c r="D504" t="str">
        <f t="shared" si="42"/>
        <v>January</v>
      </c>
      <c r="E504" t="str">
        <f t="shared" si="45"/>
        <v>2019</v>
      </c>
      <c r="F504" t="s">
        <v>994</v>
      </c>
      <c r="G504" t="str">
        <f>VLOOKUP(F504,'Customers (2)'!A:I,2,0)</f>
        <v>Gladi Ducker</v>
      </c>
      <c r="H504" t="str">
        <f>VLOOKUP(F504,'Customers (2)'!A:I,3,0)</f>
        <v>gduckerdx@patch.com</v>
      </c>
      <c r="I504" t="str">
        <f>VLOOKUP(F504,'Customers (2)'!A:I,4,0)</f>
        <v>+44 (749) 987-9016</v>
      </c>
      <c r="J504" t="str">
        <f>VLOOKUP(F504,'Customers (2)'!A:I,6,0)</f>
        <v>Belfast</v>
      </c>
      <c r="K504" t="str">
        <f>VLOOKUP(F504,'Customers (2)'!A:I,7,0)</f>
        <v>United Kingdom</v>
      </c>
      <c r="L504" t="str">
        <f>VLOOKUP(F504,'Customers (2)'!A:I,9,0)</f>
        <v>No</v>
      </c>
      <c r="M504" t="str">
        <f>VLOOKUP(N504,'Products (2)'!A:G,2,0)</f>
        <v>Excelsa</v>
      </c>
      <c r="N504" t="s">
        <v>64</v>
      </c>
      <c r="O504" t="str">
        <f>VLOOKUP(N504,'Products (2)'!A:G,3,0)</f>
        <v>Medium</v>
      </c>
      <c r="P504">
        <f>VLOOKUP(N504,'Products (2)'!A:G,7,0)</f>
        <v>0.45374999999999999</v>
      </c>
      <c r="Q504">
        <v>4</v>
      </c>
      <c r="R504">
        <f>INDEX([1]products!$A$1:$G$49,MATCH([1]orders!$D504,[1]products!$A$1:$A$49,0),MATCH([1]orders!K$1,[1]products!$A$1:$G$1,0))</f>
        <v>0.2</v>
      </c>
      <c r="S504">
        <f>INDEX([1]products!$A$1:$G$49,MATCH([1]orders!$D504,[1]products!$A$1:$A$49,0),MATCH([1]orders!L$1,[1]products!$A$1:$G$1,0))</f>
        <v>4.125</v>
      </c>
      <c r="T504">
        <f t="shared" si="43"/>
        <v>16.5</v>
      </c>
      <c r="U504">
        <f t="shared" si="46"/>
        <v>1.8149999999999999</v>
      </c>
      <c r="V504">
        <f t="shared" si="47"/>
        <v>11</v>
      </c>
    </row>
    <row r="505" spans="1:22" x14ac:dyDescent="0.25">
      <c r="A505" t="s">
        <v>993</v>
      </c>
      <c r="B505">
        <v>43467</v>
      </c>
      <c r="C505" t="str">
        <f t="shared" si="44"/>
        <v>02</v>
      </c>
      <c r="D505" t="str">
        <f t="shared" si="42"/>
        <v>January</v>
      </c>
      <c r="E505" t="str">
        <f t="shared" si="45"/>
        <v>2019</v>
      </c>
      <c r="F505" t="s">
        <v>994</v>
      </c>
      <c r="G505" t="str">
        <f>VLOOKUP(F505,'Customers (2)'!A:I,2,0)</f>
        <v>Gladi Ducker</v>
      </c>
      <c r="H505" t="str">
        <f>VLOOKUP(F505,'Customers (2)'!A:I,3,0)</f>
        <v>gduckerdx@patch.com</v>
      </c>
      <c r="I505" t="str">
        <f>VLOOKUP(F505,'Customers (2)'!A:I,4,0)</f>
        <v>+44 (749) 987-9016</v>
      </c>
      <c r="J505" t="str">
        <f>VLOOKUP(F505,'Customers (2)'!A:I,6,0)</f>
        <v>Belfast</v>
      </c>
      <c r="K505" t="str">
        <f>VLOOKUP(F505,'Customers (2)'!A:I,7,0)</f>
        <v>United Kingdom</v>
      </c>
      <c r="L505" t="str">
        <f>VLOOKUP(F505,'Customers (2)'!A:I,9,0)</f>
        <v>No</v>
      </c>
      <c r="M505" t="str">
        <f>VLOOKUP(N505,'Products (2)'!A:G,2,0)</f>
        <v>Liberica</v>
      </c>
      <c r="N505" t="s">
        <v>13</v>
      </c>
      <c r="O505" t="str">
        <f>VLOOKUP(N505,'Products (2)'!A:G,3,0)</f>
        <v>Dark</v>
      </c>
      <c r="P505">
        <f>VLOOKUP(N505,'Products (2)'!A:G,7,0)</f>
        <v>1.6835</v>
      </c>
      <c r="Q505">
        <v>4</v>
      </c>
      <c r="R505">
        <f>INDEX([1]products!$A$1:$G$49,MATCH([1]orders!$D505,[1]products!$A$1:$A$49,0),MATCH([1]orders!K$1,[1]products!$A$1:$G$1,0))</f>
        <v>1</v>
      </c>
      <c r="S505">
        <f>INDEX([1]products!$A$1:$G$49,MATCH([1]orders!$D505,[1]products!$A$1:$A$49,0),MATCH([1]orders!L$1,[1]products!$A$1:$G$1,0))</f>
        <v>12.95</v>
      </c>
      <c r="T505">
        <f t="shared" si="43"/>
        <v>51.8</v>
      </c>
      <c r="U505">
        <f t="shared" si="46"/>
        <v>6.734</v>
      </c>
      <c r="V505">
        <f t="shared" si="47"/>
        <v>13</v>
      </c>
    </row>
    <row r="506" spans="1:22" x14ac:dyDescent="0.25">
      <c r="A506" t="s">
        <v>993</v>
      </c>
      <c r="B506">
        <v>43467</v>
      </c>
      <c r="C506" t="str">
        <f t="shared" si="44"/>
        <v>02</v>
      </c>
      <c r="D506" t="str">
        <f t="shared" si="42"/>
        <v>January</v>
      </c>
      <c r="E506" t="str">
        <f t="shared" si="45"/>
        <v>2019</v>
      </c>
      <c r="F506" t="s">
        <v>994</v>
      </c>
      <c r="G506" t="str">
        <f>VLOOKUP(F506,'Customers (2)'!A:I,2,0)</f>
        <v>Gladi Ducker</v>
      </c>
      <c r="H506" t="str">
        <f>VLOOKUP(F506,'Customers (2)'!A:I,3,0)</f>
        <v>gduckerdx@patch.com</v>
      </c>
      <c r="I506" t="str">
        <f>VLOOKUP(F506,'Customers (2)'!A:I,4,0)</f>
        <v>+44 (749) 987-9016</v>
      </c>
      <c r="J506" t="str">
        <f>VLOOKUP(F506,'Customers (2)'!A:I,6,0)</f>
        <v>Belfast</v>
      </c>
      <c r="K506" t="str">
        <f>VLOOKUP(F506,'Customers (2)'!A:I,7,0)</f>
        <v>United Kingdom</v>
      </c>
      <c r="L506" t="str">
        <f>VLOOKUP(F506,'Customers (2)'!A:I,9,0)</f>
        <v>No</v>
      </c>
      <c r="M506" t="str">
        <f>VLOOKUP(N506,'Products (2)'!A:G,2,0)</f>
        <v>Liberica</v>
      </c>
      <c r="N506" t="s">
        <v>19</v>
      </c>
      <c r="O506" t="str">
        <f>VLOOKUP(N506,'Products (2)'!A:G,3,0)</f>
        <v>Light</v>
      </c>
      <c r="P506">
        <f>VLOOKUP(N506,'Products (2)'!A:G,7,0)</f>
        <v>0.61814999999999998</v>
      </c>
      <c r="Q506">
        <v>3</v>
      </c>
      <c r="R506">
        <f>INDEX([1]products!$A$1:$G$49,MATCH([1]orders!$D506,[1]products!$A$1:$A$49,0),MATCH([1]orders!K$1,[1]products!$A$1:$G$1,0))</f>
        <v>0.2</v>
      </c>
      <c r="S506">
        <f>INDEX([1]products!$A$1:$G$49,MATCH([1]orders!$D506,[1]products!$A$1:$A$49,0),MATCH([1]orders!L$1,[1]products!$A$1:$G$1,0))</f>
        <v>4.7549999999999999</v>
      </c>
      <c r="T506">
        <f t="shared" si="43"/>
        <v>14.265000000000001</v>
      </c>
      <c r="U506">
        <f t="shared" si="46"/>
        <v>1.8544499999999999</v>
      </c>
      <c r="V506">
        <f t="shared" si="47"/>
        <v>12.999999999999998</v>
      </c>
    </row>
    <row r="507" spans="1:22" x14ac:dyDescent="0.25">
      <c r="A507" t="s">
        <v>995</v>
      </c>
      <c r="B507">
        <v>44609</v>
      </c>
      <c r="C507" t="str">
        <f t="shared" si="44"/>
        <v>17</v>
      </c>
      <c r="D507" t="str">
        <f t="shared" si="42"/>
        <v>February</v>
      </c>
      <c r="E507" t="str">
        <f t="shared" si="45"/>
        <v>2022</v>
      </c>
      <c r="F507" t="s">
        <v>996</v>
      </c>
      <c r="G507" t="str">
        <f>VLOOKUP(F507,'Customers (2)'!A:I,2,0)</f>
        <v>Wain Stearley</v>
      </c>
      <c r="H507" t="str">
        <f>VLOOKUP(F507,'Customers (2)'!A:I,3,0)</f>
        <v>wstearleye1@census.gov</v>
      </c>
      <c r="I507" t="str">
        <f>VLOOKUP(F507,'Customers (2)'!A:I,4,0)</f>
        <v>+1 (336) 213-3687</v>
      </c>
      <c r="J507" t="str">
        <f>VLOOKUP(F507,'Customers (2)'!A:I,6,0)</f>
        <v>High Point</v>
      </c>
      <c r="K507" t="str">
        <f>VLOOKUP(F507,'Customers (2)'!A:I,7,0)</f>
        <v>United States</v>
      </c>
      <c r="L507" t="str">
        <f>VLOOKUP(F507,'Customers (2)'!A:I,9,0)</f>
        <v>No</v>
      </c>
      <c r="M507" t="str">
        <f>VLOOKUP(N507,'Products (2)'!A:G,2,0)</f>
        <v>Liberica</v>
      </c>
      <c r="N507" t="s">
        <v>77</v>
      </c>
      <c r="O507" t="str">
        <f>VLOOKUP(N507,'Products (2)'!A:G,3,0)</f>
        <v>Medium</v>
      </c>
      <c r="P507">
        <f>VLOOKUP(N507,'Products (2)'!A:G,7,0)</f>
        <v>0.56745000000000001</v>
      </c>
      <c r="Q507">
        <v>6</v>
      </c>
      <c r="R507">
        <f>INDEX([1]products!$A$1:$G$49,MATCH([1]orders!$D507,[1]products!$A$1:$A$49,0),MATCH([1]orders!K$1,[1]products!$A$1:$G$1,0))</f>
        <v>0.2</v>
      </c>
      <c r="S507">
        <f>INDEX([1]products!$A$1:$G$49,MATCH([1]orders!$D507,[1]products!$A$1:$A$49,0),MATCH([1]orders!L$1,[1]products!$A$1:$G$1,0))</f>
        <v>4.3650000000000002</v>
      </c>
      <c r="T507">
        <f t="shared" si="43"/>
        <v>26.19</v>
      </c>
      <c r="U507">
        <f t="shared" si="46"/>
        <v>3.4047000000000001</v>
      </c>
      <c r="V507">
        <f t="shared" si="47"/>
        <v>13</v>
      </c>
    </row>
    <row r="508" spans="1:22" x14ac:dyDescent="0.25">
      <c r="A508" t="s">
        <v>997</v>
      </c>
      <c r="B508">
        <v>44184</v>
      </c>
      <c r="C508" t="str">
        <f t="shared" si="44"/>
        <v>19</v>
      </c>
      <c r="D508" t="str">
        <f t="shared" si="42"/>
        <v>December</v>
      </c>
      <c r="E508" t="str">
        <f t="shared" si="45"/>
        <v>2020</v>
      </c>
      <c r="F508" t="s">
        <v>998</v>
      </c>
      <c r="G508" t="str">
        <f>VLOOKUP(F508,'Customers (2)'!A:I,2,0)</f>
        <v>Diane-marie Wincer</v>
      </c>
      <c r="H508" t="str">
        <f>VLOOKUP(F508,'Customers (2)'!A:I,3,0)</f>
        <v>dwincere2@marriott.com</v>
      </c>
      <c r="I508" t="str">
        <f>VLOOKUP(F508,'Customers (2)'!A:I,4,0)</f>
        <v>+1 (915) 676-6367</v>
      </c>
      <c r="J508" t="str">
        <f>VLOOKUP(F508,'Customers (2)'!A:I,6,0)</f>
        <v>El Paso</v>
      </c>
      <c r="K508" t="str">
        <f>VLOOKUP(F508,'Customers (2)'!A:I,7,0)</f>
        <v>United States</v>
      </c>
      <c r="L508" t="str">
        <f>VLOOKUP(F508,'Customers (2)'!A:I,9,0)</f>
        <v>Yes</v>
      </c>
      <c r="M508" t="str">
        <f>VLOOKUP(N508,'Products (2)'!A:G,2,0)</f>
        <v>Arabica</v>
      </c>
      <c r="N508" t="s">
        <v>6</v>
      </c>
      <c r="O508" t="str">
        <f>VLOOKUP(N508,'Products (2)'!A:G,3,0)</f>
        <v>Light</v>
      </c>
      <c r="P508">
        <f>VLOOKUP(N508,'Products (2)'!A:G,7,0)</f>
        <v>1.1655</v>
      </c>
      <c r="Q508">
        <v>2</v>
      </c>
      <c r="R508">
        <f>INDEX([1]products!$A$1:$G$49,MATCH([1]orders!$D508,[1]products!$A$1:$A$49,0),MATCH([1]orders!K$1,[1]products!$A$1:$G$1,0))</f>
        <v>1</v>
      </c>
      <c r="S508">
        <f>INDEX([1]products!$A$1:$G$49,MATCH([1]orders!$D508,[1]products!$A$1:$A$49,0),MATCH([1]orders!L$1,[1]products!$A$1:$G$1,0))</f>
        <v>12.95</v>
      </c>
      <c r="T508">
        <f t="shared" si="43"/>
        <v>25.9</v>
      </c>
      <c r="U508">
        <f t="shared" si="46"/>
        <v>2.331</v>
      </c>
      <c r="V508">
        <f t="shared" si="47"/>
        <v>9</v>
      </c>
    </row>
    <row r="509" spans="1:22" x14ac:dyDescent="0.25">
      <c r="A509" t="s">
        <v>999</v>
      </c>
      <c r="B509">
        <v>43516</v>
      </c>
      <c r="C509" t="str">
        <f t="shared" si="44"/>
        <v>20</v>
      </c>
      <c r="D509" t="str">
        <f t="shared" si="42"/>
        <v>February</v>
      </c>
      <c r="E509" t="str">
        <f t="shared" si="45"/>
        <v>2019</v>
      </c>
      <c r="F509" t="s">
        <v>1000</v>
      </c>
      <c r="G509" t="str">
        <f>VLOOKUP(F509,'Customers (2)'!A:I,2,0)</f>
        <v>Perry Lyfield</v>
      </c>
      <c r="H509" t="str">
        <f>VLOOKUP(F509,'Customers (2)'!A:I,3,0)</f>
        <v>plyfielde3@baidu.com</v>
      </c>
      <c r="I509" t="str">
        <f>VLOOKUP(F509,'Customers (2)'!A:I,4,0)</f>
        <v>+1 (216) 614-9325</v>
      </c>
      <c r="J509" t="str">
        <f>VLOOKUP(F509,'Customers (2)'!A:I,6,0)</f>
        <v>Cleveland</v>
      </c>
      <c r="K509" t="str">
        <f>VLOOKUP(F509,'Customers (2)'!A:I,7,0)</f>
        <v>United States</v>
      </c>
      <c r="L509" t="str">
        <f>VLOOKUP(F509,'Customers (2)'!A:I,9,0)</f>
        <v>Yes</v>
      </c>
      <c r="M509" t="str">
        <f>VLOOKUP(N509,'Products (2)'!A:G,2,0)</f>
        <v>Arabica</v>
      </c>
      <c r="N509" t="s">
        <v>204</v>
      </c>
      <c r="O509" t="str">
        <f>VLOOKUP(N509,'Products (2)'!A:G,3,0)</f>
        <v>Light</v>
      </c>
      <c r="P509">
        <f>VLOOKUP(N509,'Products (2)'!A:G,7,0)</f>
        <v>2.6806499999999995</v>
      </c>
      <c r="Q509">
        <v>3</v>
      </c>
      <c r="R509">
        <f>INDEX([1]products!$A$1:$G$49,MATCH([1]orders!$D509,[1]products!$A$1:$A$49,0),MATCH([1]orders!K$1,[1]products!$A$1:$G$1,0))</f>
        <v>2.5</v>
      </c>
      <c r="S509">
        <f>INDEX([1]products!$A$1:$G$49,MATCH([1]orders!$D509,[1]products!$A$1:$A$49,0),MATCH([1]orders!L$1,[1]products!$A$1:$G$1,0))</f>
        <v>29.784999999999997</v>
      </c>
      <c r="T509">
        <f t="shared" si="43"/>
        <v>89.35499999999999</v>
      </c>
      <c r="U509">
        <f t="shared" si="46"/>
        <v>8.0419499999999982</v>
      </c>
      <c r="V509">
        <f t="shared" si="47"/>
        <v>8.9999999999999982</v>
      </c>
    </row>
    <row r="510" spans="1:22" x14ac:dyDescent="0.25">
      <c r="A510" t="s">
        <v>1001</v>
      </c>
      <c r="B510">
        <v>44210</v>
      </c>
      <c r="C510" t="str">
        <f t="shared" si="44"/>
        <v>14</v>
      </c>
      <c r="D510" t="str">
        <f t="shared" si="42"/>
        <v>January</v>
      </c>
      <c r="E510" t="str">
        <f t="shared" si="45"/>
        <v>2021</v>
      </c>
      <c r="F510" t="s">
        <v>1002</v>
      </c>
      <c r="G510" t="str">
        <f>VLOOKUP(F510,'Customers (2)'!A:I,2,0)</f>
        <v>Heall Perris</v>
      </c>
      <c r="H510" t="str">
        <f>VLOOKUP(F510,'Customers (2)'!A:I,3,0)</f>
        <v>hperrise4@studiopress.com</v>
      </c>
      <c r="I510" t="str">
        <f>VLOOKUP(F510,'Customers (2)'!A:I,4,0)</f>
        <v>+353 (954) 293-8675</v>
      </c>
      <c r="J510" t="str">
        <f>VLOOKUP(F510,'Customers (2)'!A:I,6,0)</f>
        <v>Ballymahon</v>
      </c>
      <c r="K510" t="str">
        <f>VLOOKUP(F510,'Customers (2)'!A:I,7,0)</f>
        <v>Ireland</v>
      </c>
      <c r="L510" t="str">
        <f>VLOOKUP(F510,'Customers (2)'!A:I,9,0)</f>
        <v>No</v>
      </c>
      <c r="M510" t="str">
        <f>VLOOKUP(N510,'Products (2)'!A:G,2,0)</f>
        <v>Liberica</v>
      </c>
      <c r="N510" t="s">
        <v>123</v>
      </c>
      <c r="O510" t="str">
        <f>VLOOKUP(N510,'Products (2)'!A:G,3,0)</f>
        <v>Dark</v>
      </c>
      <c r="P510">
        <f>VLOOKUP(N510,'Products (2)'!A:G,7,0)</f>
        <v>1.0101</v>
      </c>
      <c r="Q510">
        <v>6</v>
      </c>
      <c r="R510">
        <f>INDEX([1]products!$A$1:$G$49,MATCH([1]orders!$D510,[1]products!$A$1:$A$49,0),MATCH([1]orders!K$1,[1]products!$A$1:$G$1,0))</f>
        <v>0.5</v>
      </c>
      <c r="S510">
        <f>INDEX([1]products!$A$1:$G$49,MATCH([1]orders!$D510,[1]products!$A$1:$A$49,0),MATCH([1]orders!L$1,[1]products!$A$1:$G$1,0))</f>
        <v>7.77</v>
      </c>
      <c r="T510">
        <f t="shared" si="43"/>
        <v>46.62</v>
      </c>
      <c r="U510">
        <f t="shared" si="46"/>
        <v>6.0606</v>
      </c>
      <c r="V510">
        <f t="shared" si="47"/>
        <v>13</v>
      </c>
    </row>
    <row r="511" spans="1:22" x14ac:dyDescent="0.25">
      <c r="A511" t="s">
        <v>1003</v>
      </c>
      <c r="B511">
        <v>43785</v>
      </c>
      <c r="C511" t="str">
        <f t="shared" si="44"/>
        <v>16</v>
      </c>
      <c r="D511" t="str">
        <f t="shared" si="42"/>
        <v>November</v>
      </c>
      <c r="E511" t="str">
        <f t="shared" si="45"/>
        <v>2019</v>
      </c>
      <c r="F511" t="s">
        <v>988</v>
      </c>
      <c r="G511" t="str">
        <f>VLOOKUP(F511,'Customers (2)'!A:I,2,0)</f>
        <v>Marja Urion</v>
      </c>
      <c r="H511" t="str">
        <f>VLOOKUP(F511,'Customers (2)'!A:I,3,0)</f>
        <v>murione5@alexa.com</v>
      </c>
      <c r="I511" t="str">
        <f>VLOOKUP(F511,'Customers (2)'!A:I,4,0)</f>
        <v>+353 (715) 989-0283</v>
      </c>
      <c r="J511" t="str">
        <f>VLOOKUP(F511,'Customers (2)'!A:I,6,0)</f>
        <v>Virginia</v>
      </c>
      <c r="K511" t="str">
        <f>VLOOKUP(F511,'Customers (2)'!A:I,7,0)</f>
        <v>Ireland</v>
      </c>
      <c r="L511" t="str">
        <f>VLOOKUP(F511,'Customers (2)'!A:I,9,0)</f>
        <v>Yes</v>
      </c>
      <c r="M511" t="str">
        <f>VLOOKUP(N511,'Products (2)'!A:G,2,0)</f>
        <v>Arabica</v>
      </c>
      <c r="N511" t="s">
        <v>27</v>
      </c>
      <c r="O511" t="str">
        <f>VLOOKUP(N511,'Products (2)'!A:G,3,0)</f>
        <v>Dark</v>
      </c>
      <c r="P511">
        <f>VLOOKUP(N511,'Products (2)'!A:G,7,0)</f>
        <v>0.89549999999999985</v>
      </c>
      <c r="Q511">
        <v>3</v>
      </c>
      <c r="R511">
        <f>INDEX([1]products!$A$1:$G$49,MATCH([1]orders!$D511,[1]products!$A$1:$A$49,0),MATCH([1]orders!K$1,[1]products!$A$1:$G$1,0))</f>
        <v>1</v>
      </c>
      <c r="S511">
        <f>INDEX([1]products!$A$1:$G$49,MATCH([1]orders!$D511,[1]products!$A$1:$A$49,0),MATCH([1]orders!L$1,[1]products!$A$1:$G$1,0))</f>
        <v>9.9499999999999993</v>
      </c>
      <c r="T511">
        <f t="shared" si="43"/>
        <v>29.849999999999998</v>
      </c>
      <c r="U511">
        <f t="shared" si="46"/>
        <v>2.6864999999999997</v>
      </c>
      <c r="V511">
        <f t="shared" si="47"/>
        <v>9</v>
      </c>
    </row>
    <row r="512" spans="1:22" x14ac:dyDescent="0.25">
      <c r="A512" t="s">
        <v>1004</v>
      </c>
      <c r="B512">
        <v>43803</v>
      </c>
      <c r="C512" t="str">
        <f t="shared" si="44"/>
        <v>04</v>
      </c>
      <c r="D512" t="str">
        <f t="shared" si="42"/>
        <v>December</v>
      </c>
      <c r="E512" t="str">
        <f t="shared" si="45"/>
        <v>2019</v>
      </c>
      <c r="F512" t="s">
        <v>1005</v>
      </c>
      <c r="G512" t="str">
        <f>VLOOKUP(F512,'Customers (2)'!A:I,2,0)</f>
        <v>Camellia Kid</v>
      </c>
      <c r="H512" t="str">
        <f>VLOOKUP(F512,'Customers (2)'!A:I,3,0)</f>
        <v>ckide6@narod.ru</v>
      </c>
      <c r="I512" t="str">
        <f>VLOOKUP(F512,'Customers (2)'!A:I,4,0)</f>
        <v>+353 (866) 707-2603</v>
      </c>
      <c r="J512" t="str">
        <f>VLOOKUP(F512,'Customers (2)'!A:I,6,0)</f>
        <v>Whitegate</v>
      </c>
      <c r="K512" t="str">
        <f>VLOOKUP(F512,'Customers (2)'!A:I,7,0)</f>
        <v>Ireland</v>
      </c>
      <c r="L512" t="str">
        <f>VLOOKUP(F512,'Customers (2)'!A:I,9,0)</f>
        <v>Yes</v>
      </c>
      <c r="M512" t="str">
        <f>VLOOKUP(N512,'Products (2)'!A:G,2,0)</f>
        <v>Robusta</v>
      </c>
      <c r="N512" t="s">
        <v>182</v>
      </c>
      <c r="O512" t="str">
        <f>VLOOKUP(N512,'Products (2)'!A:G,3,0)</f>
        <v>Light</v>
      </c>
      <c r="P512">
        <f>VLOOKUP(N512,'Products (2)'!A:G,7,0)</f>
        <v>0.21509999999999996</v>
      </c>
      <c r="Q512">
        <v>3</v>
      </c>
      <c r="R512">
        <f>INDEX([1]products!$A$1:$G$49,MATCH([1]orders!$D512,[1]products!$A$1:$A$49,0),MATCH([1]orders!K$1,[1]products!$A$1:$G$1,0))</f>
        <v>0.2</v>
      </c>
      <c r="S512">
        <f>INDEX([1]products!$A$1:$G$49,MATCH([1]orders!$D512,[1]products!$A$1:$A$49,0),MATCH([1]orders!L$1,[1]products!$A$1:$G$1,0))</f>
        <v>3.5849999999999995</v>
      </c>
      <c r="T512">
        <f t="shared" si="43"/>
        <v>10.754999999999999</v>
      </c>
      <c r="U512">
        <f t="shared" si="46"/>
        <v>0.64529999999999987</v>
      </c>
      <c r="V512">
        <f t="shared" si="47"/>
        <v>5.9999999999999991</v>
      </c>
    </row>
    <row r="513" spans="1:22" x14ac:dyDescent="0.25">
      <c r="A513" t="s">
        <v>1006</v>
      </c>
      <c r="B513">
        <v>44043</v>
      </c>
      <c r="C513" t="str">
        <f t="shared" si="44"/>
        <v>31</v>
      </c>
      <c r="D513" t="str">
        <f t="shared" si="42"/>
        <v>July</v>
      </c>
      <c r="E513" t="str">
        <f t="shared" si="45"/>
        <v>2020</v>
      </c>
      <c r="F513" t="s">
        <v>1007</v>
      </c>
      <c r="G513" t="str">
        <f>VLOOKUP(F513,'Customers (2)'!A:I,2,0)</f>
        <v>Carolann Beine</v>
      </c>
      <c r="H513" t="str">
        <f>VLOOKUP(F513,'Customers (2)'!A:I,3,0)</f>
        <v>cbeinee7@xinhuanet.com</v>
      </c>
      <c r="I513" t="str">
        <f>VLOOKUP(F513,'Customers (2)'!A:I,4,0)</f>
        <v>+1 (205) 468-0236</v>
      </c>
      <c r="J513" t="str">
        <f>VLOOKUP(F513,'Customers (2)'!A:I,6,0)</f>
        <v>Birmingham</v>
      </c>
      <c r="K513" t="str">
        <f>VLOOKUP(F513,'Customers (2)'!A:I,7,0)</f>
        <v>United States</v>
      </c>
      <c r="L513" t="str">
        <f>VLOOKUP(F513,'Customers (2)'!A:I,9,0)</f>
        <v>Yes</v>
      </c>
      <c r="M513" t="str">
        <f>VLOOKUP(N513,'Products (2)'!A:G,2,0)</f>
        <v>Arabica</v>
      </c>
      <c r="N513" t="s">
        <v>44</v>
      </c>
      <c r="O513" t="str">
        <f>VLOOKUP(N513,'Products (2)'!A:G,3,0)</f>
        <v>Medium</v>
      </c>
      <c r="P513">
        <f>VLOOKUP(N513,'Products (2)'!A:G,7,0)</f>
        <v>0.30374999999999996</v>
      </c>
      <c r="Q513">
        <v>4</v>
      </c>
      <c r="R513">
        <f>INDEX([1]products!$A$1:$G$49,MATCH([1]orders!$D513,[1]products!$A$1:$A$49,0),MATCH([1]orders!K$1,[1]products!$A$1:$G$1,0))</f>
        <v>0.2</v>
      </c>
      <c r="S513">
        <f>INDEX([1]products!$A$1:$G$49,MATCH([1]orders!$D513,[1]products!$A$1:$A$49,0),MATCH([1]orders!L$1,[1]products!$A$1:$G$1,0))</f>
        <v>3.375</v>
      </c>
      <c r="T513">
        <f t="shared" si="43"/>
        <v>13.5</v>
      </c>
      <c r="U513">
        <f t="shared" si="46"/>
        <v>1.2149999999999999</v>
      </c>
      <c r="V513">
        <f t="shared" si="47"/>
        <v>8.9999999999999982</v>
      </c>
    </row>
    <row r="514" spans="1:22" x14ac:dyDescent="0.25">
      <c r="A514" t="s">
        <v>1008</v>
      </c>
      <c r="B514">
        <v>43535</v>
      </c>
      <c r="C514" t="str">
        <f t="shared" si="44"/>
        <v>11</v>
      </c>
      <c r="D514" t="str">
        <f t="shared" ref="D514:D577" si="48">TEXT(B:B,"MMMM")</f>
        <v>March</v>
      </c>
      <c r="E514" t="str">
        <f t="shared" si="45"/>
        <v>2019</v>
      </c>
      <c r="F514" t="s">
        <v>1009</v>
      </c>
      <c r="G514" t="str">
        <f>VLOOKUP(F514,'Customers (2)'!A:I,2,0)</f>
        <v>Celia Bakeup</v>
      </c>
      <c r="H514" t="str">
        <f>VLOOKUP(F514,'Customers (2)'!A:I,3,0)</f>
        <v>cbakeupe8@globo.com</v>
      </c>
      <c r="I514" t="str">
        <f>VLOOKUP(F514,'Customers (2)'!A:I,4,0)</f>
        <v>+1 (320) 375-8504</v>
      </c>
      <c r="J514" t="str">
        <f>VLOOKUP(F514,'Customers (2)'!A:I,6,0)</f>
        <v>Saint Cloud</v>
      </c>
      <c r="K514" t="str">
        <f>VLOOKUP(F514,'Customers (2)'!A:I,7,0)</f>
        <v>United States</v>
      </c>
      <c r="L514" t="str">
        <f>VLOOKUP(F514,'Customers (2)'!A:I,9,0)</f>
        <v>No</v>
      </c>
      <c r="M514" t="str">
        <f>VLOOKUP(N514,'Products (2)'!A:G,2,0)</f>
        <v>Liberica</v>
      </c>
      <c r="N514" t="s">
        <v>132</v>
      </c>
      <c r="O514" t="str">
        <f>VLOOKUP(N514,'Products (2)'!A:G,3,0)</f>
        <v>Light</v>
      </c>
      <c r="P514">
        <f>VLOOKUP(N514,'Products (2)'!A:G,7,0)</f>
        <v>2.0605000000000002</v>
      </c>
      <c r="Q514">
        <v>3</v>
      </c>
      <c r="R514">
        <f>INDEX([1]products!$A$1:$G$49,MATCH([1]orders!$D514,[1]products!$A$1:$A$49,0),MATCH([1]orders!K$1,[1]products!$A$1:$G$1,0))</f>
        <v>1</v>
      </c>
      <c r="S514">
        <f>INDEX([1]products!$A$1:$G$49,MATCH([1]orders!$D514,[1]products!$A$1:$A$49,0),MATCH([1]orders!L$1,[1]products!$A$1:$G$1,0))</f>
        <v>15.85</v>
      </c>
      <c r="T514">
        <f t="shared" ref="T514:T577" si="49">Q514*S514</f>
        <v>47.55</v>
      </c>
      <c r="U514">
        <f t="shared" si="46"/>
        <v>6.1815000000000007</v>
      </c>
      <c r="V514">
        <f t="shared" si="47"/>
        <v>13.000000000000004</v>
      </c>
    </row>
    <row r="515" spans="1:22" x14ac:dyDescent="0.25">
      <c r="A515" t="s">
        <v>1010</v>
      </c>
      <c r="B515">
        <v>44691</v>
      </c>
      <c r="C515" t="str">
        <f t="shared" ref="C515:C578" si="50">TEXT(B:B,"DD")</f>
        <v>10</v>
      </c>
      <c r="D515" t="str">
        <f t="shared" si="48"/>
        <v>May</v>
      </c>
      <c r="E515" t="str">
        <f t="shared" ref="E515:E578" si="51">TEXT(B:B,"yyyy")</f>
        <v>2022</v>
      </c>
      <c r="F515" t="s">
        <v>1011</v>
      </c>
      <c r="G515" t="str">
        <f>VLOOKUP(F515,'Customers (2)'!A:I,2,0)</f>
        <v>Nataniel Helkin</v>
      </c>
      <c r="H515" t="str">
        <f>VLOOKUP(F515,'Customers (2)'!A:I,3,0)</f>
        <v>nhelkine9@example.com</v>
      </c>
      <c r="I515">
        <f>VLOOKUP(F515,'Customers (2)'!A:I,4,0)</f>
        <v>0</v>
      </c>
      <c r="J515" t="str">
        <f>VLOOKUP(F515,'Customers (2)'!A:I,6,0)</f>
        <v>Philadelphia</v>
      </c>
      <c r="K515" t="str">
        <f>VLOOKUP(F515,'Customers (2)'!A:I,7,0)</f>
        <v>United States</v>
      </c>
      <c r="L515" t="str">
        <f>VLOOKUP(F515,'Customers (2)'!A:I,9,0)</f>
        <v>No</v>
      </c>
      <c r="M515" t="str">
        <f>VLOOKUP(N515,'Products (2)'!A:G,2,0)</f>
        <v>Liberica</v>
      </c>
      <c r="N515" t="s">
        <v>132</v>
      </c>
      <c r="O515" t="str">
        <f>VLOOKUP(N515,'Products (2)'!A:G,3,0)</f>
        <v>Light</v>
      </c>
      <c r="P515">
        <f>VLOOKUP(N515,'Products (2)'!A:G,7,0)</f>
        <v>2.0605000000000002</v>
      </c>
      <c r="Q515">
        <v>5</v>
      </c>
      <c r="R515">
        <f>INDEX([1]products!$A$1:$G$49,MATCH([1]orders!$D515,[1]products!$A$1:$A$49,0),MATCH([1]orders!K$1,[1]products!$A$1:$G$1,0))</f>
        <v>1</v>
      </c>
      <c r="S515">
        <f>INDEX([1]products!$A$1:$G$49,MATCH([1]orders!$D515,[1]products!$A$1:$A$49,0),MATCH([1]orders!L$1,[1]products!$A$1:$G$1,0))</f>
        <v>15.85</v>
      </c>
      <c r="T515">
        <f t="shared" si="49"/>
        <v>79.25</v>
      </c>
      <c r="U515">
        <f t="shared" ref="U515:U578" si="52">Q515*P515</f>
        <v>10.302500000000002</v>
      </c>
      <c r="V515">
        <f t="shared" ref="V515:V578" si="53">U515/T515*100</f>
        <v>13.000000000000004</v>
      </c>
    </row>
    <row r="516" spans="1:22" x14ac:dyDescent="0.25">
      <c r="A516" t="s">
        <v>1012</v>
      </c>
      <c r="B516">
        <v>44555</v>
      </c>
      <c r="C516" t="str">
        <f t="shared" si="50"/>
        <v>25</v>
      </c>
      <c r="D516" t="str">
        <f t="shared" si="48"/>
        <v>December</v>
      </c>
      <c r="E516" t="str">
        <f t="shared" si="51"/>
        <v>2021</v>
      </c>
      <c r="F516" t="s">
        <v>1013</v>
      </c>
      <c r="G516" t="str">
        <f>VLOOKUP(F516,'Customers (2)'!A:I,2,0)</f>
        <v>Pippo Witherington</v>
      </c>
      <c r="H516" t="str">
        <f>VLOOKUP(F516,'Customers (2)'!A:I,3,0)</f>
        <v>pwitheringtonea@networkadvertising.org</v>
      </c>
      <c r="I516" t="str">
        <f>VLOOKUP(F516,'Customers (2)'!A:I,4,0)</f>
        <v>+1 (810) 202-8870</v>
      </c>
      <c r="J516" t="str">
        <f>VLOOKUP(F516,'Customers (2)'!A:I,6,0)</f>
        <v>Detroit</v>
      </c>
      <c r="K516" t="str">
        <f>VLOOKUP(F516,'Customers (2)'!A:I,7,0)</f>
        <v>United States</v>
      </c>
      <c r="L516" t="str">
        <f>VLOOKUP(F516,'Customers (2)'!A:I,9,0)</f>
        <v>Yes</v>
      </c>
      <c r="M516" t="str">
        <f>VLOOKUP(N516,'Products (2)'!A:G,2,0)</f>
        <v>Liberica</v>
      </c>
      <c r="N516" t="s">
        <v>77</v>
      </c>
      <c r="O516" t="str">
        <f>VLOOKUP(N516,'Products (2)'!A:G,3,0)</f>
        <v>Medium</v>
      </c>
      <c r="P516">
        <f>VLOOKUP(N516,'Products (2)'!A:G,7,0)</f>
        <v>0.56745000000000001</v>
      </c>
      <c r="Q516">
        <v>6</v>
      </c>
      <c r="R516">
        <f>INDEX([1]products!$A$1:$G$49,MATCH([1]orders!$D516,[1]products!$A$1:$A$49,0),MATCH([1]orders!K$1,[1]products!$A$1:$G$1,0))</f>
        <v>0.2</v>
      </c>
      <c r="S516">
        <f>INDEX([1]products!$A$1:$G$49,MATCH([1]orders!$D516,[1]products!$A$1:$A$49,0),MATCH([1]orders!L$1,[1]products!$A$1:$G$1,0))</f>
        <v>4.3650000000000002</v>
      </c>
      <c r="T516">
        <f t="shared" si="49"/>
        <v>26.19</v>
      </c>
      <c r="U516">
        <f t="shared" si="52"/>
        <v>3.4047000000000001</v>
      </c>
      <c r="V516">
        <f t="shared" si="53"/>
        <v>13</v>
      </c>
    </row>
    <row r="517" spans="1:22" x14ac:dyDescent="0.25">
      <c r="A517" t="s">
        <v>1014</v>
      </c>
      <c r="B517">
        <v>44673</v>
      </c>
      <c r="C517" t="str">
        <f t="shared" si="50"/>
        <v>22</v>
      </c>
      <c r="D517" t="str">
        <f t="shared" si="48"/>
        <v>April</v>
      </c>
      <c r="E517" t="str">
        <f t="shared" si="51"/>
        <v>2022</v>
      </c>
      <c r="F517" t="s">
        <v>1015</v>
      </c>
      <c r="G517" t="str">
        <f>VLOOKUP(F517,'Customers (2)'!A:I,2,0)</f>
        <v>Tildie Tilzey</v>
      </c>
      <c r="H517" t="str">
        <f>VLOOKUP(F517,'Customers (2)'!A:I,3,0)</f>
        <v>ttilzeyeb@hostgator.com</v>
      </c>
      <c r="I517" t="str">
        <f>VLOOKUP(F517,'Customers (2)'!A:I,4,0)</f>
        <v>+1 (314) 876-7205</v>
      </c>
      <c r="J517" t="str">
        <f>VLOOKUP(F517,'Customers (2)'!A:I,6,0)</f>
        <v>Saint Louis</v>
      </c>
      <c r="K517" t="str">
        <f>VLOOKUP(F517,'Customers (2)'!A:I,7,0)</f>
        <v>United States</v>
      </c>
      <c r="L517" t="str">
        <f>VLOOKUP(F517,'Customers (2)'!A:I,9,0)</f>
        <v>No</v>
      </c>
      <c r="M517" t="str">
        <f>VLOOKUP(N517,'Products (2)'!A:G,2,0)</f>
        <v>Robusta</v>
      </c>
      <c r="N517" t="s">
        <v>157</v>
      </c>
      <c r="O517" t="str">
        <f>VLOOKUP(N517,'Products (2)'!A:G,3,0)</f>
        <v>Light</v>
      </c>
      <c r="P517">
        <f>VLOOKUP(N517,'Products (2)'!A:G,7,0)</f>
        <v>0.43019999999999992</v>
      </c>
      <c r="Q517">
        <v>3</v>
      </c>
      <c r="R517">
        <f>INDEX([1]products!$A$1:$G$49,MATCH([1]orders!$D517,[1]products!$A$1:$A$49,0),MATCH([1]orders!K$1,[1]products!$A$1:$G$1,0))</f>
        <v>0.5</v>
      </c>
      <c r="S517">
        <f>INDEX([1]products!$A$1:$G$49,MATCH([1]orders!$D517,[1]products!$A$1:$A$49,0),MATCH([1]orders!L$1,[1]products!$A$1:$G$1,0))</f>
        <v>7.169999999999999</v>
      </c>
      <c r="T517">
        <f t="shared" si="49"/>
        <v>21.509999999999998</v>
      </c>
      <c r="U517">
        <f t="shared" si="52"/>
        <v>1.2905999999999997</v>
      </c>
      <c r="V517">
        <f t="shared" si="53"/>
        <v>5.9999999999999991</v>
      </c>
    </row>
    <row r="518" spans="1:22" x14ac:dyDescent="0.25">
      <c r="A518" t="s">
        <v>1016</v>
      </c>
      <c r="B518">
        <v>44723</v>
      </c>
      <c r="C518" t="str">
        <f t="shared" si="50"/>
        <v>11</v>
      </c>
      <c r="D518" t="str">
        <f t="shared" si="48"/>
        <v>June</v>
      </c>
      <c r="E518" t="str">
        <f t="shared" si="51"/>
        <v>2022</v>
      </c>
      <c r="F518" t="s">
        <v>1017</v>
      </c>
      <c r="G518" t="str">
        <f>VLOOKUP(F518,'Customers (2)'!A:I,2,0)</f>
        <v>Cindra Burling</v>
      </c>
      <c r="H518">
        <f>VLOOKUP(F518,'Customers (2)'!A:I,3,0)</f>
        <v>0</v>
      </c>
      <c r="I518" t="str">
        <f>VLOOKUP(F518,'Customers (2)'!A:I,4,0)</f>
        <v>+1 (518) 562-5402</v>
      </c>
      <c r="J518" t="str">
        <f>VLOOKUP(F518,'Customers (2)'!A:I,6,0)</f>
        <v>Schenectady</v>
      </c>
      <c r="K518" t="str">
        <f>VLOOKUP(F518,'Customers (2)'!A:I,7,0)</f>
        <v>United States</v>
      </c>
      <c r="L518" t="str">
        <f>VLOOKUP(F518,'Customers (2)'!A:I,9,0)</f>
        <v>Yes</v>
      </c>
      <c r="M518" t="str">
        <f>VLOOKUP(N518,'Products (2)'!A:G,2,0)</f>
        <v>Robusta</v>
      </c>
      <c r="N518" t="s">
        <v>35</v>
      </c>
      <c r="O518" t="str">
        <f>VLOOKUP(N518,'Products (2)'!A:G,3,0)</f>
        <v>Dark</v>
      </c>
      <c r="P518">
        <f>VLOOKUP(N518,'Products (2)'!A:G,7,0)</f>
        <v>1.2350999999999999</v>
      </c>
      <c r="Q518">
        <v>5</v>
      </c>
      <c r="R518">
        <f>INDEX([1]products!$A$1:$G$49,MATCH([1]orders!$D518,[1]products!$A$1:$A$49,0),MATCH([1]orders!K$1,[1]products!$A$1:$G$1,0))</f>
        <v>2.5</v>
      </c>
      <c r="S518">
        <f>INDEX([1]products!$A$1:$G$49,MATCH([1]orders!$D518,[1]products!$A$1:$A$49,0),MATCH([1]orders!L$1,[1]products!$A$1:$G$1,0))</f>
        <v>20.584999999999997</v>
      </c>
      <c r="T518">
        <f t="shared" si="49"/>
        <v>102.92499999999998</v>
      </c>
      <c r="U518">
        <f t="shared" si="52"/>
        <v>6.1754999999999995</v>
      </c>
      <c r="V518">
        <f t="shared" si="53"/>
        <v>6.0000000000000009</v>
      </c>
    </row>
    <row r="519" spans="1:22" x14ac:dyDescent="0.25">
      <c r="A519" t="s">
        <v>1018</v>
      </c>
      <c r="B519">
        <v>44678</v>
      </c>
      <c r="C519" t="str">
        <f t="shared" si="50"/>
        <v>27</v>
      </c>
      <c r="D519" t="str">
        <f t="shared" si="48"/>
        <v>April</v>
      </c>
      <c r="E519" t="str">
        <f t="shared" si="51"/>
        <v>2022</v>
      </c>
      <c r="F519" t="s">
        <v>1019</v>
      </c>
      <c r="G519" t="str">
        <f>VLOOKUP(F519,'Customers (2)'!A:I,2,0)</f>
        <v>Channa Belamy</v>
      </c>
      <c r="H519">
        <f>VLOOKUP(F519,'Customers (2)'!A:I,3,0)</f>
        <v>0</v>
      </c>
      <c r="I519" t="str">
        <f>VLOOKUP(F519,'Customers (2)'!A:I,4,0)</f>
        <v>+1 (863) 303-5561</v>
      </c>
      <c r="J519" t="str">
        <f>VLOOKUP(F519,'Customers (2)'!A:I,6,0)</f>
        <v>Lakeland</v>
      </c>
      <c r="K519" t="str">
        <f>VLOOKUP(F519,'Customers (2)'!A:I,7,0)</f>
        <v>United States</v>
      </c>
      <c r="L519" t="str">
        <f>VLOOKUP(F519,'Customers (2)'!A:I,9,0)</f>
        <v>No</v>
      </c>
      <c r="M519" t="str">
        <f>VLOOKUP(N519,'Products (2)'!A:G,2,0)</f>
        <v>Liberica</v>
      </c>
      <c r="N519" t="s">
        <v>38</v>
      </c>
      <c r="O519" t="str">
        <f>VLOOKUP(N519,'Products (2)'!A:G,3,0)</f>
        <v>Dark</v>
      </c>
      <c r="P519">
        <f>VLOOKUP(N519,'Products (2)'!A:G,7,0)</f>
        <v>0.50505</v>
      </c>
      <c r="Q519">
        <v>2</v>
      </c>
      <c r="R519">
        <f>INDEX([1]products!$A$1:$G$49,MATCH([1]orders!$D519,[1]products!$A$1:$A$49,0),MATCH([1]orders!K$1,[1]products!$A$1:$G$1,0))</f>
        <v>0.2</v>
      </c>
      <c r="S519">
        <f>INDEX([1]products!$A$1:$G$49,MATCH([1]orders!$D519,[1]products!$A$1:$A$49,0),MATCH([1]orders!L$1,[1]products!$A$1:$G$1,0))</f>
        <v>3.8849999999999998</v>
      </c>
      <c r="T519">
        <f t="shared" si="49"/>
        <v>7.77</v>
      </c>
      <c r="U519">
        <f t="shared" si="52"/>
        <v>1.0101</v>
      </c>
      <c r="V519">
        <f t="shared" si="53"/>
        <v>13</v>
      </c>
    </row>
    <row r="520" spans="1:22" x14ac:dyDescent="0.25">
      <c r="A520" t="s">
        <v>1020</v>
      </c>
      <c r="B520">
        <v>44194</v>
      </c>
      <c r="C520" t="str">
        <f t="shared" si="50"/>
        <v>29</v>
      </c>
      <c r="D520" t="str">
        <f t="shared" si="48"/>
        <v>December</v>
      </c>
      <c r="E520" t="str">
        <f t="shared" si="51"/>
        <v>2020</v>
      </c>
      <c r="F520" t="s">
        <v>1021</v>
      </c>
      <c r="G520" t="str">
        <f>VLOOKUP(F520,'Customers (2)'!A:I,2,0)</f>
        <v>Karl Imorts</v>
      </c>
      <c r="H520" t="str">
        <f>VLOOKUP(F520,'Customers (2)'!A:I,3,0)</f>
        <v>kimortsee@alexa.com</v>
      </c>
      <c r="I520" t="str">
        <f>VLOOKUP(F520,'Customers (2)'!A:I,4,0)</f>
        <v>+1 (321) 156-1160</v>
      </c>
      <c r="J520" t="str">
        <f>VLOOKUP(F520,'Customers (2)'!A:I,6,0)</f>
        <v>Melbourne</v>
      </c>
      <c r="K520" t="str">
        <f>VLOOKUP(F520,'Customers (2)'!A:I,7,0)</f>
        <v>United States</v>
      </c>
      <c r="L520" t="str">
        <f>VLOOKUP(F520,'Customers (2)'!A:I,9,0)</f>
        <v>No</v>
      </c>
      <c r="M520" t="str">
        <f>VLOOKUP(N520,'Products (2)'!A:G,2,0)</f>
        <v>Excelsa</v>
      </c>
      <c r="N520" t="s">
        <v>530</v>
      </c>
      <c r="O520" t="str">
        <f>VLOOKUP(N520,'Products (2)'!A:G,3,0)</f>
        <v>Dark</v>
      </c>
      <c r="P520">
        <f>VLOOKUP(N520,'Products (2)'!A:G,7,0)</f>
        <v>3.07395</v>
      </c>
      <c r="Q520">
        <v>5</v>
      </c>
      <c r="R520">
        <f>INDEX([1]products!$A$1:$G$49,MATCH([1]orders!$D520,[1]products!$A$1:$A$49,0),MATCH([1]orders!K$1,[1]products!$A$1:$G$1,0))</f>
        <v>2.5</v>
      </c>
      <c r="S520">
        <f>INDEX([1]products!$A$1:$G$49,MATCH([1]orders!$D520,[1]products!$A$1:$A$49,0),MATCH([1]orders!L$1,[1]products!$A$1:$G$1,0))</f>
        <v>27.945</v>
      </c>
      <c r="T520">
        <f t="shared" si="49"/>
        <v>139.72499999999999</v>
      </c>
      <c r="U520">
        <f t="shared" si="52"/>
        <v>15.36975</v>
      </c>
      <c r="V520">
        <f t="shared" si="53"/>
        <v>11</v>
      </c>
    </row>
    <row r="521" spans="1:22" x14ac:dyDescent="0.25">
      <c r="A521" t="s">
        <v>1022</v>
      </c>
      <c r="B521">
        <v>44026</v>
      </c>
      <c r="C521" t="str">
        <f t="shared" si="50"/>
        <v>14</v>
      </c>
      <c r="D521" t="str">
        <f t="shared" si="48"/>
        <v>July</v>
      </c>
      <c r="E521" t="str">
        <f t="shared" si="51"/>
        <v>2020</v>
      </c>
      <c r="F521" t="s">
        <v>988</v>
      </c>
      <c r="G521" t="str">
        <f>VLOOKUP(F521,'Customers (2)'!A:I,2,0)</f>
        <v>Marja Urion</v>
      </c>
      <c r="H521" t="str">
        <f>VLOOKUP(F521,'Customers (2)'!A:I,3,0)</f>
        <v>murione5@alexa.com</v>
      </c>
      <c r="I521" t="str">
        <f>VLOOKUP(F521,'Customers (2)'!A:I,4,0)</f>
        <v>+353 (715) 989-0283</v>
      </c>
      <c r="J521" t="str">
        <f>VLOOKUP(F521,'Customers (2)'!A:I,6,0)</f>
        <v>Virginia</v>
      </c>
      <c r="K521" t="str">
        <f>VLOOKUP(F521,'Customers (2)'!A:I,7,0)</f>
        <v>Ireland</v>
      </c>
      <c r="L521" t="str">
        <f>VLOOKUP(F521,'Customers (2)'!A:I,9,0)</f>
        <v>Yes</v>
      </c>
      <c r="M521" t="str">
        <f>VLOOKUP(N521,'Products (2)'!A:G,2,0)</f>
        <v>Arabica</v>
      </c>
      <c r="N521" t="s">
        <v>72</v>
      </c>
      <c r="O521" t="str">
        <f>VLOOKUP(N521,'Products (2)'!A:G,3,0)</f>
        <v>Dark</v>
      </c>
      <c r="P521">
        <f>VLOOKUP(N521,'Products (2)'!A:G,7,0)</f>
        <v>0.5373</v>
      </c>
      <c r="Q521">
        <v>2</v>
      </c>
      <c r="R521">
        <f>INDEX([1]products!$A$1:$G$49,MATCH([1]orders!$D521,[1]products!$A$1:$A$49,0),MATCH([1]orders!K$1,[1]products!$A$1:$G$1,0))</f>
        <v>0.5</v>
      </c>
      <c r="S521">
        <f>INDEX([1]products!$A$1:$G$49,MATCH([1]orders!$D521,[1]products!$A$1:$A$49,0),MATCH([1]orders!L$1,[1]products!$A$1:$G$1,0))</f>
        <v>5.97</v>
      </c>
      <c r="T521">
        <f t="shared" si="49"/>
        <v>11.94</v>
      </c>
      <c r="U521">
        <f t="shared" si="52"/>
        <v>1.0746</v>
      </c>
      <c r="V521">
        <f t="shared" si="53"/>
        <v>9.0000000000000018</v>
      </c>
    </row>
    <row r="522" spans="1:22" x14ac:dyDescent="0.25">
      <c r="A522" t="s">
        <v>1023</v>
      </c>
      <c r="B522">
        <v>44446</v>
      </c>
      <c r="C522" t="str">
        <f t="shared" si="50"/>
        <v>07</v>
      </c>
      <c r="D522" t="str">
        <f t="shared" si="48"/>
        <v>September</v>
      </c>
      <c r="E522" t="str">
        <f t="shared" si="51"/>
        <v>2021</v>
      </c>
      <c r="F522" t="s">
        <v>1024</v>
      </c>
      <c r="G522" t="str">
        <f>VLOOKUP(F522,'Customers (2)'!A:I,2,0)</f>
        <v>Mag Armistead</v>
      </c>
      <c r="H522" t="str">
        <f>VLOOKUP(F522,'Customers (2)'!A:I,3,0)</f>
        <v>marmisteadeg@blogtalkradio.com</v>
      </c>
      <c r="I522" t="str">
        <f>VLOOKUP(F522,'Customers (2)'!A:I,4,0)</f>
        <v>+1 (504) 611-3400</v>
      </c>
      <c r="J522" t="str">
        <f>VLOOKUP(F522,'Customers (2)'!A:I,6,0)</f>
        <v>New Orleans</v>
      </c>
      <c r="K522" t="str">
        <f>VLOOKUP(F522,'Customers (2)'!A:I,7,0)</f>
        <v>United States</v>
      </c>
      <c r="L522" t="str">
        <f>VLOOKUP(F522,'Customers (2)'!A:I,9,0)</f>
        <v>No</v>
      </c>
      <c r="M522" t="str">
        <f>VLOOKUP(N522,'Products (2)'!A:G,2,0)</f>
        <v>Liberica</v>
      </c>
      <c r="N522" t="s">
        <v>38</v>
      </c>
      <c r="O522" t="str">
        <f>VLOOKUP(N522,'Products (2)'!A:G,3,0)</f>
        <v>Dark</v>
      </c>
      <c r="P522">
        <f>VLOOKUP(N522,'Products (2)'!A:G,7,0)</f>
        <v>0.50505</v>
      </c>
      <c r="Q522">
        <v>1</v>
      </c>
      <c r="R522">
        <f>INDEX([1]products!$A$1:$G$49,MATCH([1]orders!$D522,[1]products!$A$1:$A$49,0),MATCH([1]orders!K$1,[1]products!$A$1:$G$1,0))</f>
        <v>0.2</v>
      </c>
      <c r="S522">
        <f>INDEX([1]products!$A$1:$G$49,MATCH([1]orders!$D522,[1]products!$A$1:$A$49,0),MATCH([1]orders!L$1,[1]products!$A$1:$G$1,0))</f>
        <v>3.8849999999999998</v>
      </c>
      <c r="T522">
        <f t="shared" si="49"/>
        <v>3.8849999999999998</v>
      </c>
      <c r="U522">
        <f t="shared" si="52"/>
        <v>0.50505</v>
      </c>
      <c r="V522">
        <f t="shared" si="53"/>
        <v>13</v>
      </c>
    </row>
    <row r="523" spans="1:22" x14ac:dyDescent="0.25">
      <c r="A523" t="s">
        <v>1023</v>
      </c>
      <c r="B523">
        <v>44446</v>
      </c>
      <c r="C523" t="str">
        <f t="shared" si="50"/>
        <v>07</v>
      </c>
      <c r="D523" t="str">
        <f t="shared" si="48"/>
        <v>September</v>
      </c>
      <c r="E523" t="str">
        <f t="shared" si="51"/>
        <v>2021</v>
      </c>
      <c r="F523" t="s">
        <v>1024</v>
      </c>
      <c r="G523" t="str">
        <f>VLOOKUP(F523,'Customers (2)'!A:I,2,0)</f>
        <v>Mag Armistead</v>
      </c>
      <c r="H523" t="str">
        <f>VLOOKUP(F523,'Customers (2)'!A:I,3,0)</f>
        <v>marmisteadeg@blogtalkradio.com</v>
      </c>
      <c r="I523" t="str">
        <f>VLOOKUP(F523,'Customers (2)'!A:I,4,0)</f>
        <v>+1 (504) 611-3400</v>
      </c>
      <c r="J523" t="str">
        <f>VLOOKUP(F523,'Customers (2)'!A:I,6,0)</f>
        <v>New Orleans</v>
      </c>
      <c r="K523" t="str">
        <f>VLOOKUP(F523,'Customers (2)'!A:I,7,0)</f>
        <v>United States</v>
      </c>
      <c r="L523" t="str">
        <f>VLOOKUP(F523,'Customers (2)'!A:I,9,0)</f>
        <v>No</v>
      </c>
      <c r="M523" t="str">
        <f>VLOOKUP(N523,'Products (2)'!A:G,2,0)</f>
        <v>Robusta</v>
      </c>
      <c r="N523" t="s">
        <v>2</v>
      </c>
      <c r="O523" t="str">
        <f>VLOOKUP(N523,'Products (2)'!A:G,3,0)</f>
        <v>Medium</v>
      </c>
      <c r="P523">
        <f>VLOOKUP(N523,'Products (2)'!A:G,7,0)</f>
        <v>0.59699999999999998</v>
      </c>
      <c r="Q523">
        <v>4</v>
      </c>
      <c r="R523">
        <f>INDEX([1]products!$A$1:$G$49,MATCH([1]orders!$D523,[1]products!$A$1:$A$49,0),MATCH([1]orders!K$1,[1]products!$A$1:$G$1,0))</f>
        <v>1</v>
      </c>
      <c r="S523">
        <f>INDEX([1]products!$A$1:$G$49,MATCH([1]orders!$D523,[1]products!$A$1:$A$49,0),MATCH([1]orders!L$1,[1]products!$A$1:$G$1,0))</f>
        <v>9.9499999999999993</v>
      </c>
      <c r="T523">
        <f t="shared" si="49"/>
        <v>39.799999999999997</v>
      </c>
      <c r="U523">
        <f t="shared" si="52"/>
        <v>2.3879999999999999</v>
      </c>
      <c r="V523">
        <f t="shared" si="53"/>
        <v>6.0000000000000009</v>
      </c>
    </row>
    <row r="524" spans="1:22" x14ac:dyDescent="0.25">
      <c r="A524" t="s">
        <v>1025</v>
      </c>
      <c r="B524">
        <v>43625</v>
      </c>
      <c r="C524" t="str">
        <f t="shared" si="50"/>
        <v>09</v>
      </c>
      <c r="D524" t="str">
        <f t="shared" si="48"/>
        <v>June</v>
      </c>
      <c r="E524" t="str">
        <f t="shared" si="51"/>
        <v>2019</v>
      </c>
      <c r="F524" t="s">
        <v>1026</v>
      </c>
      <c r="G524" t="str">
        <f>VLOOKUP(F524,'Customers (2)'!A:I,2,0)</f>
        <v>Vasili Upstone</v>
      </c>
      <c r="H524" t="str">
        <f>VLOOKUP(F524,'Customers (2)'!A:I,3,0)</f>
        <v>vupstoneei@google.pl</v>
      </c>
      <c r="I524" t="str">
        <f>VLOOKUP(F524,'Customers (2)'!A:I,4,0)</f>
        <v>+1 (785) 366-9983</v>
      </c>
      <c r="J524" t="str">
        <f>VLOOKUP(F524,'Customers (2)'!A:I,6,0)</f>
        <v>Topeka</v>
      </c>
      <c r="K524" t="str">
        <f>VLOOKUP(F524,'Customers (2)'!A:I,7,0)</f>
        <v>United States</v>
      </c>
      <c r="L524" t="str">
        <f>VLOOKUP(F524,'Customers (2)'!A:I,9,0)</f>
        <v>No</v>
      </c>
      <c r="M524" t="str">
        <f>VLOOKUP(N524,'Products (2)'!A:G,2,0)</f>
        <v>Robusta</v>
      </c>
      <c r="N524" t="s">
        <v>22</v>
      </c>
      <c r="O524" t="str">
        <f>VLOOKUP(N524,'Products (2)'!A:G,3,0)</f>
        <v>Medium</v>
      </c>
      <c r="P524">
        <f>VLOOKUP(N524,'Products (2)'!A:G,7,0)</f>
        <v>0.35819999999999996</v>
      </c>
      <c r="Q524">
        <v>5</v>
      </c>
      <c r="R524">
        <f>INDEX([1]products!$A$1:$G$49,MATCH([1]orders!$D524,[1]products!$A$1:$A$49,0),MATCH([1]orders!K$1,[1]products!$A$1:$G$1,0))</f>
        <v>0.5</v>
      </c>
      <c r="S524">
        <f>INDEX([1]products!$A$1:$G$49,MATCH([1]orders!$D524,[1]products!$A$1:$A$49,0),MATCH([1]orders!L$1,[1]products!$A$1:$G$1,0))</f>
        <v>5.97</v>
      </c>
      <c r="T524">
        <f t="shared" si="49"/>
        <v>29.849999999999998</v>
      </c>
      <c r="U524">
        <f t="shared" si="52"/>
        <v>1.7909999999999999</v>
      </c>
      <c r="V524">
        <f t="shared" si="53"/>
        <v>6.0000000000000009</v>
      </c>
    </row>
    <row r="525" spans="1:22" x14ac:dyDescent="0.25">
      <c r="A525" t="s">
        <v>1027</v>
      </c>
      <c r="B525">
        <v>44129</v>
      </c>
      <c r="C525" t="str">
        <f t="shared" si="50"/>
        <v>25</v>
      </c>
      <c r="D525" t="str">
        <f t="shared" si="48"/>
        <v>October</v>
      </c>
      <c r="E525" t="str">
        <f t="shared" si="51"/>
        <v>2020</v>
      </c>
      <c r="F525" t="s">
        <v>1028</v>
      </c>
      <c r="G525" t="str">
        <f>VLOOKUP(F525,'Customers (2)'!A:I,2,0)</f>
        <v>Berty Beelby</v>
      </c>
      <c r="H525" t="str">
        <f>VLOOKUP(F525,'Customers (2)'!A:I,3,0)</f>
        <v>bbeelbyej@rediff.com</v>
      </c>
      <c r="I525" t="str">
        <f>VLOOKUP(F525,'Customers (2)'!A:I,4,0)</f>
        <v>+353 (537) 360-4393</v>
      </c>
      <c r="J525" t="str">
        <f>VLOOKUP(F525,'Customers (2)'!A:I,6,0)</f>
        <v>Lucan</v>
      </c>
      <c r="K525" t="str">
        <f>VLOOKUP(F525,'Customers (2)'!A:I,7,0)</f>
        <v>Ireland</v>
      </c>
      <c r="L525" t="str">
        <f>VLOOKUP(F525,'Customers (2)'!A:I,9,0)</f>
        <v>No</v>
      </c>
      <c r="M525" t="str">
        <f>VLOOKUP(N525,'Products (2)'!A:G,2,0)</f>
        <v>Liberica</v>
      </c>
      <c r="N525" t="s">
        <v>109</v>
      </c>
      <c r="O525" t="str">
        <f>VLOOKUP(N525,'Products (2)'!A:G,3,0)</f>
        <v>Dark</v>
      </c>
      <c r="P525">
        <f>VLOOKUP(N525,'Products (2)'!A:G,7,0)</f>
        <v>3.8720499999999998</v>
      </c>
      <c r="Q525">
        <v>1</v>
      </c>
      <c r="R525">
        <f>INDEX([1]products!$A$1:$G$49,MATCH([1]orders!$D525,[1]products!$A$1:$A$49,0),MATCH([1]orders!K$1,[1]products!$A$1:$G$1,0))</f>
        <v>2.5</v>
      </c>
      <c r="S525">
        <f>INDEX([1]products!$A$1:$G$49,MATCH([1]orders!$D525,[1]products!$A$1:$A$49,0),MATCH([1]orders!L$1,[1]products!$A$1:$G$1,0))</f>
        <v>29.784999999999997</v>
      </c>
      <c r="T525">
        <f t="shared" si="49"/>
        <v>29.784999999999997</v>
      </c>
      <c r="U525">
        <f t="shared" si="52"/>
        <v>3.8720499999999998</v>
      </c>
      <c r="V525">
        <f t="shared" si="53"/>
        <v>13</v>
      </c>
    </row>
    <row r="526" spans="1:22" x14ac:dyDescent="0.25">
      <c r="A526" t="s">
        <v>1029</v>
      </c>
      <c r="B526">
        <v>44255</v>
      </c>
      <c r="C526" t="str">
        <f t="shared" si="50"/>
        <v>28</v>
      </c>
      <c r="D526" t="str">
        <f t="shared" si="48"/>
        <v>February</v>
      </c>
      <c r="E526" t="str">
        <f t="shared" si="51"/>
        <v>2021</v>
      </c>
      <c r="F526" t="s">
        <v>1030</v>
      </c>
      <c r="G526" t="str">
        <f>VLOOKUP(F526,'Customers (2)'!A:I,2,0)</f>
        <v>Erny Stenyng</v>
      </c>
      <c r="H526">
        <f>VLOOKUP(F526,'Customers (2)'!A:I,3,0)</f>
        <v>0</v>
      </c>
      <c r="I526" t="str">
        <f>VLOOKUP(F526,'Customers (2)'!A:I,4,0)</f>
        <v>+1 (217) 450-8384</v>
      </c>
      <c r="J526" t="str">
        <f>VLOOKUP(F526,'Customers (2)'!A:I,6,0)</f>
        <v>Springfield</v>
      </c>
      <c r="K526" t="str">
        <f>VLOOKUP(F526,'Customers (2)'!A:I,7,0)</f>
        <v>United States</v>
      </c>
      <c r="L526" t="str">
        <f>VLOOKUP(F526,'Customers (2)'!A:I,9,0)</f>
        <v>No</v>
      </c>
      <c r="M526" t="str">
        <f>VLOOKUP(N526,'Products (2)'!A:G,2,0)</f>
        <v>Liberica</v>
      </c>
      <c r="N526" t="s">
        <v>104</v>
      </c>
      <c r="O526" t="str">
        <f>VLOOKUP(N526,'Products (2)'!A:G,3,0)</f>
        <v>Light</v>
      </c>
      <c r="P526">
        <f>VLOOKUP(N526,'Products (2)'!A:G,7,0)</f>
        <v>4.7391499999999995</v>
      </c>
      <c r="Q526">
        <v>2</v>
      </c>
      <c r="R526">
        <f>INDEX([1]products!$A$1:$G$49,MATCH([1]orders!$D526,[1]products!$A$1:$A$49,0),MATCH([1]orders!K$1,[1]products!$A$1:$G$1,0))</f>
        <v>2.5</v>
      </c>
      <c r="S526">
        <f>INDEX([1]products!$A$1:$G$49,MATCH([1]orders!$D526,[1]products!$A$1:$A$49,0),MATCH([1]orders!L$1,[1]products!$A$1:$G$1,0))</f>
        <v>36.454999999999998</v>
      </c>
      <c r="T526">
        <f t="shared" si="49"/>
        <v>72.91</v>
      </c>
      <c r="U526">
        <f t="shared" si="52"/>
        <v>9.4782999999999991</v>
      </c>
      <c r="V526">
        <f t="shared" si="53"/>
        <v>13</v>
      </c>
    </row>
    <row r="527" spans="1:22" x14ac:dyDescent="0.25">
      <c r="A527" t="s">
        <v>1031</v>
      </c>
      <c r="B527">
        <v>44038</v>
      </c>
      <c r="C527" t="str">
        <f t="shared" si="50"/>
        <v>26</v>
      </c>
      <c r="D527" t="str">
        <f t="shared" si="48"/>
        <v>July</v>
      </c>
      <c r="E527" t="str">
        <f t="shared" si="51"/>
        <v>2020</v>
      </c>
      <c r="F527" t="s">
        <v>1032</v>
      </c>
      <c r="G527" t="str">
        <f>VLOOKUP(F527,'Customers (2)'!A:I,2,0)</f>
        <v>Edin Yantsurev</v>
      </c>
      <c r="H527">
        <f>VLOOKUP(F527,'Customers (2)'!A:I,3,0)</f>
        <v>0</v>
      </c>
      <c r="I527" t="str">
        <f>VLOOKUP(F527,'Customers (2)'!A:I,4,0)</f>
        <v>+1 (856) 793-3491</v>
      </c>
      <c r="J527" t="str">
        <f>VLOOKUP(F527,'Customers (2)'!A:I,6,0)</f>
        <v>Camden</v>
      </c>
      <c r="K527" t="str">
        <f>VLOOKUP(F527,'Customers (2)'!A:I,7,0)</f>
        <v>United States</v>
      </c>
      <c r="L527" t="str">
        <f>VLOOKUP(F527,'Customers (2)'!A:I,9,0)</f>
        <v>Yes</v>
      </c>
      <c r="M527" t="str">
        <f>VLOOKUP(N527,'Products (2)'!A:G,2,0)</f>
        <v>Robusta</v>
      </c>
      <c r="N527" t="s">
        <v>101</v>
      </c>
      <c r="O527" t="str">
        <f>VLOOKUP(N527,'Products (2)'!A:G,3,0)</f>
        <v>Dark</v>
      </c>
      <c r="P527">
        <f>VLOOKUP(N527,'Products (2)'!A:G,7,0)</f>
        <v>0.16109999999999997</v>
      </c>
      <c r="Q527">
        <v>5</v>
      </c>
      <c r="R527">
        <f>INDEX([1]products!$A$1:$G$49,MATCH([1]orders!$D527,[1]products!$A$1:$A$49,0),MATCH([1]orders!K$1,[1]products!$A$1:$G$1,0))</f>
        <v>0.2</v>
      </c>
      <c r="S527">
        <f>INDEX([1]products!$A$1:$G$49,MATCH([1]orders!$D527,[1]products!$A$1:$A$49,0),MATCH([1]orders!L$1,[1]products!$A$1:$G$1,0))</f>
        <v>2.6849999999999996</v>
      </c>
      <c r="T527">
        <f t="shared" si="49"/>
        <v>13.424999999999997</v>
      </c>
      <c r="U527">
        <f t="shared" si="52"/>
        <v>0.80549999999999988</v>
      </c>
      <c r="V527">
        <f t="shared" si="53"/>
        <v>6.0000000000000009</v>
      </c>
    </row>
    <row r="528" spans="1:22" x14ac:dyDescent="0.25">
      <c r="A528" t="s">
        <v>1033</v>
      </c>
      <c r="B528">
        <v>44717</v>
      </c>
      <c r="C528" t="str">
        <f t="shared" si="50"/>
        <v>05</v>
      </c>
      <c r="D528" t="str">
        <f t="shared" si="48"/>
        <v>June</v>
      </c>
      <c r="E528" t="str">
        <f t="shared" si="51"/>
        <v>2022</v>
      </c>
      <c r="F528" t="s">
        <v>1034</v>
      </c>
      <c r="G528" t="str">
        <f>VLOOKUP(F528,'Customers (2)'!A:I,2,0)</f>
        <v>Webb Speechly</v>
      </c>
      <c r="H528" t="str">
        <f>VLOOKUP(F528,'Customers (2)'!A:I,3,0)</f>
        <v>wspeechlyem@amazon.com</v>
      </c>
      <c r="I528" t="str">
        <f>VLOOKUP(F528,'Customers (2)'!A:I,4,0)</f>
        <v>+1 (206) 440-5750</v>
      </c>
      <c r="J528" t="str">
        <f>VLOOKUP(F528,'Customers (2)'!A:I,6,0)</f>
        <v>Seattle</v>
      </c>
      <c r="K528" t="str">
        <f>VLOOKUP(F528,'Customers (2)'!A:I,7,0)</f>
        <v>United States</v>
      </c>
      <c r="L528" t="str">
        <f>VLOOKUP(F528,'Customers (2)'!A:I,9,0)</f>
        <v>Yes</v>
      </c>
      <c r="M528" t="str">
        <f>VLOOKUP(N528,'Products (2)'!A:G,2,0)</f>
        <v>Excelsa</v>
      </c>
      <c r="N528" t="s">
        <v>112</v>
      </c>
      <c r="O528" t="str">
        <f>VLOOKUP(N528,'Products (2)'!A:G,3,0)</f>
        <v>Medium</v>
      </c>
      <c r="P528">
        <f>VLOOKUP(N528,'Products (2)'!A:G,7,0)</f>
        <v>3.4787499999999998</v>
      </c>
      <c r="Q528">
        <v>4</v>
      </c>
      <c r="R528">
        <f>INDEX([1]products!$A$1:$G$49,MATCH([1]orders!$D528,[1]products!$A$1:$A$49,0),MATCH([1]orders!K$1,[1]products!$A$1:$G$1,0))</f>
        <v>2.5</v>
      </c>
      <c r="S528">
        <f>INDEX([1]products!$A$1:$G$49,MATCH([1]orders!$D528,[1]products!$A$1:$A$49,0),MATCH([1]orders!L$1,[1]products!$A$1:$G$1,0))</f>
        <v>31.624999999999996</v>
      </c>
      <c r="T528">
        <f t="shared" si="49"/>
        <v>126.49999999999999</v>
      </c>
      <c r="U528">
        <f t="shared" si="52"/>
        <v>13.914999999999999</v>
      </c>
      <c r="V528">
        <f t="shared" si="53"/>
        <v>11</v>
      </c>
    </row>
    <row r="529" spans="1:22" x14ac:dyDescent="0.25">
      <c r="A529" t="s">
        <v>1035</v>
      </c>
      <c r="B529">
        <v>43517</v>
      </c>
      <c r="C529" t="str">
        <f t="shared" si="50"/>
        <v>21</v>
      </c>
      <c r="D529" t="str">
        <f t="shared" si="48"/>
        <v>February</v>
      </c>
      <c r="E529" t="str">
        <f t="shared" si="51"/>
        <v>2019</v>
      </c>
      <c r="F529" t="s">
        <v>1036</v>
      </c>
      <c r="G529" t="str">
        <f>VLOOKUP(F529,'Customers (2)'!A:I,2,0)</f>
        <v>Irvine Phillpot</v>
      </c>
      <c r="H529" t="str">
        <f>VLOOKUP(F529,'Customers (2)'!A:I,3,0)</f>
        <v>iphillpoten@buzzfeed.com</v>
      </c>
      <c r="I529" t="str">
        <f>VLOOKUP(F529,'Customers (2)'!A:I,4,0)</f>
        <v>+44 (610) 826-3107</v>
      </c>
      <c r="J529" t="str">
        <f>VLOOKUP(F529,'Customers (2)'!A:I,6,0)</f>
        <v>Wootton</v>
      </c>
      <c r="K529" t="str">
        <f>VLOOKUP(F529,'Customers (2)'!A:I,7,0)</f>
        <v>United Kingdom</v>
      </c>
      <c r="L529" t="str">
        <f>VLOOKUP(F529,'Customers (2)'!A:I,9,0)</f>
        <v>No</v>
      </c>
      <c r="M529" t="str">
        <f>VLOOKUP(N529,'Products (2)'!A:G,2,0)</f>
        <v>Excelsa</v>
      </c>
      <c r="N529" t="s">
        <v>3</v>
      </c>
      <c r="O529" t="str">
        <f>VLOOKUP(N529,'Products (2)'!A:G,3,0)</f>
        <v>Medium</v>
      </c>
      <c r="P529">
        <f>VLOOKUP(N529,'Products (2)'!A:G,7,0)</f>
        <v>0.90749999999999997</v>
      </c>
      <c r="Q529">
        <v>5</v>
      </c>
      <c r="R529">
        <f>INDEX([1]products!$A$1:$G$49,MATCH([1]orders!$D529,[1]products!$A$1:$A$49,0),MATCH([1]orders!K$1,[1]products!$A$1:$G$1,0))</f>
        <v>0.5</v>
      </c>
      <c r="S529">
        <f>INDEX([1]products!$A$1:$G$49,MATCH([1]orders!$D529,[1]products!$A$1:$A$49,0),MATCH([1]orders!L$1,[1]products!$A$1:$G$1,0))</f>
        <v>8.25</v>
      </c>
      <c r="T529">
        <f t="shared" si="49"/>
        <v>41.25</v>
      </c>
      <c r="U529">
        <f t="shared" si="52"/>
        <v>4.5374999999999996</v>
      </c>
      <c r="V529">
        <f t="shared" si="53"/>
        <v>10.999999999999998</v>
      </c>
    </row>
    <row r="530" spans="1:22" x14ac:dyDescent="0.25">
      <c r="A530" t="s">
        <v>1037</v>
      </c>
      <c r="B530">
        <v>43926</v>
      </c>
      <c r="C530" t="str">
        <f t="shared" si="50"/>
        <v>05</v>
      </c>
      <c r="D530" t="str">
        <f t="shared" si="48"/>
        <v>April</v>
      </c>
      <c r="E530" t="str">
        <f t="shared" si="51"/>
        <v>2020</v>
      </c>
      <c r="F530" t="s">
        <v>1038</v>
      </c>
      <c r="G530" t="str">
        <f>VLOOKUP(F530,'Customers (2)'!A:I,2,0)</f>
        <v>Lem Pennacci</v>
      </c>
      <c r="H530" t="str">
        <f>VLOOKUP(F530,'Customers (2)'!A:I,3,0)</f>
        <v>lpennaccieo@statcounter.com</v>
      </c>
      <c r="I530" t="str">
        <f>VLOOKUP(F530,'Customers (2)'!A:I,4,0)</f>
        <v>+1 (254) 597-0519</v>
      </c>
      <c r="J530" t="str">
        <f>VLOOKUP(F530,'Customers (2)'!A:I,6,0)</f>
        <v>Waco</v>
      </c>
      <c r="K530" t="str">
        <f>VLOOKUP(F530,'Customers (2)'!A:I,7,0)</f>
        <v>United States</v>
      </c>
      <c r="L530" t="str">
        <f>VLOOKUP(F530,'Customers (2)'!A:I,9,0)</f>
        <v>No</v>
      </c>
      <c r="M530" t="str">
        <f>VLOOKUP(N530,'Products (2)'!A:G,2,0)</f>
        <v>Excelsa</v>
      </c>
      <c r="N530" t="s">
        <v>176</v>
      </c>
      <c r="O530" t="str">
        <f>VLOOKUP(N530,'Products (2)'!A:G,3,0)</f>
        <v>Light</v>
      </c>
      <c r="P530">
        <f>VLOOKUP(N530,'Products (2)'!A:G,7,0)</f>
        <v>0.98009999999999997</v>
      </c>
      <c r="Q530">
        <v>6</v>
      </c>
      <c r="R530">
        <f>INDEX([1]products!$A$1:$G$49,MATCH([1]orders!$D530,[1]products!$A$1:$A$49,0),MATCH([1]orders!K$1,[1]products!$A$1:$G$1,0))</f>
        <v>0.5</v>
      </c>
      <c r="S530">
        <f>INDEX([1]products!$A$1:$G$49,MATCH([1]orders!$D530,[1]products!$A$1:$A$49,0),MATCH([1]orders!L$1,[1]products!$A$1:$G$1,0))</f>
        <v>8.91</v>
      </c>
      <c r="T530">
        <f t="shared" si="49"/>
        <v>53.46</v>
      </c>
      <c r="U530">
        <f t="shared" si="52"/>
        <v>5.8805999999999994</v>
      </c>
      <c r="V530">
        <f t="shared" si="53"/>
        <v>10.999999999999998</v>
      </c>
    </row>
    <row r="531" spans="1:22" x14ac:dyDescent="0.25">
      <c r="A531" t="s">
        <v>1039</v>
      </c>
      <c r="B531">
        <v>43475</v>
      </c>
      <c r="C531" t="str">
        <f t="shared" si="50"/>
        <v>10</v>
      </c>
      <c r="D531" t="str">
        <f t="shared" si="48"/>
        <v>January</v>
      </c>
      <c r="E531" t="str">
        <f t="shared" si="51"/>
        <v>2019</v>
      </c>
      <c r="F531" t="s">
        <v>1040</v>
      </c>
      <c r="G531" t="str">
        <f>VLOOKUP(F531,'Customers (2)'!A:I,2,0)</f>
        <v>Starr Arpin</v>
      </c>
      <c r="H531" t="str">
        <f>VLOOKUP(F531,'Customers (2)'!A:I,3,0)</f>
        <v>sarpinep@moonfruit.com</v>
      </c>
      <c r="I531" t="str">
        <f>VLOOKUP(F531,'Customers (2)'!A:I,4,0)</f>
        <v>+1 (804) 588-4160</v>
      </c>
      <c r="J531" t="str">
        <f>VLOOKUP(F531,'Customers (2)'!A:I,6,0)</f>
        <v>Richmond</v>
      </c>
      <c r="K531" t="str">
        <f>VLOOKUP(F531,'Customers (2)'!A:I,7,0)</f>
        <v>United States</v>
      </c>
      <c r="L531" t="str">
        <f>VLOOKUP(F531,'Customers (2)'!A:I,9,0)</f>
        <v>No</v>
      </c>
      <c r="M531" t="str">
        <f>VLOOKUP(N531,'Products (2)'!A:G,2,0)</f>
        <v>Robusta</v>
      </c>
      <c r="N531" t="s">
        <v>2</v>
      </c>
      <c r="O531" t="str">
        <f>VLOOKUP(N531,'Products (2)'!A:G,3,0)</f>
        <v>Medium</v>
      </c>
      <c r="P531">
        <f>VLOOKUP(N531,'Products (2)'!A:G,7,0)</f>
        <v>0.59699999999999998</v>
      </c>
      <c r="Q531">
        <v>6</v>
      </c>
      <c r="R531">
        <f>INDEX([1]products!$A$1:$G$49,MATCH([1]orders!$D531,[1]products!$A$1:$A$49,0),MATCH([1]orders!K$1,[1]products!$A$1:$G$1,0))</f>
        <v>1</v>
      </c>
      <c r="S531">
        <f>INDEX([1]products!$A$1:$G$49,MATCH([1]orders!$D531,[1]products!$A$1:$A$49,0),MATCH([1]orders!L$1,[1]products!$A$1:$G$1,0))</f>
        <v>9.9499999999999993</v>
      </c>
      <c r="T531">
        <f t="shared" si="49"/>
        <v>59.699999999999996</v>
      </c>
      <c r="U531">
        <f t="shared" si="52"/>
        <v>3.5819999999999999</v>
      </c>
      <c r="V531">
        <f t="shared" si="53"/>
        <v>6.0000000000000009</v>
      </c>
    </row>
    <row r="532" spans="1:22" x14ac:dyDescent="0.25">
      <c r="A532" t="s">
        <v>1041</v>
      </c>
      <c r="B532">
        <v>44663</v>
      </c>
      <c r="C532" t="str">
        <f t="shared" si="50"/>
        <v>12</v>
      </c>
      <c r="D532" t="str">
        <f t="shared" si="48"/>
        <v>April</v>
      </c>
      <c r="E532" t="str">
        <f t="shared" si="51"/>
        <v>2022</v>
      </c>
      <c r="F532" t="s">
        <v>1042</v>
      </c>
      <c r="G532" t="str">
        <f>VLOOKUP(F532,'Customers (2)'!A:I,2,0)</f>
        <v>Donny Fries</v>
      </c>
      <c r="H532" t="str">
        <f>VLOOKUP(F532,'Customers (2)'!A:I,3,0)</f>
        <v>dfrieseq@cargocollective.com</v>
      </c>
      <c r="I532" t="str">
        <f>VLOOKUP(F532,'Customers (2)'!A:I,4,0)</f>
        <v>+1 (419) 138-9171</v>
      </c>
      <c r="J532" t="str">
        <f>VLOOKUP(F532,'Customers (2)'!A:I,6,0)</f>
        <v>Toledo</v>
      </c>
      <c r="K532" t="str">
        <f>VLOOKUP(F532,'Customers (2)'!A:I,7,0)</f>
        <v>United States</v>
      </c>
      <c r="L532" t="str">
        <f>VLOOKUP(F532,'Customers (2)'!A:I,9,0)</f>
        <v>No</v>
      </c>
      <c r="M532" t="str">
        <f>VLOOKUP(N532,'Products (2)'!A:G,2,0)</f>
        <v>Robusta</v>
      </c>
      <c r="N532" t="s">
        <v>2</v>
      </c>
      <c r="O532" t="str">
        <f>VLOOKUP(N532,'Products (2)'!A:G,3,0)</f>
        <v>Medium</v>
      </c>
      <c r="P532">
        <f>VLOOKUP(N532,'Products (2)'!A:G,7,0)</f>
        <v>0.59699999999999998</v>
      </c>
      <c r="Q532">
        <v>6</v>
      </c>
      <c r="R532">
        <f>INDEX([1]products!$A$1:$G$49,MATCH([1]orders!$D532,[1]products!$A$1:$A$49,0),MATCH([1]orders!K$1,[1]products!$A$1:$G$1,0))</f>
        <v>1</v>
      </c>
      <c r="S532">
        <f>INDEX([1]products!$A$1:$G$49,MATCH([1]orders!$D532,[1]products!$A$1:$A$49,0),MATCH([1]orders!L$1,[1]products!$A$1:$G$1,0))</f>
        <v>9.9499999999999993</v>
      </c>
      <c r="T532">
        <f t="shared" si="49"/>
        <v>59.699999999999996</v>
      </c>
      <c r="U532">
        <f t="shared" si="52"/>
        <v>3.5819999999999999</v>
      </c>
      <c r="V532">
        <f t="shared" si="53"/>
        <v>6.0000000000000009</v>
      </c>
    </row>
    <row r="533" spans="1:22" x14ac:dyDescent="0.25">
      <c r="A533" t="s">
        <v>1043</v>
      </c>
      <c r="B533">
        <v>44591</v>
      </c>
      <c r="C533" t="str">
        <f t="shared" si="50"/>
        <v>30</v>
      </c>
      <c r="D533" t="str">
        <f t="shared" si="48"/>
        <v>January</v>
      </c>
      <c r="E533" t="str">
        <f t="shared" si="51"/>
        <v>2022</v>
      </c>
      <c r="F533" t="s">
        <v>1044</v>
      </c>
      <c r="G533" t="str">
        <f>VLOOKUP(F533,'Customers (2)'!A:I,2,0)</f>
        <v>Rana Sharer</v>
      </c>
      <c r="H533" t="str">
        <f>VLOOKUP(F533,'Customers (2)'!A:I,3,0)</f>
        <v>rsharerer@flavors.me</v>
      </c>
      <c r="I533" t="str">
        <f>VLOOKUP(F533,'Customers (2)'!A:I,4,0)</f>
        <v>+1 (304) 632-1951</v>
      </c>
      <c r="J533" t="str">
        <f>VLOOKUP(F533,'Customers (2)'!A:I,6,0)</f>
        <v>Huntington</v>
      </c>
      <c r="K533" t="str">
        <f>VLOOKUP(F533,'Customers (2)'!A:I,7,0)</f>
        <v>United States</v>
      </c>
      <c r="L533" t="str">
        <f>VLOOKUP(F533,'Customers (2)'!A:I,9,0)</f>
        <v>No</v>
      </c>
      <c r="M533" t="str">
        <f>VLOOKUP(N533,'Products (2)'!A:G,2,0)</f>
        <v>Robusta</v>
      </c>
      <c r="N533" t="s">
        <v>179</v>
      </c>
      <c r="O533" t="str">
        <f>VLOOKUP(N533,'Products (2)'!A:G,3,0)</f>
        <v>Dark</v>
      </c>
      <c r="P533">
        <f>VLOOKUP(N533,'Products (2)'!A:G,7,0)</f>
        <v>0.53699999999999992</v>
      </c>
      <c r="Q533">
        <v>5</v>
      </c>
      <c r="R533">
        <f>INDEX([1]products!$A$1:$G$49,MATCH([1]orders!$D533,[1]products!$A$1:$A$49,0),MATCH([1]orders!K$1,[1]products!$A$1:$G$1,0))</f>
        <v>1</v>
      </c>
      <c r="S533">
        <f>INDEX([1]products!$A$1:$G$49,MATCH([1]orders!$D533,[1]products!$A$1:$A$49,0),MATCH([1]orders!L$1,[1]products!$A$1:$G$1,0))</f>
        <v>8.9499999999999993</v>
      </c>
      <c r="T533">
        <f t="shared" si="49"/>
        <v>44.75</v>
      </c>
      <c r="U533">
        <f t="shared" si="52"/>
        <v>2.6849999999999996</v>
      </c>
      <c r="V533">
        <f t="shared" si="53"/>
        <v>5.9999999999999991</v>
      </c>
    </row>
    <row r="534" spans="1:22" x14ac:dyDescent="0.25">
      <c r="A534" t="s">
        <v>1045</v>
      </c>
      <c r="B534">
        <v>44330</v>
      </c>
      <c r="C534" t="str">
        <f t="shared" si="50"/>
        <v>14</v>
      </c>
      <c r="D534" t="str">
        <f t="shared" si="48"/>
        <v>May</v>
      </c>
      <c r="E534" t="str">
        <f t="shared" si="51"/>
        <v>2021</v>
      </c>
      <c r="F534" t="s">
        <v>1046</v>
      </c>
      <c r="G534" t="str">
        <f>VLOOKUP(F534,'Customers (2)'!A:I,2,0)</f>
        <v>Nannie Naseby</v>
      </c>
      <c r="H534" t="str">
        <f>VLOOKUP(F534,'Customers (2)'!A:I,3,0)</f>
        <v>nnasebyes@umich.edu</v>
      </c>
      <c r="I534" t="str">
        <f>VLOOKUP(F534,'Customers (2)'!A:I,4,0)</f>
        <v>+1 (407) 225-7234</v>
      </c>
      <c r="J534" t="str">
        <f>VLOOKUP(F534,'Customers (2)'!A:I,6,0)</f>
        <v>Winter Haven</v>
      </c>
      <c r="K534" t="str">
        <f>VLOOKUP(F534,'Customers (2)'!A:I,7,0)</f>
        <v>United States</v>
      </c>
      <c r="L534" t="str">
        <f>VLOOKUP(F534,'Customers (2)'!A:I,9,0)</f>
        <v>Yes</v>
      </c>
      <c r="M534" t="str">
        <f>VLOOKUP(N534,'Products (2)'!A:G,2,0)</f>
        <v>Excelsa</v>
      </c>
      <c r="N534" t="s">
        <v>3</v>
      </c>
      <c r="O534" t="str">
        <f>VLOOKUP(N534,'Products (2)'!A:G,3,0)</f>
        <v>Medium</v>
      </c>
      <c r="P534">
        <f>VLOOKUP(N534,'Products (2)'!A:G,7,0)</f>
        <v>0.90749999999999997</v>
      </c>
      <c r="Q534">
        <v>2</v>
      </c>
      <c r="R534">
        <f>INDEX([1]products!$A$1:$G$49,MATCH([1]orders!$D534,[1]products!$A$1:$A$49,0),MATCH([1]orders!K$1,[1]products!$A$1:$G$1,0))</f>
        <v>0.5</v>
      </c>
      <c r="S534">
        <f>INDEX([1]products!$A$1:$G$49,MATCH([1]orders!$D534,[1]products!$A$1:$A$49,0),MATCH([1]orders!L$1,[1]products!$A$1:$G$1,0))</f>
        <v>8.25</v>
      </c>
      <c r="T534">
        <f t="shared" si="49"/>
        <v>16.5</v>
      </c>
      <c r="U534">
        <f t="shared" si="52"/>
        <v>1.8149999999999999</v>
      </c>
      <c r="V534">
        <f t="shared" si="53"/>
        <v>11</v>
      </c>
    </row>
    <row r="535" spans="1:22" x14ac:dyDescent="0.25">
      <c r="A535" t="s">
        <v>1047</v>
      </c>
      <c r="B535">
        <v>44724</v>
      </c>
      <c r="C535" t="str">
        <f t="shared" si="50"/>
        <v>12</v>
      </c>
      <c r="D535" t="str">
        <f t="shared" si="48"/>
        <v>June</v>
      </c>
      <c r="E535" t="str">
        <f t="shared" si="51"/>
        <v>2022</v>
      </c>
      <c r="F535" t="s">
        <v>1048</v>
      </c>
      <c r="G535" t="str">
        <f>VLOOKUP(F535,'Customers (2)'!A:I,2,0)</f>
        <v>Rea Offell</v>
      </c>
      <c r="H535">
        <f>VLOOKUP(F535,'Customers (2)'!A:I,3,0)</f>
        <v>0</v>
      </c>
      <c r="I535" t="str">
        <f>VLOOKUP(F535,'Customers (2)'!A:I,4,0)</f>
        <v>+1 (214) 171-1701</v>
      </c>
      <c r="J535" t="str">
        <f>VLOOKUP(F535,'Customers (2)'!A:I,6,0)</f>
        <v>Dallas</v>
      </c>
      <c r="K535" t="str">
        <f>VLOOKUP(F535,'Customers (2)'!A:I,7,0)</f>
        <v>United States</v>
      </c>
      <c r="L535" t="str">
        <f>VLOOKUP(F535,'Customers (2)'!A:I,9,0)</f>
        <v>No</v>
      </c>
      <c r="M535" t="str">
        <f>VLOOKUP(N535,'Products (2)'!A:G,2,0)</f>
        <v>Robusta</v>
      </c>
      <c r="N535" t="s">
        <v>146</v>
      </c>
      <c r="O535" t="str">
        <f>VLOOKUP(N535,'Products (2)'!A:G,3,0)</f>
        <v>Dark</v>
      </c>
      <c r="P535">
        <f>VLOOKUP(N535,'Products (2)'!A:G,7,0)</f>
        <v>0.32219999999999993</v>
      </c>
      <c r="Q535">
        <v>4</v>
      </c>
      <c r="R535">
        <f>INDEX([1]products!$A$1:$G$49,MATCH([1]orders!$D535,[1]products!$A$1:$A$49,0),MATCH([1]orders!K$1,[1]products!$A$1:$G$1,0))</f>
        <v>0.5</v>
      </c>
      <c r="S535">
        <f>INDEX([1]products!$A$1:$G$49,MATCH([1]orders!$D535,[1]products!$A$1:$A$49,0),MATCH([1]orders!L$1,[1]products!$A$1:$G$1,0))</f>
        <v>5.3699999999999992</v>
      </c>
      <c r="T535">
        <f t="shared" si="49"/>
        <v>21.479999999999997</v>
      </c>
      <c r="U535">
        <f t="shared" si="52"/>
        <v>1.2887999999999997</v>
      </c>
      <c r="V535">
        <f t="shared" si="53"/>
        <v>6</v>
      </c>
    </row>
    <row r="536" spans="1:22" x14ac:dyDescent="0.25">
      <c r="A536" t="s">
        <v>1049</v>
      </c>
      <c r="B536">
        <v>44563</v>
      </c>
      <c r="C536" t="str">
        <f t="shared" si="50"/>
        <v>02</v>
      </c>
      <c r="D536" t="str">
        <f t="shared" si="48"/>
        <v>January</v>
      </c>
      <c r="E536" t="str">
        <f t="shared" si="51"/>
        <v>2022</v>
      </c>
      <c r="F536" t="s">
        <v>1050</v>
      </c>
      <c r="G536" t="str">
        <f>VLOOKUP(F536,'Customers (2)'!A:I,2,0)</f>
        <v>Kris O'Cullen</v>
      </c>
      <c r="H536" t="str">
        <f>VLOOKUP(F536,'Customers (2)'!A:I,3,0)</f>
        <v>koculleneu@ca.gov</v>
      </c>
      <c r="I536" t="str">
        <f>VLOOKUP(F536,'Customers (2)'!A:I,4,0)</f>
        <v>+353 (284) 183-7528</v>
      </c>
      <c r="J536" t="str">
        <f>VLOOKUP(F536,'Customers (2)'!A:I,6,0)</f>
        <v>Adare</v>
      </c>
      <c r="K536" t="str">
        <f>VLOOKUP(F536,'Customers (2)'!A:I,7,0)</f>
        <v>Ireland</v>
      </c>
      <c r="L536" t="str">
        <f>VLOOKUP(F536,'Customers (2)'!A:I,9,0)</f>
        <v>Yes</v>
      </c>
      <c r="M536" t="str">
        <f>VLOOKUP(N536,'Products (2)'!A:G,2,0)</f>
        <v>Robusta</v>
      </c>
      <c r="N536" t="s">
        <v>41</v>
      </c>
      <c r="O536" t="str">
        <f>VLOOKUP(N536,'Products (2)'!A:G,3,0)</f>
        <v>Medium</v>
      </c>
      <c r="P536">
        <f>VLOOKUP(N536,'Products (2)'!A:G,7,0)</f>
        <v>1.3730999999999998</v>
      </c>
      <c r="Q536">
        <v>2</v>
      </c>
      <c r="R536">
        <f>INDEX([1]products!$A$1:$G$49,MATCH([1]orders!$D536,[1]products!$A$1:$A$49,0),MATCH([1]orders!K$1,[1]products!$A$1:$G$1,0))</f>
        <v>2.5</v>
      </c>
      <c r="S536">
        <f>INDEX([1]products!$A$1:$G$49,MATCH([1]orders!$D536,[1]products!$A$1:$A$49,0),MATCH([1]orders!L$1,[1]products!$A$1:$G$1,0))</f>
        <v>22.884999999999998</v>
      </c>
      <c r="T536">
        <f t="shared" si="49"/>
        <v>45.769999999999996</v>
      </c>
      <c r="U536">
        <f t="shared" si="52"/>
        <v>2.7461999999999995</v>
      </c>
      <c r="V536">
        <f t="shared" si="53"/>
        <v>6</v>
      </c>
    </row>
    <row r="537" spans="1:22" x14ac:dyDescent="0.25">
      <c r="A537" t="s">
        <v>1051</v>
      </c>
      <c r="B537">
        <v>44585</v>
      </c>
      <c r="C537" t="str">
        <f t="shared" si="50"/>
        <v>24</v>
      </c>
      <c r="D537" t="str">
        <f t="shared" si="48"/>
        <v>January</v>
      </c>
      <c r="E537" t="str">
        <f t="shared" si="51"/>
        <v>2022</v>
      </c>
      <c r="F537" t="s">
        <v>1052</v>
      </c>
      <c r="G537" t="str">
        <f>VLOOKUP(F537,'Customers (2)'!A:I,2,0)</f>
        <v>Timoteo Glisane</v>
      </c>
      <c r="H537">
        <f>VLOOKUP(F537,'Customers (2)'!A:I,3,0)</f>
        <v>0</v>
      </c>
      <c r="I537" t="str">
        <f>VLOOKUP(F537,'Customers (2)'!A:I,4,0)</f>
        <v>+353 (316) 279-4429</v>
      </c>
      <c r="J537" t="str">
        <f>VLOOKUP(F537,'Customers (2)'!A:I,6,0)</f>
        <v>Ballivor</v>
      </c>
      <c r="K537" t="str">
        <f>VLOOKUP(F537,'Customers (2)'!A:I,7,0)</f>
        <v>Ireland</v>
      </c>
      <c r="L537" t="str">
        <f>VLOOKUP(F537,'Customers (2)'!A:I,9,0)</f>
        <v>No</v>
      </c>
      <c r="M537" t="str">
        <f>VLOOKUP(N537,'Products (2)'!A:G,2,0)</f>
        <v>Liberica</v>
      </c>
      <c r="N537" t="s">
        <v>19</v>
      </c>
      <c r="O537" t="str">
        <f>VLOOKUP(N537,'Products (2)'!A:G,3,0)</f>
        <v>Light</v>
      </c>
      <c r="P537">
        <f>VLOOKUP(N537,'Products (2)'!A:G,7,0)</f>
        <v>0.61814999999999998</v>
      </c>
      <c r="Q537">
        <v>2</v>
      </c>
      <c r="R537">
        <f>INDEX([1]products!$A$1:$G$49,MATCH([1]orders!$D537,[1]products!$A$1:$A$49,0),MATCH([1]orders!K$1,[1]products!$A$1:$G$1,0))</f>
        <v>0.2</v>
      </c>
      <c r="S537">
        <f>INDEX([1]products!$A$1:$G$49,MATCH([1]orders!$D537,[1]products!$A$1:$A$49,0),MATCH([1]orders!L$1,[1]products!$A$1:$G$1,0))</f>
        <v>4.7549999999999999</v>
      </c>
      <c r="T537">
        <f t="shared" si="49"/>
        <v>9.51</v>
      </c>
      <c r="U537">
        <f t="shared" si="52"/>
        <v>1.2363</v>
      </c>
      <c r="V537">
        <f t="shared" si="53"/>
        <v>13</v>
      </c>
    </row>
    <row r="538" spans="1:22" x14ac:dyDescent="0.25">
      <c r="A538" t="s">
        <v>1053</v>
      </c>
      <c r="B538">
        <v>43544</v>
      </c>
      <c r="C538" t="str">
        <f t="shared" si="50"/>
        <v>20</v>
      </c>
      <c r="D538" t="str">
        <f t="shared" si="48"/>
        <v>March</v>
      </c>
      <c r="E538" t="str">
        <f t="shared" si="51"/>
        <v>2019</v>
      </c>
      <c r="F538" t="s">
        <v>988</v>
      </c>
      <c r="G538" t="str">
        <f>VLOOKUP(F538,'Customers (2)'!A:I,2,0)</f>
        <v>Marja Urion</v>
      </c>
      <c r="H538" t="str">
        <f>VLOOKUP(F538,'Customers (2)'!A:I,3,0)</f>
        <v>murione5@alexa.com</v>
      </c>
      <c r="I538" t="str">
        <f>VLOOKUP(F538,'Customers (2)'!A:I,4,0)</f>
        <v>+353 (715) 989-0283</v>
      </c>
      <c r="J538" t="str">
        <f>VLOOKUP(F538,'Customers (2)'!A:I,6,0)</f>
        <v>Virginia</v>
      </c>
      <c r="K538" t="str">
        <f>VLOOKUP(F538,'Customers (2)'!A:I,7,0)</f>
        <v>Ireland</v>
      </c>
      <c r="L538" t="str">
        <f>VLOOKUP(F538,'Customers (2)'!A:I,9,0)</f>
        <v>Yes</v>
      </c>
      <c r="M538" t="str">
        <f>VLOOKUP(N538,'Products (2)'!A:G,2,0)</f>
        <v>Robusta</v>
      </c>
      <c r="N538" t="s">
        <v>101</v>
      </c>
      <c r="O538" t="str">
        <f>VLOOKUP(N538,'Products (2)'!A:G,3,0)</f>
        <v>Dark</v>
      </c>
      <c r="P538">
        <f>VLOOKUP(N538,'Products (2)'!A:G,7,0)</f>
        <v>0.16109999999999997</v>
      </c>
      <c r="Q538">
        <v>3</v>
      </c>
      <c r="R538">
        <f>INDEX([1]products!$A$1:$G$49,MATCH([1]orders!$D538,[1]products!$A$1:$A$49,0),MATCH([1]orders!K$1,[1]products!$A$1:$G$1,0))</f>
        <v>0.2</v>
      </c>
      <c r="S538">
        <f>INDEX([1]products!$A$1:$G$49,MATCH([1]orders!$D538,[1]products!$A$1:$A$49,0),MATCH([1]orders!L$1,[1]products!$A$1:$G$1,0))</f>
        <v>2.6849999999999996</v>
      </c>
      <c r="T538">
        <f t="shared" si="49"/>
        <v>8.0549999999999997</v>
      </c>
      <c r="U538">
        <f t="shared" si="52"/>
        <v>0.4832999999999999</v>
      </c>
      <c r="V538">
        <f t="shared" si="53"/>
        <v>5.9999999999999991</v>
      </c>
    </row>
    <row r="539" spans="1:22" x14ac:dyDescent="0.25">
      <c r="A539" t="s">
        <v>1054</v>
      </c>
      <c r="B539">
        <v>44156</v>
      </c>
      <c r="C539" t="str">
        <f t="shared" si="50"/>
        <v>21</v>
      </c>
      <c r="D539" t="str">
        <f t="shared" si="48"/>
        <v>November</v>
      </c>
      <c r="E539" t="str">
        <f t="shared" si="51"/>
        <v>2020</v>
      </c>
      <c r="F539" t="s">
        <v>1055</v>
      </c>
      <c r="G539" t="str">
        <f>VLOOKUP(F539,'Customers (2)'!A:I,2,0)</f>
        <v>Hildegarde Brangan</v>
      </c>
      <c r="H539" t="str">
        <f>VLOOKUP(F539,'Customers (2)'!A:I,3,0)</f>
        <v>hbranganex@woothemes.com</v>
      </c>
      <c r="I539">
        <f>VLOOKUP(F539,'Customers (2)'!A:I,4,0)</f>
        <v>0</v>
      </c>
      <c r="J539" t="str">
        <f>VLOOKUP(F539,'Customers (2)'!A:I,6,0)</f>
        <v>Evansville</v>
      </c>
      <c r="K539" t="str">
        <f>VLOOKUP(F539,'Customers (2)'!A:I,7,0)</f>
        <v>United States</v>
      </c>
      <c r="L539" t="str">
        <f>VLOOKUP(F539,'Customers (2)'!A:I,9,0)</f>
        <v>Yes</v>
      </c>
      <c r="M539" t="str">
        <f>VLOOKUP(N539,'Products (2)'!A:G,2,0)</f>
        <v>Excelsa</v>
      </c>
      <c r="N539" t="s">
        <v>530</v>
      </c>
      <c r="O539" t="str">
        <f>VLOOKUP(N539,'Products (2)'!A:G,3,0)</f>
        <v>Dark</v>
      </c>
      <c r="P539">
        <f>VLOOKUP(N539,'Products (2)'!A:G,7,0)</f>
        <v>3.07395</v>
      </c>
      <c r="Q539">
        <v>4</v>
      </c>
      <c r="R539">
        <f>INDEX([1]products!$A$1:$G$49,MATCH([1]orders!$D539,[1]products!$A$1:$A$49,0),MATCH([1]orders!K$1,[1]products!$A$1:$G$1,0))</f>
        <v>2.5</v>
      </c>
      <c r="S539">
        <f>INDEX([1]products!$A$1:$G$49,MATCH([1]orders!$D539,[1]products!$A$1:$A$49,0),MATCH([1]orders!L$1,[1]products!$A$1:$G$1,0))</f>
        <v>27.945</v>
      </c>
      <c r="T539">
        <f t="shared" si="49"/>
        <v>111.78</v>
      </c>
      <c r="U539">
        <f t="shared" si="52"/>
        <v>12.2958</v>
      </c>
      <c r="V539">
        <f t="shared" si="53"/>
        <v>11</v>
      </c>
    </row>
    <row r="540" spans="1:22" x14ac:dyDescent="0.25">
      <c r="A540" t="s">
        <v>1056</v>
      </c>
      <c r="B540">
        <v>44482</v>
      </c>
      <c r="C540" t="str">
        <f t="shared" si="50"/>
        <v>13</v>
      </c>
      <c r="D540" t="str">
        <f t="shared" si="48"/>
        <v>October</v>
      </c>
      <c r="E540" t="str">
        <f t="shared" si="51"/>
        <v>2021</v>
      </c>
      <c r="F540" t="s">
        <v>1057</v>
      </c>
      <c r="G540" t="str">
        <f>VLOOKUP(F540,'Customers (2)'!A:I,2,0)</f>
        <v>Amii Gallyon</v>
      </c>
      <c r="H540" t="str">
        <f>VLOOKUP(F540,'Customers (2)'!A:I,3,0)</f>
        <v>agallyoney@engadget.com</v>
      </c>
      <c r="I540">
        <f>VLOOKUP(F540,'Customers (2)'!A:I,4,0)</f>
        <v>0</v>
      </c>
      <c r="J540" t="str">
        <f>VLOOKUP(F540,'Customers (2)'!A:I,6,0)</f>
        <v>Naperville</v>
      </c>
      <c r="K540" t="str">
        <f>VLOOKUP(F540,'Customers (2)'!A:I,7,0)</f>
        <v>United States</v>
      </c>
      <c r="L540" t="str">
        <f>VLOOKUP(F540,'Customers (2)'!A:I,9,0)</f>
        <v>Yes</v>
      </c>
      <c r="M540" t="str">
        <f>VLOOKUP(N540,'Products (2)'!A:G,2,0)</f>
        <v>Robusta</v>
      </c>
      <c r="N540" t="s">
        <v>101</v>
      </c>
      <c r="O540" t="str">
        <f>VLOOKUP(N540,'Products (2)'!A:G,3,0)</f>
        <v>Dark</v>
      </c>
      <c r="P540">
        <f>VLOOKUP(N540,'Products (2)'!A:G,7,0)</f>
        <v>0.16109999999999997</v>
      </c>
      <c r="Q540">
        <v>4</v>
      </c>
      <c r="R540">
        <f>INDEX([1]products!$A$1:$G$49,MATCH([1]orders!$D540,[1]products!$A$1:$A$49,0),MATCH([1]orders!K$1,[1]products!$A$1:$G$1,0))</f>
        <v>0.2</v>
      </c>
      <c r="S540">
        <f>INDEX([1]products!$A$1:$G$49,MATCH([1]orders!$D540,[1]products!$A$1:$A$49,0),MATCH([1]orders!L$1,[1]products!$A$1:$G$1,0))</f>
        <v>2.6849999999999996</v>
      </c>
      <c r="T540">
        <f t="shared" si="49"/>
        <v>10.739999999999998</v>
      </c>
      <c r="U540">
        <f t="shared" si="52"/>
        <v>0.64439999999999986</v>
      </c>
      <c r="V540">
        <f t="shared" si="53"/>
        <v>6</v>
      </c>
    </row>
    <row r="541" spans="1:22" x14ac:dyDescent="0.25">
      <c r="A541" t="s">
        <v>1058</v>
      </c>
      <c r="B541">
        <v>44488</v>
      </c>
      <c r="C541" t="str">
        <f t="shared" si="50"/>
        <v>19</v>
      </c>
      <c r="D541" t="str">
        <f t="shared" si="48"/>
        <v>October</v>
      </c>
      <c r="E541" t="str">
        <f t="shared" si="51"/>
        <v>2021</v>
      </c>
      <c r="F541" t="s">
        <v>1059</v>
      </c>
      <c r="G541" t="str">
        <f>VLOOKUP(F541,'Customers (2)'!A:I,2,0)</f>
        <v>Birgit Domange</v>
      </c>
      <c r="H541" t="str">
        <f>VLOOKUP(F541,'Customers (2)'!A:I,3,0)</f>
        <v>bdomangeez@yahoo.co.jp</v>
      </c>
      <c r="I541">
        <f>VLOOKUP(F541,'Customers (2)'!A:I,4,0)</f>
        <v>0</v>
      </c>
      <c r="J541" t="str">
        <f>VLOOKUP(F541,'Customers (2)'!A:I,6,0)</f>
        <v>Charleston</v>
      </c>
      <c r="K541" t="str">
        <f>VLOOKUP(F541,'Customers (2)'!A:I,7,0)</f>
        <v>United States</v>
      </c>
      <c r="L541" t="str">
        <f>VLOOKUP(F541,'Customers (2)'!A:I,9,0)</f>
        <v>No</v>
      </c>
      <c r="M541" t="str">
        <f>VLOOKUP(N541,'Products (2)'!A:G,2,0)</f>
        <v>Robusta</v>
      </c>
      <c r="N541" t="s">
        <v>146</v>
      </c>
      <c r="O541" t="str">
        <f>VLOOKUP(N541,'Products (2)'!A:G,3,0)</f>
        <v>Dark</v>
      </c>
      <c r="P541">
        <f>VLOOKUP(N541,'Products (2)'!A:G,7,0)</f>
        <v>0.32219999999999993</v>
      </c>
      <c r="Q541">
        <v>5</v>
      </c>
      <c r="R541">
        <f>INDEX([1]products!$A$1:$G$49,MATCH([1]orders!$D541,[1]products!$A$1:$A$49,0),MATCH([1]orders!K$1,[1]products!$A$1:$G$1,0))</f>
        <v>0.5</v>
      </c>
      <c r="S541">
        <f>INDEX([1]products!$A$1:$G$49,MATCH([1]orders!$D541,[1]products!$A$1:$A$49,0),MATCH([1]orders!L$1,[1]products!$A$1:$G$1,0))</f>
        <v>5.3699999999999992</v>
      </c>
      <c r="T541">
        <f t="shared" si="49"/>
        <v>26.849999999999994</v>
      </c>
      <c r="U541">
        <f t="shared" si="52"/>
        <v>1.6109999999999998</v>
      </c>
      <c r="V541">
        <f t="shared" si="53"/>
        <v>6.0000000000000009</v>
      </c>
    </row>
    <row r="542" spans="1:22" x14ac:dyDescent="0.25">
      <c r="A542" t="s">
        <v>1060</v>
      </c>
      <c r="B542">
        <v>43584</v>
      </c>
      <c r="C542" t="str">
        <f t="shared" si="50"/>
        <v>29</v>
      </c>
      <c r="D542" t="str">
        <f t="shared" si="48"/>
        <v>April</v>
      </c>
      <c r="E542" t="str">
        <f t="shared" si="51"/>
        <v>2019</v>
      </c>
      <c r="F542" t="s">
        <v>1061</v>
      </c>
      <c r="G542" t="str">
        <f>VLOOKUP(F542,'Customers (2)'!A:I,2,0)</f>
        <v>Killian Osler</v>
      </c>
      <c r="H542" t="str">
        <f>VLOOKUP(F542,'Customers (2)'!A:I,3,0)</f>
        <v>koslerf0@gmpg.org</v>
      </c>
      <c r="I542" t="str">
        <f>VLOOKUP(F542,'Customers (2)'!A:I,4,0)</f>
        <v>+1 (517) 647-5356</v>
      </c>
      <c r="J542" t="str">
        <f>VLOOKUP(F542,'Customers (2)'!A:I,6,0)</f>
        <v>Lansing</v>
      </c>
      <c r="K542" t="str">
        <f>VLOOKUP(F542,'Customers (2)'!A:I,7,0)</f>
        <v>United States</v>
      </c>
      <c r="L542" t="str">
        <f>VLOOKUP(F542,'Customers (2)'!A:I,9,0)</f>
        <v>Yes</v>
      </c>
      <c r="M542" t="str">
        <f>VLOOKUP(N542,'Products (2)'!A:G,2,0)</f>
        <v>Liberica</v>
      </c>
      <c r="N542" t="s">
        <v>132</v>
      </c>
      <c r="O542" t="str">
        <f>VLOOKUP(N542,'Products (2)'!A:G,3,0)</f>
        <v>Light</v>
      </c>
      <c r="P542">
        <f>VLOOKUP(N542,'Products (2)'!A:G,7,0)</f>
        <v>2.0605000000000002</v>
      </c>
      <c r="Q542">
        <v>4</v>
      </c>
      <c r="R542">
        <f>INDEX([1]products!$A$1:$G$49,MATCH([1]orders!$D542,[1]products!$A$1:$A$49,0),MATCH([1]orders!K$1,[1]products!$A$1:$G$1,0))</f>
        <v>1</v>
      </c>
      <c r="S542">
        <f>INDEX([1]products!$A$1:$G$49,MATCH([1]orders!$D542,[1]products!$A$1:$A$49,0),MATCH([1]orders!L$1,[1]products!$A$1:$G$1,0))</f>
        <v>15.85</v>
      </c>
      <c r="T542">
        <f t="shared" si="49"/>
        <v>63.4</v>
      </c>
      <c r="U542">
        <f t="shared" si="52"/>
        <v>8.2420000000000009</v>
      </c>
      <c r="V542">
        <f t="shared" si="53"/>
        <v>13</v>
      </c>
    </row>
    <row r="543" spans="1:22" x14ac:dyDescent="0.25">
      <c r="A543" t="s">
        <v>1062</v>
      </c>
      <c r="B543">
        <v>43750</v>
      </c>
      <c r="C543" t="str">
        <f t="shared" si="50"/>
        <v>12</v>
      </c>
      <c r="D543" t="str">
        <f t="shared" si="48"/>
        <v>October</v>
      </c>
      <c r="E543" t="str">
        <f t="shared" si="51"/>
        <v>2019</v>
      </c>
      <c r="F543" t="s">
        <v>1063</v>
      </c>
      <c r="G543" t="str">
        <f>VLOOKUP(F543,'Customers (2)'!A:I,2,0)</f>
        <v>Lora Dukes</v>
      </c>
      <c r="H543">
        <f>VLOOKUP(F543,'Customers (2)'!A:I,3,0)</f>
        <v>0</v>
      </c>
      <c r="I543" t="str">
        <f>VLOOKUP(F543,'Customers (2)'!A:I,4,0)</f>
        <v>+353 (963) 987-6580</v>
      </c>
      <c r="J543" t="str">
        <f>VLOOKUP(F543,'Customers (2)'!A:I,6,0)</f>
        <v>Boyle</v>
      </c>
      <c r="K543" t="str">
        <f>VLOOKUP(F543,'Customers (2)'!A:I,7,0)</f>
        <v>Ireland</v>
      </c>
      <c r="L543" t="str">
        <f>VLOOKUP(F543,'Customers (2)'!A:I,9,0)</f>
        <v>Yes</v>
      </c>
      <c r="M543" t="str">
        <f>VLOOKUP(N543,'Products (2)'!A:G,2,0)</f>
        <v>Arabica</v>
      </c>
      <c r="N543" t="s">
        <v>118</v>
      </c>
      <c r="O543" t="str">
        <f>VLOOKUP(N543,'Products (2)'!A:G,3,0)</f>
        <v>Dark</v>
      </c>
      <c r="P543">
        <f>VLOOKUP(N543,'Products (2)'!A:G,7,0)</f>
        <v>2.0596499999999995</v>
      </c>
      <c r="Q543">
        <v>1</v>
      </c>
      <c r="R543">
        <f>INDEX([1]products!$A$1:$G$49,MATCH([1]orders!$D543,[1]products!$A$1:$A$49,0),MATCH([1]orders!K$1,[1]products!$A$1:$G$1,0))</f>
        <v>2.5</v>
      </c>
      <c r="S543">
        <f>INDEX([1]products!$A$1:$G$49,MATCH([1]orders!$D543,[1]products!$A$1:$A$49,0),MATCH([1]orders!L$1,[1]products!$A$1:$G$1,0))</f>
        <v>22.884999999999998</v>
      </c>
      <c r="T543">
        <f t="shared" si="49"/>
        <v>22.884999999999998</v>
      </c>
      <c r="U543">
        <f t="shared" si="52"/>
        <v>2.0596499999999995</v>
      </c>
      <c r="V543">
        <f t="shared" si="53"/>
        <v>8.9999999999999982</v>
      </c>
    </row>
    <row r="544" spans="1:22" x14ac:dyDescent="0.25">
      <c r="A544" t="s">
        <v>1064</v>
      </c>
      <c r="B544">
        <v>44335</v>
      </c>
      <c r="C544" t="str">
        <f t="shared" si="50"/>
        <v>19</v>
      </c>
      <c r="D544" t="str">
        <f t="shared" si="48"/>
        <v>May</v>
      </c>
      <c r="E544" t="str">
        <f t="shared" si="51"/>
        <v>2021</v>
      </c>
      <c r="F544" t="s">
        <v>1065</v>
      </c>
      <c r="G544" t="str">
        <f>VLOOKUP(F544,'Customers (2)'!A:I,2,0)</f>
        <v>Zack Pellett</v>
      </c>
      <c r="H544" t="str">
        <f>VLOOKUP(F544,'Customers (2)'!A:I,3,0)</f>
        <v>zpellettf2@dailymotion.com</v>
      </c>
      <c r="I544" t="str">
        <f>VLOOKUP(F544,'Customers (2)'!A:I,4,0)</f>
        <v>+1 (318) 218-5955</v>
      </c>
      <c r="J544" t="str">
        <f>VLOOKUP(F544,'Customers (2)'!A:I,6,0)</f>
        <v>Shreveport</v>
      </c>
      <c r="K544" t="str">
        <f>VLOOKUP(F544,'Customers (2)'!A:I,7,0)</f>
        <v>United States</v>
      </c>
      <c r="L544" t="str">
        <f>VLOOKUP(F544,'Customers (2)'!A:I,9,0)</f>
        <v>No</v>
      </c>
      <c r="M544" t="str">
        <f>VLOOKUP(N544,'Products (2)'!A:G,2,0)</f>
        <v>Arabica</v>
      </c>
      <c r="N544" t="s">
        <v>171</v>
      </c>
      <c r="O544" t="str">
        <f>VLOOKUP(N544,'Products (2)'!A:G,3,0)</f>
        <v>Medium</v>
      </c>
      <c r="P544">
        <f>VLOOKUP(N544,'Products (2)'!A:G,7,0)</f>
        <v>2.3287499999999994</v>
      </c>
      <c r="Q544">
        <v>4</v>
      </c>
      <c r="R544">
        <f>INDEX([1]products!$A$1:$G$49,MATCH([1]orders!$D544,[1]products!$A$1:$A$49,0),MATCH([1]orders!K$1,[1]products!$A$1:$G$1,0))</f>
        <v>2.5</v>
      </c>
      <c r="S544">
        <f>INDEX([1]products!$A$1:$G$49,MATCH([1]orders!$D544,[1]products!$A$1:$A$49,0),MATCH([1]orders!L$1,[1]products!$A$1:$G$1,0))</f>
        <v>25.874999999999996</v>
      </c>
      <c r="T544">
        <f t="shared" si="49"/>
        <v>103.49999999999999</v>
      </c>
      <c r="U544">
        <f t="shared" si="52"/>
        <v>9.3149999999999977</v>
      </c>
      <c r="V544">
        <f t="shared" si="53"/>
        <v>9</v>
      </c>
    </row>
    <row r="545" spans="1:22" x14ac:dyDescent="0.25">
      <c r="A545" t="s">
        <v>1066</v>
      </c>
      <c r="B545">
        <v>44380</v>
      </c>
      <c r="C545" t="str">
        <f t="shared" si="50"/>
        <v>03</v>
      </c>
      <c r="D545" t="str">
        <f t="shared" si="48"/>
        <v>July</v>
      </c>
      <c r="E545" t="str">
        <f t="shared" si="51"/>
        <v>2021</v>
      </c>
      <c r="F545" t="s">
        <v>1067</v>
      </c>
      <c r="G545" t="str">
        <f>VLOOKUP(F545,'Customers (2)'!A:I,2,0)</f>
        <v>Ilaire Sprakes</v>
      </c>
      <c r="H545" t="str">
        <f>VLOOKUP(F545,'Customers (2)'!A:I,3,0)</f>
        <v>isprakesf3@spiegel.de</v>
      </c>
      <c r="I545" t="str">
        <f>VLOOKUP(F545,'Customers (2)'!A:I,4,0)</f>
        <v>+1 (408) 319-9787</v>
      </c>
      <c r="J545" t="str">
        <f>VLOOKUP(F545,'Customers (2)'!A:I,6,0)</f>
        <v>San Jose</v>
      </c>
      <c r="K545" t="str">
        <f>VLOOKUP(F545,'Customers (2)'!A:I,7,0)</f>
        <v>United States</v>
      </c>
      <c r="L545" t="str">
        <f>VLOOKUP(F545,'Customers (2)'!A:I,9,0)</f>
        <v>No</v>
      </c>
      <c r="M545" t="str">
        <f>VLOOKUP(N545,'Products (2)'!A:G,2,0)</f>
        <v>Robusta</v>
      </c>
      <c r="N545" t="s">
        <v>10</v>
      </c>
      <c r="O545" t="str">
        <f>VLOOKUP(N545,'Products (2)'!A:G,3,0)</f>
        <v>Light</v>
      </c>
      <c r="P545">
        <f>VLOOKUP(N545,'Products (2)'!A:G,7,0)</f>
        <v>1.6490999999999998</v>
      </c>
      <c r="Q545">
        <v>2</v>
      </c>
      <c r="R545">
        <f>INDEX([1]products!$A$1:$G$49,MATCH([1]orders!$D545,[1]products!$A$1:$A$49,0),MATCH([1]orders!K$1,[1]products!$A$1:$G$1,0))</f>
        <v>2.5</v>
      </c>
      <c r="S545">
        <f>INDEX([1]products!$A$1:$G$49,MATCH([1]orders!$D545,[1]products!$A$1:$A$49,0),MATCH([1]orders!L$1,[1]products!$A$1:$G$1,0))</f>
        <v>27.484999999999996</v>
      </c>
      <c r="T545">
        <f t="shared" si="49"/>
        <v>54.969999999999992</v>
      </c>
      <c r="U545">
        <f t="shared" si="52"/>
        <v>3.2981999999999996</v>
      </c>
      <c r="V545">
        <f t="shared" si="53"/>
        <v>6.0000000000000009</v>
      </c>
    </row>
    <row r="546" spans="1:22" x14ac:dyDescent="0.25">
      <c r="A546" t="s">
        <v>1068</v>
      </c>
      <c r="B546">
        <v>43869</v>
      </c>
      <c r="C546" t="str">
        <f t="shared" si="50"/>
        <v>08</v>
      </c>
      <c r="D546" t="str">
        <f t="shared" si="48"/>
        <v>February</v>
      </c>
      <c r="E546" t="str">
        <f t="shared" si="51"/>
        <v>2020</v>
      </c>
      <c r="F546" t="s">
        <v>1069</v>
      </c>
      <c r="G546" t="str">
        <f>VLOOKUP(F546,'Customers (2)'!A:I,2,0)</f>
        <v>Heda Fromant</v>
      </c>
      <c r="H546" t="str">
        <f>VLOOKUP(F546,'Customers (2)'!A:I,3,0)</f>
        <v>hfromantf4@ucsd.edu</v>
      </c>
      <c r="I546" t="str">
        <f>VLOOKUP(F546,'Customers (2)'!A:I,4,0)</f>
        <v>+1 (610) 156-1700</v>
      </c>
      <c r="J546" t="str">
        <f>VLOOKUP(F546,'Customers (2)'!A:I,6,0)</f>
        <v>Philadelphia</v>
      </c>
      <c r="K546" t="str">
        <f>VLOOKUP(F546,'Customers (2)'!A:I,7,0)</f>
        <v>United States</v>
      </c>
      <c r="L546" t="str">
        <f>VLOOKUP(F546,'Customers (2)'!A:I,9,0)</f>
        <v>No</v>
      </c>
      <c r="M546" t="str">
        <f>VLOOKUP(N546,'Products (2)'!A:G,2,0)</f>
        <v>Arabica</v>
      </c>
      <c r="N546" t="s">
        <v>192</v>
      </c>
      <c r="O546" t="str">
        <f>VLOOKUP(N546,'Products (2)'!A:G,3,0)</f>
        <v>Light</v>
      </c>
      <c r="P546">
        <f>VLOOKUP(N546,'Products (2)'!A:G,7,0)</f>
        <v>0.69929999999999992</v>
      </c>
      <c r="Q546">
        <v>2</v>
      </c>
      <c r="R546">
        <f>INDEX([1]products!$A$1:$G$49,MATCH([1]orders!$D546,[1]products!$A$1:$A$49,0),MATCH([1]orders!K$1,[1]products!$A$1:$G$1,0))</f>
        <v>0.5</v>
      </c>
      <c r="S546">
        <f>INDEX([1]products!$A$1:$G$49,MATCH([1]orders!$D546,[1]products!$A$1:$A$49,0),MATCH([1]orders!L$1,[1]products!$A$1:$G$1,0))</f>
        <v>7.77</v>
      </c>
      <c r="T546">
        <f t="shared" si="49"/>
        <v>15.54</v>
      </c>
      <c r="U546">
        <f t="shared" si="52"/>
        <v>1.3985999999999998</v>
      </c>
      <c r="V546">
        <f t="shared" si="53"/>
        <v>9</v>
      </c>
    </row>
    <row r="547" spans="1:22" x14ac:dyDescent="0.25">
      <c r="A547" t="s">
        <v>1070</v>
      </c>
      <c r="B547">
        <v>44120</v>
      </c>
      <c r="C547" t="str">
        <f t="shared" si="50"/>
        <v>16</v>
      </c>
      <c r="D547" t="str">
        <f t="shared" si="48"/>
        <v>October</v>
      </c>
      <c r="E547" t="str">
        <f t="shared" si="51"/>
        <v>2020</v>
      </c>
      <c r="F547" t="s">
        <v>1071</v>
      </c>
      <c r="G547" t="str">
        <f>VLOOKUP(F547,'Customers (2)'!A:I,2,0)</f>
        <v>Rufus Flear</v>
      </c>
      <c r="H547" t="str">
        <f>VLOOKUP(F547,'Customers (2)'!A:I,3,0)</f>
        <v>rflearf5@artisteer.com</v>
      </c>
      <c r="I547" t="str">
        <f>VLOOKUP(F547,'Customers (2)'!A:I,4,0)</f>
        <v>+44 (271) 881-4912</v>
      </c>
      <c r="J547" t="str">
        <f>VLOOKUP(F547,'Customers (2)'!A:I,6,0)</f>
        <v>Sheffield</v>
      </c>
      <c r="K547" t="str">
        <f>VLOOKUP(F547,'Customers (2)'!A:I,7,0)</f>
        <v>United Kingdom</v>
      </c>
      <c r="L547" t="str">
        <f>VLOOKUP(F547,'Customers (2)'!A:I,9,0)</f>
        <v>No</v>
      </c>
      <c r="M547" t="str">
        <f>VLOOKUP(N547,'Products (2)'!A:G,2,0)</f>
        <v>Liberica</v>
      </c>
      <c r="N547" t="s">
        <v>38</v>
      </c>
      <c r="O547" t="str">
        <f>VLOOKUP(N547,'Products (2)'!A:G,3,0)</f>
        <v>Dark</v>
      </c>
      <c r="P547">
        <f>VLOOKUP(N547,'Products (2)'!A:G,7,0)</f>
        <v>0.50505</v>
      </c>
      <c r="Q547">
        <v>4</v>
      </c>
      <c r="R547">
        <f>INDEX([1]products!$A$1:$G$49,MATCH([1]orders!$D547,[1]products!$A$1:$A$49,0),MATCH([1]orders!K$1,[1]products!$A$1:$G$1,0))</f>
        <v>0.2</v>
      </c>
      <c r="S547">
        <f>INDEX([1]products!$A$1:$G$49,MATCH([1]orders!$D547,[1]products!$A$1:$A$49,0),MATCH([1]orders!L$1,[1]products!$A$1:$G$1,0))</f>
        <v>3.8849999999999998</v>
      </c>
      <c r="T547">
        <f t="shared" si="49"/>
        <v>15.54</v>
      </c>
      <c r="U547">
        <f t="shared" si="52"/>
        <v>2.0202</v>
      </c>
      <c r="V547">
        <f t="shared" si="53"/>
        <v>13</v>
      </c>
    </row>
    <row r="548" spans="1:22" x14ac:dyDescent="0.25">
      <c r="A548" t="s">
        <v>1072</v>
      </c>
      <c r="B548">
        <v>44127</v>
      </c>
      <c r="C548" t="str">
        <f t="shared" si="50"/>
        <v>23</v>
      </c>
      <c r="D548" t="str">
        <f t="shared" si="48"/>
        <v>October</v>
      </c>
      <c r="E548" t="str">
        <f t="shared" si="51"/>
        <v>2020</v>
      </c>
      <c r="F548" t="s">
        <v>1073</v>
      </c>
      <c r="G548" t="str">
        <f>VLOOKUP(F548,'Customers (2)'!A:I,2,0)</f>
        <v>Dom Milella</v>
      </c>
      <c r="H548">
        <f>VLOOKUP(F548,'Customers (2)'!A:I,3,0)</f>
        <v>0</v>
      </c>
      <c r="I548" t="str">
        <f>VLOOKUP(F548,'Customers (2)'!A:I,4,0)</f>
        <v>+353 (361) 732-3444</v>
      </c>
      <c r="J548" t="str">
        <f>VLOOKUP(F548,'Customers (2)'!A:I,6,0)</f>
        <v>Manorhamilton</v>
      </c>
      <c r="K548" t="str">
        <f>VLOOKUP(F548,'Customers (2)'!A:I,7,0)</f>
        <v>Ireland</v>
      </c>
      <c r="L548" t="str">
        <f>VLOOKUP(F548,'Customers (2)'!A:I,9,0)</f>
        <v>No</v>
      </c>
      <c r="M548" t="str">
        <f>VLOOKUP(N548,'Products (2)'!A:G,2,0)</f>
        <v>Excelsa</v>
      </c>
      <c r="N548" t="s">
        <v>530</v>
      </c>
      <c r="O548" t="str">
        <f>VLOOKUP(N548,'Products (2)'!A:G,3,0)</f>
        <v>Dark</v>
      </c>
      <c r="P548">
        <f>VLOOKUP(N548,'Products (2)'!A:G,7,0)</f>
        <v>3.07395</v>
      </c>
      <c r="Q548">
        <v>3</v>
      </c>
      <c r="R548">
        <f>INDEX([1]products!$A$1:$G$49,MATCH([1]orders!$D548,[1]products!$A$1:$A$49,0),MATCH([1]orders!K$1,[1]products!$A$1:$G$1,0))</f>
        <v>2.5</v>
      </c>
      <c r="S548">
        <f>INDEX([1]products!$A$1:$G$49,MATCH([1]orders!$D548,[1]products!$A$1:$A$49,0),MATCH([1]orders!L$1,[1]products!$A$1:$G$1,0))</f>
        <v>27.945</v>
      </c>
      <c r="T548">
        <f t="shared" si="49"/>
        <v>83.835000000000008</v>
      </c>
      <c r="U548">
        <f t="shared" si="52"/>
        <v>9.2218499999999999</v>
      </c>
      <c r="V548">
        <f t="shared" si="53"/>
        <v>10.999999999999998</v>
      </c>
    </row>
    <row r="549" spans="1:22" x14ac:dyDescent="0.25">
      <c r="A549" t="s">
        <v>1074</v>
      </c>
      <c r="B549">
        <v>44265</v>
      </c>
      <c r="C549" t="str">
        <f t="shared" si="50"/>
        <v>10</v>
      </c>
      <c r="D549" t="str">
        <f t="shared" si="48"/>
        <v>March</v>
      </c>
      <c r="E549" t="str">
        <f t="shared" si="51"/>
        <v>2021</v>
      </c>
      <c r="F549" t="s">
        <v>1075</v>
      </c>
      <c r="G549" t="str">
        <f>VLOOKUP(F549,'Customers (2)'!A:I,2,0)</f>
        <v>Wilek Lightollers</v>
      </c>
      <c r="H549" t="str">
        <f>VLOOKUP(F549,'Customers (2)'!A:I,3,0)</f>
        <v>wlightollersf9@baidu.com</v>
      </c>
      <c r="I549" t="str">
        <f>VLOOKUP(F549,'Customers (2)'!A:I,4,0)</f>
        <v>+1 (646) 793-8756</v>
      </c>
      <c r="J549" t="str">
        <f>VLOOKUP(F549,'Customers (2)'!A:I,6,0)</f>
        <v>New York City</v>
      </c>
      <c r="K549" t="str">
        <f>VLOOKUP(F549,'Customers (2)'!A:I,7,0)</f>
        <v>United States</v>
      </c>
      <c r="L549" t="str">
        <f>VLOOKUP(F549,'Customers (2)'!A:I,9,0)</f>
        <v>Yes</v>
      </c>
      <c r="M549" t="str">
        <f>VLOOKUP(N549,'Products (2)'!A:G,2,0)</f>
        <v>Robusta</v>
      </c>
      <c r="N549" t="s">
        <v>182</v>
      </c>
      <c r="O549" t="str">
        <f>VLOOKUP(N549,'Products (2)'!A:G,3,0)</f>
        <v>Light</v>
      </c>
      <c r="P549">
        <f>VLOOKUP(N549,'Products (2)'!A:G,7,0)</f>
        <v>0.21509999999999996</v>
      </c>
      <c r="Q549">
        <v>3</v>
      </c>
      <c r="R549">
        <f>INDEX([1]products!$A$1:$G$49,MATCH([1]orders!$D549,[1]products!$A$1:$A$49,0),MATCH([1]orders!K$1,[1]products!$A$1:$G$1,0))</f>
        <v>0.2</v>
      </c>
      <c r="S549">
        <f>INDEX([1]products!$A$1:$G$49,MATCH([1]orders!$D549,[1]products!$A$1:$A$49,0),MATCH([1]orders!L$1,[1]products!$A$1:$G$1,0))</f>
        <v>3.5849999999999995</v>
      </c>
      <c r="T549">
        <f t="shared" si="49"/>
        <v>10.754999999999999</v>
      </c>
      <c r="U549">
        <f t="shared" si="52"/>
        <v>0.64529999999999987</v>
      </c>
      <c r="V549">
        <f t="shared" si="53"/>
        <v>5.9999999999999991</v>
      </c>
    </row>
    <row r="550" spans="1:22" x14ac:dyDescent="0.25">
      <c r="A550" t="s">
        <v>1076</v>
      </c>
      <c r="B550">
        <v>44384</v>
      </c>
      <c r="C550" t="str">
        <f t="shared" si="50"/>
        <v>07</v>
      </c>
      <c r="D550" t="str">
        <f t="shared" si="48"/>
        <v>July</v>
      </c>
      <c r="E550" t="str">
        <f t="shared" si="51"/>
        <v>2021</v>
      </c>
      <c r="F550" t="s">
        <v>1077</v>
      </c>
      <c r="G550" t="str">
        <f>VLOOKUP(F550,'Customers (2)'!A:I,2,0)</f>
        <v>Bette-ann Munden</v>
      </c>
      <c r="H550" t="str">
        <f>VLOOKUP(F550,'Customers (2)'!A:I,3,0)</f>
        <v>bmundenf8@elpais.com</v>
      </c>
      <c r="I550" t="str">
        <f>VLOOKUP(F550,'Customers (2)'!A:I,4,0)</f>
        <v>+1 (405) 290-3207</v>
      </c>
      <c r="J550" t="str">
        <f>VLOOKUP(F550,'Customers (2)'!A:I,6,0)</f>
        <v>Oklahoma City</v>
      </c>
      <c r="K550" t="str">
        <f>VLOOKUP(F550,'Customers (2)'!A:I,7,0)</f>
        <v>United States</v>
      </c>
      <c r="L550" t="str">
        <f>VLOOKUP(F550,'Customers (2)'!A:I,9,0)</f>
        <v>Yes</v>
      </c>
      <c r="M550" t="str">
        <f>VLOOKUP(N550,'Products (2)'!A:G,2,0)</f>
        <v>Excelsa</v>
      </c>
      <c r="N550" t="s">
        <v>254</v>
      </c>
      <c r="O550" t="str">
        <f>VLOOKUP(N550,'Products (2)'!A:G,3,0)</f>
        <v>Light</v>
      </c>
      <c r="P550">
        <f>VLOOKUP(N550,'Products (2)'!A:G,7,0)</f>
        <v>0.49004999999999999</v>
      </c>
      <c r="Q550">
        <v>3</v>
      </c>
      <c r="R550">
        <f>INDEX([1]products!$A$1:$G$49,MATCH([1]orders!$D550,[1]products!$A$1:$A$49,0),MATCH([1]orders!K$1,[1]products!$A$1:$G$1,0))</f>
        <v>0.2</v>
      </c>
      <c r="S550">
        <f>INDEX([1]products!$A$1:$G$49,MATCH([1]orders!$D550,[1]products!$A$1:$A$49,0),MATCH([1]orders!L$1,[1]products!$A$1:$G$1,0))</f>
        <v>4.4550000000000001</v>
      </c>
      <c r="T550">
        <f t="shared" si="49"/>
        <v>13.365</v>
      </c>
      <c r="U550">
        <f t="shared" si="52"/>
        <v>1.4701499999999998</v>
      </c>
      <c r="V550">
        <f t="shared" si="53"/>
        <v>10.999999999999998</v>
      </c>
    </row>
    <row r="551" spans="1:22" x14ac:dyDescent="0.25">
      <c r="A551" t="s">
        <v>1078</v>
      </c>
      <c r="B551">
        <v>44232</v>
      </c>
      <c r="C551" t="str">
        <f t="shared" si="50"/>
        <v>05</v>
      </c>
      <c r="D551" t="str">
        <f t="shared" si="48"/>
        <v>February</v>
      </c>
      <c r="E551" t="str">
        <f t="shared" si="51"/>
        <v>2021</v>
      </c>
      <c r="F551" t="s">
        <v>1075</v>
      </c>
      <c r="G551" t="str">
        <f>VLOOKUP(F551,'Customers (2)'!A:I,2,0)</f>
        <v>Wilek Lightollers</v>
      </c>
      <c r="H551" t="str">
        <f>VLOOKUP(F551,'Customers (2)'!A:I,3,0)</f>
        <v>wlightollersf9@baidu.com</v>
      </c>
      <c r="I551" t="str">
        <f>VLOOKUP(F551,'Customers (2)'!A:I,4,0)</f>
        <v>+1 (646) 793-8756</v>
      </c>
      <c r="J551" t="str">
        <f>VLOOKUP(F551,'Customers (2)'!A:I,6,0)</f>
        <v>New York City</v>
      </c>
      <c r="K551" t="str">
        <f>VLOOKUP(F551,'Customers (2)'!A:I,7,0)</f>
        <v>United States</v>
      </c>
      <c r="L551" t="str">
        <f>VLOOKUP(F551,'Customers (2)'!A:I,9,0)</f>
        <v>Yes</v>
      </c>
      <c r="M551" t="str">
        <f>VLOOKUP(N551,'Products (2)'!A:G,2,0)</f>
        <v>Excelsa</v>
      </c>
      <c r="N551" t="s">
        <v>254</v>
      </c>
      <c r="O551" t="str">
        <f>VLOOKUP(N551,'Products (2)'!A:G,3,0)</f>
        <v>Light</v>
      </c>
      <c r="P551">
        <f>VLOOKUP(N551,'Products (2)'!A:G,7,0)</f>
        <v>0.49004999999999999</v>
      </c>
      <c r="Q551">
        <v>4</v>
      </c>
      <c r="R551">
        <f>INDEX([1]products!$A$1:$G$49,MATCH([1]orders!$D551,[1]products!$A$1:$A$49,0),MATCH([1]orders!K$1,[1]products!$A$1:$G$1,0))</f>
        <v>0.2</v>
      </c>
      <c r="S551">
        <f>INDEX([1]products!$A$1:$G$49,MATCH([1]orders!$D551,[1]products!$A$1:$A$49,0),MATCH([1]orders!L$1,[1]products!$A$1:$G$1,0))</f>
        <v>4.4550000000000001</v>
      </c>
      <c r="T551">
        <f t="shared" si="49"/>
        <v>17.82</v>
      </c>
      <c r="U551">
        <f t="shared" si="52"/>
        <v>1.9601999999999999</v>
      </c>
      <c r="V551">
        <f t="shared" si="53"/>
        <v>11</v>
      </c>
    </row>
    <row r="552" spans="1:22" x14ac:dyDescent="0.25">
      <c r="A552" t="s">
        <v>1079</v>
      </c>
      <c r="B552">
        <v>44176</v>
      </c>
      <c r="C552" t="str">
        <f t="shared" si="50"/>
        <v>11</v>
      </c>
      <c r="D552" t="str">
        <f t="shared" si="48"/>
        <v>December</v>
      </c>
      <c r="E552" t="str">
        <f t="shared" si="51"/>
        <v>2020</v>
      </c>
      <c r="F552" t="s">
        <v>1080</v>
      </c>
      <c r="G552" t="str">
        <f>VLOOKUP(F552,'Customers (2)'!A:I,2,0)</f>
        <v>Nick Brakespear</v>
      </c>
      <c r="H552" t="str">
        <f>VLOOKUP(F552,'Customers (2)'!A:I,3,0)</f>
        <v>nbrakespearfa@rediff.com</v>
      </c>
      <c r="I552" t="str">
        <f>VLOOKUP(F552,'Customers (2)'!A:I,4,0)</f>
        <v>+1 (973) 380-3976</v>
      </c>
      <c r="J552" t="str">
        <f>VLOOKUP(F552,'Customers (2)'!A:I,6,0)</f>
        <v>Newark</v>
      </c>
      <c r="K552" t="str">
        <f>VLOOKUP(F552,'Customers (2)'!A:I,7,0)</f>
        <v>United States</v>
      </c>
      <c r="L552" t="str">
        <f>VLOOKUP(F552,'Customers (2)'!A:I,9,0)</f>
        <v>Yes</v>
      </c>
      <c r="M552" t="str">
        <f>VLOOKUP(N552,'Products (2)'!A:G,2,0)</f>
        <v>Liberica</v>
      </c>
      <c r="N552" t="s">
        <v>38</v>
      </c>
      <c r="O552" t="str">
        <f>VLOOKUP(N552,'Products (2)'!A:G,3,0)</f>
        <v>Dark</v>
      </c>
      <c r="P552">
        <f>VLOOKUP(N552,'Products (2)'!A:G,7,0)</f>
        <v>0.50505</v>
      </c>
      <c r="Q552">
        <v>6</v>
      </c>
      <c r="R552">
        <f>INDEX([1]products!$A$1:$G$49,MATCH([1]orders!$D552,[1]products!$A$1:$A$49,0),MATCH([1]orders!K$1,[1]products!$A$1:$G$1,0))</f>
        <v>0.2</v>
      </c>
      <c r="S552">
        <f>INDEX([1]products!$A$1:$G$49,MATCH([1]orders!$D552,[1]products!$A$1:$A$49,0),MATCH([1]orders!L$1,[1]products!$A$1:$G$1,0))</f>
        <v>3.8849999999999998</v>
      </c>
      <c r="T552">
        <f t="shared" si="49"/>
        <v>23.31</v>
      </c>
      <c r="U552">
        <f t="shared" si="52"/>
        <v>3.0303</v>
      </c>
      <c r="V552">
        <f t="shared" si="53"/>
        <v>13</v>
      </c>
    </row>
    <row r="553" spans="1:22" x14ac:dyDescent="0.25">
      <c r="A553" t="s">
        <v>1081</v>
      </c>
      <c r="B553">
        <v>44694</v>
      </c>
      <c r="C553" t="str">
        <f t="shared" si="50"/>
        <v>13</v>
      </c>
      <c r="D553" t="str">
        <f t="shared" si="48"/>
        <v>May</v>
      </c>
      <c r="E553" t="str">
        <f t="shared" si="51"/>
        <v>2022</v>
      </c>
      <c r="F553" t="s">
        <v>1082</v>
      </c>
      <c r="G553" t="str">
        <f>VLOOKUP(F553,'Customers (2)'!A:I,2,0)</f>
        <v>Malynda Glawsop</v>
      </c>
      <c r="H553" t="str">
        <f>VLOOKUP(F553,'Customers (2)'!A:I,3,0)</f>
        <v>mglawsopfb@reverbnation.com</v>
      </c>
      <c r="I553" t="str">
        <f>VLOOKUP(F553,'Customers (2)'!A:I,4,0)</f>
        <v>+1 (203) 608-9937</v>
      </c>
      <c r="J553" t="str">
        <f>VLOOKUP(F553,'Customers (2)'!A:I,6,0)</f>
        <v>New Haven</v>
      </c>
      <c r="K553" t="str">
        <f>VLOOKUP(F553,'Customers (2)'!A:I,7,0)</f>
        <v>United States</v>
      </c>
      <c r="L553" t="str">
        <f>VLOOKUP(F553,'Customers (2)'!A:I,9,0)</f>
        <v>No</v>
      </c>
      <c r="M553" t="str">
        <f>VLOOKUP(N553,'Products (2)'!A:G,2,0)</f>
        <v>Excelsa</v>
      </c>
      <c r="N553" t="s">
        <v>51</v>
      </c>
      <c r="O553" t="str">
        <f>VLOOKUP(N553,'Products (2)'!A:G,3,0)</f>
        <v>Dark</v>
      </c>
      <c r="P553">
        <f>VLOOKUP(N553,'Products (2)'!A:G,7,0)</f>
        <v>0.40095000000000003</v>
      </c>
      <c r="Q553">
        <v>2</v>
      </c>
      <c r="R553">
        <f>INDEX([1]products!$A$1:$G$49,MATCH([1]orders!$D553,[1]products!$A$1:$A$49,0),MATCH([1]orders!K$1,[1]products!$A$1:$G$1,0))</f>
        <v>0.2</v>
      </c>
      <c r="S553">
        <f>INDEX([1]products!$A$1:$G$49,MATCH([1]orders!$D553,[1]products!$A$1:$A$49,0),MATCH([1]orders!L$1,[1]products!$A$1:$G$1,0))</f>
        <v>3.645</v>
      </c>
      <c r="T553">
        <f t="shared" si="49"/>
        <v>7.29</v>
      </c>
      <c r="U553">
        <f t="shared" si="52"/>
        <v>0.80190000000000006</v>
      </c>
      <c r="V553">
        <f t="shared" si="53"/>
        <v>11</v>
      </c>
    </row>
    <row r="554" spans="1:22" x14ac:dyDescent="0.25">
      <c r="A554" t="s">
        <v>1083</v>
      </c>
      <c r="B554">
        <v>43761</v>
      </c>
      <c r="C554" t="str">
        <f t="shared" si="50"/>
        <v>23</v>
      </c>
      <c r="D554" t="str">
        <f t="shared" si="48"/>
        <v>October</v>
      </c>
      <c r="E554" t="str">
        <f t="shared" si="51"/>
        <v>2019</v>
      </c>
      <c r="F554" t="s">
        <v>1084</v>
      </c>
      <c r="G554" t="str">
        <f>VLOOKUP(F554,'Customers (2)'!A:I,2,0)</f>
        <v>Granville Alberts</v>
      </c>
      <c r="H554" t="str">
        <f>VLOOKUP(F554,'Customers (2)'!A:I,3,0)</f>
        <v>galbertsfc@etsy.com</v>
      </c>
      <c r="I554" t="str">
        <f>VLOOKUP(F554,'Customers (2)'!A:I,4,0)</f>
        <v>+44 (788) 686-0408</v>
      </c>
      <c r="J554" t="str">
        <f>VLOOKUP(F554,'Customers (2)'!A:I,6,0)</f>
        <v>Belfast</v>
      </c>
      <c r="K554" t="str">
        <f>VLOOKUP(F554,'Customers (2)'!A:I,7,0)</f>
        <v>United Kingdom</v>
      </c>
      <c r="L554" t="str">
        <f>VLOOKUP(F554,'Customers (2)'!A:I,9,0)</f>
        <v>Yes</v>
      </c>
      <c r="M554" t="str">
        <f>VLOOKUP(N554,'Products (2)'!A:G,2,0)</f>
        <v>Excelsa</v>
      </c>
      <c r="N554" t="s">
        <v>254</v>
      </c>
      <c r="O554" t="str">
        <f>VLOOKUP(N554,'Products (2)'!A:G,3,0)</f>
        <v>Light</v>
      </c>
      <c r="P554">
        <f>VLOOKUP(N554,'Products (2)'!A:G,7,0)</f>
        <v>0.49004999999999999</v>
      </c>
      <c r="Q554">
        <v>4</v>
      </c>
      <c r="R554">
        <f>INDEX([1]products!$A$1:$G$49,MATCH([1]orders!$D554,[1]products!$A$1:$A$49,0),MATCH([1]orders!K$1,[1]products!$A$1:$G$1,0))</f>
        <v>0.2</v>
      </c>
      <c r="S554">
        <f>INDEX([1]products!$A$1:$G$49,MATCH([1]orders!$D554,[1]products!$A$1:$A$49,0),MATCH([1]orders!L$1,[1]products!$A$1:$G$1,0))</f>
        <v>4.4550000000000001</v>
      </c>
      <c r="T554">
        <f t="shared" si="49"/>
        <v>17.82</v>
      </c>
      <c r="U554">
        <f t="shared" si="52"/>
        <v>1.9601999999999999</v>
      </c>
      <c r="V554">
        <f t="shared" si="53"/>
        <v>11</v>
      </c>
    </row>
    <row r="555" spans="1:22" x14ac:dyDescent="0.25">
      <c r="A555" t="s">
        <v>1085</v>
      </c>
      <c r="B555">
        <v>44085</v>
      </c>
      <c r="C555" t="str">
        <f t="shared" si="50"/>
        <v>11</v>
      </c>
      <c r="D555" t="str">
        <f t="shared" si="48"/>
        <v>September</v>
      </c>
      <c r="E555" t="str">
        <f t="shared" si="51"/>
        <v>2020</v>
      </c>
      <c r="F555" t="s">
        <v>1086</v>
      </c>
      <c r="G555" t="str">
        <f>VLOOKUP(F555,'Customers (2)'!A:I,2,0)</f>
        <v>Vasily Polglase</v>
      </c>
      <c r="H555" t="str">
        <f>VLOOKUP(F555,'Customers (2)'!A:I,3,0)</f>
        <v>vpolglasefd@about.me</v>
      </c>
      <c r="I555">
        <f>VLOOKUP(F555,'Customers (2)'!A:I,4,0)</f>
        <v>0</v>
      </c>
      <c r="J555" t="str">
        <f>VLOOKUP(F555,'Customers (2)'!A:I,6,0)</f>
        <v>Toledo</v>
      </c>
      <c r="K555" t="str">
        <f>VLOOKUP(F555,'Customers (2)'!A:I,7,0)</f>
        <v>United States</v>
      </c>
      <c r="L555" t="str">
        <f>VLOOKUP(F555,'Customers (2)'!A:I,9,0)</f>
        <v>No</v>
      </c>
      <c r="M555" t="str">
        <f>VLOOKUP(N555,'Products (2)'!A:G,2,0)</f>
        <v>Excelsa</v>
      </c>
      <c r="N555" t="s">
        <v>9</v>
      </c>
      <c r="O555" t="str">
        <f>VLOOKUP(N555,'Products (2)'!A:G,3,0)</f>
        <v>Medium</v>
      </c>
      <c r="P555">
        <f>VLOOKUP(N555,'Products (2)'!A:G,7,0)</f>
        <v>1.5125</v>
      </c>
      <c r="Q555">
        <v>5</v>
      </c>
      <c r="R555">
        <f>INDEX([1]products!$A$1:$G$49,MATCH([1]orders!$D555,[1]products!$A$1:$A$49,0),MATCH([1]orders!K$1,[1]products!$A$1:$G$1,0))</f>
        <v>1</v>
      </c>
      <c r="S555">
        <f>INDEX([1]products!$A$1:$G$49,MATCH([1]orders!$D555,[1]products!$A$1:$A$49,0),MATCH([1]orders!L$1,[1]products!$A$1:$G$1,0))</f>
        <v>13.75</v>
      </c>
      <c r="T555">
        <f t="shared" si="49"/>
        <v>68.75</v>
      </c>
      <c r="U555">
        <f t="shared" si="52"/>
        <v>7.5625</v>
      </c>
      <c r="V555">
        <f t="shared" si="53"/>
        <v>11</v>
      </c>
    </row>
    <row r="556" spans="1:22" x14ac:dyDescent="0.25">
      <c r="A556" t="s">
        <v>1087</v>
      </c>
      <c r="B556">
        <v>43737</v>
      </c>
      <c r="C556" t="str">
        <f t="shared" si="50"/>
        <v>29</v>
      </c>
      <c r="D556" t="str">
        <f t="shared" si="48"/>
        <v>September</v>
      </c>
      <c r="E556" t="str">
        <f t="shared" si="51"/>
        <v>2019</v>
      </c>
      <c r="F556" t="s">
        <v>1088</v>
      </c>
      <c r="G556" t="str">
        <f>VLOOKUP(F556,'Customers (2)'!A:I,2,0)</f>
        <v>Madelaine Sharples</v>
      </c>
      <c r="H556">
        <f>VLOOKUP(F556,'Customers (2)'!A:I,3,0)</f>
        <v>0</v>
      </c>
      <c r="I556" t="str">
        <f>VLOOKUP(F556,'Customers (2)'!A:I,4,0)</f>
        <v>+44 (572) 727-1868</v>
      </c>
      <c r="J556" t="str">
        <f>VLOOKUP(F556,'Customers (2)'!A:I,6,0)</f>
        <v>Newton</v>
      </c>
      <c r="K556" t="str">
        <f>VLOOKUP(F556,'Customers (2)'!A:I,7,0)</f>
        <v>United Kingdom</v>
      </c>
      <c r="L556" t="str">
        <f>VLOOKUP(F556,'Customers (2)'!A:I,9,0)</f>
        <v>Yes</v>
      </c>
      <c r="M556" t="str">
        <f>VLOOKUP(N556,'Products (2)'!A:G,2,0)</f>
        <v>Robusta</v>
      </c>
      <c r="N556" t="s">
        <v>10</v>
      </c>
      <c r="O556" t="str">
        <f>VLOOKUP(N556,'Products (2)'!A:G,3,0)</f>
        <v>Light</v>
      </c>
      <c r="P556">
        <f>VLOOKUP(N556,'Products (2)'!A:G,7,0)</f>
        <v>1.6490999999999998</v>
      </c>
      <c r="Q556">
        <v>2</v>
      </c>
      <c r="R556">
        <f>INDEX([1]products!$A$1:$G$49,MATCH([1]orders!$D556,[1]products!$A$1:$A$49,0),MATCH([1]orders!K$1,[1]products!$A$1:$G$1,0))</f>
        <v>2.5</v>
      </c>
      <c r="S556">
        <f>INDEX([1]products!$A$1:$G$49,MATCH([1]orders!$D556,[1]products!$A$1:$A$49,0),MATCH([1]orders!L$1,[1]products!$A$1:$G$1,0))</f>
        <v>27.484999999999996</v>
      </c>
      <c r="T556">
        <f t="shared" si="49"/>
        <v>54.969999999999992</v>
      </c>
      <c r="U556">
        <f t="shared" si="52"/>
        <v>3.2981999999999996</v>
      </c>
      <c r="V556">
        <f t="shared" si="53"/>
        <v>6.0000000000000009</v>
      </c>
    </row>
    <row r="557" spans="1:22" x14ac:dyDescent="0.25">
      <c r="A557" t="s">
        <v>1089</v>
      </c>
      <c r="B557">
        <v>44258</v>
      </c>
      <c r="C557" t="str">
        <f t="shared" si="50"/>
        <v>03</v>
      </c>
      <c r="D557" t="str">
        <f t="shared" si="48"/>
        <v>March</v>
      </c>
      <c r="E557" t="str">
        <f t="shared" si="51"/>
        <v>2021</v>
      </c>
      <c r="F557" t="s">
        <v>1090</v>
      </c>
      <c r="G557" t="str">
        <f>VLOOKUP(F557,'Customers (2)'!A:I,2,0)</f>
        <v>Sigfrid Busch</v>
      </c>
      <c r="H557" t="str">
        <f>VLOOKUP(F557,'Customers (2)'!A:I,3,0)</f>
        <v>sbuschff@so-net.ne.jp</v>
      </c>
      <c r="I557" t="str">
        <f>VLOOKUP(F557,'Customers (2)'!A:I,4,0)</f>
        <v>+353 (953) 333-8754</v>
      </c>
      <c r="J557" t="str">
        <f>VLOOKUP(F557,'Customers (2)'!A:I,6,0)</f>
        <v>Bantry</v>
      </c>
      <c r="K557" t="str">
        <f>VLOOKUP(F557,'Customers (2)'!A:I,7,0)</f>
        <v>Ireland</v>
      </c>
      <c r="L557" t="str">
        <f>VLOOKUP(F557,'Customers (2)'!A:I,9,0)</f>
        <v>No</v>
      </c>
      <c r="M557" t="str">
        <f>VLOOKUP(N557,'Products (2)'!A:G,2,0)</f>
        <v>Excelsa</v>
      </c>
      <c r="N557" t="s">
        <v>9</v>
      </c>
      <c r="O557" t="str">
        <f>VLOOKUP(N557,'Products (2)'!A:G,3,0)</f>
        <v>Medium</v>
      </c>
      <c r="P557">
        <f>VLOOKUP(N557,'Products (2)'!A:G,7,0)</f>
        <v>1.5125</v>
      </c>
      <c r="Q557">
        <v>6</v>
      </c>
      <c r="R557">
        <f>INDEX([1]products!$A$1:$G$49,MATCH([1]orders!$D557,[1]products!$A$1:$A$49,0),MATCH([1]orders!K$1,[1]products!$A$1:$G$1,0))</f>
        <v>1</v>
      </c>
      <c r="S557">
        <f>INDEX([1]products!$A$1:$G$49,MATCH([1]orders!$D557,[1]products!$A$1:$A$49,0),MATCH([1]orders!L$1,[1]products!$A$1:$G$1,0))</f>
        <v>13.75</v>
      </c>
      <c r="T557">
        <f t="shared" si="49"/>
        <v>82.5</v>
      </c>
      <c r="U557">
        <f t="shared" si="52"/>
        <v>9.0749999999999993</v>
      </c>
      <c r="V557">
        <f t="shared" si="53"/>
        <v>10.999999999999998</v>
      </c>
    </row>
    <row r="558" spans="1:22" x14ac:dyDescent="0.25">
      <c r="A558" t="s">
        <v>1091</v>
      </c>
      <c r="B558">
        <v>44523</v>
      </c>
      <c r="C558" t="str">
        <f t="shared" si="50"/>
        <v>23</v>
      </c>
      <c r="D558" t="str">
        <f t="shared" si="48"/>
        <v>November</v>
      </c>
      <c r="E558" t="str">
        <f t="shared" si="51"/>
        <v>2021</v>
      </c>
      <c r="F558" t="s">
        <v>1092</v>
      </c>
      <c r="G558" t="str">
        <f>VLOOKUP(F558,'Customers (2)'!A:I,2,0)</f>
        <v>Cissiee Raisbeck</v>
      </c>
      <c r="H558" t="str">
        <f>VLOOKUP(F558,'Customers (2)'!A:I,3,0)</f>
        <v>craisbeckfg@webnode.com</v>
      </c>
      <c r="I558">
        <f>VLOOKUP(F558,'Customers (2)'!A:I,4,0)</f>
        <v>0</v>
      </c>
      <c r="J558" t="str">
        <f>VLOOKUP(F558,'Customers (2)'!A:I,6,0)</f>
        <v>Shreveport</v>
      </c>
      <c r="K558" t="str">
        <f>VLOOKUP(F558,'Customers (2)'!A:I,7,0)</f>
        <v>United States</v>
      </c>
      <c r="L558" t="str">
        <f>VLOOKUP(F558,'Customers (2)'!A:I,9,0)</f>
        <v>Yes</v>
      </c>
      <c r="M558" t="str">
        <f>VLOOKUP(N558,'Products (2)'!A:G,2,0)</f>
        <v>Liberica</v>
      </c>
      <c r="N558" t="s">
        <v>77</v>
      </c>
      <c r="O558" t="str">
        <f>VLOOKUP(N558,'Products (2)'!A:G,3,0)</f>
        <v>Medium</v>
      </c>
      <c r="P558">
        <f>VLOOKUP(N558,'Products (2)'!A:G,7,0)</f>
        <v>0.56745000000000001</v>
      </c>
      <c r="Q558">
        <v>2</v>
      </c>
      <c r="R558">
        <f>INDEX([1]products!$A$1:$G$49,MATCH([1]orders!$D558,[1]products!$A$1:$A$49,0),MATCH([1]orders!K$1,[1]products!$A$1:$G$1,0))</f>
        <v>0.2</v>
      </c>
      <c r="S558">
        <f>INDEX([1]products!$A$1:$G$49,MATCH([1]orders!$D558,[1]products!$A$1:$A$49,0),MATCH([1]orders!L$1,[1]products!$A$1:$G$1,0))</f>
        <v>4.3650000000000002</v>
      </c>
      <c r="T558">
        <f t="shared" si="49"/>
        <v>8.73</v>
      </c>
      <c r="U558">
        <f t="shared" si="52"/>
        <v>1.1349</v>
      </c>
      <c r="V558">
        <f t="shared" si="53"/>
        <v>13</v>
      </c>
    </row>
    <row r="559" spans="1:22" x14ac:dyDescent="0.25">
      <c r="A559" t="s">
        <v>1093</v>
      </c>
      <c r="B559">
        <v>44506</v>
      </c>
      <c r="C559" t="str">
        <f t="shared" si="50"/>
        <v>06</v>
      </c>
      <c r="D559" t="str">
        <f t="shared" si="48"/>
        <v>November</v>
      </c>
      <c r="E559" t="str">
        <f t="shared" si="51"/>
        <v>2021</v>
      </c>
      <c r="F559" t="s">
        <v>988</v>
      </c>
      <c r="G559" t="str">
        <f>VLOOKUP(F559,'Customers (2)'!A:I,2,0)</f>
        <v>Marja Urion</v>
      </c>
      <c r="H559" t="str">
        <f>VLOOKUP(F559,'Customers (2)'!A:I,3,0)</f>
        <v>murione5@alexa.com</v>
      </c>
      <c r="I559" t="str">
        <f>VLOOKUP(F559,'Customers (2)'!A:I,4,0)</f>
        <v>+353 (715) 989-0283</v>
      </c>
      <c r="J559" t="str">
        <f>VLOOKUP(F559,'Customers (2)'!A:I,6,0)</f>
        <v>Virginia</v>
      </c>
      <c r="K559" t="str">
        <f>VLOOKUP(F559,'Customers (2)'!A:I,7,0)</f>
        <v>Ireland</v>
      </c>
      <c r="L559" t="str">
        <f>VLOOKUP(F559,'Customers (2)'!A:I,9,0)</f>
        <v>Yes</v>
      </c>
      <c r="M559" t="str">
        <f>VLOOKUP(N559,'Products (2)'!A:G,2,0)</f>
        <v>Excelsa</v>
      </c>
      <c r="N559" t="s">
        <v>137</v>
      </c>
      <c r="O559" t="str">
        <f>VLOOKUP(N559,'Products (2)'!A:G,3,0)</f>
        <v>Light</v>
      </c>
      <c r="P559">
        <f>VLOOKUP(N559,'Products (2)'!A:G,7,0)</f>
        <v>1.6335</v>
      </c>
      <c r="Q559">
        <v>4</v>
      </c>
      <c r="R559">
        <f>INDEX([1]products!$A$1:$G$49,MATCH([1]orders!$D559,[1]products!$A$1:$A$49,0),MATCH([1]orders!K$1,[1]products!$A$1:$G$1,0))</f>
        <v>1</v>
      </c>
      <c r="S559">
        <f>INDEX([1]products!$A$1:$G$49,MATCH([1]orders!$D559,[1]products!$A$1:$A$49,0),MATCH([1]orders!L$1,[1]products!$A$1:$G$1,0))</f>
        <v>14.85</v>
      </c>
      <c r="T559">
        <f t="shared" si="49"/>
        <v>59.4</v>
      </c>
      <c r="U559">
        <f t="shared" si="52"/>
        <v>6.5339999999999998</v>
      </c>
      <c r="V559">
        <f t="shared" si="53"/>
        <v>11</v>
      </c>
    </row>
    <row r="560" spans="1:22" x14ac:dyDescent="0.25">
      <c r="A560" t="s">
        <v>1094</v>
      </c>
      <c r="B560">
        <v>44225</v>
      </c>
      <c r="C560" t="str">
        <f t="shared" si="50"/>
        <v>29</v>
      </c>
      <c r="D560" t="str">
        <f t="shared" si="48"/>
        <v>January</v>
      </c>
      <c r="E560" t="str">
        <f t="shared" si="51"/>
        <v>2021</v>
      </c>
      <c r="F560" t="s">
        <v>1095</v>
      </c>
      <c r="G560" t="str">
        <f>VLOOKUP(F560,'Customers (2)'!A:I,2,0)</f>
        <v>Kenton Wetherick</v>
      </c>
      <c r="H560">
        <f>VLOOKUP(F560,'Customers (2)'!A:I,3,0)</f>
        <v>0</v>
      </c>
      <c r="I560" t="str">
        <f>VLOOKUP(F560,'Customers (2)'!A:I,4,0)</f>
        <v>+1 (859) 628-7241</v>
      </c>
      <c r="J560" t="str">
        <f>VLOOKUP(F560,'Customers (2)'!A:I,6,0)</f>
        <v>Lexington</v>
      </c>
      <c r="K560" t="str">
        <f>VLOOKUP(F560,'Customers (2)'!A:I,7,0)</f>
        <v>United States</v>
      </c>
      <c r="L560" t="str">
        <f>VLOOKUP(F560,'Customers (2)'!A:I,9,0)</f>
        <v>Yes</v>
      </c>
      <c r="M560" t="str">
        <f>VLOOKUP(N560,'Products (2)'!A:G,2,0)</f>
        <v>Liberica</v>
      </c>
      <c r="N560" t="s">
        <v>38</v>
      </c>
      <c r="O560" t="str">
        <f>VLOOKUP(N560,'Products (2)'!A:G,3,0)</f>
        <v>Dark</v>
      </c>
      <c r="P560">
        <f>VLOOKUP(N560,'Products (2)'!A:G,7,0)</f>
        <v>0.50505</v>
      </c>
      <c r="Q560">
        <v>4</v>
      </c>
      <c r="R560">
        <f>INDEX([1]products!$A$1:$G$49,MATCH([1]orders!$D560,[1]products!$A$1:$A$49,0),MATCH([1]orders!K$1,[1]products!$A$1:$G$1,0))</f>
        <v>0.2</v>
      </c>
      <c r="S560">
        <f>INDEX([1]products!$A$1:$G$49,MATCH([1]orders!$D560,[1]products!$A$1:$A$49,0),MATCH([1]orders!L$1,[1]products!$A$1:$G$1,0))</f>
        <v>3.8849999999999998</v>
      </c>
      <c r="T560">
        <f t="shared" si="49"/>
        <v>15.54</v>
      </c>
      <c r="U560">
        <f t="shared" si="52"/>
        <v>2.0202</v>
      </c>
      <c r="V560">
        <f t="shared" si="53"/>
        <v>13</v>
      </c>
    </row>
    <row r="561" spans="1:22" x14ac:dyDescent="0.25">
      <c r="A561" t="s">
        <v>1096</v>
      </c>
      <c r="B561">
        <v>44667</v>
      </c>
      <c r="C561" t="str">
        <f t="shared" si="50"/>
        <v>16</v>
      </c>
      <c r="D561" t="str">
        <f t="shared" si="48"/>
        <v>April</v>
      </c>
      <c r="E561" t="str">
        <f t="shared" si="51"/>
        <v>2022</v>
      </c>
      <c r="F561" t="s">
        <v>1097</v>
      </c>
      <c r="G561" t="str">
        <f>VLOOKUP(F561,'Customers (2)'!A:I,2,0)</f>
        <v>Reamonn Aynold</v>
      </c>
      <c r="H561" t="str">
        <f>VLOOKUP(F561,'Customers (2)'!A:I,3,0)</f>
        <v>raynoldfj@ustream.tv</v>
      </c>
      <c r="I561" t="str">
        <f>VLOOKUP(F561,'Customers (2)'!A:I,4,0)</f>
        <v>+1 (414) 429-0919</v>
      </c>
      <c r="J561" t="str">
        <f>VLOOKUP(F561,'Customers (2)'!A:I,6,0)</f>
        <v>Milwaukee</v>
      </c>
      <c r="K561" t="str">
        <f>VLOOKUP(F561,'Customers (2)'!A:I,7,0)</f>
        <v>United States</v>
      </c>
      <c r="L561" t="str">
        <f>VLOOKUP(F561,'Customers (2)'!A:I,9,0)</f>
        <v>Yes</v>
      </c>
      <c r="M561" t="str">
        <f>VLOOKUP(N561,'Products (2)'!A:G,2,0)</f>
        <v>Arabica</v>
      </c>
      <c r="N561" t="s">
        <v>6</v>
      </c>
      <c r="O561" t="str">
        <f>VLOOKUP(N561,'Products (2)'!A:G,3,0)</f>
        <v>Light</v>
      </c>
      <c r="P561">
        <f>VLOOKUP(N561,'Products (2)'!A:G,7,0)</f>
        <v>1.1655</v>
      </c>
      <c r="Q561">
        <v>3</v>
      </c>
      <c r="R561">
        <f>INDEX([1]products!$A$1:$G$49,MATCH([1]orders!$D561,[1]products!$A$1:$A$49,0),MATCH([1]orders!K$1,[1]products!$A$1:$G$1,0))</f>
        <v>1</v>
      </c>
      <c r="S561">
        <f>INDEX([1]products!$A$1:$G$49,MATCH([1]orders!$D561,[1]products!$A$1:$A$49,0),MATCH([1]orders!L$1,[1]products!$A$1:$G$1,0))</f>
        <v>12.95</v>
      </c>
      <c r="T561">
        <f t="shared" si="49"/>
        <v>38.849999999999994</v>
      </c>
      <c r="U561">
        <f t="shared" si="52"/>
        <v>3.4965000000000002</v>
      </c>
      <c r="V561">
        <f t="shared" si="53"/>
        <v>9.0000000000000018</v>
      </c>
    </row>
    <row r="562" spans="1:22" x14ac:dyDescent="0.25">
      <c r="A562" t="s">
        <v>1098</v>
      </c>
      <c r="B562">
        <v>44401</v>
      </c>
      <c r="C562" t="str">
        <f t="shared" si="50"/>
        <v>24</v>
      </c>
      <c r="D562" t="str">
        <f t="shared" si="48"/>
        <v>July</v>
      </c>
      <c r="E562" t="str">
        <f t="shared" si="51"/>
        <v>2021</v>
      </c>
      <c r="F562" t="s">
        <v>1099</v>
      </c>
      <c r="G562" t="str">
        <f>VLOOKUP(F562,'Customers (2)'!A:I,2,0)</f>
        <v>Hatty Dovydenas</v>
      </c>
      <c r="H562">
        <f>VLOOKUP(F562,'Customers (2)'!A:I,3,0)</f>
        <v>0</v>
      </c>
      <c r="I562" t="str">
        <f>VLOOKUP(F562,'Customers (2)'!A:I,4,0)</f>
        <v>+1 (281) 416-9557</v>
      </c>
      <c r="J562" t="str">
        <f>VLOOKUP(F562,'Customers (2)'!A:I,6,0)</f>
        <v>Amarillo</v>
      </c>
      <c r="K562" t="str">
        <f>VLOOKUP(F562,'Customers (2)'!A:I,7,0)</f>
        <v>United States</v>
      </c>
      <c r="L562" t="str">
        <f>VLOOKUP(F562,'Customers (2)'!A:I,9,0)</f>
        <v>Yes</v>
      </c>
      <c r="M562" t="str">
        <f>VLOOKUP(N562,'Products (2)'!A:G,2,0)</f>
        <v>Excelsa</v>
      </c>
      <c r="N562" t="s">
        <v>112</v>
      </c>
      <c r="O562" t="str">
        <f>VLOOKUP(N562,'Products (2)'!A:G,3,0)</f>
        <v>Medium</v>
      </c>
      <c r="P562">
        <f>VLOOKUP(N562,'Products (2)'!A:G,7,0)</f>
        <v>3.4787499999999998</v>
      </c>
      <c r="Q562">
        <v>6</v>
      </c>
      <c r="R562">
        <f>INDEX([1]products!$A$1:$G$49,MATCH([1]orders!$D562,[1]products!$A$1:$A$49,0),MATCH([1]orders!K$1,[1]products!$A$1:$G$1,0))</f>
        <v>2.5</v>
      </c>
      <c r="S562">
        <f>INDEX([1]products!$A$1:$G$49,MATCH([1]orders!$D562,[1]products!$A$1:$A$49,0),MATCH([1]orders!L$1,[1]products!$A$1:$G$1,0))</f>
        <v>31.624999999999996</v>
      </c>
      <c r="T562">
        <f t="shared" si="49"/>
        <v>189.74999999999997</v>
      </c>
      <c r="U562">
        <f t="shared" si="52"/>
        <v>20.872499999999999</v>
      </c>
      <c r="V562">
        <f t="shared" si="53"/>
        <v>11.000000000000002</v>
      </c>
    </row>
    <row r="563" spans="1:22" x14ac:dyDescent="0.25">
      <c r="A563" t="s">
        <v>1100</v>
      </c>
      <c r="B563">
        <v>43688</v>
      </c>
      <c r="C563" t="str">
        <f t="shared" si="50"/>
        <v>11</v>
      </c>
      <c r="D563" t="str">
        <f t="shared" si="48"/>
        <v>August</v>
      </c>
      <c r="E563" t="str">
        <f t="shared" si="51"/>
        <v>2019</v>
      </c>
      <c r="F563" t="s">
        <v>1101</v>
      </c>
      <c r="G563" t="str">
        <f>VLOOKUP(F563,'Customers (2)'!A:I,2,0)</f>
        <v>Nathaniel Bloxland</v>
      </c>
      <c r="H563">
        <f>VLOOKUP(F563,'Customers (2)'!A:I,3,0)</f>
        <v>0</v>
      </c>
      <c r="I563" t="str">
        <f>VLOOKUP(F563,'Customers (2)'!A:I,4,0)</f>
        <v>+353 (652) 208-7526</v>
      </c>
      <c r="J563" t="str">
        <f>VLOOKUP(F563,'Customers (2)'!A:I,6,0)</f>
        <v>Daingean</v>
      </c>
      <c r="K563" t="str">
        <f>VLOOKUP(F563,'Customers (2)'!A:I,7,0)</f>
        <v>Ireland</v>
      </c>
      <c r="L563" t="str">
        <f>VLOOKUP(F563,'Customers (2)'!A:I,9,0)</f>
        <v>Yes</v>
      </c>
      <c r="M563" t="str">
        <f>VLOOKUP(N563,'Products (2)'!A:G,2,0)</f>
        <v>Arabica</v>
      </c>
      <c r="N563" t="s">
        <v>54</v>
      </c>
      <c r="O563" t="str">
        <f>VLOOKUP(N563,'Products (2)'!A:G,3,0)</f>
        <v>Dark</v>
      </c>
      <c r="P563">
        <f>VLOOKUP(N563,'Products (2)'!A:G,7,0)</f>
        <v>0.26865</v>
      </c>
      <c r="Q563">
        <v>6</v>
      </c>
      <c r="R563">
        <f>INDEX([1]products!$A$1:$G$49,MATCH([1]orders!$D563,[1]products!$A$1:$A$49,0),MATCH([1]orders!K$1,[1]products!$A$1:$G$1,0))</f>
        <v>0.2</v>
      </c>
      <c r="S563">
        <f>INDEX([1]products!$A$1:$G$49,MATCH([1]orders!$D563,[1]products!$A$1:$A$49,0),MATCH([1]orders!L$1,[1]products!$A$1:$G$1,0))</f>
        <v>2.9849999999999999</v>
      </c>
      <c r="T563">
        <f t="shared" si="49"/>
        <v>17.91</v>
      </c>
      <c r="U563">
        <f t="shared" si="52"/>
        <v>1.6118999999999999</v>
      </c>
      <c r="V563">
        <f t="shared" si="53"/>
        <v>9</v>
      </c>
    </row>
    <row r="564" spans="1:22" x14ac:dyDescent="0.25">
      <c r="A564" t="s">
        <v>1102</v>
      </c>
      <c r="B564">
        <v>43669</v>
      </c>
      <c r="C564" t="str">
        <f t="shared" si="50"/>
        <v>23</v>
      </c>
      <c r="D564" t="str">
        <f t="shared" si="48"/>
        <v>July</v>
      </c>
      <c r="E564" t="str">
        <f t="shared" si="51"/>
        <v>2019</v>
      </c>
      <c r="F564" t="s">
        <v>1103</v>
      </c>
      <c r="G564" t="str">
        <f>VLOOKUP(F564,'Customers (2)'!A:I,2,0)</f>
        <v>Brendan Grece</v>
      </c>
      <c r="H564" t="str">
        <f>VLOOKUP(F564,'Customers (2)'!A:I,3,0)</f>
        <v>bgrecefm@naver.com</v>
      </c>
      <c r="I564" t="str">
        <f>VLOOKUP(F564,'Customers (2)'!A:I,4,0)</f>
        <v>+44 (933) 508-3795</v>
      </c>
      <c r="J564" t="str">
        <f>VLOOKUP(F564,'Customers (2)'!A:I,6,0)</f>
        <v>Halton</v>
      </c>
      <c r="K564" t="str">
        <f>VLOOKUP(F564,'Customers (2)'!A:I,7,0)</f>
        <v>United Kingdom</v>
      </c>
      <c r="L564" t="str">
        <f>VLOOKUP(F564,'Customers (2)'!A:I,9,0)</f>
        <v>No</v>
      </c>
      <c r="M564" t="str">
        <f>VLOOKUP(N564,'Products (2)'!A:G,2,0)</f>
        <v>Liberica</v>
      </c>
      <c r="N564" t="s">
        <v>19</v>
      </c>
      <c r="O564" t="str">
        <f>VLOOKUP(N564,'Products (2)'!A:G,3,0)</f>
        <v>Light</v>
      </c>
      <c r="P564">
        <f>VLOOKUP(N564,'Products (2)'!A:G,7,0)</f>
        <v>0.61814999999999998</v>
      </c>
      <c r="Q564">
        <v>6</v>
      </c>
      <c r="R564">
        <f>INDEX([1]products!$A$1:$G$49,MATCH([1]orders!$D564,[1]products!$A$1:$A$49,0),MATCH([1]orders!K$1,[1]products!$A$1:$G$1,0))</f>
        <v>0.2</v>
      </c>
      <c r="S564">
        <f>INDEX([1]products!$A$1:$G$49,MATCH([1]orders!$D564,[1]products!$A$1:$A$49,0),MATCH([1]orders!L$1,[1]products!$A$1:$G$1,0))</f>
        <v>4.7549999999999999</v>
      </c>
      <c r="T564">
        <f t="shared" si="49"/>
        <v>28.53</v>
      </c>
      <c r="U564">
        <f t="shared" si="52"/>
        <v>3.7088999999999999</v>
      </c>
      <c r="V564">
        <f t="shared" si="53"/>
        <v>12.999999999999998</v>
      </c>
    </row>
    <row r="565" spans="1:22" x14ac:dyDescent="0.25">
      <c r="A565" t="s">
        <v>1104</v>
      </c>
      <c r="B565">
        <v>43991</v>
      </c>
      <c r="C565" t="str">
        <f t="shared" si="50"/>
        <v>09</v>
      </c>
      <c r="D565" t="str">
        <f t="shared" si="48"/>
        <v>June</v>
      </c>
      <c r="E565" t="str">
        <f t="shared" si="51"/>
        <v>2020</v>
      </c>
      <c r="F565" t="s">
        <v>1105</v>
      </c>
      <c r="G565" t="str">
        <f>VLOOKUP(F565,'Customers (2)'!A:I,2,0)</f>
        <v>Don Flintiff</v>
      </c>
      <c r="H565" t="str">
        <f>VLOOKUP(F565,'Customers (2)'!A:I,3,0)</f>
        <v>dflintiffg1@e-recht24.de</v>
      </c>
      <c r="I565">
        <f>VLOOKUP(F565,'Customers (2)'!A:I,4,0)</f>
        <v>0</v>
      </c>
      <c r="J565" t="str">
        <f>VLOOKUP(F565,'Customers (2)'!A:I,6,0)</f>
        <v>London</v>
      </c>
      <c r="K565" t="str">
        <f>VLOOKUP(F565,'Customers (2)'!A:I,7,0)</f>
        <v>United Kingdom</v>
      </c>
      <c r="L565" t="str">
        <f>VLOOKUP(F565,'Customers (2)'!A:I,9,0)</f>
        <v>No</v>
      </c>
      <c r="M565" t="str">
        <f>VLOOKUP(N565,'Products (2)'!A:G,2,0)</f>
        <v>Excelsa</v>
      </c>
      <c r="N565" t="s">
        <v>9</v>
      </c>
      <c r="O565" t="str">
        <f>VLOOKUP(N565,'Products (2)'!A:G,3,0)</f>
        <v>Medium</v>
      </c>
      <c r="P565">
        <f>VLOOKUP(N565,'Products (2)'!A:G,7,0)</f>
        <v>1.5125</v>
      </c>
      <c r="Q565">
        <v>6</v>
      </c>
      <c r="R565">
        <f>INDEX([1]products!$A$1:$G$49,MATCH([1]orders!$D565,[1]products!$A$1:$A$49,0),MATCH([1]orders!K$1,[1]products!$A$1:$G$1,0))</f>
        <v>1</v>
      </c>
      <c r="S565">
        <f>INDEX([1]products!$A$1:$G$49,MATCH([1]orders!$D565,[1]products!$A$1:$A$49,0),MATCH([1]orders!L$1,[1]products!$A$1:$G$1,0))</f>
        <v>13.75</v>
      </c>
      <c r="T565">
        <f t="shared" si="49"/>
        <v>82.5</v>
      </c>
      <c r="U565">
        <f t="shared" si="52"/>
        <v>9.0749999999999993</v>
      </c>
      <c r="V565">
        <f t="shared" si="53"/>
        <v>10.999999999999998</v>
      </c>
    </row>
    <row r="566" spans="1:22" x14ac:dyDescent="0.25">
      <c r="A566" t="s">
        <v>1106</v>
      </c>
      <c r="B566">
        <v>43883</v>
      </c>
      <c r="C566" t="str">
        <f t="shared" si="50"/>
        <v>22</v>
      </c>
      <c r="D566" t="str">
        <f t="shared" si="48"/>
        <v>February</v>
      </c>
      <c r="E566" t="str">
        <f t="shared" si="51"/>
        <v>2020</v>
      </c>
      <c r="F566" t="s">
        <v>1107</v>
      </c>
      <c r="G566" t="str">
        <f>VLOOKUP(F566,'Customers (2)'!A:I,2,0)</f>
        <v>Abbe Thys</v>
      </c>
      <c r="H566" t="str">
        <f>VLOOKUP(F566,'Customers (2)'!A:I,3,0)</f>
        <v>athysfo@cdc.gov</v>
      </c>
      <c r="I566" t="str">
        <f>VLOOKUP(F566,'Customers (2)'!A:I,4,0)</f>
        <v>+1 (865) 217-6208</v>
      </c>
      <c r="J566" t="str">
        <f>VLOOKUP(F566,'Customers (2)'!A:I,6,0)</f>
        <v>Knoxville</v>
      </c>
      <c r="K566" t="str">
        <f>VLOOKUP(F566,'Customers (2)'!A:I,7,0)</f>
        <v>United States</v>
      </c>
      <c r="L566" t="str">
        <f>VLOOKUP(F566,'Customers (2)'!A:I,9,0)</f>
        <v>No</v>
      </c>
      <c r="M566" t="str">
        <f>VLOOKUP(N566,'Products (2)'!A:G,2,0)</f>
        <v>Robusta</v>
      </c>
      <c r="N566" t="s">
        <v>157</v>
      </c>
      <c r="O566" t="str">
        <f>VLOOKUP(N566,'Products (2)'!A:G,3,0)</f>
        <v>Light</v>
      </c>
      <c r="P566">
        <f>VLOOKUP(N566,'Products (2)'!A:G,7,0)</f>
        <v>0.43019999999999992</v>
      </c>
      <c r="Q566">
        <v>2</v>
      </c>
      <c r="R566">
        <f>INDEX([1]products!$A$1:$G$49,MATCH([1]orders!$D566,[1]products!$A$1:$A$49,0),MATCH([1]orders!K$1,[1]products!$A$1:$G$1,0))</f>
        <v>0.5</v>
      </c>
      <c r="S566">
        <f>INDEX([1]products!$A$1:$G$49,MATCH([1]orders!$D566,[1]products!$A$1:$A$49,0),MATCH([1]orders!L$1,[1]products!$A$1:$G$1,0))</f>
        <v>7.169999999999999</v>
      </c>
      <c r="T566">
        <f t="shared" si="49"/>
        <v>14.339999999999998</v>
      </c>
      <c r="U566">
        <f t="shared" si="52"/>
        <v>0.86039999999999983</v>
      </c>
      <c r="V566">
        <f t="shared" si="53"/>
        <v>6</v>
      </c>
    </row>
    <row r="567" spans="1:22" x14ac:dyDescent="0.25">
      <c r="A567" t="s">
        <v>1108</v>
      </c>
      <c r="B567">
        <v>44031</v>
      </c>
      <c r="C567" t="str">
        <f t="shared" si="50"/>
        <v>19</v>
      </c>
      <c r="D567" t="str">
        <f t="shared" si="48"/>
        <v>July</v>
      </c>
      <c r="E567" t="str">
        <f t="shared" si="51"/>
        <v>2020</v>
      </c>
      <c r="F567" t="s">
        <v>1109</v>
      </c>
      <c r="G567" t="str">
        <f>VLOOKUP(F567,'Customers (2)'!A:I,2,0)</f>
        <v>Jackquelin Chugg</v>
      </c>
      <c r="H567" t="str">
        <f>VLOOKUP(F567,'Customers (2)'!A:I,3,0)</f>
        <v>jchuggfp@about.me</v>
      </c>
      <c r="I567" t="str">
        <f>VLOOKUP(F567,'Customers (2)'!A:I,4,0)</f>
        <v>+1 (913) 466-8319</v>
      </c>
      <c r="J567" t="str">
        <f>VLOOKUP(F567,'Customers (2)'!A:I,6,0)</f>
        <v>Shawnee Mission</v>
      </c>
      <c r="K567" t="str">
        <f>VLOOKUP(F567,'Customers (2)'!A:I,7,0)</f>
        <v>United States</v>
      </c>
      <c r="L567" t="str">
        <f>VLOOKUP(F567,'Customers (2)'!A:I,9,0)</f>
        <v>No</v>
      </c>
      <c r="M567" t="str">
        <f>VLOOKUP(N567,'Products (2)'!A:G,2,0)</f>
        <v>Robusta</v>
      </c>
      <c r="N567" t="s">
        <v>35</v>
      </c>
      <c r="O567" t="str">
        <f>VLOOKUP(N567,'Products (2)'!A:G,3,0)</f>
        <v>Dark</v>
      </c>
      <c r="P567">
        <f>VLOOKUP(N567,'Products (2)'!A:G,7,0)</f>
        <v>1.2350999999999999</v>
      </c>
      <c r="Q567">
        <v>4</v>
      </c>
      <c r="R567">
        <f>INDEX([1]products!$A$1:$G$49,MATCH([1]orders!$D567,[1]products!$A$1:$A$49,0),MATCH([1]orders!K$1,[1]products!$A$1:$G$1,0))</f>
        <v>2.5</v>
      </c>
      <c r="S567">
        <f>INDEX([1]products!$A$1:$G$49,MATCH([1]orders!$D567,[1]products!$A$1:$A$49,0),MATCH([1]orders!L$1,[1]products!$A$1:$G$1,0))</f>
        <v>20.584999999999997</v>
      </c>
      <c r="T567">
        <f t="shared" si="49"/>
        <v>82.339999999999989</v>
      </c>
      <c r="U567">
        <f t="shared" si="52"/>
        <v>4.9403999999999995</v>
      </c>
      <c r="V567">
        <f t="shared" si="53"/>
        <v>6.0000000000000009</v>
      </c>
    </row>
    <row r="568" spans="1:22" x14ac:dyDescent="0.25">
      <c r="A568" t="s">
        <v>1110</v>
      </c>
      <c r="B568">
        <v>44459</v>
      </c>
      <c r="C568" t="str">
        <f t="shared" si="50"/>
        <v>20</v>
      </c>
      <c r="D568" t="str">
        <f t="shared" si="48"/>
        <v>September</v>
      </c>
      <c r="E568" t="str">
        <f t="shared" si="51"/>
        <v>2021</v>
      </c>
      <c r="F568" t="s">
        <v>1111</v>
      </c>
      <c r="G568" t="str">
        <f>VLOOKUP(F568,'Customers (2)'!A:I,2,0)</f>
        <v>Audra Kelston</v>
      </c>
      <c r="H568" t="str">
        <f>VLOOKUP(F568,'Customers (2)'!A:I,3,0)</f>
        <v>akelstonfq@sakura.ne.jp</v>
      </c>
      <c r="I568" t="str">
        <f>VLOOKUP(F568,'Customers (2)'!A:I,4,0)</f>
        <v>+1 (954) 981-8804</v>
      </c>
      <c r="J568" t="str">
        <f>VLOOKUP(F568,'Customers (2)'!A:I,6,0)</f>
        <v>Fort Lauderdale</v>
      </c>
      <c r="K568" t="str">
        <f>VLOOKUP(F568,'Customers (2)'!A:I,7,0)</f>
        <v>United States</v>
      </c>
      <c r="L568" t="str">
        <f>VLOOKUP(F568,'Customers (2)'!A:I,9,0)</f>
        <v>Yes</v>
      </c>
      <c r="M568" t="str">
        <f>VLOOKUP(N568,'Products (2)'!A:G,2,0)</f>
        <v>Arabica</v>
      </c>
      <c r="N568" t="s">
        <v>44</v>
      </c>
      <c r="O568" t="str">
        <f>VLOOKUP(N568,'Products (2)'!A:G,3,0)</f>
        <v>Medium</v>
      </c>
      <c r="P568">
        <f>VLOOKUP(N568,'Products (2)'!A:G,7,0)</f>
        <v>0.30374999999999996</v>
      </c>
      <c r="Q568">
        <v>6</v>
      </c>
      <c r="R568">
        <f>INDEX([1]products!$A$1:$G$49,MATCH([1]orders!$D568,[1]products!$A$1:$A$49,0),MATCH([1]orders!K$1,[1]products!$A$1:$G$1,0))</f>
        <v>0.2</v>
      </c>
      <c r="S568">
        <f>INDEX([1]products!$A$1:$G$49,MATCH([1]orders!$D568,[1]products!$A$1:$A$49,0),MATCH([1]orders!L$1,[1]products!$A$1:$G$1,0))</f>
        <v>3.375</v>
      </c>
      <c r="T568">
        <f t="shared" si="49"/>
        <v>20.25</v>
      </c>
      <c r="U568">
        <f t="shared" si="52"/>
        <v>1.8224999999999998</v>
      </c>
      <c r="V568">
        <f t="shared" si="53"/>
        <v>8.9999999999999982</v>
      </c>
    </row>
    <row r="569" spans="1:22" x14ac:dyDescent="0.25">
      <c r="A569" t="s">
        <v>1112</v>
      </c>
      <c r="B569">
        <v>44318</v>
      </c>
      <c r="C569" t="str">
        <f t="shared" si="50"/>
        <v>02</v>
      </c>
      <c r="D569" t="str">
        <f t="shared" si="48"/>
        <v>May</v>
      </c>
      <c r="E569" t="str">
        <f t="shared" si="51"/>
        <v>2021</v>
      </c>
      <c r="F569" t="s">
        <v>1113</v>
      </c>
      <c r="G569" t="str">
        <f>VLOOKUP(F569,'Customers (2)'!A:I,2,0)</f>
        <v>Elvina Angel</v>
      </c>
      <c r="H569">
        <f>VLOOKUP(F569,'Customers (2)'!A:I,3,0)</f>
        <v>0</v>
      </c>
      <c r="I569" t="str">
        <f>VLOOKUP(F569,'Customers (2)'!A:I,4,0)</f>
        <v>+353 (921) 742-1111</v>
      </c>
      <c r="J569" t="str">
        <f>VLOOKUP(F569,'Customers (2)'!A:I,6,0)</f>
        <v>Tralee</v>
      </c>
      <c r="K569" t="str">
        <f>VLOOKUP(F569,'Customers (2)'!A:I,7,0)</f>
        <v>Ireland</v>
      </c>
      <c r="L569" t="str">
        <f>VLOOKUP(F569,'Customers (2)'!A:I,9,0)</f>
        <v>No</v>
      </c>
      <c r="M569" t="str">
        <f>VLOOKUP(N569,'Products (2)'!A:G,2,0)</f>
        <v>Robusta</v>
      </c>
      <c r="N569" t="s">
        <v>10</v>
      </c>
      <c r="O569" t="str">
        <f>VLOOKUP(N569,'Products (2)'!A:G,3,0)</f>
        <v>Light</v>
      </c>
      <c r="P569">
        <f>VLOOKUP(N569,'Products (2)'!A:G,7,0)</f>
        <v>1.6490999999999998</v>
      </c>
      <c r="Q569">
        <v>6</v>
      </c>
      <c r="R569">
        <f>INDEX([1]products!$A$1:$G$49,MATCH([1]orders!$D569,[1]products!$A$1:$A$49,0),MATCH([1]orders!K$1,[1]products!$A$1:$G$1,0))</f>
        <v>2.5</v>
      </c>
      <c r="S569">
        <f>INDEX([1]products!$A$1:$G$49,MATCH([1]orders!$D569,[1]products!$A$1:$A$49,0),MATCH([1]orders!L$1,[1]products!$A$1:$G$1,0))</f>
        <v>27.484999999999996</v>
      </c>
      <c r="T569">
        <f t="shared" si="49"/>
        <v>164.90999999999997</v>
      </c>
      <c r="U569">
        <f t="shared" si="52"/>
        <v>9.8945999999999987</v>
      </c>
      <c r="V569">
        <f t="shared" si="53"/>
        <v>6.0000000000000009</v>
      </c>
    </row>
    <row r="570" spans="1:22" x14ac:dyDescent="0.25">
      <c r="A570" t="s">
        <v>1114</v>
      </c>
      <c r="B570">
        <v>44526</v>
      </c>
      <c r="C570" t="str">
        <f t="shared" si="50"/>
        <v>26</v>
      </c>
      <c r="D570" t="str">
        <f t="shared" si="48"/>
        <v>November</v>
      </c>
      <c r="E570" t="str">
        <f t="shared" si="51"/>
        <v>2021</v>
      </c>
      <c r="F570" t="s">
        <v>1115</v>
      </c>
      <c r="G570" t="str">
        <f>VLOOKUP(F570,'Customers (2)'!A:I,2,0)</f>
        <v>Claiborne Mottram</v>
      </c>
      <c r="H570" t="str">
        <f>VLOOKUP(F570,'Customers (2)'!A:I,3,0)</f>
        <v>cmottramfs@harvard.edu</v>
      </c>
      <c r="I570" t="str">
        <f>VLOOKUP(F570,'Customers (2)'!A:I,4,0)</f>
        <v>+1 (512) 333-9861</v>
      </c>
      <c r="J570" t="str">
        <f>VLOOKUP(F570,'Customers (2)'!A:I,6,0)</f>
        <v>Austin</v>
      </c>
      <c r="K570" t="str">
        <f>VLOOKUP(F570,'Customers (2)'!A:I,7,0)</f>
        <v>United States</v>
      </c>
      <c r="L570" t="str">
        <f>VLOOKUP(F570,'Customers (2)'!A:I,9,0)</f>
        <v>Yes</v>
      </c>
      <c r="M570" t="str">
        <f>VLOOKUP(N570,'Products (2)'!A:G,2,0)</f>
        <v>Liberica</v>
      </c>
      <c r="N570" t="s">
        <v>19</v>
      </c>
      <c r="O570" t="str">
        <f>VLOOKUP(N570,'Products (2)'!A:G,3,0)</f>
        <v>Light</v>
      </c>
      <c r="P570">
        <f>VLOOKUP(N570,'Products (2)'!A:G,7,0)</f>
        <v>0.61814999999999998</v>
      </c>
      <c r="Q570">
        <v>4</v>
      </c>
      <c r="R570">
        <f>INDEX([1]products!$A$1:$G$49,MATCH([1]orders!$D570,[1]products!$A$1:$A$49,0),MATCH([1]orders!K$1,[1]products!$A$1:$G$1,0))</f>
        <v>0.2</v>
      </c>
      <c r="S570">
        <f>INDEX([1]products!$A$1:$G$49,MATCH([1]orders!$D570,[1]products!$A$1:$A$49,0),MATCH([1]orders!L$1,[1]products!$A$1:$G$1,0))</f>
        <v>4.7549999999999999</v>
      </c>
      <c r="T570">
        <f t="shared" si="49"/>
        <v>19.02</v>
      </c>
      <c r="U570">
        <f t="shared" si="52"/>
        <v>2.4725999999999999</v>
      </c>
      <c r="V570">
        <f t="shared" si="53"/>
        <v>13</v>
      </c>
    </row>
    <row r="571" spans="1:22" x14ac:dyDescent="0.25">
      <c r="A571" t="s">
        <v>1116</v>
      </c>
      <c r="B571">
        <v>43879</v>
      </c>
      <c r="C571" t="str">
        <f t="shared" si="50"/>
        <v>18</v>
      </c>
      <c r="D571" t="str">
        <f t="shared" si="48"/>
        <v>February</v>
      </c>
      <c r="E571" t="str">
        <f t="shared" si="51"/>
        <v>2020</v>
      </c>
      <c r="F571" t="s">
        <v>1105</v>
      </c>
      <c r="G571" t="str">
        <f>VLOOKUP(F571,'Customers (2)'!A:I,2,0)</f>
        <v>Don Flintiff</v>
      </c>
      <c r="H571" t="str">
        <f>VLOOKUP(F571,'Customers (2)'!A:I,3,0)</f>
        <v>dflintiffg1@e-recht24.de</v>
      </c>
      <c r="I571">
        <f>VLOOKUP(F571,'Customers (2)'!A:I,4,0)</f>
        <v>0</v>
      </c>
      <c r="J571" t="str">
        <f>VLOOKUP(F571,'Customers (2)'!A:I,6,0)</f>
        <v>London</v>
      </c>
      <c r="K571" t="str">
        <f>VLOOKUP(F571,'Customers (2)'!A:I,7,0)</f>
        <v>United Kingdom</v>
      </c>
      <c r="L571" t="str">
        <f>VLOOKUP(F571,'Customers (2)'!A:I,9,0)</f>
        <v>No</v>
      </c>
      <c r="M571" t="str">
        <f>VLOOKUP(N571,'Products (2)'!A:G,2,0)</f>
        <v>Arabica</v>
      </c>
      <c r="N571" t="s">
        <v>118</v>
      </c>
      <c r="O571" t="str">
        <f>VLOOKUP(N571,'Products (2)'!A:G,3,0)</f>
        <v>Dark</v>
      </c>
      <c r="P571">
        <f>VLOOKUP(N571,'Products (2)'!A:G,7,0)</f>
        <v>2.0596499999999995</v>
      </c>
      <c r="Q571">
        <v>6</v>
      </c>
      <c r="R571">
        <f>INDEX([1]products!$A$1:$G$49,MATCH([1]orders!$D571,[1]products!$A$1:$A$49,0),MATCH([1]orders!K$1,[1]products!$A$1:$G$1,0))</f>
        <v>2.5</v>
      </c>
      <c r="S571">
        <f>INDEX([1]products!$A$1:$G$49,MATCH([1]orders!$D571,[1]products!$A$1:$A$49,0),MATCH([1]orders!L$1,[1]products!$A$1:$G$1,0))</f>
        <v>22.884999999999998</v>
      </c>
      <c r="T571">
        <f t="shared" si="49"/>
        <v>137.31</v>
      </c>
      <c r="U571">
        <f t="shared" si="52"/>
        <v>12.357899999999997</v>
      </c>
      <c r="V571">
        <f t="shared" si="53"/>
        <v>8.9999999999999982</v>
      </c>
    </row>
    <row r="572" spans="1:22" x14ac:dyDescent="0.25">
      <c r="A572" t="s">
        <v>1117</v>
      </c>
      <c r="B572">
        <v>43928</v>
      </c>
      <c r="C572" t="str">
        <f t="shared" si="50"/>
        <v>07</v>
      </c>
      <c r="D572" t="str">
        <f t="shared" si="48"/>
        <v>April</v>
      </c>
      <c r="E572" t="str">
        <f t="shared" si="51"/>
        <v>2020</v>
      </c>
      <c r="F572" t="s">
        <v>1118</v>
      </c>
      <c r="G572" t="str">
        <f>VLOOKUP(F572,'Customers (2)'!A:I,2,0)</f>
        <v>Donalt Sangwin</v>
      </c>
      <c r="H572" t="str">
        <f>VLOOKUP(F572,'Customers (2)'!A:I,3,0)</f>
        <v>dsangwinfu@weebly.com</v>
      </c>
      <c r="I572" t="str">
        <f>VLOOKUP(F572,'Customers (2)'!A:I,4,0)</f>
        <v>+1 (301) 879-4079</v>
      </c>
      <c r="J572" t="str">
        <f>VLOOKUP(F572,'Customers (2)'!A:I,6,0)</f>
        <v>Hyattsville</v>
      </c>
      <c r="K572" t="str">
        <f>VLOOKUP(F572,'Customers (2)'!A:I,7,0)</f>
        <v>United States</v>
      </c>
      <c r="L572" t="str">
        <f>VLOOKUP(F572,'Customers (2)'!A:I,9,0)</f>
        <v>No</v>
      </c>
      <c r="M572" t="str">
        <f>VLOOKUP(N572,'Products (2)'!A:G,2,0)</f>
        <v>Arabica</v>
      </c>
      <c r="N572" t="s">
        <v>67</v>
      </c>
      <c r="O572" t="str">
        <f>VLOOKUP(N572,'Products (2)'!A:G,3,0)</f>
        <v>Medium</v>
      </c>
      <c r="P572">
        <f>VLOOKUP(N572,'Products (2)'!A:G,7,0)</f>
        <v>0.60749999999999993</v>
      </c>
      <c r="Q572">
        <v>4</v>
      </c>
      <c r="R572">
        <f>INDEX([1]products!$A$1:$G$49,MATCH([1]orders!$D572,[1]products!$A$1:$A$49,0),MATCH([1]orders!K$1,[1]products!$A$1:$G$1,0))</f>
        <v>0.5</v>
      </c>
      <c r="S572">
        <f>INDEX([1]products!$A$1:$G$49,MATCH([1]orders!$D572,[1]products!$A$1:$A$49,0),MATCH([1]orders!L$1,[1]products!$A$1:$G$1,0))</f>
        <v>6.75</v>
      </c>
      <c r="T572">
        <f t="shared" si="49"/>
        <v>27</v>
      </c>
      <c r="U572">
        <f t="shared" si="52"/>
        <v>2.4299999999999997</v>
      </c>
      <c r="V572">
        <f t="shared" si="53"/>
        <v>8.9999999999999982</v>
      </c>
    </row>
    <row r="573" spans="1:22" x14ac:dyDescent="0.25">
      <c r="A573" t="s">
        <v>1119</v>
      </c>
      <c r="B573">
        <v>44592</v>
      </c>
      <c r="C573" t="str">
        <f t="shared" si="50"/>
        <v>31</v>
      </c>
      <c r="D573" t="str">
        <f t="shared" si="48"/>
        <v>January</v>
      </c>
      <c r="E573" t="str">
        <f t="shared" si="51"/>
        <v>2022</v>
      </c>
      <c r="F573" t="s">
        <v>1120</v>
      </c>
      <c r="G573" t="str">
        <f>VLOOKUP(F573,'Customers (2)'!A:I,2,0)</f>
        <v>Elizabet Aizikowitz</v>
      </c>
      <c r="H573" t="str">
        <f>VLOOKUP(F573,'Customers (2)'!A:I,3,0)</f>
        <v>eaizikowitzfv@virginia.edu</v>
      </c>
      <c r="I573" t="str">
        <f>VLOOKUP(F573,'Customers (2)'!A:I,4,0)</f>
        <v>+44 (148) 635-3706</v>
      </c>
      <c r="J573" t="str">
        <f>VLOOKUP(F573,'Customers (2)'!A:I,6,0)</f>
        <v>Ashley</v>
      </c>
      <c r="K573" t="str">
        <f>VLOOKUP(F573,'Customers (2)'!A:I,7,0)</f>
        <v>United Kingdom</v>
      </c>
      <c r="L573" t="str">
        <f>VLOOKUP(F573,'Customers (2)'!A:I,9,0)</f>
        <v>No</v>
      </c>
      <c r="M573" t="str">
        <f>VLOOKUP(N573,'Products (2)'!A:G,2,0)</f>
        <v>Excelsa</v>
      </c>
      <c r="N573" t="s">
        <v>176</v>
      </c>
      <c r="O573" t="str">
        <f>VLOOKUP(N573,'Products (2)'!A:G,3,0)</f>
        <v>Light</v>
      </c>
      <c r="P573">
        <f>VLOOKUP(N573,'Products (2)'!A:G,7,0)</f>
        <v>0.98009999999999997</v>
      </c>
      <c r="Q573">
        <v>4</v>
      </c>
      <c r="R573">
        <f>INDEX([1]products!$A$1:$G$49,MATCH([1]orders!$D573,[1]products!$A$1:$A$49,0),MATCH([1]orders!K$1,[1]products!$A$1:$G$1,0))</f>
        <v>0.5</v>
      </c>
      <c r="S573">
        <f>INDEX([1]products!$A$1:$G$49,MATCH([1]orders!$D573,[1]products!$A$1:$A$49,0),MATCH([1]orders!L$1,[1]products!$A$1:$G$1,0))</f>
        <v>8.91</v>
      </c>
      <c r="T573">
        <f t="shared" si="49"/>
        <v>35.64</v>
      </c>
      <c r="U573">
        <f t="shared" si="52"/>
        <v>3.9203999999999999</v>
      </c>
      <c r="V573">
        <f t="shared" si="53"/>
        <v>11</v>
      </c>
    </row>
    <row r="574" spans="1:22" x14ac:dyDescent="0.25">
      <c r="A574" t="s">
        <v>1121</v>
      </c>
      <c r="B574">
        <v>43515</v>
      </c>
      <c r="C574" t="str">
        <f t="shared" si="50"/>
        <v>19</v>
      </c>
      <c r="D574" t="str">
        <f t="shared" si="48"/>
        <v>February</v>
      </c>
      <c r="E574" t="str">
        <f t="shared" si="51"/>
        <v>2019</v>
      </c>
      <c r="F574" t="s">
        <v>1122</v>
      </c>
      <c r="G574" t="str">
        <f>VLOOKUP(F574,'Customers (2)'!A:I,2,0)</f>
        <v>Herbie Peppard</v>
      </c>
      <c r="H574">
        <f>VLOOKUP(F574,'Customers (2)'!A:I,3,0)</f>
        <v>0</v>
      </c>
      <c r="I574">
        <f>VLOOKUP(F574,'Customers (2)'!A:I,4,0)</f>
        <v>0</v>
      </c>
      <c r="J574" t="str">
        <f>VLOOKUP(F574,'Customers (2)'!A:I,6,0)</f>
        <v>Pasadena</v>
      </c>
      <c r="K574" t="str">
        <f>VLOOKUP(F574,'Customers (2)'!A:I,7,0)</f>
        <v>United States</v>
      </c>
      <c r="L574" t="str">
        <f>VLOOKUP(F574,'Customers (2)'!A:I,9,0)</f>
        <v>Yes</v>
      </c>
      <c r="M574" t="str">
        <f>VLOOKUP(N574,'Products (2)'!A:G,2,0)</f>
        <v>Arabica</v>
      </c>
      <c r="N574" t="s">
        <v>54</v>
      </c>
      <c r="O574" t="str">
        <f>VLOOKUP(N574,'Products (2)'!A:G,3,0)</f>
        <v>Dark</v>
      </c>
      <c r="P574">
        <f>VLOOKUP(N574,'Products (2)'!A:G,7,0)</f>
        <v>0.26865</v>
      </c>
      <c r="Q574">
        <v>2</v>
      </c>
      <c r="R574">
        <f>INDEX([1]products!$A$1:$G$49,MATCH([1]orders!$D574,[1]products!$A$1:$A$49,0),MATCH([1]orders!K$1,[1]products!$A$1:$G$1,0))</f>
        <v>0.2</v>
      </c>
      <c r="S574">
        <f>INDEX([1]products!$A$1:$G$49,MATCH([1]orders!$D574,[1]products!$A$1:$A$49,0),MATCH([1]orders!L$1,[1]products!$A$1:$G$1,0))</f>
        <v>2.9849999999999999</v>
      </c>
      <c r="T574">
        <f t="shared" si="49"/>
        <v>5.97</v>
      </c>
      <c r="U574">
        <f t="shared" si="52"/>
        <v>0.5373</v>
      </c>
      <c r="V574">
        <f t="shared" si="53"/>
        <v>9.0000000000000018</v>
      </c>
    </row>
    <row r="575" spans="1:22" x14ac:dyDescent="0.25">
      <c r="A575" t="s">
        <v>1123</v>
      </c>
      <c r="B575">
        <v>43781</v>
      </c>
      <c r="C575" t="str">
        <f t="shared" si="50"/>
        <v>12</v>
      </c>
      <c r="D575" t="str">
        <f t="shared" si="48"/>
        <v>November</v>
      </c>
      <c r="E575" t="str">
        <f t="shared" si="51"/>
        <v>2019</v>
      </c>
      <c r="F575" t="s">
        <v>1124</v>
      </c>
      <c r="G575" t="str">
        <f>VLOOKUP(F575,'Customers (2)'!A:I,2,0)</f>
        <v>Cornie Venour</v>
      </c>
      <c r="H575" t="str">
        <f>VLOOKUP(F575,'Customers (2)'!A:I,3,0)</f>
        <v>cvenourfx@ask.com</v>
      </c>
      <c r="I575" t="str">
        <f>VLOOKUP(F575,'Customers (2)'!A:I,4,0)</f>
        <v>+1 (318) 578-8039</v>
      </c>
      <c r="J575" t="str">
        <f>VLOOKUP(F575,'Customers (2)'!A:I,6,0)</f>
        <v>Shreveport</v>
      </c>
      <c r="K575" t="str">
        <f>VLOOKUP(F575,'Customers (2)'!A:I,7,0)</f>
        <v>United States</v>
      </c>
      <c r="L575" t="str">
        <f>VLOOKUP(F575,'Customers (2)'!A:I,9,0)</f>
        <v>No</v>
      </c>
      <c r="M575" t="str">
        <f>VLOOKUP(N575,'Products (2)'!A:G,2,0)</f>
        <v>Arabica</v>
      </c>
      <c r="N575" t="s">
        <v>61</v>
      </c>
      <c r="O575" t="str">
        <f>VLOOKUP(N575,'Products (2)'!A:G,3,0)</f>
        <v>Medium</v>
      </c>
      <c r="P575">
        <f>VLOOKUP(N575,'Products (2)'!A:G,7,0)</f>
        <v>1.0125</v>
      </c>
      <c r="Q575">
        <v>6</v>
      </c>
      <c r="R575">
        <f>INDEX([1]products!$A$1:$G$49,MATCH([1]orders!$D575,[1]products!$A$1:$A$49,0),MATCH([1]orders!K$1,[1]products!$A$1:$G$1,0))</f>
        <v>1</v>
      </c>
      <c r="S575">
        <f>INDEX([1]products!$A$1:$G$49,MATCH([1]orders!$D575,[1]products!$A$1:$A$49,0),MATCH([1]orders!L$1,[1]products!$A$1:$G$1,0))</f>
        <v>11.25</v>
      </c>
      <c r="T575">
        <f t="shared" si="49"/>
        <v>67.5</v>
      </c>
      <c r="U575">
        <f t="shared" si="52"/>
        <v>6.0749999999999993</v>
      </c>
      <c r="V575">
        <f t="shared" si="53"/>
        <v>8.9999999999999982</v>
      </c>
    </row>
    <row r="576" spans="1:22" x14ac:dyDescent="0.25">
      <c r="A576" t="s">
        <v>1125</v>
      </c>
      <c r="B576">
        <v>44697</v>
      </c>
      <c r="C576" t="str">
        <f t="shared" si="50"/>
        <v>16</v>
      </c>
      <c r="D576" t="str">
        <f t="shared" si="48"/>
        <v>May</v>
      </c>
      <c r="E576" t="str">
        <f t="shared" si="51"/>
        <v>2022</v>
      </c>
      <c r="F576" t="s">
        <v>1126</v>
      </c>
      <c r="G576" t="str">
        <f>VLOOKUP(F576,'Customers (2)'!A:I,2,0)</f>
        <v>Maggy Harby</v>
      </c>
      <c r="H576" t="str">
        <f>VLOOKUP(F576,'Customers (2)'!A:I,3,0)</f>
        <v>mharbyfy@163.com</v>
      </c>
      <c r="I576">
        <f>VLOOKUP(F576,'Customers (2)'!A:I,4,0)</f>
        <v>0</v>
      </c>
      <c r="J576" t="str">
        <f>VLOOKUP(F576,'Customers (2)'!A:I,6,0)</f>
        <v>Pensacola</v>
      </c>
      <c r="K576" t="str">
        <f>VLOOKUP(F576,'Customers (2)'!A:I,7,0)</f>
        <v>United States</v>
      </c>
      <c r="L576" t="str">
        <f>VLOOKUP(F576,'Customers (2)'!A:I,9,0)</f>
        <v>Yes</v>
      </c>
      <c r="M576" t="str">
        <f>VLOOKUP(N576,'Products (2)'!A:G,2,0)</f>
        <v>Robusta</v>
      </c>
      <c r="N576" t="s">
        <v>182</v>
      </c>
      <c r="O576" t="str">
        <f>VLOOKUP(N576,'Products (2)'!A:G,3,0)</f>
        <v>Light</v>
      </c>
      <c r="P576">
        <f>VLOOKUP(N576,'Products (2)'!A:G,7,0)</f>
        <v>0.21509999999999996</v>
      </c>
      <c r="Q576">
        <v>6</v>
      </c>
      <c r="R576">
        <f>INDEX([1]products!$A$1:$G$49,MATCH([1]orders!$D576,[1]products!$A$1:$A$49,0),MATCH([1]orders!K$1,[1]products!$A$1:$G$1,0))</f>
        <v>0.2</v>
      </c>
      <c r="S576">
        <f>INDEX([1]products!$A$1:$G$49,MATCH([1]orders!$D576,[1]products!$A$1:$A$49,0),MATCH([1]orders!L$1,[1]products!$A$1:$G$1,0))</f>
        <v>3.5849999999999995</v>
      </c>
      <c r="T576">
        <f t="shared" si="49"/>
        <v>21.509999999999998</v>
      </c>
      <c r="U576">
        <f t="shared" si="52"/>
        <v>1.2905999999999997</v>
      </c>
      <c r="V576">
        <f t="shared" si="53"/>
        <v>5.9999999999999991</v>
      </c>
    </row>
    <row r="577" spans="1:22" x14ac:dyDescent="0.25">
      <c r="A577" t="s">
        <v>1127</v>
      </c>
      <c r="B577">
        <v>44239</v>
      </c>
      <c r="C577" t="str">
        <f t="shared" si="50"/>
        <v>12</v>
      </c>
      <c r="D577" t="str">
        <f t="shared" si="48"/>
        <v>February</v>
      </c>
      <c r="E577" t="str">
        <f t="shared" si="51"/>
        <v>2021</v>
      </c>
      <c r="F577" t="s">
        <v>1128</v>
      </c>
      <c r="G577" t="str">
        <f>VLOOKUP(F577,'Customers (2)'!A:I,2,0)</f>
        <v>Reggie Thickpenny</v>
      </c>
      <c r="H577" t="str">
        <f>VLOOKUP(F577,'Customers (2)'!A:I,3,0)</f>
        <v>rthickpennyfz@cafepress.com</v>
      </c>
      <c r="I577" t="str">
        <f>VLOOKUP(F577,'Customers (2)'!A:I,4,0)</f>
        <v>+1 (213) 234-9242</v>
      </c>
      <c r="J577" t="str">
        <f>VLOOKUP(F577,'Customers (2)'!A:I,6,0)</f>
        <v>Los Angeles</v>
      </c>
      <c r="K577" t="str">
        <f>VLOOKUP(F577,'Customers (2)'!A:I,7,0)</f>
        <v>United States</v>
      </c>
      <c r="L577" t="str">
        <f>VLOOKUP(F577,'Customers (2)'!A:I,9,0)</f>
        <v>No</v>
      </c>
      <c r="M577" t="str">
        <f>VLOOKUP(N577,'Products (2)'!A:G,2,0)</f>
        <v>Liberica</v>
      </c>
      <c r="N577" t="s">
        <v>197</v>
      </c>
      <c r="O577" t="str">
        <f>VLOOKUP(N577,'Products (2)'!A:G,3,0)</f>
        <v>Medium</v>
      </c>
      <c r="P577">
        <f>VLOOKUP(N577,'Products (2)'!A:G,7,0)</f>
        <v>4.3504499999999995</v>
      </c>
      <c r="Q577">
        <v>2</v>
      </c>
      <c r="R577">
        <f>INDEX([1]products!$A$1:$G$49,MATCH([1]orders!$D577,[1]products!$A$1:$A$49,0),MATCH([1]orders!K$1,[1]products!$A$1:$G$1,0))</f>
        <v>2.5</v>
      </c>
      <c r="S577">
        <f>INDEX([1]products!$A$1:$G$49,MATCH([1]orders!$D577,[1]products!$A$1:$A$49,0),MATCH([1]orders!L$1,[1]products!$A$1:$G$1,0))</f>
        <v>33.464999999999996</v>
      </c>
      <c r="T577">
        <f t="shared" si="49"/>
        <v>66.929999999999993</v>
      </c>
      <c r="U577">
        <f t="shared" si="52"/>
        <v>8.700899999999999</v>
      </c>
      <c r="V577">
        <f t="shared" si="53"/>
        <v>13</v>
      </c>
    </row>
    <row r="578" spans="1:22" x14ac:dyDescent="0.25">
      <c r="A578" t="s">
        <v>1129</v>
      </c>
      <c r="B578">
        <v>44290</v>
      </c>
      <c r="C578" t="str">
        <f t="shared" si="50"/>
        <v>04</v>
      </c>
      <c r="D578" t="str">
        <f t="shared" ref="D578:D641" si="54">TEXT(B:B,"MMMM")</f>
        <v>April</v>
      </c>
      <c r="E578" t="str">
        <f t="shared" si="51"/>
        <v>2021</v>
      </c>
      <c r="F578" t="s">
        <v>1130</v>
      </c>
      <c r="G578" t="str">
        <f>VLOOKUP(F578,'Customers (2)'!A:I,2,0)</f>
        <v>Phyllys Ormerod</v>
      </c>
      <c r="H578" t="str">
        <f>VLOOKUP(F578,'Customers (2)'!A:I,3,0)</f>
        <v>pormerodg0@redcross.org</v>
      </c>
      <c r="I578" t="str">
        <f>VLOOKUP(F578,'Customers (2)'!A:I,4,0)</f>
        <v>+1 (919) 491-2772</v>
      </c>
      <c r="J578" t="str">
        <f>VLOOKUP(F578,'Customers (2)'!A:I,6,0)</f>
        <v>Durham</v>
      </c>
      <c r="K578" t="str">
        <f>VLOOKUP(F578,'Customers (2)'!A:I,7,0)</f>
        <v>United States</v>
      </c>
      <c r="L578" t="str">
        <f>VLOOKUP(F578,'Customers (2)'!A:I,9,0)</f>
        <v>No</v>
      </c>
      <c r="M578" t="str">
        <f>VLOOKUP(N578,'Products (2)'!A:G,2,0)</f>
        <v>Arabica</v>
      </c>
      <c r="N578" t="s">
        <v>54</v>
      </c>
      <c r="O578" t="str">
        <f>VLOOKUP(N578,'Products (2)'!A:G,3,0)</f>
        <v>Dark</v>
      </c>
      <c r="P578">
        <f>VLOOKUP(N578,'Products (2)'!A:G,7,0)</f>
        <v>0.26865</v>
      </c>
      <c r="Q578">
        <v>6</v>
      </c>
      <c r="R578">
        <f>INDEX([1]products!$A$1:$G$49,MATCH([1]orders!$D578,[1]products!$A$1:$A$49,0),MATCH([1]orders!K$1,[1]products!$A$1:$G$1,0))</f>
        <v>0.2</v>
      </c>
      <c r="S578">
        <f>INDEX([1]products!$A$1:$G$49,MATCH([1]orders!$D578,[1]products!$A$1:$A$49,0),MATCH([1]orders!L$1,[1]products!$A$1:$G$1,0))</f>
        <v>2.9849999999999999</v>
      </c>
      <c r="T578">
        <f t="shared" ref="T578:T641" si="55">Q578*S578</f>
        <v>17.91</v>
      </c>
      <c r="U578">
        <f t="shared" si="52"/>
        <v>1.6118999999999999</v>
      </c>
      <c r="V578">
        <f t="shared" si="53"/>
        <v>9</v>
      </c>
    </row>
    <row r="579" spans="1:22" x14ac:dyDescent="0.25">
      <c r="A579" t="s">
        <v>1131</v>
      </c>
      <c r="B579">
        <v>44410</v>
      </c>
      <c r="C579" t="str">
        <f t="shared" ref="C579:C642" si="56">TEXT(B:B,"DD")</f>
        <v>02</v>
      </c>
      <c r="D579" t="str">
        <f t="shared" si="54"/>
        <v>August</v>
      </c>
      <c r="E579" t="str">
        <f t="shared" ref="E579:E642" si="57">TEXT(B:B,"yyyy")</f>
        <v>2021</v>
      </c>
      <c r="F579" t="s">
        <v>1105</v>
      </c>
      <c r="G579" t="str">
        <f>VLOOKUP(F579,'Customers (2)'!A:I,2,0)</f>
        <v>Don Flintiff</v>
      </c>
      <c r="H579" t="str">
        <f>VLOOKUP(F579,'Customers (2)'!A:I,3,0)</f>
        <v>dflintiffg1@e-recht24.de</v>
      </c>
      <c r="I579">
        <f>VLOOKUP(F579,'Customers (2)'!A:I,4,0)</f>
        <v>0</v>
      </c>
      <c r="J579" t="str">
        <f>VLOOKUP(F579,'Customers (2)'!A:I,6,0)</f>
        <v>London</v>
      </c>
      <c r="K579" t="str">
        <f>VLOOKUP(F579,'Customers (2)'!A:I,7,0)</f>
        <v>United Kingdom</v>
      </c>
      <c r="L579" t="str">
        <f>VLOOKUP(F579,'Customers (2)'!A:I,9,0)</f>
        <v>No</v>
      </c>
      <c r="M579" t="str">
        <f>VLOOKUP(N579,'Products (2)'!A:G,2,0)</f>
        <v>Liberica</v>
      </c>
      <c r="N579" t="s">
        <v>96</v>
      </c>
      <c r="O579" t="str">
        <f>VLOOKUP(N579,'Products (2)'!A:G,3,0)</f>
        <v>Medium</v>
      </c>
      <c r="P579">
        <f>VLOOKUP(N579,'Products (2)'!A:G,7,0)</f>
        <v>1.8915000000000002</v>
      </c>
      <c r="Q579">
        <v>4</v>
      </c>
      <c r="R579">
        <f>INDEX([1]products!$A$1:$G$49,MATCH([1]orders!$D579,[1]products!$A$1:$A$49,0),MATCH([1]orders!K$1,[1]products!$A$1:$G$1,0))</f>
        <v>1</v>
      </c>
      <c r="S579">
        <f>INDEX([1]products!$A$1:$G$49,MATCH([1]orders!$D579,[1]products!$A$1:$A$49,0),MATCH([1]orders!L$1,[1]products!$A$1:$G$1,0))</f>
        <v>14.55</v>
      </c>
      <c r="T579">
        <f t="shared" si="55"/>
        <v>58.2</v>
      </c>
      <c r="U579">
        <f t="shared" ref="U579:U642" si="58">Q579*P579</f>
        <v>7.5660000000000007</v>
      </c>
      <c r="V579">
        <f t="shared" ref="V579:V642" si="59">U579/T579*100</f>
        <v>13</v>
      </c>
    </row>
    <row r="580" spans="1:22" x14ac:dyDescent="0.25">
      <c r="A580" t="s">
        <v>1132</v>
      </c>
      <c r="B580">
        <v>44720</v>
      </c>
      <c r="C580" t="str">
        <f t="shared" si="56"/>
        <v>08</v>
      </c>
      <c r="D580" t="str">
        <f t="shared" si="54"/>
        <v>June</v>
      </c>
      <c r="E580" t="str">
        <f t="shared" si="57"/>
        <v>2022</v>
      </c>
      <c r="F580" t="s">
        <v>1133</v>
      </c>
      <c r="G580" t="str">
        <f>VLOOKUP(F580,'Customers (2)'!A:I,2,0)</f>
        <v>Tymon Zanetti</v>
      </c>
      <c r="H580" t="str">
        <f>VLOOKUP(F580,'Customers (2)'!A:I,3,0)</f>
        <v>tzanettig2@gravatar.com</v>
      </c>
      <c r="I580" t="str">
        <f>VLOOKUP(F580,'Customers (2)'!A:I,4,0)</f>
        <v>+353 (351) 897-2630</v>
      </c>
      <c r="J580" t="str">
        <f>VLOOKUP(F580,'Customers (2)'!A:I,6,0)</f>
        <v>Loughrea</v>
      </c>
      <c r="K580" t="str">
        <f>VLOOKUP(F580,'Customers (2)'!A:I,7,0)</f>
        <v>Ireland</v>
      </c>
      <c r="L580" t="str">
        <f>VLOOKUP(F580,'Customers (2)'!A:I,9,0)</f>
        <v>No</v>
      </c>
      <c r="M580" t="str">
        <f>VLOOKUP(N580,'Products (2)'!A:G,2,0)</f>
        <v>Excelsa</v>
      </c>
      <c r="N580" t="s">
        <v>254</v>
      </c>
      <c r="O580" t="str">
        <f>VLOOKUP(N580,'Products (2)'!A:G,3,0)</f>
        <v>Light</v>
      </c>
      <c r="P580">
        <f>VLOOKUP(N580,'Products (2)'!A:G,7,0)</f>
        <v>0.49004999999999999</v>
      </c>
      <c r="Q580">
        <v>3</v>
      </c>
      <c r="R580">
        <f>INDEX([1]products!$A$1:$G$49,MATCH([1]orders!$D580,[1]products!$A$1:$A$49,0),MATCH([1]orders!K$1,[1]products!$A$1:$G$1,0))</f>
        <v>0.2</v>
      </c>
      <c r="S580">
        <f>INDEX([1]products!$A$1:$G$49,MATCH([1]orders!$D580,[1]products!$A$1:$A$49,0),MATCH([1]orders!L$1,[1]products!$A$1:$G$1,0))</f>
        <v>4.4550000000000001</v>
      </c>
      <c r="T580">
        <f t="shared" si="55"/>
        <v>13.365</v>
      </c>
      <c r="U580">
        <f t="shared" si="58"/>
        <v>1.4701499999999998</v>
      </c>
      <c r="V580">
        <f t="shared" si="59"/>
        <v>10.999999999999998</v>
      </c>
    </row>
    <row r="581" spans="1:22" x14ac:dyDescent="0.25">
      <c r="A581" t="s">
        <v>1132</v>
      </c>
      <c r="B581">
        <v>44720</v>
      </c>
      <c r="C581" t="str">
        <f t="shared" si="56"/>
        <v>08</v>
      </c>
      <c r="D581" t="str">
        <f t="shared" si="54"/>
        <v>June</v>
      </c>
      <c r="E581" t="str">
        <f t="shared" si="57"/>
        <v>2022</v>
      </c>
      <c r="F581" t="s">
        <v>1133</v>
      </c>
      <c r="G581" t="str">
        <f>VLOOKUP(F581,'Customers (2)'!A:I,2,0)</f>
        <v>Tymon Zanetti</v>
      </c>
      <c r="H581" t="str">
        <f>VLOOKUP(F581,'Customers (2)'!A:I,3,0)</f>
        <v>tzanettig2@gravatar.com</v>
      </c>
      <c r="I581" t="str">
        <f>VLOOKUP(F581,'Customers (2)'!A:I,4,0)</f>
        <v>+353 (351) 897-2630</v>
      </c>
      <c r="J581" t="str">
        <f>VLOOKUP(F581,'Customers (2)'!A:I,6,0)</f>
        <v>Loughrea</v>
      </c>
      <c r="K581" t="str">
        <f>VLOOKUP(F581,'Customers (2)'!A:I,7,0)</f>
        <v>Ireland</v>
      </c>
      <c r="L581" t="str">
        <f>VLOOKUP(F581,'Customers (2)'!A:I,9,0)</f>
        <v>No</v>
      </c>
      <c r="M581" t="str">
        <f>VLOOKUP(N581,'Products (2)'!A:G,2,0)</f>
        <v>Arabica</v>
      </c>
      <c r="N581" t="s">
        <v>67</v>
      </c>
      <c r="O581" t="str">
        <f>VLOOKUP(N581,'Products (2)'!A:G,3,0)</f>
        <v>Medium</v>
      </c>
      <c r="P581">
        <f>VLOOKUP(N581,'Products (2)'!A:G,7,0)</f>
        <v>0.60749999999999993</v>
      </c>
      <c r="Q581">
        <v>5</v>
      </c>
      <c r="R581">
        <f>INDEX([1]products!$A$1:$G$49,MATCH([1]orders!$D581,[1]products!$A$1:$A$49,0),MATCH([1]orders!K$1,[1]products!$A$1:$G$1,0))</f>
        <v>0.5</v>
      </c>
      <c r="S581">
        <f>INDEX([1]products!$A$1:$G$49,MATCH([1]orders!$D581,[1]products!$A$1:$A$49,0),MATCH([1]orders!L$1,[1]products!$A$1:$G$1,0))</f>
        <v>6.75</v>
      </c>
      <c r="T581">
        <f t="shared" si="55"/>
        <v>33.75</v>
      </c>
      <c r="U581">
        <f t="shared" si="58"/>
        <v>3.0374999999999996</v>
      </c>
      <c r="V581">
        <f t="shared" si="59"/>
        <v>8.9999999999999982</v>
      </c>
    </row>
    <row r="582" spans="1:22" x14ac:dyDescent="0.25">
      <c r="A582" t="s">
        <v>1134</v>
      </c>
      <c r="B582">
        <v>43965</v>
      </c>
      <c r="C582" t="str">
        <f t="shared" si="56"/>
        <v>14</v>
      </c>
      <c r="D582" t="str">
        <f t="shared" si="54"/>
        <v>May</v>
      </c>
      <c r="E582" t="str">
        <f t="shared" si="57"/>
        <v>2020</v>
      </c>
      <c r="F582" t="s">
        <v>1135</v>
      </c>
      <c r="G582" t="str">
        <f>VLOOKUP(F582,'Customers (2)'!A:I,2,0)</f>
        <v>Reinaldos Kirtley</v>
      </c>
      <c r="H582" t="str">
        <f>VLOOKUP(F582,'Customers (2)'!A:I,3,0)</f>
        <v>rkirtleyg4@hatena.ne.jp</v>
      </c>
      <c r="I582" t="str">
        <f>VLOOKUP(F582,'Customers (2)'!A:I,4,0)</f>
        <v>+1 (626) 635-6367</v>
      </c>
      <c r="J582" t="str">
        <f>VLOOKUP(F582,'Customers (2)'!A:I,6,0)</f>
        <v>Whittier</v>
      </c>
      <c r="K582" t="str">
        <f>VLOOKUP(F582,'Customers (2)'!A:I,7,0)</f>
        <v>United States</v>
      </c>
      <c r="L582" t="str">
        <f>VLOOKUP(F582,'Customers (2)'!A:I,9,0)</f>
        <v>Yes</v>
      </c>
      <c r="M582" t="str">
        <f>VLOOKUP(N582,'Products (2)'!A:G,2,0)</f>
        <v>Excelsa</v>
      </c>
      <c r="N582" t="s">
        <v>137</v>
      </c>
      <c r="O582" t="str">
        <f>VLOOKUP(N582,'Products (2)'!A:G,3,0)</f>
        <v>Light</v>
      </c>
      <c r="P582">
        <f>VLOOKUP(N582,'Products (2)'!A:G,7,0)</f>
        <v>1.6335</v>
      </c>
      <c r="Q582">
        <v>3</v>
      </c>
      <c r="R582">
        <f>INDEX([1]products!$A$1:$G$49,MATCH([1]orders!$D582,[1]products!$A$1:$A$49,0),MATCH([1]orders!K$1,[1]products!$A$1:$G$1,0))</f>
        <v>1</v>
      </c>
      <c r="S582">
        <f>INDEX([1]products!$A$1:$G$49,MATCH([1]orders!$D582,[1]products!$A$1:$A$49,0),MATCH([1]orders!L$1,[1]products!$A$1:$G$1,0))</f>
        <v>14.85</v>
      </c>
      <c r="T582">
        <f t="shared" si="55"/>
        <v>44.55</v>
      </c>
      <c r="U582">
        <f t="shared" si="58"/>
        <v>4.9005000000000001</v>
      </c>
      <c r="V582">
        <f t="shared" si="59"/>
        <v>11.000000000000002</v>
      </c>
    </row>
    <row r="583" spans="1:22" x14ac:dyDescent="0.25">
      <c r="A583" t="s">
        <v>1136</v>
      </c>
      <c r="B583">
        <v>44190</v>
      </c>
      <c r="C583" t="str">
        <f t="shared" si="56"/>
        <v>25</v>
      </c>
      <c r="D583" t="str">
        <f t="shared" si="54"/>
        <v>December</v>
      </c>
      <c r="E583" t="str">
        <f t="shared" si="57"/>
        <v>2020</v>
      </c>
      <c r="F583" t="s">
        <v>1137</v>
      </c>
      <c r="G583" t="str">
        <f>VLOOKUP(F583,'Customers (2)'!A:I,2,0)</f>
        <v>Carney Clemencet</v>
      </c>
      <c r="H583" t="str">
        <f>VLOOKUP(F583,'Customers (2)'!A:I,3,0)</f>
        <v>cclemencetg5@weather.com</v>
      </c>
      <c r="I583">
        <f>VLOOKUP(F583,'Customers (2)'!A:I,4,0)</f>
        <v>0</v>
      </c>
      <c r="J583" t="str">
        <f>VLOOKUP(F583,'Customers (2)'!A:I,6,0)</f>
        <v>Birmingham</v>
      </c>
      <c r="K583" t="str">
        <f>VLOOKUP(F583,'Customers (2)'!A:I,7,0)</f>
        <v>United Kingdom</v>
      </c>
      <c r="L583" t="str">
        <f>VLOOKUP(F583,'Customers (2)'!A:I,9,0)</f>
        <v>Yes</v>
      </c>
      <c r="M583" t="str">
        <f>VLOOKUP(N583,'Products (2)'!A:G,2,0)</f>
        <v>Excelsa</v>
      </c>
      <c r="N583" t="s">
        <v>176</v>
      </c>
      <c r="O583" t="str">
        <f>VLOOKUP(N583,'Products (2)'!A:G,3,0)</f>
        <v>Light</v>
      </c>
      <c r="P583">
        <f>VLOOKUP(N583,'Products (2)'!A:G,7,0)</f>
        <v>0.98009999999999997</v>
      </c>
      <c r="Q583">
        <v>5</v>
      </c>
      <c r="R583">
        <f>INDEX([1]products!$A$1:$G$49,MATCH([1]orders!$D583,[1]products!$A$1:$A$49,0),MATCH([1]orders!K$1,[1]products!$A$1:$G$1,0))</f>
        <v>0.5</v>
      </c>
      <c r="S583">
        <f>INDEX([1]products!$A$1:$G$49,MATCH([1]orders!$D583,[1]products!$A$1:$A$49,0),MATCH([1]orders!L$1,[1]products!$A$1:$G$1,0))</f>
        <v>8.91</v>
      </c>
      <c r="T583">
        <f t="shared" si="55"/>
        <v>44.55</v>
      </c>
      <c r="U583">
        <f t="shared" si="58"/>
        <v>4.9005000000000001</v>
      </c>
      <c r="V583">
        <f t="shared" si="59"/>
        <v>11.000000000000002</v>
      </c>
    </row>
    <row r="584" spans="1:22" x14ac:dyDescent="0.25">
      <c r="A584" t="s">
        <v>1138</v>
      </c>
      <c r="B584">
        <v>44382</v>
      </c>
      <c r="C584" t="str">
        <f t="shared" si="56"/>
        <v>05</v>
      </c>
      <c r="D584" t="str">
        <f t="shared" si="54"/>
        <v>July</v>
      </c>
      <c r="E584" t="str">
        <f t="shared" si="57"/>
        <v>2021</v>
      </c>
      <c r="F584" t="s">
        <v>1139</v>
      </c>
      <c r="G584" t="str">
        <f>VLOOKUP(F584,'Customers (2)'!A:I,2,0)</f>
        <v>Russell Donet</v>
      </c>
      <c r="H584" t="str">
        <f>VLOOKUP(F584,'Customers (2)'!A:I,3,0)</f>
        <v>rdonetg6@oakley.com</v>
      </c>
      <c r="I584" t="str">
        <f>VLOOKUP(F584,'Customers (2)'!A:I,4,0)</f>
        <v>+1 (804) 583-2067</v>
      </c>
      <c r="J584" t="str">
        <f>VLOOKUP(F584,'Customers (2)'!A:I,6,0)</f>
        <v>Richmond</v>
      </c>
      <c r="K584" t="str">
        <f>VLOOKUP(F584,'Customers (2)'!A:I,7,0)</f>
        <v>United States</v>
      </c>
      <c r="L584" t="str">
        <f>VLOOKUP(F584,'Customers (2)'!A:I,9,0)</f>
        <v>No</v>
      </c>
      <c r="M584" t="str">
        <f>VLOOKUP(N584,'Products (2)'!A:G,2,0)</f>
        <v>Excelsa</v>
      </c>
      <c r="N584" t="s">
        <v>245</v>
      </c>
      <c r="O584" t="str">
        <f>VLOOKUP(N584,'Products (2)'!A:G,3,0)</f>
        <v>Dark</v>
      </c>
      <c r="P584">
        <f>VLOOKUP(N584,'Products (2)'!A:G,7,0)</f>
        <v>1.3365</v>
      </c>
      <c r="Q584">
        <v>5</v>
      </c>
      <c r="R584">
        <f>INDEX([1]products!$A$1:$G$49,MATCH([1]orders!$D584,[1]products!$A$1:$A$49,0),MATCH([1]orders!K$1,[1]products!$A$1:$G$1,0))</f>
        <v>1</v>
      </c>
      <c r="S584">
        <f>INDEX([1]products!$A$1:$G$49,MATCH([1]orders!$D584,[1]products!$A$1:$A$49,0),MATCH([1]orders!L$1,[1]products!$A$1:$G$1,0))</f>
        <v>12.15</v>
      </c>
      <c r="T584">
        <f t="shared" si="55"/>
        <v>60.75</v>
      </c>
      <c r="U584">
        <f t="shared" si="58"/>
        <v>6.6825000000000001</v>
      </c>
      <c r="V584">
        <f t="shared" si="59"/>
        <v>11</v>
      </c>
    </row>
    <row r="585" spans="1:22" x14ac:dyDescent="0.25">
      <c r="A585" t="s">
        <v>1140</v>
      </c>
      <c r="B585">
        <v>43538</v>
      </c>
      <c r="C585" t="str">
        <f t="shared" si="56"/>
        <v>14</v>
      </c>
      <c r="D585" t="str">
        <f t="shared" si="54"/>
        <v>March</v>
      </c>
      <c r="E585" t="str">
        <f t="shared" si="57"/>
        <v>2019</v>
      </c>
      <c r="F585" t="s">
        <v>1141</v>
      </c>
      <c r="G585" t="str">
        <f>VLOOKUP(F585,'Customers (2)'!A:I,2,0)</f>
        <v>Sidney Gawen</v>
      </c>
      <c r="H585" t="str">
        <f>VLOOKUP(F585,'Customers (2)'!A:I,3,0)</f>
        <v>sgaweng7@creativecommons.org</v>
      </c>
      <c r="I585" t="str">
        <f>VLOOKUP(F585,'Customers (2)'!A:I,4,0)</f>
        <v>+1 (571) 317-3089</v>
      </c>
      <c r="J585" t="str">
        <f>VLOOKUP(F585,'Customers (2)'!A:I,6,0)</f>
        <v>Sterling</v>
      </c>
      <c r="K585" t="str">
        <f>VLOOKUP(F585,'Customers (2)'!A:I,7,0)</f>
        <v>United States</v>
      </c>
      <c r="L585" t="str">
        <f>VLOOKUP(F585,'Customers (2)'!A:I,9,0)</f>
        <v>Yes</v>
      </c>
      <c r="M585" t="str">
        <f>VLOOKUP(N585,'Products (2)'!A:G,2,0)</f>
        <v>Robusta</v>
      </c>
      <c r="N585" t="s">
        <v>182</v>
      </c>
      <c r="O585" t="str">
        <f>VLOOKUP(N585,'Products (2)'!A:G,3,0)</f>
        <v>Light</v>
      </c>
      <c r="P585">
        <f>VLOOKUP(N585,'Products (2)'!A:G,7,0)</f>
        <v>0.21509999999999996</v>
      </c>
      <c r="Q585">
        <v>1</v>
      </c>
      <c r="R585">
        <f>INDEX([1]products!$A$1:$G$49,MATCH([1]orders!$D585,[1]products!$A$1:$A$49,0),MATCH([1]orders!K$1,[1]products!$A$1:$G$1,0))</f>
        <v>0.2</v>
      </c>
      <c r="S585">
        <f>INDEX([1]products!$A$1:$G$49,MATCH([1]orders!$D585,[1]products!$A$1:$A$49,0),MATCH([1]orders!L$1,[1]products!$A$1:$G$1,0))</f>
        <v>3.5849999999999995</v>
      </c>
      <c r="T585">
        <f t="shared" si="55"/>
        <v>3.5849999999999995</v>
      </c>
      <c r="U585">
        <f t="shared" si="58"/>
        <v>0.21509999999999996</v>
      </c>
      <c r="V585">
        <f t="shared" si="59"/>
        <v>6</v>
      </c>
    </row>
    <row r="586" spans="1:22" x14ac:dyDescent="0.25">
      <c r="A586" t="s">
        <v>1142</v>
      </c>
      <c r="B586">
        <v>44262</v>
      </c>
      <c r="C586" t="str">
        <f t="shared" si="56"/>
        <v>07</v>
      </c>
      <c r="D586" t="str">
        <f t="shared" si="54"/>
        <v>March</v>
      </c>
      <c r="E586" t="str">
        <f t="shared" si="57"/>
        <v>2021</v>
      </c>
      <c r="F586" t="s">
        <v>1143</v>
      </c>
      <c r="G586" t="str">
        <f>VLOOKUP(F586,'Customers (2)'!A:I,2,0)</f>
        <v>Rickey Readie</v>
      </c>
      <c r="H586" t="str">
        <f>VLOOKUP(F586,'Customers (2)'!A:I,3,0)</f>
        <v>rreadieg8@guardian.co.uk</v>
      </c>
      <c r="I586" t="str">
        <f>VLOOKUP(F586,'Customers (2)'!A:I,4,0)</f>
        <v>+1 (775) 993-8273</v>
      </c>
      <c r="J586" t="str">
        <f>VLOOKUP(F586,'Customers (2)'!A:I,6,0)</f>
        <v>Carson City</v>
      </c>
      <c r="K586" t="str">
        <f>VLOOKUP(F586,'Customers (2)'!A:I,7,0)</f>
        <v>United States</v>
      </c>
      <c r="L586" t="str">
        <f>VLOOKUP(F586,'Customers (2)'!A:I,9,0)</f>
        <v>No</v>
      </c>
      <c r="M586" t="str">
        <f>VLOOKUP(N586,'Products (2)'!A:G,2,0)</f>
        <v>Robusta</v>
      </c>
      <c r="N586" t="s">
        <v>182</v>
      </c>
      <c r="O586" t="str">
        <f>VLOOKUP(N586,'Products (2)'!A:G,3,0)</f>
        <v>Light</v>
      </c>
      <c r="P586">
        <f>VLOOKUP(N586,'Products (2)'!A:G,7,0)</f>
        <v>0.21509999999999996</v>
      </c>
      <c r="Q586">
        <v>6</v>
      </c>
      <c r="R586">
        <f>INDEX([1]products!$A$1:$G$49,MATCH([1]orders!$D586,[1]products!$A$1:$A$49,0),MATCH([1]orders!K$1,[1]products!$A$1:$G$1,0))</f>
        <v>0.2</v>
      </c>
      <c r="S586">
        <f>INDEX([1]products!$A$1:$G$49,MATCH([1]orders!$D586,[1]products!$A$1:$A$49,0),MATCH([1]orders!L$1,[1]products!$A$1:$G$1,0))</f>
        <v>3.5849999999999995</v>
      </c>
      <c r="T586">
        <f t="shared" si="55"/>
        <v>21.509999999999998</v>
      </c>
      <c r="U586">
        <f t="shared" si="58"/>
        <v>1.2905999999999997</v>
      </c>
      <c r="V586">
        <f t="shared" si="59"/>
        <v>5.9999999999999991</v>
      </c>
    </row>
    <row r="587" spans="1:22" x14ac:dyDescent="0.25">
      <c r="A587" t="s">
        <v>1144</v>
      </c>
      <c r="B587">
        <v>44505</v>
      </c>
      <c r="C587" t="str">
        <f t="shared" si="56"/>
        <v>05</v>
      </c>
      <c r="D587" t="str">
        <f t="shared" si="54"/>
        <v>November</v>
      </c>
      <c r="E587" t="str">
        <f t="shared" si="57"/>
        <v>2021</v>
      </c>
      <c r="F587" t="s">
        <v>1145</v>
      </c>
      <c r="G587" t="str">
        <f>VLOOKUP(F587,'Customers (2)'!A:I,2,0)</f>
        <v>Cody Verissimo</v>
      </c>
      <c r="H587" t="str">
        <f>VLOOKUP(F587,'Customers (2)'!A:I,3,0)</f>
        <v>cverissimogh@theglobeandmail.com</v>
      </c>
      <c r="I587">
        <f>VLOOKUP(F587,'Customers (2)'!A:I,4,0)</f>
        <v>0</v>
      </c>
      <c r="J587" t="str">
        <f>VLOOKUP(F587,'Customers (2)'!A:I,6,0)</f>
        <v>Upton</v>
      </c>
      <c r="K587" t="str">
        <f>VLOOKUP(F587,'Customers (2)'!A:I,7,0)</f>
        <v>United Kingdom</v>
      </c>
      <c r="L587" t="str">
        <f>VLOOKUP(F587,'Customers (2)'!A:I,9,0)</f>
        <v>Yes</v>
      </c>
      <c r="M587" t="str">
        <f>VLOOKUP(N587,'Products (2)'!A:G,2,0)</f>
        <v>Excelsa</v>
      </c>
      <c r="N587" t="s">
        <v>3</v>
      </c>
      <c r="O587" t="str">
        <f>VLOOKUP(N587,'Products (2)'!A:G,3,0)</f>
        <v>Medium</v>
      </c>
      <c r="P587">
        <f>VLOOKUP(N587,'Products (2)'!A:G,7,0)</f>
        <v>0.90749999999999997</v>
      </c>
      <c r="Q587">
        <v>2</v>
      </c>
      <c r="R587">
        <f>INDEX([1]products!$A$1:$G$49,MATCH([1]orders!$D587,[1]products!$A$1:$A$49,0),MATCH([1]orders!K$1,[1]products!$A$1:$G$1,0))</f>
        <v>0.5</v>
      </c>
      <c r="S587">
        <f>INDEX([1]products!$A$1:$G$49,MATCH([1]orders!$D587,[1]products!$A$1:$A$49,0),MATCH([1]orders!L$1,[1]products!$A$1:$G$1,0))</f>
        <v>8.25</v>
      </c>
      <c r="T587">
        <f t="shared" si="55"/>
        <v>16.5</v>
      </c>
      <c r="U587">
        <f t="shared" si="58"/>
        <v>1.8149999999999999</v>
      </c>
      <c r="V587">
        <f t="shared" si="59"/>
        <v>11</v>
      </c>
    </row>
    <row r="588" spans="1:22" x14ac:dyDescent="0.25">
      <c r="A588" t="s">
        <v>1146</v>
      </c>
      <c r="B588">
        <v>43867</v>
      </c>
      <c r="C588" t="str">
        <f t="shared" si="56"/>
        <v>06</v>
      </c>
      <c r="D588" t="str">
        <f t="shared" si="54"/>
        <v>February</v>
      </c>
      <c r="E588" t="str">
        <f t="shared" si="57"/>
        <v>2020</v>
      </c>
      <c r="F588" t="s">
        <v>1147</v>
      </c>
      <c r="G588" t="str">
        <f>VLOOKUP(F588,'Customers (2)'!A:I,2,0)</f>
        <v>Zilvia Claisse</v>
      </c>
      <c r="H588">
        <f>VLOOKUP(F588,'Customers (2)'!A:I,3,0)</f>
        <v>0</v>
      </c>
      <c r="I588" t="str">
        <f>VLOOKUP(F588,'Customers (2)'!A:I,4,0)</f>
        <v>+1 (612) 477-9298</v>
      </c>
      <c r="J588" t="str">
        <f>VLOOKUP(F588,'Customers (2)'!A:I,6,0)</f>
        <v>Saint Paul</v>
      </c>
      <c r="K588" t="str">
        <f>VLOOKUP(F588,'Customers (2)'!A:I,7,0)</f>
        <v>United States</v>
      </c>
      <c r="L588" t="str">
        <f>VLOOKUP(F588,'Customers (2)'!A:I,9,0)</f>
        <v>No</v>
      </c>
      <c r="M588" t="str">
        <f>VLOOKUP(N588,'Products (2)'!A:G,2,0)</f>
        <v>Robusta</v>
      </c>
      <c r="N588" t="s">
        <v>10</v>
      </c>
      <c r="O588" t="str">
        <f>VLOOKUP(N588,'Products (2)'!A:G,3,0)</f>
        <v>Light</v>
      </c>
      <c r="P588">
        <f>VLOOKUP(N588,'Products (2)'!A:G,7,0)</f>
        <v>1.6490999999999998</v>
      </c>
      <c r="Q588">
        <v>3</v>
      </c>
      <c r="R588">
        <f>INDEX([1]products!$A$1:$G$49,MATCH([1]orders!$D588,[1]products!$A$1:$A$49,0),MATCH([1]orders!K$1,[1]products!$A$1:$G$1,0))</f>
        <v>2.5</v>
      </c>
      <c r="S588">
        <f>INDEX([1]products!$A$1:$G$49,MATCH([1]orders!$D588,[1]products!$A$1:$A$49,0),MATCH([1]orders!L$1,[1]products!$A$1:$G$1,0))</f>
        <v>27.484999999999996</v>
      </c>
      <c r="T588">
        <f t="shared" si="55"/>
        <v>82.454999999999984</v>
      </c>
      <c r="U588">
        <f t="shared" si="58"/>
        <v>4.9472999999999994</v>
      </c>
      <c r="V588">
        <f t="shared" si="59"/>
        <v>6.0000000000000009</v>
      </c>
    </row>
    <row r="589" spans="1:22" x14ac:dyDescent="0.25">
      <c r="A589" t="s">
        <v>1148</v>
      </c>
      <c r="B589">
        <v>44267</v>
      </c>
      <c r="C589" t="str">
        <f t="shared" si="56"/>
        <v>12</v>
      </c>
      <c r="D589" t="str">
        <f t="shared" si="54"/>
        <v>March</v>
      </c>
      <c r="E589" t="str">
        <f t="shared" si="57"/>
        <v>2021</v>
      </c>
      <c r="F589" t="s">
        <v>1149</v>
      </c>
      <c r="G589" t="str">
        <f>VLOOKUP(F589,'Customers (2)'!A:I,2,0)</f>
        <v>Bar O' Mahony</v>
      </c>
      <c r="H589" t="str">
        <f>VLOOKUP(F589,'Customers (2)'!A:I,3,0)</f>
        <v>bogb@elpais.com</v>
      </c>
      <c r="I589">
        <f>VLOOKUP(F589,'Customers (2)'!A:I,4,0)</f>
        <v>0</v>
      </c>
      <c r="J589" t="str">
        <f>VLOOKUP(F589,'Customers (2)'!A:I,6,0)</f>
        <v>Huntsville</v>
      </c>
      <c r="K589" t="str">
        <f>VLOOKUP(F589,'Customers (2)'!A:I,7,0)</f>
        <v>United States</v>
      </c>
      <c r="L589" t="str">
        <f>VLOOKUP(F589,'Customers (2)'!A:I,9,0)</f>
        <v>Yes</v>
      </c>
      <c r="M589" t="str">
        <f>VLOOKUP(N589,'Products (2)'!A:G,2,0)</f>
        <v>Liberica</v>
      </c>
      <c r="N589" t="s">
        <v>123</v>
      </c>
      <c r="O589" t="str">
        <f>VLOOKUP(N589,'Products (2)'!A:G,3,0)</f>
        <v>Dark</v>
      </c>
      <c r="P589">
        <f>VLOOKUP(N589,'Products (2)'!A:G,7,0)</f>
        <v>1.0101</v>
      </c>
      <c r="Q589">
        <v>1</v>
      </c>
      <c r="R589">
        <f>INDEX([1]products!$A$1:$G$49,MATCH([1]orders!$D589,[1]products!$A$1:$A$49,0),MATCH([1]orders!K$1,[1]products!$A$1:$G$1,0))</f>
        <v>0.5</v>
      </c>
      <c r="S589">
        <f>INDEX([1]products!$A$1:$G$49,MATCH([1]orders!$D589,[1]products!$A$1:$A$49,0),MATCH([1]orders!L$1,[1]products!$A$1:$G$1,0))</f>
        <v>7.77</v>
      </c>
      <c r="T589">
        <f t="shared" si="55"/>
        <v>7.77</v>
      </c>
      <c r="U589">
        <f t="shared" si="58"/>
        <v>1.0101</v>
      </c>
      <c r="V589">
        <f t="shared" si="59"/>
        <v>13</v>
      </c>
    </row>
    <row r="590" spans="1:22" x14ac:dyDescent="0.25">
      <c r="A590" t="s">
        <v>1150</v>
      </c>
      <c r="B590">
        <v>44046</v>
      </c>
      <c r="C590" t="str">
        <f t="shared" si="56"/>
        <v>03</v>
      </c>
      <c r="D590" t="str">
        <f t="shared" si="54"/>
        <v>August</v>
      </c>
      <c r="E590" t="str">
        <f t="shared" si="57"/>
        <v>2020</v>
      </c>
      <c r="F590" t="s">
        <v>1151</v>
      </c>
      <c r="G590" t="str">
        <f>VLOOKUP(F590,'Customers (2)'!A:I,2,0)</f>
        <v>Valenka Stansbury</v>
      </c>
      <c r="H590" t="str">
        <f>VLOOKUP(F590,'Customers (2)'!A:I,3,0)</f>
        <v>vstansburygc@unblog.fr</v>
      </c>
      <c r="I590" t="str">
        <f>VLOOKUP(F590,'Customers (2)'!A:I,4,0)</f>
        <v>+1 (915) 530-3435</v>
      </c>
      <c r="J590" t="str">
        <f>VLOOKUP(F590,'Customers (2)'!A:I,6,0)</f>
        <v>El Paso</v>
      </c>
      <c r="K590" t="str">
        <f>VLOOKUP(F590,'Customers (2)'!A:I,7,0)</f>
        <v>United States</v>
      </c>
      <c r="L590" t="str">
        <f>VLOOKUP(F590,'Customers (2)'!A:I,9,0)</f>
        <v>Yes</v>
      </c>
      <c r="M590" t="str">
        <f>VLOOKUP(N590,'Products (2)'!A:G,2,0)</f>
        <v>Robusta</v>
      </c>
      <c r="N590" t="s">
        <v>22</v>
      </c>
      <c r="O590" t="str">
        <f>VLOOKUP(N590,'Products (2)'!A:G,3,0)</f>
        <v>Medium</v>
      </c>
      <c r="P590">
        <f>VLOOKUP(N590,'Products (2)'!A:G,7,0)</f>
        <v>0.35819999999999996</v>
      </c>
      <c r="Q590">
        <v>2</v>
      </c>
      <c r="R590">
        <f>INDEX([1]products!$A$1:$G$49,MATCH([1]orders!$D590,[1]products!$A$1:$A$49,0),MATCH([1]orders!K$1,[1]products!$A$1:$G$1,0))</f>
        <v>0.5</v>
      </c>
      <c r="S590">
        <f>INDEX([1]products!$A$1:$G$49,MATCH([1]orders!$D590,[1]products!$A$1:$A$49,0),MATCH([1]orders!L$1,[1]products!$A$1:$G$1,0))</f>
        <v>5.97</v>
      </c>
      <c r="T590">
        <f t="shared" si="55"/>
        <v>11.94</v>
      </c>
      <c r="U590">
        <f t="shared" si="58"/>
        <v>0.71639999999999993</v>
      </c>
      <c r="V590">
        <f t="shared" si="59"/>
        <v>6</v>
      </c>
    </row>
    <row r="591" spans="1:22" x14ac:dyDescent="0.25">
      <c r="A591" t="s">
        <v>1152</v>
      </c>
      <c r="B591">
        <v>43671</v>
      </c>
      <c r="C591" t="str">
        <f t="shared" si="56"/>
        <v>25</v>
      </c>
      <c r="D591" t="str">
        <f t="shared" si="54"/>
        <v>July</v>
      </c>
      <c r="E591" t="str">
        <f t="shared" si="57"/>
        <v>2019</v>
      </c>
      <c r="F591" t="s">
        <v>1153</v>
      </c>
      <c r="G591" t="str">
        <f>VLOOKUP(F591,'Customers (2)'!A:I,2,0)</f>
        <v>Daniel Heinonen</v>
      </c>
      <c r="H591" t="str">
        <f>VLOOKUP(F591,'Customers (2)'!A:I,3,0)</f>
        <v>dheinonengd@printfriendly.com</v>
      </c>
      <c r="I591">
        <f>VLOOKUP(F591,'Customers (2)'!A:I,4,0)</f>
        <v>0</v>
      </c>
      <c r="J591" t="str">
        <f>VLOOKUP(F591,'Customers (2)'!A:I,6,0)</f>
        <v>Decatur</v>
      </c>
      <c r="K591" t="str">
        <f>VLOOKUP(F591,'Customers (2)'!A:I,7,0)</f>
        <v>United States</v>
      </c>
      <c r="L591" t="str">
        <f>VLOOKUP(F591,'Customers (2)'!A:I,9,0)</f>
        <v>No</v>
      </c>
      <c r="M591" t="str">
        <f>VLOOKUP(N591,'Products (2)'!A:G,2,0)</f>
        <v>Excelsa</v>
      </c>
      <c r="N591" t="s">
        <v>30</v>
      </c>
      <c r="O591" t="str">
        <f>VLOOKUP(N591,'Products (2)'!A:G,3,0)</f>
        <v>Light</v>
      </c>
      <c r="P591">
        <f>VLOOKUP(N591,'Products (2)'!A:G,7,0)</f>
        <v>3.7570499999999996</v>
      </c>
      <c r="Q591">
        <v>6</v>
      </c>
      <c r="R591">
        <f>INDEX([1]products!$A$1:$G$49,MATCH([1]orders!$D591,[1]products!$A$1:$A$49,0),MATCH([1]orders!K$1,[1]products!$A$1:$G$1,0))</f>
        <v>2.5</v>
      </c>
      <c r="S591">
        <f>INDEX([1]products!$A$1:$G$49,MATCH([1]orders!$D591,[1]products!$A$1:$A$49,0),MATCH([1]orders!L$1,[1]products!$A$1:$G$1,0))</f>
        <v>34.154999999999994</v>
      </c>
      <c r="T591">
        <f t="shared" si="55"/>
        <v>204.92999999999995</v>
      </c>
      <c r="U591">
        <f t="shared" si="58"/>
        <v>22.542299999999997</v>
      </c>
      <c r="V591">
        <f t="shared" si="59"/>
        <v>11.000000000000002</v>
      </c>
    </row>
    <row r="592" spans="1:22" x14ac:dyDescent="0.25">
      <c r="A592" t="s">
        <v>1154</v>
      </c>
      <c r="B592">
        <v>43950</v>
      </c>
      <c r="C592" t="str">
        <f t="shared" si="56"/>
        <v>29</v>
      </c>
      <c r="D592" t="str">
        <f t="shared" si="54"/>
        <v>April</v>
      </c>
      <c r="E592" t="str">
        <f t="shared" si="57"/>
        <v>2020</v>
      </c>
      <c r="F592" t="s">
        <v>1155</v>
      </c>
      <c r="G592" t="str">
        <f>VLOOKUP(F592,'Customers (2)'!A:I,2,0)</f>
        <v>Jewelle Shenton</v>
      </c>
      <c r="H592" t="str">
        <f>VLOOKUP(F592,'Customers (2)'!A:I,3,0)</f>
        <v>jshentonge@google.com.hk</v>
      </c>
      <c r="I592" t="str">
        <f>VLOOKUP(F592,'Customers (2)'!A:I,4,0)</f>
        <v>+1 (650) 712-0135</v>
      </c>
      <c r="J592" t="str">
        <f>VLOOKUP(F592,'Customers (2)'!A:I,6,0)</f>
        <v>Orange</v>
      </c>
      <c r="K592" t="str">
        <f>VLOOKUP(F592,'Customers (2)'!A:I,7,0)</f>
        <v>United States</v>
      </c>
      <c r="L592" t="str">
        <f>VLOOKUP(F592,'Customers (2)'!A:I,9,0)</f>
        <v>Yes</v>
      </c>
      <c r="M592" t="str">
        <f>VLOOKUP(N592,'Products (2)'!A:G,2,0)</f>
        <v>Excelsa</v>
      </c>
      <c r="N592" t="s">
        <v>112</v>
      </c>
      <c r="O592" t="str">
        <f>VLOOKUP(N592,'Products (2)'!A:G,3,0)</f>
        <v>Medium</v>
      </c>
      <c r="P592">
        <f>VLOOKUP(N592,'Products (2)'!A:G,7,0)</f>
        <v>3.4787499999999998</v>
      </c>
      <c r="Q592">
        <v>2</v>
      </c>
      <c r="R592">
        <f>INDEX([1]products!$A$1:$G$49,MATCH([1]orders!$D592,[1]products!$A$1:$A$49,0),MATCH([1]orders!K$1,[1]products!$A$1:$G$1,0))</f>
        <v>2.5</v>
      </c>
      <c r="S592">
        <f>INDEX([1]products!$A$1:$G$49,MATCH([1]orders!$D592,[1]products!$A$1:$A$49,0),MATCH([1]orders!L$1,[1]products!$A$1:$G$1,0))</f>
        <v>31.624999999999996</v>
      </c>
      <c r="T592">
        <f t="shared" si="55"/>
        <v>63.249999999999993</v>
      </c>
      <c r="U592">
        <f t="shared" si="58"/>
        <v>6.9574999999999996</v>
      </c>
      <c r="V592">
        <f t="shared" si="59"/>
        <v>11</v>
      </c>
    </row>
    <row r="593" spans="1:22" x14ac:dyDescent="0.25">
      <c r="A593" t="s">
        <v>1156</v>
      </c>
      <c r="B593">
        <v>43587</v>
      </c>
      <c r="C593" t="str">
        <f t="shared" si="56"/>
        <v>02</v>
      </c>
      <c r="D593" t="str">
        <f t="shared" si="54"/>
        <v>May</v>
      </c>
      <c r="E593" t="str">
        <f t="shared" si="57"/>
        <v>2019</v>
      </c>
      <c r="F593" t="s">
        <v>1157</v>
      </c>
      <c r="G593" t="str">
        <f>VLOOKUP(F593,'Customers (2)'!A:I,2,0)</f>
        <v>Jennifer Wilkisson</v>
      </c>
      <c r="H593" t="str">
        <f>VLOOKUP(F593,'Customers (2)'!A:I,3,0)</f>
        <v>jwilkissongf@nba.com</v>
      </c>
      <c r="I593">
        <f>VLOOKUP(F593,'Customers (2)'!A:I,4,0)</f>
        <v>0</v>
      </c>
      <c r="J593" t="str">
        <f>VLOOKUP(F593,'Customers (2)'!A:I,6,0)</f>
        <v>Huntington Beach</v>
      </c>
      <c r="K593" t="str">
        <f>VLOOKUP(F593,'Customers (2)'!A:I,7,0)</f>
        <v>United States</v>
      </c>
      <c r="L593" t="str">
        <f>VLOOKUP(F593,'Customers (2)'!A:I,9,0)</f>
        <v>Yes</v>
      </c>
      <c r="M593" t="str">
        <f>VLOOKUP(N593,'Products (2)'!A:G,2,0)</f>
        <v>Robusta</v>
      </c>
      <c r="N593" t="s">
        <v>101</v>
      </c>
      <c r="O593" t="str">
        <f>VLOOKUP(N593,'Products (2)'!A:G,3,0)</f>
        <v>Dark</v>
      </c>
      <c r="P593">
        <f>VLOOKUP(N593,'Products (2)'!A:G,7,0)</f>
        <v>0.16109999999999997</v>
      </c>
      <c r="Q593">
        <v>3</v>
      </c>
      <c r="R593">
        <f>INDEX([1]products!$A$1:$G$49,MATCH([1]orders!$D593,[1]products!$A$1:$A$49,0),MATCH([1]orders!K$1,[1]products!$A$1:$G$1,0))</f>
        <v>0.2</v>
      </c>
      <c r="S593">
        <f>INDEX([1]products!$A$1:$G$49,MATCH([1]orders!$D593,[1]products!$A$1:$A$49,0),MATCH([1]orders!L$1,[1]products!$A$1:$G$1,0))</f>
        <v>2.6849999999999996</v>
      </c>
      <c r="T593">
        <f t="shared" si="55"/>
        <v>8.0549999999999997</v>
      </c>
      <c r="U593">
        <f t="shared" si="58"/>
        <v>0.4832999999999999</v>
      </c>
      <c r="V593">
        <f t="shared" si="59"/>
        <v>5.9999999999999991</v>
      </c>
    </row>
    <row r="594" spans="1:22" x14ac:dyDescent="0.25">
      <c r="A594" t="s">
        <v>1158</v>
      </c>
      <c r="B594">
        <v>44437</v>
      </c>
      <c r="C594" t="str">
        <f t="shared" si="56"/>
        <v>29</v>
      </c>
      <c r="D594" t="str">
        <f t="shared" si="54"/>
        <v>August</v>
      </c>
      <c r="E594" t="str">
        <f t="shared" si="57"/>
        <v>2021</v>
      </c>
      <c r="F594" t="s">
        <v>1159</v>
      </c>
      <c r="G594" t="str">
        <f>VLOOKUP(F594,'Customers (2)'!A:I,2,0)</f>
        <v>Kylie Mowat</v>
      </c>
      <c r="H594">
        <f>VLOOKUP(F594,'Customers (2)'!A:I,3,0)</f>
        <v>0</v>
      </c>
      <c r="I594" t="str">
        <f>VLOOKUP(F594,'Customers (2)'!A:I,4,0)</f>
        <v>+1 (206) 275-3973</v>
      </c>
      <c r="J594" t="str">
        <f>VLOOKUP(F594,'Customers (2)'!A:I,6,0)</f>
        <v>Milwaukee</v>
      </c>
      <c r="K594" t="str">
        <f>VLOOKUP(F594,'Customers (2)'!A:I,7,0)</f>
        <v>United States</v>
      </c>
      <c r="L594" t="str">
        <f>VLOOKUP(F594,'Customers (2)'!A:I,9,0)</f>
        <v>No</v>
      </c>
      <c r="M594" t="str">
        <f>VLOOKUP(N594,'Products (2)'!A:G,2,0)</f>
        <v>Arabica</v>
      </c>
      <c r="N594" t="s">
        <v>171</v>
      </c>
      <c r="O594" t="str">
        <f>VLOOKUP(N594,'Products (2)'!A:G,3,0)</f>
        <v>Medium</v>
      </c>
      <c r="P594">
        <f>VLOOKUP(N594,'Products (2)'!A:G,7,0)</f>
        <v>2.3287499999999994</v>
      </c>
      <c r="Q594">
        <v>2</v>
      </c>
      <c r="R594">
        <f>INDEX([1]products!$A$1:$G$49,MATCH([1]orders!$D594,[1]products!$A$1:$A$49,0),MATCH([1]orders!K$1,[1]products!$A$1:$G$1,0))</f>
        <v>2.5</v>
      </c>
      <c r="S594">
        <f>INDEX([1]products!$A$1:$G$49,MATCH([1]orders!$D594,[1]products!$A$1:$A$49,0),MATCH([1]orders!L$1,[1]products!$A$1:$G$1,0))</f>
        <v>25.874999999999996</v>
      </c>
      <c r="T594">
        <f t="shared" si="55"/>
        <v>51.749999999999993</v>
      </c>
      <c r="U594">
        <f t="shared" si="58"/>
        <v>4.6574999999999989</v>
      </c>
      <c r="V594">
        <f t="shared" si="59"/>
        <v>9</v>
      </c>
    </row>
    <row r="595" spans="1:22" x14ac:dyDescent="0.25">
      <c r="A595" t="s">
        <v>1160</v>
      </c>
      <c r="B595">
        <v>43903</v>
      </c>
      <c r="C595" t="str">
        <f t="shared" si="56"/>
        <v>13</v>
      </c>
      <c r="D595" t="str">
        <f t="shared" si="54"/>
        <v>March</v>
      </c>
      <c r="E595" t="str">
        <f t="shared" si="57"/>
        <v>2020</v>
      </c>
      <c r="F595" t="s">
        <v>1145</v>
      </c>
      <c r="G595" t="str">
        <f>VLOOKUP(F595,'Customers (2)'!A:I,2,0)</f>
        <v>Cody Verissimo</v>
      </c>
      <c r="H595" t="str">
        <f>VLOOKUP(F595,'Customers (2)'!A:I,3,0)</f>
        <v>cverissimogh@theglobeandmail.com</v>
      </c>
      <c r="I595">
        <f>VLOOKUP(F595,'Customers (2)'!A:I,4,0)</f>
        <v>0</v>
      </c>
      <c r="J595" t="str">
        <f>VLOOKUP(F595,'Customers (2)'!A:I,6,0)</f>
        <v>Upton</v>
      </c>
      <c r="K595" t="str">
        <f>VLOOKUP(F595,'Customers (2)'!A:I,7,0)</f>
        <v>United Kingdom</v>
      </c>
      <c r="L595" t="str">
        <f>VLOOKUP(F595,'Customers (2)'!A:I,9,0)</f>
        <v>Yes</v>
      </c>
      <c r="M595" t="str">
        <f>VLOOKUP(N595,'Products (2)'!A:G,2,0)</f>
        <v>Excelsa</v>
      </c>
      <c r="N595" t="s">
        <v>530</v>
      </c>
      <c r="O595" t="str">
        <f>VLOOKUP(N595,'Products (2)'!A:G,3,0)</f>
        <v>Dark</v>
      </c>
      <c r="P595">
        <f>VLOOKUP(N595,'Products (2)'!A:G,7,0)</f>
        <v>3.07395</v>
      </c>
      <c r="Q595">
        <v>1</v>
      </c>
      <c r="R595">
        <f>INDEX([1]products!$A$1:$G$49,MATCH([1]orders!$D595,[1]products!$A$1:$A$49,0),MATCH([1]orders!K$1,[1]products!$A$1:$G$1,0))</f>
        <v>2.5</v>
      </c>
      <c r="S595">
        <f>INDEX([1]products!$A$1:$G$49,MATCH([1]orders!$D595,[1]products!$A$1:$A$49,0),MATCH([1]orders!L$1,[1]products!$A$1:$G$1,0))</f>
        <v>27.945</v>
      </c>
      <c r="T595">
        <f t="shared" si="55"/>
        <v>27.945</v>
      </c>
      <c r="U595">
        <f t="shared" si="58"/>
        <v>3.07395</v>
      </c>
      <c r="V595">
        <f t="shared" si="59"/>
        <v>11</v>
      </c>
    </row>
    <row r="596" spans="1:22" x14ac:dyDescent="0.25">
      <c r="A596" t="s">
        <v>1161</v>
      </c>
      <c r="B596">
        <v>43512</v>
      </c>
      <c r="C596" t="str">
        <f t="shared" si="56"/>
        <v>16</v>
      </c>
      <c r="D596" t="str">
        <f t="shared" si="54"/>
        <v>February</v>
      </c>
      <c r="E596" t="str">
        <f t="shared" si="57"/>
        <v>2019</v>
      </c>
      <c r="F596" t="s">
        <v>1162</v>
      </c>
      <c r="G596" t="str">
        <f>VLOOKUP(F596,'Customers (2)'!A:I,2,0)</f>
        <v>Gabriel Starcks</v>
      </c>
      <c r="H596" t="str">
        <f>VLOOKUP(F596,'Customers (2)'!A:I,3,0)</f>
        <v>gstarcksgi@abc.net.au</v>
      </c>
      <c r="I596" t="str">
        <f>VLOOKUP(F596,'Customers (2)'!A:I,4,0)</f>
        <v>+1 (423) 903-3146</v>
      </c>
      <c r="J596" t="str">
        <f>VLOOKUP(F596,'Customers (2)'!A:I,6,0)</f>
        <v>Chattanooga</v>
      </c>
      <c r="K596" t="str">
        <f>VLOOKUP(F596,'Customers (2)'!A:I,7,0)</f>
        <v>United States</v>
      </c>
      <c r="L596" t="str">
        <f>VLOOKUP(F596,'Customers (2)'!A:I,9,0)</f>
        <v>No</v>
      </c>
      <c r="M596" t="str">
        <f>VLOOKUP(N596,'Products (2)'!A:G,2,0)</f>
        <v>Arabica</v>
      </c>
      <c r="N596" t="s">
        <v>204</v>
      </c>
      <c r="O596" t="str">
        <f>VLOOKUP(N596,'Products (2)'!A:G,3,0)</f>
        <v>Light</v>
      </c>
      <c r="P596">
        <f>VLOOKUP(N596,'Products (2)'!A:G,7,0)</f>
        <v>2.6806499999999995</v>
      </c>
      <c r="Q596">
        <v>2</v>
      </c>
      <c r="R596">
        <f>INDEX([1]products!$A$1:$G$49,MATCH([1]orders!$D596,[1]products!$A$1:$A$49,0),MATCH([1]orders!K$1,[1]products!$A$1:$G$1,0))</f>
        <v>2.5</v>
      </c>
      <c r="S596">
        <f>INDEX([1]products!$A$1:$G$49,MATCH([1]orders!$D596,[1]products!$A$1:$A$49,0),MATCH([1]orders!L$1,[1]products!$A$1:$G$1,0))</f>
        <v>29.784999999999997</v>
      </c>
      <c r="T596">
        <f t="shared" si="55"/>
        <v>59.569999999999993</v>
      </c>
      <c r="U596">
        <f t="shared" si="58"/>
        <v>5.3612999999999991</v>
      </c>
      <c r="V596">
        <f t="shared" si="59"/>
        <v>9</v>
      </c>
    </row>
    <row r="597" spans="1:22" x14ac:dyDescent="0.25">
      <c r="A597" t="s">
        <v>1163</v>
      </c>
      <c r="B597">
        <v>44527</v>
      </c>
      <c r="C597" t="str">
        <f t="shared" si="56"/>
        <v>27</v>
      </c>
      <c r="D597" t="str">
        <f t="shared" si="54"/>
        <v>November</v>
      </c>
      <c r="E597" t="str">
        <f t="shared" si="57"/>
        <v>2021</v>
      </c>
      <c r="F597" t="s">
        <v>1164</v>
      </c>
      <c r="G597" t="str">
        <f>VLOOKUP(F597,'Customers (2)'!A:I,2,0)</f>
        <v>Darby Dummer</v>
      </c>
      <c r="H597">
        <f>VLOOKUP(F597,'Customers (2)'!A:I,3,0)</f>
        <v>0</v>
      </c>
      <c r="I597">
        <f>VLOOKUP(F597,'Customers (2)'!A:I,4,0)</f>
        <v>0</v>
      </c>
      <c r="J597" t="str">
        <f>VLOOKUP(F597,'Customers (2)'!A:I,6,0)</f>
        <v>Manchester</v>
      </c>
      <c r="K597" t="str">
        <f>VLOOKUP(F597,'Customers (2)'!A:I,7,0)</f>
        <v>United Kingdom</v>
      </c>
      <c r="L597" t="str">
        <f>VLOOKUP(F597,'Customers (2)'!A:I,9,0)</f>
        <v>No</v>
      </c>
      <c r="M597" t="str">
        <f>VLOOKUP(N597,'Products (2)'!A:G,2,0)</f>
        <v>Excelsa</v>
      </c>
      <c r="N597" t="s">
        <v>137</v>
      </c>
      <c r="O597" t="str">
        <f>VLOOKUP(N597,'Products (2)'!A:G,3,0)</f>
        <v>Light</v>
      </c>
      <c r="P597">
        <f>VLOOKUP(N597,'Products (2)'!A:G,7,0)</f>
        <v>1.6335</v>
      </c>
      <c r="Q597">
        <v>1</v>
      </c>
      <c r="R597">
        <f>INDEX([1]products!$A$1:$G$49,MATCH([1]orders!$D597,[1]products!$A$1:$A$49,0),MATCH([1]orders!K$1,[1]products!$A$1:$G$1,0))</f>
        <v>1</v>
      </c>
      <c r="S597">
        <f>INDEX([1]products!$A$1:$G$49,MATCH([1]orders!$D597,[1]products!$A$1:$A$49,0),MATCH([1]orders!L$1,[1]products!$A$1:$G$1,0))</f>
        <v>14.85</v>
      </c>
      <c r="T597">
        <f t="shared" si="55"/>
        <v>14.85</v>
      </c>
      <c r="U597">
        <f t="shared" si="58"/>
        <v>1.6335</v>
      </c>
      <c r="V597">
        <f t="shared" si="59"/>
        <v>11</v>
      </c>
    </row>
    <row r="598" spans="1:22" x14ac:dyDescent="0.25">
      <c r="A598" t="s">
        <v>1165</v>
      </c>
      <c r="B598">
        <v>44523</v>
      </c>
      <c r="C598" t="str">
        <f t="shared" si="56"/>
        <v>23</v>
      </c>
      <c r="D598" t="str">
        <f t="shared" si="54"/>
        <v>November</v>
      </c>
      <c r="E598" t="str">
        <f t="shared" si="57"/>
        <v>2021</v>
      </c>
      <c r="F598" t="s">
        <v>1166</v>
      </c>
      <c r="G598" t="str">
        <f>VLOOKUP(F598,'Customers (2)'!A:I,2,0)</f>
        <v>Kienan Scholard</v>
      </c>
      <c r="H598" t="str">
        <f>VLOOKUP(F598,'Customers (2)'!A:I,3,0)</f>
        <v>kscholardgk@sbwire.com</v>
      </c>
      <c r="I598" t="str">
        <f>VLOOKUP(F598,'Customers (2)'!A:I,4,0)</f>
        <v>+1 (614) 199-9032</v>
      </c>
      <c r="J598" t="str">
        <f>VLOOKUP(F598,'Customers (2)'!A:I,6,0)</f>
        <v>Columbus</v>
      </c>
      <c r="K598" t="str">
        <f>VLOOKUP(F598,'Customers (2)'!A:I,7,0)</f>
        <v>United States</v>
      </c>
      <c r="L598" t="str">
        <f>VLOOKUP(F598,'Customers (2)'!A:I,9,0)</f>
        <v>No</v>
      </c>
      <c r="M598" t="str">
        <f>VLOOKUP(N598,'Products (2)'!A:G,2,0)</f>
        <v>Arabica</v>
      </c>
      <c r="N598" t="s">
        <v>67</v>
      </c>
      <c r="O598" t="str">
        <f>VLOOKUP(N598,'Products (2)'!A:G,3,0)</f>
        <v>Medium</v>
      </c>
      <c r="P598">
        <f>VLOOKUP(N598,'Products (2)'!A:G,7,0)</f>
        <v>0.60749999999999993</v>
      </c>
      <c r="Q598">
        <v>5</v>
      </c>
      <c r="R598">
        <f>INDEX([1]products!$A$1:$G$49,MATCH([1]orders!$D598,[1]products!$A$1:$A$49,0),MATCH([1]orders!K$1,[1]products!$A$1:$G$1,0))</f>
        <v>0.5</v>
      </c>
      <c r="S598">
        <f>INDEX([1]products!$A$1:$G$49,MATCH([1]orders!$D598,[1]products!$A$1:$A$49,0),MATCH([1]orders!L$1,[1]products!$A$1:$G$1,0))</f>
        <v>6.75</v>
      </c>
      <c r="T598">
        <f t="shared" si="55"/>
        <v>33.75</v>
      </c>
      <c r="U598">
        <f t="shared" si="58"/>
        <v>3.0374999999999996</v>
      </c>
      <c r="V598">
        <f t="shared" si="59"/>
        <v>8.9999999999999982</v>
      </c>
    </row>
    <row r="599" spans="1:22" x14ac:dyDescent="0.25">
      <c r="A599" t="s">
        <v>1167</v>
      </c>
      <c r="B599">
        <v>44532</v>
      </c>
      <c r="C599" t="str">
        <f t="shared" si="56"/>
        <v>02</v>
      </c>
      <c r="D599" t="str">
        <f t="shared" si="54"/>
        <v>December</v>
      </c>
      <c r="E599" t="str">
        <f t="shared" si="57"/>
        <v>2021</v>
      </c>
      <c r="F599" t="s">
        <v>1168</v>
      </c>
      <c r="G599" t="str">
        <f>VLOOKUP(F599,'Customers (2)'!A:I,2,0)</f>
        <v>Bo Kindley</v>
      </c>
      <c r="H599" t="str">
        <f>VLOOKUP(F599,'Customers (2)'!A:I,3,0)</f>
        <v>bkindleygl@wikimedia.org</v>
      </c>
      <c r="I599" t="str">
        <f>VLOOKUP(F599,'Customers (2)'!A:I,4,0)</f>
        <v>+1 (650) 799-2315</v>
      </c>
      <c r="J599" t="str">
        <f>VLOOKUP(F599,'Customers (2)'!A:I,6,0)</f>
        <v>Pasadena</v>
      </c>
      <c r="K599" t="str">
        <f>VLOOKUP(F599,'Customers (2)'!A:I,7,0)</f>
        <v>United States</v>
      </c>
      <c r="L599" t="str">
        <f>VLOOKUP(F599,'Customers (2)'!A:I,9,0)</f>
        <v>Yes</v>
      </c>
      <c r="M599" t="str">
        <f>VLOOKUP(N599,'Products (2)'!A:G,2,0)</f>
        <v>Liberica</v>
      </c>
      <c r="N599" t="s">
        <v>104</v>
      </c>
      <c r="O599" t="str">
        <f>VLOOKUP(N599,'Products (2)'!A:G,3,0)</f>
        <v>Light</v>
      </c>
      <c r="P599">
        <f>VLOOKUP(N599,'Products (2)'!A:G,7,0)</f>
        <v>4.7391499999999995</v>
      </c>
      <c r="Q599">
        <v>4</v>
      </c>
      <c r="R599">
        <f>INDEX([1]products!$A$1:$G$49,MATCH([1]orders!$D599,[1]products!$A$1:$A$49,0),MATCH([1]orders!K$1,[1]products!$A$1:$G$1,0))</f>
        <v>2.5</v>
      </c>
      <c r="S599">
        <f>INDEX([1]products!$A$1:$G$49,MATCH([1]orders!$D599,[1]products!$A$1:$A$49,0),MATCH([1]orders!L$1,[1]products!$A$1:$G$1,0))</f>
        <v>36.454999999999998</v>
      </c>
      <c r="T599">
        <f t="shared" si="55"/>
        <v>145.82</v>
      </c>
      <c r="U599">
        <f t="shared" si="58"/>
        <v>18.956599999999998</v>
      </c>
      <c r="V599">
        <f t="shared" si="59"/>
        <v>13</v>
      </c>
    </row>
    <row r="600" spans="1:22" x14ac:dyDescent="0.25">
      <c r="A600" t="s">
        <v>1169</v>
      </c>
      <c r="B600">
        <v>43471</v>
      </c>
      <c r="C600" t="str">
        <f t="shared" si="56"/>
        <v>06</v>
      </c>
      <c r="D600" t="str">
        <f t="shared" si="54"/>
        <v>January</v>
      </c>
      <c r="E600" t="str">
        <f t="shared" si="57"/>
        <v>2019</v>
      </c>
      <c r="F600" t="s">
        <v>1170</v>
      </c>
      <c r="G600" t="str">
        <f>VLOOKUP(F600,'Customers (2)'!A:I,2,0)</f>
        <v>Krissie Hammett</v>
      </c>
      <c r="H600" t="str">
        <f>VLOOKUP(F600,'Customers (2)'!A:I,3,0)</f>
        <v>khammettgm@dmoz.org</v>
      </c>
      <c r="I600" t="str">
        <f>VLOOKUP(F600,'Customers (2)'!A:I,4,0)</f>
        <v>+1 (415) 825-4799</v>
      </c>
      <c r="J600" t="str">
        <f>VLOOKUP(F600,'Customers (2)'!A:I,6,0)</f>
        <v>San Francisco</v>
      </c>
      <c r="K600" t="str">
        <f>VLOOKUP(F600,'Customers (2)'!A:I,7,0)</f>
        <v>United States</v>
      </c>
      <c r="L600" t="str">
        <f>VLOOKUP(F600,'Customers (2)'!A:I,9,0)</f>
        <v>Yes</v>
      </c>
      <c r="M600" t="str">
        <f>VLOOKUP(N600,'Products (2)'!A:G,2,0)</f>
        <v>Robusta</v>
      </c>
      <c r="N600" t="s">
        <v>162</v>
      </c>
      <c r="O600" t="str">
        <f>VLOOKUP(N600,'Products (2)'!A:G,3,0)</f>
        <v>Medium</v>
      </c>
      <c r="P600">
        <f>VLOOKUP(N600,'Products (2)'!A:G,7,0)</f>
        <v>0.17909999999999998</v>
      </c>
      <c r="Q600">
        <v>4</v>
      </c>
      <c r="R600">
        <f>INDEX([1]products!$A$1:$G$49,MATCH([1]orders!$D600,[1]products!$A$1:$A$49,0),MATCH([1]orders!K$1,[1]products!$A$1:$G$1,0))</f>
        <v>0.2</v>
      </c>
      <c r="S600">
        <f>INDEX([1]products!$A$1:$G$49,MATCH([1]orders!$D600,[1]products!$A$1:$A$49,0),MATCH([1]orders!L$1,[1]products!$A$1:$G$1,0))</f>
        <v>2.9849999999999999</v>
      </c>
      <c r="T600">
        <f t="shared" si="55"/>
        <v>11.94</v>
      </c>
      <c r="U600">
        <f t="shared" si="58"/>
        <v>0.71639999999999993</v>
      </c>
      <c r="V600">
        <f t="shared" si="59"/>
        <v>6</v>
      </c>
    </row>
    <row r="601" spans="1:22" x14ac:dyDescent="0.25">
      <c r="A601" t="s">
        <v>1171</v>
      </c>
      <c r="B601">
        <v>44321</v>
      </c>
      <c r="C601" t="str">
        <f t="shared" si="56"/>
        <v>05</v>
      </c>
      <c r="D601" t="str">
        <f t="shared" si="54"/>
        <v>May</v>
      </c>
      <c r="E601" t="str">
        <f t="shared" si="57"/>
        <v>2021</v>
      </c>
      <c r="F601" t="s">
        <v>1172</v>
      </c>
      <c r="G601" t="str">
        <f>VLOOKUP(F601,'Customers (2)'!A:I,2,0)</f>
        <v>Alisha Hulburt</v>
      </c>
      <c r="H601" t="str">
        <f>VLOOKUP(F601,'Customers (2)'!A:I,3,0)</f>
        <v>ahulburtgn@fda.gov</v>
      </c>
      <c r="I601">
        <f>VLOOKUP(F601,'Customers (2)'!A:I,4,0)</f>
        <v>0</v>
      </c>
      <c r="J601" t="str">
        <f>VLOOKUP(F601,'Customers (2)'!A:I,6,0)</f>
        <v>Shreveport</v>
      </c>
      <c r="K601" t="str">
        <f>VLOOKUP(F601,'Customers (2)'!A:I,7,0)</f>
        <v>United States</v>
      </c>
      <c r="L601" t="str">
        <f>VLOOKUP(F601,'Customers (2)'!A:I,9,0)</f>
        <v>Yes</v>
      </c>
      <c r="M601" t="str">
        <f>VLOOKUP(N601,'Products (2)'!A:G,2,0)</f>
        <v>Arabica</v>
      </c>
      <c r="N601" t="s">
        <v>54</v>
      </c>
      <c r="O601" t="str">
        <f>VLOOKUP(N601,'Products (2)'!A:G,3,0)</f>
        <v>Dark</v>
      </c>
      <c r="P601">
        <f>VLOOKUP(N601,'Products (2)'!A:G,7,0)</f>
        <v>0.26865</v>
      </c>
      <c r="Q601">
        <v>4</v>
      </c>
      <c r="R601">
        <f>INDEX([1]products!$A$1:$G$49,MATCH([1]orders!$D601,[1]products!$A$1:$A$49,0),MATCH([1]orders!K$1,[1]products!$A$1:$G$1,0))</f>
        <v>0.2</v>
      </c>
      <c r="S601">
        <f>INDEX([1]products!$A$1:$G$49,MATCH([1]orders!$D601,[1]products!$A$1:$A$49,0),MATCH([1]orders!L$1,[1]products!$A$1:$G$1,0))</f>
        <v>2.9849999999999999</v>
      </c>
      <c r="T601">
        <f t="shared" si="55"/>
        <v>11.94</v>
      </c>
      <c r="U601">
        <f t="shared" si="58"/>
        <v>1.0746</v>
      </c>
      <c r="V601">
        <f t="shared" si="59"/>
        <v>9.0000000000000018</v>
      </c>
    </row>
    <row r="602" spans="1:22" x14ac:dyDescent="0.25">
      <c r="A602" t="s">
        <v>1173</v>
      </c>
      <c r="B602">
        <v>44492</v>
      </c>
      <c r="C602" t="str">
        <f t="shared" si="56"/>
        <v>23</v>
      </c>
      <c r="D602" t="str">
        <f t="shared" si="54"/>
        <v>October</v>
      </c>
      <c r="E602" t="str">
        <f t="shared" si="57"/>
        <v>2021</v>
      </c>
      <c r="F602" t="s">
        <v>1174</v>
      </c>
      <c r="G602" t="str">
        <f>VLOOKUP(F602,'Customers (2)'!A:I,2,0)</f>
        <v>Peyter Lauritzen</v>
      </c>
      <c r="H602" t="str">
        <f>VLOOKUP(F602,'Customers (2)'!A:I,3,0)</f>
        <v>plauritzengo@photobucket.com</v>
      </c>
      <c r="I602" t="str">
        <f>VLOOKUP(F602,'Customers (2)'!A:I,4,0)</f>
        <v>+1 (215) 308-0788</v>
      </c>
      <c r="J602" t="str">
        <f>VLOOKUP(F602,'Customers (2)'!A:I,6,0)</f>
        <v>Philadelphia</v>
      </c>
      <c r="K602" t="str">
        <f>VLOOKUP(F602,'Customers (2)'!A:I,7,0)</f>
        <v>United States</v>
      </c>
      <c r="L602" t="str">
        <f>VLOOKUP(F602,'Customers (2)'!A:I,9,0)</f>
        <v>No</v>
      </c>
      <c r="M602" t="str">
        <f>VLOOKUP(N602,'Products (2)'!A:G,2,0)</f>
        <v>Liberica</v>
      </c>
      <c r="N602" t="s">
        <v>123</v>
      </c>
      <c r="O602" t="str">
        <f>VLOOKUP(N602,'Products (2)'!A:G,3,0)</f>
        <v>Dark</v>
      </c>
      <c r="P602">
        <f>VLOOKUP(N602,'Products (2)'!A:G,7,0)</f>
        <v>1.0101</v>
      </c>
      <c r="Q602">
        <v>1</v>
      </c>
      <c r="R602">
        <f>INDEX([1]products!$A$1:$G$49,MATCH([1]orders!$D602,[1]products!$A$1:$A$49,0),MATCH([1]orders!K$1,[1]products!$A$1:$G$1,0))</f>
        <v>0.5</v>
      </c>
      <c r="S602">
        <f>INDEX([1]products!$A$1:$G$49,MATCH([1]orders!$D602,[1]products!$A$1:$A$49,0),MATCH([1]orders!L$1,[1]products!$A$1:$G$1,0))</f>
        <v>7.77</v>
      </c>
      <c r="T602">
        <f t="shared" si="55"/>
        <v>7.77</v>
      </c>
      <c r="U602">
        <f t="shared" si="58"/>
        <v>1.0101</v>
      </c>
      <c r="V602">
        <f t="shared" si="59"/>
        <v>13</v>
      </c>
    </row>
    <row r="603" spans="1:22" x14ac:dyDescent="0.25">
      <c r="A603" t="s">
        <v>1175</v>
      </c>
      <c r="B603">
        <v>43815</v>
      </c>
      <c r="C603" t="str">
        <f t="shared" si="56"/>
        <v>16</v>
      </c>
      <c r="D603" t="str">
        <f t="shared" si="54"/>
        <v>December</v>
      </c>
      <c r="E603" t="str">
        <f t="shared" si="57"/>
        <v>2019</v>
      </c>
      <c r="F603" t="s">
        <v>1176</v>
      </c>
      <c r="G603" t="str">
        <f>VLOOKUP(F603,'Customers (2)'!A:I,2,0)</f>
        <v>Aurelia Burgwin</v>
      </c>
      <c r="H603" t="str">
        <f>VLOOKUP(F603,'Customers (2)'!A:I,3,0)</f>
        <v>aburgwingp@redcross.org</v>
      </c>
      <c r="I603" t="str">
        <f>VLOOKUP(F603,'Customers (2)'!A:I,4,0)</f>
        <v>+1 (314) 407-3962</v>
      </c>
      <c r="J603" t="str">
        <f>VLOOKUP(F603,'Customers (2)'!A:I,6,0)</f>
        <v>Migrate</v>
      </c>
      <c r="K603" t="str">
        <f>VLOOKUP(F603,'Customers (2)'!A:I,7,0)</f>
        <v>United States</v>
      </c>
      <c r="L603" t="str">
        <f>VLOOKUP(F603,'Customers (2)'!A:I,9,0)</f>
        <v>Yes</v>
      </c>
      <c r="M603" t="str">
        <f>VLOOKUP(N603,'Products (2)'!A:G,2,0)</f>
        <v>Robusta</v>
      </c>
      <c r="N603" t="s">
        <v>10</v>
      </c>
      <c r="O603" t="str">
        <f>VLOOKUP(N603,'Products (2)'!A:G,3,0)</f>
        <v>Light</v>
      </c>
      <c r="P603">
        <f>VLOOKUP(N603,'Products (2)'!A:G,7,0)</f>
        <v>1.6490999999999998</v>
      </c>
      <c r="Q603">
        <v>4</v>
      </c>
      <c r="R603">
        <f>INDEX([1]products!$A$1:$G$49,MATCH([1]orders!$D603,[1]products!$A$1:$A$49,0),MATCH([1]orders!K$1,[1]products!$A$1:$G$1,0))</f>
        <v>2.5</v>
      </c>
      <c r="S603">
        <f>INDEX([1]products!$A$1:$G$49,MATCH([1]orders!$D603,[1]products!$A$1:$A$49,0),MATCH([1]orders!L$1,[1]products!$A$1:$G$1,0))</f>
        <v>27.484999999999996</v>
      </c>
      <c r="T603">
        <f t="shared" si="55"/>
        <v>109.93999999999998</v>
      </c>
      <c r="U603">
        <f t="shared" si="58"/>
        <v>6.5963999999999992</v>
      </c>
      <c r="V603">
        <f t="shared" si="59"/>
        <v>6.0000000000000009</v>
      </c>
    </row>
    <row r="604" spans="1:22" x14ac:dyDescent="0.25">
      <c r="A604" t="s">
        <v>1177</v>
      </c>
      <c r="B604">
        <v>43603</v>
      </c>
      <c r="C604" t="str">
        <f t="shared" si="56"/>
        <v>18</v>
      </c>
      <c r="D604" t="str">
        <f t="shared" si="54"/>
        <v>May</v>
      </c>
      <c r="E604" t="str">
        <f t="shared" si="57"/>
        <v>2019</v>
      </c>
      <c r="F604" t="s">
        <v>1178</v>
      </c>
      <c r="G604" t="str">
        <f>VLOOKUP(F604,'Customers (2)'!A:I,2,0)</f>
        <v>Emalee Rolin</v>
      </c>
      <c r="H604" t="str">
        <f>VLOOKUP(F604,'Customers (2)'!A:I,3,0)</f>
        <v>erolingq@google.fr</v>
      </c>
      <c r="I604" t="str">
        <f>VLOOKUP(F604,'Customers (2)'!A:I,4,0)</f>
        <v>+1 (419) 597-8743</v>
      </c>
      <c r="J604" t="str">
        <f>VLOOKUP(F604,'Customers (2)'!A:I,6,0)</f>
        <v>Toledo</v>
      </c>
      <c r="K604" t="str">
        <f>VLOOKUP(F604,'Customers (2)'!A:I,7,0)</f>
        <v>United States</v>
      </c>
      <c r="L604" t="str">
        <f>VLOOKUP(F604,'Customers (2)'!A:I,9,0)</f>
        <v>Yes</v>
      </c>
      <c r="M604" t="str">
        <f>VLOOKUP(N604,'Products (2)'!A:G,2,0)</f>
        <v>Excelsa</v>
      </c>
      <c r="N604" t="s">
        <v>254</v>
      </c>
      <c r="O604" t="str">
        <f>VLOOKUP(N604,'Products (2)'!A:G,3,0)</f>
        <v>Light</v>
      </c>
      <c r="P604">
        <f>VLOOKUP(N604,'Products (2)'!A:G,7,0)</f>
        <v>0.49004999999999999</v>
      </c>
      <c r="Q604">
        <v>5</v>
      </c>
      <c r="R604">
        <f>INDEX([1]products!$A$1:$G$49,MATCH([1]orders!$D604,[1]products!$A$1:$A$49,0),MATCH([1]orders!K$1,[1]products!$A$1:$G$1,0))</f>
        <v>0.2</v>
      </c>
      <c r="S604">
        <f>INDEX([1]products!$A$1:$G$49,MATCH([1]orders!$D604,[1]products!$A$1:$A$49,0),MATCH([1]orders!L$1,[1]products!$A$1:$G$1,0))</f>
        <v>4.4550000000000001</v>
      </c>
      <c r="T604">
        <f t="shared" si="55"/>
        <v>22.274999999999999</v>
      </c>
      <c r="U604">
        <f t="shared" si="58"/>
        <v>2.45025</v>
      </c>
      <c r="V604">
        <f t="shared" si="59"/>
        <v>11.000000000000002</v>
      </c>
    </row>
    <row r="605" spans="1:22" x14ac:dyDescent="0.25">
      <c r="A605" t="s">
        <v>1179</v>
      </c>
      <c r="B605">
        <v>43660</v>
      </c>
      <c r="C605" t="str">
        <f t="shared" si="56"/>
        <v>14</v>
      </c>
      <c r="D605" t="str">
        <f t="shared" si="54"/>
        <v>July</v>
      </c>
      <c r="E605" t="str">
        <f t="shared" si="57"/>
        <v>2019</v>
      </c>
      <c r="F605" t="s">
        <v>1180</v>
      </c>
      <c r="G605" t="str">
        <f>VLOOKUP(F605,'Customers (2)'!A:I,2,0)</f>
        <v>Donavon Fowle</v>
      </c>
      <c r="H605" t="str">
        <f>VLOOKUP(F605,'Customers (2)'!A:I,3,0)</f>
        <v>dfowlegr@epa.gov</v>
      </c>
      <c r="I605">
        <f>VLOOKUP(F605,'Customers (2)'!A:I,4,0)</f>
        <v>0</v>
      </c>
      <c r="J605" t="str">
        <f>VLOOKUP(F605,'Customers (2)'!A:I,6,0)</f>
        <v>Colorado Springs</v>
      </c>
      <c r="K605" t="str">
        <f>VLOOKUP(F605,'Customers (2)'!A:I,7,0)</f>
        <v>United States</v>
      </c>
      <c r="L605" t="str">
        <f>VLOOKUP(F605,'Customers (2)'!A:I,9,0)</f>
        <v>No</v>
      </c>
      <c r="M605" t="str">
        <f>VLOOKUP(N605,'Products (2)'!A:G,2,0)</f>
        <v>Robusta</v>
      </c>
      <c r="N605" t="s">
        <v>162</v>
      </c>
      <c r="O605" t="str">
        <f>VLOOKUP(N605,'Products (2)'!A:G,3,0)</f>
        <v>Medium</v>
      </c>
      <c r="P605">
        <f>VLOOKUP(N605,'Products (2)'!A:G,7,0)</f>
        <v>0.17909999999999998</v>
      </c>
      <c r="Q605">
        <v>3</v>
      </c>
      <c r="R605">
        <f>INDEX([1]products!$A$1:$G$49,MATCH([1]orders!$D605,[1]products!$A$1:$A$49,0),MATCH([1]orders!K$1,[1]products!$A$1:$G$1,0))</f>
        <v>0.2</v>
      </c>
      <c r="S605">
        <f>INDEX([1]products!$A$1:$G$49,MATCH([1]orders!$D605,[1]products!$A$1:$A$49,0),MATCH([1]orders!L$1,[1]products!$A$1:$G$1,0))</f>
        <v>2.9849999999999999</v>
      </c>
      <c r="T605">
        <f t="shared" si="55"/>
        <v>8.9550000000000001</v>
      </c>
      <c r="U605">
        <f t="shared" si="58"/>
        <v>0.53729999999999989</v>
      </c>
      <c r="V605">
        <f t="shared" si="59"/>
        <v>5.9999999999999982</v>
      </c>
    </row>
    <row r="606" spans="1:22" x14ac:dyDescent="0.25">
      <c r="A606" t="s">
        <v>1181</v>
      </c>
      <c r="B606">
        <v>44148</v>
      </c>
      <c r="C606" t="str">
        <f t="shared" si="56"/>
        <v>13</v>
      </c>
      <c r="D606" t="str">
        <f t="shared" si="54"/>
        <v>November</v>
      </c>
      <c r="E606" t="str">
        <f t="shared" si="57"/>
        <v>2020</v>
      </c>
      <c r="F606" t="s">
        <v>1182</v>
      </c>
      <c r="G606" t="str">
        <f>VLOOKUP(F606,'Customers (2)'!A:I,2,0)</f>
        <v>Jorge Bettison</v>
      </c>
      <c r="H606">
        <f>VLOOKUP(F606,'Customers (2)'!A:I,3,0)</f>
        <v>0</v>
      </c>
      <c r="I606" t="str">
        <f>VLOOKUP(F606,'Customers (2)'!A:I,4,0)</f>
        <v>+353 (782) 457-9198</v>
      </c>
      <c r="J606" t="str">
        <f>VLOOKUP(F606,'Customers (2)'!A:I,6,0)</f>
        <v>Longwood</v>
      </c>
      <c r="K606" t="str">
        <f>VLOOKUP(F606,'Customers (2)'!A:I,7,0)</f>
        <v>Ireland</v>
      </c>
      <c r="L606" t="str">
        <f>VLOOKUP(F606,'Customers (2)'!A:I,9,0)</f>
        <v>No</v>
      </c>
      <c r="M606" t="str">
        <f>VLOOKUP(N606,'Products (2)'!A:G,2,0)</f>
        <v>Liberica</v>
      </c>
      <c r="N606" t="s">
        <v>109</v>
      </c>
      <c r="O606" t="str">
        <f>VLOOKUP(N606,'Products (2)'!A:G,3,0)</f>
        <v>Dark</v>
      </c>
      <c r="P606">
        <f>VLOOKUP(N606,'Products (2)'!A:G,7,0)</f>
        <v>3.8720499999999998</v>
      </c>
      <c r="Q606">
        <v>4</v>
      </c>
      <c r="R606">
        <f>INDEX([1]products!$A$1:$G$49,MATCH([1]orders!$D606,[1]products!$A$1:$A$49,0),MATCH([1]orders!K$1,[1]products!$A$1:$G$1,0))</f>
        <v>2.5</v>
      </c>
      <c r="S606">
        <f>INDEX([1]products!$A$1:$G$49,MATCH([1]orders!$D606,[1]products!$A$1:$A$49,0),MATCH([1]orders!L$1,[1]products!$A$1:$G$1,0))</f>
        <v>29.784999999999997</v>
      </c>
      <c r="T606">
        <f t="shared" si="55"/>
        <v>119.13999999999999</v>
      </c>
      <c r="U606">
        <f t="shared" si="58"/>
        <v>15.488199999999999</v>
      </c>
      <c r="V606">
        <f t="shared" si="59"/>
        <v>13</v>
      </c>
    </row>
    <row r="607" spans="1:22" x14ac:dyDescent="0.25">
      <c r="A607" t="s">
        <v>1183</v>
      </c>
      <c r="B607">
        <v>44028</v>
      </c>
      <c r="C607" t="str">
        <f t="shared" si="56"/>
        <v>16</v>
      </c>
      <c r="D607" t="str">
        <f t="shared" si="54"/>
        <v>July</v>
      </c>
      <c r="E607" t="str">
        <f t="shared" si="57"/>
        <v>2020</v>
      </c>
      <c r="F607" t="s">
        <v>1184</v>
      </c>
      <c r="G607" t="str">
        <f>VLOOKUP(F607,'Customers (2)'!A:I,2,0)</f>
        <v>Wang Powlesland</v>
      </c>
      <c r="H607" t="str">
        <f>VLOOKUP(F607,'Customers (2)'!A:I,3,0)</f>
        <v>wpowleslandgt@soundcloud.com</v>
      </c>
      <c r="I607" t="str">
        <f>VLOOKUP(F607,'Customers (2)'!A:I,4,0)</f>
        <v>+1 (412) 453-4798</v>
      </c>
      <c r="J607" t="str">
        <f>VLOOKUP(F607,'Customers (2)'!A:I,6,0)</f>
        <v>Pittsburgh</v>
      </c>
      <c r="K607" t="str">
        <f>VLOOKUP(F607,'Customers (2)'!A:I,7,0)</f>
        <v>United States</v>
      </c>
      <c r="L607" t="str">
        <f>VLOOKUP(F607,'Customers (2)'!A:I,9,0)</f>
        <v>Yes</v>
      </c>
      <c r="M607" t="str">
        <f>VLOOKUP(N607,'Products (2)'!A:G,2,0)</f>
        <v>Arabica</v>
      </c>
      <c r="N607" t="s">
        <v>204</v>
      </c>
      <c r="O607" t="str">
        <f>VLOOKUP(N607,'Products (2)'!A:G,3,0)</f>
        <v>Light</v>
      </c>
      <c r="P607">
        <f>VLOOKUP(N607,'Products (2)'!A:G,7,0)</f>
        <v>2.6806499999999995</v>
      </c>
      <c r="Q607">
        <v>5</v>
      </c>
      <c r="R607">
        <f>INDEX([1]products!$A$1:$G$49,MATCH([1]orders!$D607,[1]products!$A$1:$A$49,0),MATCH([1]orders!K$1,[1]products!$A$1:$G$1,0))</f>
        <v>2.5</v>
      </c>
      <c r="S607">
        <f>INDEX([1]products!$A$1:$G$49,MATCH([1]orders!$D607,[1]products!$A$1:$A$49,0),MATCH([1]orders!L$1,[1]products!$A$1:$G$1,0))</f>
        <v>29.784999999999997</v>
      </c>
      <c r="T607">
        <f t="shared" si="55"/>
        <v>148.92499999999998</v>
      </c>
      <c r="U607">
        <f t="shared" si="58"/>
        <v>13.403249999999998</v>
      </c>
      <c r="V607">
        <f t="shared" si="59"/>
        <v>9</v>
      </c>
    </row>
    <row r="608" spans="1:22" x14ac:dyDescent="0.25">
      <c r="A608" t="s">
        <v>1185</v>
      </c>
      <c r="B608">
        <v>44138</v>
      </c>
      <c r="C608" t="str">
        <f t="shared" si="56"/>
        <v>03</v>
      </c>
      <c r="D608" t="str">
        <f t="shared" si="54"/>
        <v>November</v>
      </c>
      <c r="E608" t="str">
        <f t="shared" si="57"/>
        <v>2020</v>
      </c>
      <c r="F608" t="s">
        <v>1145</v>
      </c>
      <c r="G608" t="str">
        <f>VLOOKUP(F608,'Customers (2)'!A:I,2,0)</f>
        <v>Cody Verissimo</v>
      </c>
      <c r="H608" t="str">
        <f>VLOOKUP(F608,'Customers (2)'!A:I,3,0)</f>
        <v>cverissimogh@theglobeandmail.com</v>
      </c>
      <c r="I608">
        <f>VLOOKUP(F608,'Customers (2)'!A:I,4,0)</f>
        <v>0</v>
      </c>
      <c r="J608" t="str">
        <f>VLOOKUP(F608,'Customers (2)'!A:I,6,0)</f>
        <v>Upton</v>
      </c>
      <c r="K608" t="str">
        <f>VLOOKUP(F608,'Customers (2)'!A:I,7,0)</f>
        <v>United Kingdom</v>
      </c>
      <c r="L608" t="str">
        <f>VLOOKUP(F608,'Customers (2)'!A:I,9,0)</f>
        <v>Yes</v>
      </c>
      <c r="M608" t="str">
        <f>VLOOKUP(N608,'Products (2)'!A:G,2,0)</f>
        <v>Liberica</v>
      </c>
      <c r="N608" t="s">
        <v>104</v>
      </c>
      <c r="O608" t="str">
        <f>VLOOKUP(N608,'Products (2)'!A:G,3,0)</f>
        <v>Light</v>
      </c>
      <c r="P608">
        <f>VLOOKUP(N608,'Products (2)'!A:G,7,0)</f>
        <v>4.7391499999999995</v>
      </c>
      <c r="Q608">
        <v>3</v>
      </c>
      <c r="R608">
        <f>INDEX([1]products!$A$1:$G$49,MATCH([1]orders!$D608,[1]products!$A$1:$A$49,0),MATCH([1]orders!K$1,[1]products!$A$1:$G$1,0))</f>
        <v>2.5</v>
      </c>
      <c r="S608">
        <f>INDEX([1]products!$A$1:$G$49,MATCH([1]orders!$D608,[1]products!$A$1:$A$49,0),MATCH([1]orders!L$1,[1]products!$A$1:$G$1,0))</f>
        <v>36.454999999999998</v>
      </c>
      <c r="T608">
        <f t="shared" si="55"/>
        <v>109.36499999999999</v>
      </c>
      <c r="U608">
        <f t="shared" si="58"/>
        <v>14.217449999999999</v>
      </c>
      <c r="V608">
        <f t="shared" si="59"/>
        <v>13</v>
      </c>
    </row>
    <row r="609" spans="1:22" x14ac:dyDescent="0.25">
      <c r="A609" t="s">
        <v>1186</v>
      </c>
      <c r="B609">
        <v>44640</v>
      </c>
      <c r="C609" t="str">
        <f t="shared" si="56"/>
        <v>20</v>
      </c>
      <c r="D609" t="str">
        <f t="shared" si="54"/>
        <v>March</v>
      </c>
      <c r="E609" t="str">
        <f t="shared" si="57"/>
        <v>2022</v>
      </c>
      <c r="F609" t="s">
        <v>1187</v>
      </c>
      <c r="G609" t="str">
        <f>VLOOKUP(F609,'Customers (2)'!A:I,2,0)</f>
        <v>Laurence Ellingham</v>
      </c>
      <c r="H609" t="str">
        <f>VLOOKUP(F609,'Customers (2)'!A:I,3,0)</f>
        <v>lellinghamgv@sciencedaily.com</v>
      </c>
      <c r="I609" t="str">
        <f>VLOOKUP(F609,'Customers (2)'!A:I,4,0)</f>
        <v>+1 (318) 670-8027</v>
      </c>
      <c r="J609" t="str">
        <f>VLOOKUP(F609,'Customers (2)'!A:I,6,0)</f>
        <v>Shreveport</v>
      </c>
      <c r="K609" t="str">
        <f>VLOOKUP(F609,'Customers (2)'!A:I,7,0)</f>
        <v>United States</v>
      </c>
      <c r="L609" t="str">
        <f>VLOOKUP(F609,'Customers (2)'!A:I,9,0)</f>
        <v>Yes</v>
      </c>
      <c r="M609" t="str">
        <f>VLOOKUP(N609,'Products (2)'!A:G,2,0)</f>
        <v>Excelsa</v>
      </c>
      <c r="N609" t="s">
        <v>51</v>
      </c>
      <c r="O609" t="str">
        <f>VLOOKUP(N609,'Products (2)'!A:G,3,0)</f>
        <v>Dark</v>
      </c>
      <c r="P609">
        <f>VLOOKUP(N609,'Products (2)'!A:G,7,0)</f>
        <v>0.40095000000000003</v>
      </c>
      <c r="Q609">
        <v>1</v>
      </c>
      <c r="R609">
        <f>INDEX([1]products!$A$1:$G$49,MATCH([1]orders!$D609,[1]products!$A$1:$A$49,0),MATCH([1]orders!K$1,[1]products!$A$1:$G$1,0))</f>
        <v>0.2</v>
      </c>
      <c r="S609">
        <f>INDEX([1]products!$A$1:$G$49,MATCH([1]orders!$D609,[1]products!$A$1:$A$49,0),MATCH([1]orders!L$1,[1]products!$A$1:$G$1,0))</f>
        <v>3.645</v>
      </c>
      <c r="T609">
        <f t="shared" si="55"/>
        <v>3.645</v>
      </c>
      <c r="U609">
        <f t="shared" si="58"/>
        <v>0.40095000000000003</v>
      </c>
      <c r="V609">
        <f t="shared" si="59"/>
        <v>11</v>
      </c>
    </row>
    <row r="610" spans="1:22" x14ac:dyDescent="0.25">
      <c r="A610" t="s">
        <v>1188</v>
      </c>
      <c r="B610">
        <v>44608</v>
      </c>
      <c r="C610" t="str">
        <f t="shared" si="56"/>
        <v>16</v>
      </c>
      <c r="D610" t="str">
        <f t="shared" si="54"/>
        <v>February</v>
      </c>
      <c r="E610" t="str">
        <f t="shared" si="57"/>
        <v>2022</v>
      </c>
      <c r="F610" t="s">
        <v>1189</v>
      </c>
      <c r="G610" t="str">
        <f>VLOOKUP(F610,'Customers (2)'!A:I,2,0)</f>
        <v>Billy Neiland</v>
      </c>
      <c r="H610">
        <f>VLOOKUP(F610,'Customers (2)'!A:I,3,0)</f>
        <v>0</v>
      </c>
      <c r="I610">
        <f>VLOOKUP(F610,'Customers (2)'!A:I,4,0)</f>
        <v>0</v>
      </c>
      <c r="J610" t="str">
        <f>VLOOKUP(F610,'Customers (2)'!A:I,6,0)</f>
        <v>Cleveland</v>
      </c>
      <c r="K610" t="str">
        <f>VLOOKUP(F610,'Customers (2)'!A:I,7,0)</f>
        <v>United States</v>
      </c>
      <c r="L610" t="str">
        <f>VLOOKUP(F610,'Customers (2)'!A:I,9,0)</f>
        <v>No</v>
      </c>
      <c r="M610" t="str">
        <f>VLOOKUP(N610,'Products (2)'!A:G,2,0)</f>
        <v>Excelsa</v>
      </c>
      <c r="N610" t="s">
        <v>530</v>
      </c>
      <c r="O610" t="str">
        <f>VLOOKUP(N610,'Products (2)'!A:G,3,0)</f>
        <v>Dark</v>
      </c>
      <c r="P610">
        <f>VLOOKUP(N610,'Products (2)'!A:G,7,0)</f>
        <v>3.07395</v>
      </c>
      <c r="Q610">
        <v>2</v>
      </c>
      <c r="R610">
        <f>INDEX([1]products!$A$1:$G$49,MATCH([1]orders!$D610,[1]products!$A$1:$A$49,0),MATCH([1]orders!K$1,[1]products!$A$1:$G$1,0))</f>
        <v>2.5</v>
      </c>
      <c r="S610">
        <f>INDEX([1]products!$A$1:$G$49,MATCH([1]orders!$D610,[1]products!$A$1:$A$49,0),MATCH([1]orders!L$1,[1]products!$A$1:$G$1,0))</f>
        <v>27.945</v>
      </c>
      <c r="T610">
        <f t="shared" si="55"/>
        <v>55.89</v>
      </c>
      <c r="U610">
        <f t="shared" si="58"/>
        <v>6.1478999999999999</v>
      </c>
      <c r="V610">
        <f t="shared" si="59"/>
        <v>11</v>
      </c>
    </row>
    <row r="611" spans="1:22" x14ac:dyDescent="0.25">
      <c r="A611" t="s">
        <v>1190</v>
      </c>
      <c r="B611">
        <v>44147</v>
      </c>
      <c r="C611" t="str">
        <f t="shared" si="56"/>
        <v>12</v>
      </c>
      <c r="D611" t="str">
        <f t="shared" si="54"/>
        <v>November</v>
      </c>
      <c r="E611" t="str">
        <f t="shared" si="57"/>
        <v>2020</v>
      </c>
      <c r="F611" t="s">
        <v>1191</v>
      </c>
      <c r="G611" t="str">
        <f>VLOOKUP(F611,'Customers (2)'!A:I,2,0)</f>
        <v>Ancell Fendt</v>
      </c>
      <c r="H611" t="str">
        <f>VLOOKUP(F611,'Customers (2)'!A:I,3,0)</f>
        <v>afendtgx@forbes.com</v>
      </c>
      <c r="I611" t="str">
        <f>VLOOKUP(F611,'Customers (2)'!A:I,4,0)</f>
        <v>+1 (414) 811-7606</v>
      </c>
      <c r="J611" t="str">
        <f>VLOOKUP(F611,'Customers (2)'!A:I,6,0)</f>
        <v>Milwaukee</v>
      </c>
      <c r="K611" t="str">
        <f>VLOOKUP(F611,'Customers (2)'!A:I,7,0)</f>
        <v>United States</v>
      </c>
      <c r="L611" t="str">
        <f>VLOOKUP(F611,'Customers (2)'!A:I,9,0)</f>
        <v>Yes</v>
      </c>
      <c r="M611" t="str">
        <f>VLOOKUP(N611,'Products (2)'!A:G,2,0)</f>
        <v>Liberica</v>
      </c>
      <c r="N611" t="s">
        <v>77</v>
      </c>
      <c r="O611" t="str">
        <f>VLOOKUP(N611,'Products (2)'!A:G,3,0)</f>
        <v>Medium</v>
      </c>
      <c r="P611">
        <f>VLOOKUP(N611,'Products (2)'!A:G,7,0)</f>
        <v>0.56745000000000001</v>
      </c>
      <c r="Q611">
        <v>6</v>
      </c>
      <c r="R611">
        <f>INDEX([1]products!$A$1:$G$49,MATCH([1]orders!$D611,[1]products!$A$1:$A$49,0),MATCH([1]orders!K$1,[1]products!$A$1:$G$1,0))</f>
        <v>0.2</v>
      </c>
      <c r="S611">
        <f>INDEX([1]products!$A$1:$G$49,MATCH([1]orders!$D611,[1]products!$A$1:$A$49,0),MATCH([1]orders!L$1,[1]products!$A$1:$G$1,0))</f>
        <v>4.3650000000000002</v>
      </c>
      <c r="T611">
        <f t="shared" si="55"/>
        <v>26.19</v>
      </c>
      <c r="U611">
        <f t="shared" si="58"/>
        <v>3.4047000000000001</v>
      </c>
      <c r="V611">
        <f t="shared" si="59"/>
        <v>13</v>
      </c>
    </row>
    <row r="612" spans="1:22" x14ac:dyDescent="0.25">
      <c r="A612" t="s">
        <v>1192</v>
      </c>
      <c r="B612">
        <v>43743</v>
      </c>
      <c r="C612" t="str">
        <f t="shared" si="56"/>
        <v>05</v>
      </c>
      <c r="D612" t="str">
        <f t="shared" si="54"/>
        <v>October</v>
      </c>
      <c r="E612" t="str">
        <f t="shared" si="57"/>
        <v>2019</v>
      </c>
      <c r="F612" t="s">
        <v>1193</v>
      </c>
      <c r="G612" t="str">
        <f>VLOOKUP(F612,'Customers (2)'!A:I,2,0)</f>
        <v>Angelia Cleyburn</v>
      </c>
      <c r="H612" t="str">
        <f>VLOOKUP(F612,'Customers (2)'!A:I,3,0)</f>
        <v>acleyburngy@lycos.com</v>
      </c>
      <c r="I612" t="str">
        <f>VLOOKUP(F612,'Customers (2)'!A:I,4,0)</f>
        <v>+1 (754) 355-3802</v>
      </c>
      <c r="J612" t="str">
        <f>VLOOKUP(F612,'Customers (2)'!A:I,6,0)</f>
        <v>Fort Lauderdale</v>
      </c>
      <c r="K612" t="str">
        <f>VLOOKUP(F612,'Customers (2)'!A:I,7,0)</f>
        <v>United States</v>
      </c>
      <c r="L612" t="str">
        <f>VLOOKUP(F612,'Customers (2)'!A:I,9,0)</f>
        <v>No</v>
      </c>
      <c r="M612" t="str">
        <f>VLOOKUP(N612,'Products (2)'!A:G,2,0)</f>
        <v>Robusta</v>
      </c>
      <c r="N612" t="s">
        <v>2</v>
      </c>
      <c r="O612" t="str">
        <f>VLOOKUP(N612,'Products (2)'!A:G,3,0)</f>
        <v>Medium</v>
      </c>
      <c r="P612">
        <f>VLOOKUP(N612,'Products (2)'!A:G,7,0)</f>
        <v>0.59699999999999998</v>
      </c>
      <c r="Q612">
        <v>4</v>
      </c>
      <c r="R612">
        <f>INDEX([1]products!$A$1:$G$49,MATCH([1]orders!$D612,[1]products!$A$1:$A$49,0),MATCH([1]orders!K$1,[1]products!$A$1:$G$1,0))</f>
        <v>1</v>
      </c>
      <c r="S612">
        <f>INDEX([1]products!$A$1:$G$49,MATCH([1]orders!$D612,[1]products!$A$1:$A$49,0),MATCH([1]orders!L$1,[1]products!$A$1:$G$1,0))</f>
        <v>9.9499999999999993</v>
      </c>
      <c r="T612">
        <f t="shared" si="55"/>
        <v>39.799999999999997</v>
      </c>
      <c r="U612">
        <f t="shared" si="58"/>
        <v>2.3879999999999999</v>
      </c>
      <c r="V612">
        <f t="shared" si="59"/>
        <v>6.0000000000000009</v>
      </c>
    </row>
    <row r="613" spans="1:22" x14ac:dyDescent="0.25">
      <c r="A613" t="s">
        <v>1194</v>
      </c>
      <c r="B613">
        <v>43739</v>
      </c>
      <c r="C613" t="str">
        <f t="shared" si="56"/>
        <v>01</v>
      </c>
      <c r="D613" t="str">
        <f t="shared" si="54"/>
        <v>October</v>
      </c>
      <c r="E613" t="str">
        <f t="shared" si="57"/>
        <v>2019</v>
      </c>
      <c r="F613" t="s">
        <v>1195</v>
      </c>
      <c r="G613" t="str">
        <f>VLOOKUP(F613,'Customers (2)'!A:I,2,0)</f>
        <v>Temple Castiglione</v>
      </c>
      <c r="H613" t="str">
        <f>VLOOKUP(F613,'Customers (2)'!A:I,3,0)</f>
        <v>tcastiglionegz@xing.com</v>
      </c>
      <c r="I613" t="str">
        <f>VLOOKUP(F613,'Customers (2)'!A:I,4,0)</f>
        <v>+1 (318) 820-6128</v>
      </c>
      <c r="J613" t="str">
        <f>VLOOKUP(F613,'Customers (2)'!A:I,6,0)</f>
        <v>Shreveport</v>
      </c>
      <c r="K613" t="str">
        <f>VLOOKUP(F613,'Customers (2)'!A:I,7,0)</f>
        <v>United States</v>
      </c>
      <c r="L613" t="str">
        <f>VLOOKUP(F613,'Customers (2)'!A:I,9,0)</f>
        <v>No</v>
      </c>
      <c r="M613" t="str">
        <f>VLOOKUP(N613,'Products (2)'!A:G,2,0)</f>
        <v>Excelsa</v>
      </c>
      <c r="N613" t="s">
        <v>30</v>
      </c>
      <c r="O613" t="str">
        <f>VLOOKUP(N613,'Products (2)'!A:G,3,0)</f>
        <v>Light</v>
      </c>
      <c r="P613">
        <f>VLOOKUP(N613,'Products (2)'!A:G,7,0)</f>
        <v>3.7570499999999996</v>
      </c>
      <c r="Q613">
        <v>2</v>
      </c>
      <c r="R613">
        <f>INDEX([1]products!$A$1:$G$49,MATCH([1]orders!$D613,[1]products!$A$1:$A$49,0),MATCH([1]orders!K$1,[1]products!$A$1:$G$1,0))</f>
        <v>2.5</v>
      </c>
      <c r="S613">
        <f>INDEX([1]products!$A$1:$G$49,MATCH([1]orders!$D613,[1]products!$A$1:$A$49,0),MATCH([1]orders!L$1,[1]products!$A$1:$G$1,0))</f>
        <v>34.154999999999994</v>
      </c>
      <c r="T613">
        <f t="shared" si="55"/>
        <v>68.309999999999988</v>
      </c>
      <c r="U613">
        <f t="shared" si="58"/>
        <v>7.5140999999999991</v>
      </c>
      <c r="V613">
        <f t="shared" si="59"/>
        <v>11</v>
      </c>
    </row>
    <row r="614" spans="1:22" x14ac:dyDescent="0.25">
      <c r="A614" t="s">
        <v>1196</v>
      </c>
      <c r="B614">
        <v>43896</v>
      </c>
      <c r="C614" t="str">
        <f t="shared" si="56"/>
        <v>06</v>
      </c>
      <c r="D614" t="str">
        <f t="shared" si="54"/>
        <v>March</v>
      </c>
      <c r="E614" t="str">
        <f t="shared" si="57"/>
        <v>2020</v>
      </c>
      <c r="F614" t="s">
        <v>1197</v>
      </c>
      <c r="G614" t="str">
        <f>VLOOKUP(F614,'Customers (2)'!A:I,2,0)</f>
        <v>Betti Lacasa</v>
      </c>
      <c r="H614">
        <f>VLOOKUP(F614,'Customers (2)'!A:I,3,0)</f>
        <v>0</v>
      </c>
      <c r="I614" t="str">
        <f>VLOOKUP(F614,'Customers (2)'!A:I,4,0)</f>
        <v>+353 (930) 704-1778</v>
      </c>
      <c r="J614" t="str">
        <f>VLOOKUP(F614,'Customers (2)'!A:I,6,0)</f>
        <v>Beaumont</v>
      </c>
      <c r="K614" t="str">
        <f>VLOOKUP(F614,'Customers (2)'!A:I,7,0)</f>
        <v>Ireland</v>
      </c>
      <c r="L614" t="str">
        <f>VLOOKUP(F614,'Customers (2)'!A:I,9,0)</f>
        <v>No</v>
      </c>
      <c r="M614" t="str">
        <f>VLOOKUP(N614,'Products (2)'!A:G,2,0)</f>
        <v>Arabica</v>
      </c>
      <c r="N614" t="s">
        <v>44</v>
      </c>
      <c r="O614" t="str">
        <f>VLOOKUP(N614,'Products (2)'!A:G,3,0)</f>
        <v>Medium</v>
      </c>
      <c r="P614">
        <f>VLOOKUP(N614,'Products (2)'!A:G,7,0)</f>
        <v>0.30374999999999996</v>
      </c>
      <c r="Q614">
        <v>4</v>
      </c>
      <c r="R614">
        <f>INDEX([1]products!$A$1:$G$49,MATCH([1]orders!$D614,[1]products!$A$1:$A$49,0),MATCH([1]orders!K$1,[1]products!$A$1:$G$1,0))</f>
        <v>0.2</v>
      </c>
      <c r="S614">
        <f>INDEX([1]products!$A$1:$G$49,MATCH([1]orders!$D614,[1]products!$A$1:$A$49,0),MATCH([1]orders!L$1,[1]products!$A$1:$G$1,0))</f>
        <v>3.375</v>
      </c>
      <c r="T614">
        <f t="shared" si="55"/>
        <v>13.5</v>
      </c>
      <c r="U614">
        <f t="shared" si="58"/>
        <v>1.2149999999999999</v>
      </c>
      <c r="V614">
        <f t="shared" si="59"/>
        <v>8.9999999999999982</v>
      </c>
    </row>
    <row r="615" spans="1:22" x14ac:dyDescent="0.25">
      <c r="A615" t="s">
        <v>1198</v>
      </c>
      <c r="B615">
        <v>43761</v>
      </c>
      <c r="C615" t="str">
        <f t="shared" si="56"/>
        <v>23</v>
      </c>
      <c r="D615" t="str">
        <f t="shared" si="54"/>
        <v>October</v>
      </c>
      <c r="E615" t="str">
        <f t="shared" si="57"/>
        <v>2019</v>
      </c>
      <c r="F615" t="s">
        <v>1199</v>
      </c>
      <c r="G615" t="str">
        <f>VLOOKUP(F615,'Customers (2)'!A:I,2,0)</f>
        <v>Gunilla Lynch</v>
      </c>
      <c r="H615">
        <f>VLOOKUP(F615,'Customers (2)'!A:I,3,0)</f>
        <v>0</v>
      </c>
      <c r="I615" t="str">
        <f>VLOOKUP(F615,'Customers (2)'!A:I,4,0)</f>
        <v>+1 (916) 626-5223</v>
      </c>
      <c r="J615" t="str">
        <f>VLOOKUP(F615,'Customers (2)'!A:I,6,0)</f>
        <v>Sacramento</v>
      </c>
      <c r="K615" t="str">
        <f>VLOOKUP(F615,'Customers (2)'!A:I,7,0)</f>
        <v>United States</v>
      </c>
      <c r="L615" t="str">
        <f>VLOOKUP(F615,'Customers (2)'!A:I,9,0)</f>
        <v>No</v>
      </c>
      <c r="M615" t="str">
        <f>VLOOKUP(N615,'Products (2)'!A:G,2,0)</f>
        <v>Robusta</v>
      </c>
      <c r="N615" t="s">
        <v>22</v>
      </c>
      <c r="O615" t="str">
        <f>VLOOKUP(N615,'Products (2)'!A:G,3,0)</f>
        <v>Medium</v>
      </c>
      <c r="P615">
        <f>VLOOKUP(N615,'Products (2)'!A:G,7,0)</f>
        <v>0.35819999999999996</v>
      </c>
      <c r="Q615">
        <v>1</v>
      </c>
      <c r="R615">
        <f>INDEX([1]products!$A$1:$G$49,MATCH([1]orders!$D615,[1]products!$A$1:$A$49,0),MATCH([1]orders!K$1,[1]products!$A$1:$G$1,0))</f>
        <v>0.5</v>
      </c>
      <c r="S615">
        <f>INDEX([1]products!$A$1:$G$49,MATCH([1]orders!$D615,[1]products!$A$1:$A$49,0),MATCH([1]orders!L$1,[1]products!$A$1:$G$1,0))</f>
        <v>5.97</v>
      </c>
      <c r="T615">
        <f t="shared" si="55"/>
        <v>5.97</v>
      </c>
      <c r="U615">
        <f t="shared" si="58"/>
        <v>0.35819999999999996</v>
      </c>
      <c r="V615">
        <f t="shared" si="59"/>
        <v>6</v>
      </c>
    </row>
    <row r="616" spans="1:22" x14ac:dyDescent="0.25">
      <c r="A616" t="s">
        <v>1200</v>
      </c>
      <c r="B616">
        <v>43944</v>
      </c>
      <c r="C616" t="str">
        <f t="shared" si="56"/>
        <v>23</v>
      </c>
      <c r="D616" t="str">
        <f t="shared" si="54"/>
        <v>April</v>
      </c>
      <c r="E616" t="str">
        <f t="shared" si="57"/>
        <v>2020</v>
      </c>
      <c r="F616" t="s">
        <v>1145</v>
      </c>
      <c r="G616" t="str">
        <f>VLOOKUP(F616,'Customers (2)'!A:I,2,0)</f>
        <v>Cody Verissimo</v>
      </c>
      <c r="H616" t="str">
        <f>VLOOKUP(F616,'Customers (2)'!A:I,3,0)</f>
        <v>cverissimogh@theglobeandmail.com</v>
      </c>
      <c r="I616">
        <f>VLOOKUP(F616,'Customers (2)'!A:I,4,0)</f>
        <v>0</v>
      </c>
      <c r="J616" t="str">
        <f>VLOOKUP(F616,'Customers (2)'!A:I,6,0)</f>
        <v>Upton</v>
      </c>
      <c r="K616" t="str">
        <f>VLOOKUP(F616,'Customers (2)'!A:I,7,0)</f>
        <v>United Kingdom</v>
      </c>
      <c r="L616" t="str">
        <f>VLOOKUP(F616,'Customers (2)'!A:I,9,0)</f>
        <v>Yes</v>
      </c>
      <c r="M616" t="str">
        <f>VLOOKUP(N616,'Products (2)'!A:G,2,0)</f>
        <v>Robusta</v>
      </c>
      <c r="N616" t="s">
        <v>22</v>
      </c>
      <c r="O616" t="str">
        <f>VLOOKUP(N616,'Products (2)'!A:G,3,0)</f>
        <v>Medium</v>
      </c>
      <c r="P616">
        <f>VLOOKUP(N616,'Products (2)'!A:G,7,0)</f>
        <v>0.35819999999999996</v>
      </c>
      <c r="Q616">
        <v>5</v>
      </c>
      <c r="R616">
        <f>INDEX([1]products!$A$1:$G$49,MATCH([1]orders!$D616,[1]products!$A$1:$A$49,0),MATCH([1]orders!K$1,[1]products!$A$1:$G$1,0))</f>
        <v>0.5</v>
      </c>
      <c r="S616">
        <f>INDEX([1]products!$A$1:$G$49,MATCH([1]orders!$D616,[1]products!$A$1:$A$49,0),MATCH([1]orders!L$1,[1]products!$A$1:$G$1,0))</f>
        <v>5.97</v>
      </c>
      <c r="T616">
        <f t="shared" si="55"/>
        <v>29.849999999999998</v>
      </c>
      <c r="U616">
        <f t="shared" si="58"/>
        <v>1.7909999999999999</v>
      </c>
      <c r="V616">
        <f t="shared" si="59"/>
        <v>6.0000000000000009</v>
      </c>
    </row>
    <row r="617" spans="1:22" x14ac:dyDescent="0.25">
      <c r="A617" t="s">
        <v>1201</v>
      </c>
      <c r="B617">
        <v>44006</v>
      </c>
      <c r="C617" t="str">
        <f t="shared" si="56"/>
        <v>24</v>
      </c>
      <c r="D617" t="str">
        <f t="shared" si="54"/>
        <v>June</v>
      </c>
      <c r="E617" t="str">
        <f t="shared" si="57"/>
        <v>2020</v>
      </c>
      <c r="F617" t="s">
        <v>1202</v>
      </c>
      <c r="G617" t="str">
        <f>VLOOKUP(F617,'Customers (2)'!A:I,2,0)</f>
        <v>Shay Couronne</v>
      </c>
      <c r="H617" t="str">
        <f>VLOOKUP(F617,'Customers (2)'!A:I,3,0)</f>
        <v>scouronneh3@mozilla.org</v>
      </c>
      <c r="I617" t="str">
        <f>VLOOKUP(F617,'Customers (2)'!A:I,4,0)</f>
        <v>+1 (701) 894-8081</v>
      </c>
      <c r="J617" t="str">
        <f>VLOOKUP(F617,'Customers (2)'!A:I,6,0)</f>
        <v>Fargo</v>
      </c>
      <c r="K617" t="str">
        <f>VLOOKUP(F617,'Customers (2)'!A:I,7,0)</f>
        <v>United States</v>
      </c>
      <c r="L617" t="str">
        <f>VLOOKUP(F617,'Customers (2)'!A:I,9,0)</f>
        <v>Yes</v>
      </c>
      <c r="M617" t="str">
        <f>VLOOKUP(N617,'Products (2)'!A:G,2,0)</f>
        <v>Liberica</v>
      </c>
      <c r="N617" t="s">
        <v>104</v>
      </c>
      <c r="O617" t="str">
        <f>VLOOKUP(N617,'Products (2)'!A:G,3,0)</f>
        <v>Light</v>
      </c>
      <c r="P617">
        <f>VLOOKUP(N617,'Products (2)'!A:G,7,0)</f>
        <v>4.7391499999999995</v>
      </c>
      <c r="Q617">
        <v>2</v>
      </c>
      <c r="R617">
        <f>INDEX([1]products!$A$1:$G$49,MATCH([1]orders!$D617,[1]products!$A$1:$A$49,0),MATCH([1]orders!K$1,[1]products!$A$1:$G$1,0))</f>
        <v>2.5</v>
      </c>
      <c r="S617">
        <f>INDEX([1]products!$A$1:$G$49,MATCH([1]orders!$D617,[1]products!$A$1:$A$49,0),MATCH([1]orders!L$1,[1]products!$A$1:$G$1,0))</f>
        <v>36.454999999999998</v>
      </c>
      <c r="T617">
        <f t="shared" si="55"/>
        <v>72.91</v>
      </c>
      <c r="U617">
        <f t="shared" si="58"/>
        <v>9.4782999999999991</v>
      </c>
      <c r="V617">
        <f t="shared" si="59"/>
        <v>13</v>
      </c>
    </row>
    <row r="618" spans="1:22" x14ac:dyDescent="0.25">
      <c r="A618" t="s">
        <v>1203</v>
      </c>
      <c r="B618">
        <v>44271</v>
      </c>
      <c r="C618" t="str">
        <f t="shared" si="56"/>
        <v>16</v>
      </c>
      <c r="D618" t="str">
        <f t="shared" si="54"/>
        <v>March</v>
      </c>
      <c r="E618" t="str">
        <f t="shared" si="57"/>
        <v>2021</v>
      </c>
      <c r="F618" t="s">
        <v>1204</v>
      </c>
      <c r="G618" t="str">
        <f>VLOOKUP(F618,'Customers (2)'!A:I,2,0)</f>
        <v>Linus Flippelli</v>
      </c>
      <c r="H618" t="str">
        <f>VLOOKUP(F618,'Customers (2)'!A:I,3,0)</f>
        <v>lflippellih4@github.io</v>
      </c>
      <c r="I618" t="str">
        <f>VLOOKUP(F618,'Customers (2)'!A:I,4,0)</f>
        <v>+44 (200) 860-6521</v>
      </c>
      <c r="J618" t="str">
        <f>VLOOKUP(F618,'Customers (2)'!A:I,6,0)</f>
        <v>Middleton</v>
      </c>
      <c r="K618" t="str">
        <f>VLOOKUP(F618,'Customers (2)'!A:I,7,0)</f>
        <v>United Kingdom</v>
      </c>
      <c r="L618" t="str">
        <f>VLOOKUP(F618,'Customers (2)'!A:I,9,0)</f>
        <v>No</v>
      </c>
      <c r="M618" t="str">
        <f>VLOOKUP(N618,'Products (2)'!A:G,2,0)</f>
        <v>Excelsa</v>
      </c>
      <c r="N618" t="s">
        <v>112</v>
      </c>
      <c r="O618" t="str">
        <f>VLOOKUP(N618,'Products (2)'!A:G,3,0)</f>
        <v>Medium</v>
      </c>
      <c r="P618">
        <f>VLOOKUP(N618,'Products (2)'!A:G,7,0)</f>
        <v>3.4787499999999998</v>
      </c>
      <c r="Q618">
        <v>4</v>
      </c>
      <c r="R618">
        <f>INDEX([1]products!$A$1:$G$49,MATCH([1]orders!$D618,[1]products!$A$1:$A$49,0),MATCH([1]orders!K$1,[1]products!$A$1:$G$1,0))</f>
        <v>2.5</v>
      </c>
      <c r="S618">
        <f>INDEX([1]products!$A$1:$G$49,MATCH([1]orders!$D618,[1]products!$A$1:$A$49,0),MATCH([1]orders!L$1,[1]products!$A$1:$G$1,0))</f>
        <v>31.624999999999996</v>
      </c>
      <c r="T618">
        <f t="shared" si="55"/>
        <v>126.49999999999999</v>
      </c>
      <c r="U618">
        <f t="shared" si="58"/>
        <v>13.914999999999999</v>
      </c>
      <c r="V618">
        <f t="shared" si="59"/>
        <v>11</v>
      </c>
    </row>
    <row r="619" spans="1:22" x14ac:dyDescent="0.25">
      <c r="A619" t="s">
        <v>1205</v>
      </c>
      <c r="B619">
        <v>43928</v>
      </c>
      <c r="C619" t="str">
        <f t="shared" si="56"/>
        <v>07</v>
      </c>
      <c r="D619" t="str">
        <f t="shared" si="54"/>
        <v>April</v>
      </c>
      <c r="E619" t="str">
        <f t="shared" si="57"/>
        <v>2020</v>
      </c>
      <c r="F619" t="s">
        <v>1206</v>
      </c>
      <c r="G619" t="str">
        <f>VLOOKUP(F619,'Customers (2)'!A:I,2,0)</f>
        <v>Rachelle Elizabeth</v>
      </c>
      <c r="H619" t="str">
        <f>VLOOKUP(F619,'Customers (2)'!A:I,3,0)</f>
        <v>relizabethh5@live.com</v>
      </c>
      <c r="I619" t="str">
        <f>VLOOKUP(F619,'Customers (2)'!A:I,4,0)</f>
        <v>+1 (918) 203-3263</v>
      </c>
      <c r="J619" t="str">
        <f>VLOOKUP(F619,'Customers (2)'!A:I,6,0)</f>
        <v>Tulsa</v>
      </c>
      <c r="K619" t="str">
        <f>VLOOKUP(F619,'Customers (2)'!A:I,7,0)</f>
        <v>United States</v>
      </c>
      <c r="L619" t="str">
        <f>VLOOKUP(F619,'Customers (2)'!A:I,9,0)</f>
        <v>No</v>
      </c>
      <c r="M619" t="str">
        <f>VLOOKUP(N619,'Products (2)'!A:G,2,0)</f>
        <v>Liberica</v>
      </c>
      <c r="N619" t="s">
        <v>197</v>
      </c>
      <c r="O619" t="str">
        <f>VLOOKUP(N619,'Products (2)'!A:G,3,0)</f>
        <v>Medium</v>
      </c>
      <c r="P619">
        <f>VLOOKUP(N619,'Products (2)'!A:G,7,0)</f>
        <v>4.3504499999999995</v>
      </c>
      <c r="Q619">
        <v>1</v>
      </c>
      <c r="R619">
        <f>INDEX([1]products!$A$1:$G$49,MATCH([1]orders!$D619,[1]products!$A$1:$A$49,0),MATCH([1]orders!K$1,[1]products!$A$1:$G$1,0))</f>
        <v>2.5</v>
      </c>
      <c r="S619">
        <f>INDEX([1]products!$A$1:$G$49,MATCH([1]orders!$D619,[1]products!$A$1:$A$49,0),MATCH([1]orders!L$1,[1]products!$A$1:$G$1,0))</f>
        <v>33.464999999999996</v>
      </c>
      <c r="T619">
        <f t="shared" si="55"/>
        <v>33.464999999999996</v>
      </c>
      <c r="U619">
        <f t="shared" si="58"/>
        <v>4.3504499999999995</v>
      </c>
      <c r="V619">
        <f t="shared" si="59"/>
        <v>13</v>
      </c>
    </row>
    <row r="620" spans="1:22" x14ac:dyDescent="0.25">
      <c r="A620" t="s">
        <v>1207</v>
      </c>
      <c r="B620">
        <v>44469</v>
      </c>
      <c r="C620" t="str">
        <f t="shared" si="56"/>
        <v>30</v>
      </c>
      <c r="D620" t="str">
        <f t="shared" si="54"/>
        <v>September</v>
      </c>
      <c r="E620" t="str">
        <f t="shared" si="57"/>
        <v>2021</v>
      </c>
      <c r="F620" t="s">
        <v>1208</v>
      </c>
      <c r="G620" t="str">
        <f>VLOOKUP(F620,'Customers (2)'!A:I,2,0)</f>
        <v>Innis Renhard</v>
      </c>
      <c r="H620" t="str">
        <f>VLOOKUP(F620,'Customers (2)'!A:I,3,0)</f>
        <v>irenhardh6@i2i.jp</v>
      </c>
      <c r="I620" t="str">
        <f>VLOOKUP(F620,'Customers (2)'!A:I,4,0)</f>
        <v>+1 (646) 225-6560</v>
      </c>
      <c r="J620" t="str">
        <f>VLOOKUP(F620,'Customers (2)'!A:I,6,0)</f>
        <v>New York City</v>
      </c>
      <c r="K620" t="str">
        <f>VLOOKUP(F620,'Customers (2)'!A:I,7,0)</f>
        <v>United States</v>
      </c>
      <c r="L620" t="str">
        <f>VLOOKUP(F620,'Customers (2)'!A:I,9,0)</f>
        <v>Yes</v>
      </c>
      <c r="M620" t="str">
        <f>VLOOKUP(N620,'Products (2)'!A:G,2,0)</f>
        <v>Excelsa</v>
      </c>
      <c r="N620" t="s">
        <v>245</v>
      </c>
      <c r="O620" t="str">
        <f>VLOOKUP(N620,'Products (2)'!A:G,3,0)</f>
        <v>Dark</v>
      </c>
      <c r="P620">
        <f>VLOOKUP(N620,'Products (2)'!A:G,7,0)</f>
        <v>1.3365</v>
      </c>
      <c r="Q620">
        <v>6</v>
      </c>
      <c r="R620">
        <f>INDEX([1]products!$A$1:$G$49,MATCH([1]orders!$D620,[1]products!$A$1:$A$49,0),MATCH([1]orders!K$1,[1]products!$A$1:$G$1,0))</f>
        <v>1</v>
      </c>
      <c r="S620">
        <f>INDEX([1]products!$A$1:$G$49,MATCH([1]orders!$D620,[1]products!$A$1:$A$49,0),MATCH([1]orders!L$1,[1]products!$A$1:$G$1,0))</f>
        <v>12.15</v>
      </c>
      <c r="T620">
        <f t="shared" si="55"/>
        <v>72.900000000000006</v>
      </c>
      <c r="U620">
        <f t="shared" si="58"/>
        <v>8.0190000000000001</v>
      </c>
      <c r="V620">
        <f t="shared" si="59"/>
        <v>10.999999999999998</v>
      </c>
    </row>
    <row r="621" spans="1:22" x14ac:dyDescent="0.25">
      <c r="A621" t="s">
        <v>1209</v>
      </c>
      <c r="B621">
        <v>44682</v>
      </c>
      <c r="C621" t="str">
        <f t="shared" si="56"/>
        <v>01</v>
      </c>
      <c r="D621" t="str">
        <f t="shared" si="54"/>
        <v>May</v>
      </c>
      <c r="E621" t="str">
        <f t="shared" si="57"/>
        <v>2022</v>
      </c>
      <c r="F621" t="s">
        <v>1210</v>
      </c>
      <c r="G621" t="str">
        <f>VLOOKUP(F621,'Customers (2)'!A:I,2,0)</f>
        <v>Winne Roche</v>
      </c>
      <c r="H621" t="str">
        <f>VLOOKUP(F621,'Customers (2)'!A:I,3,0)</f>
        <v>wrocheh7@xinhuanet.com</v>
      </c>
      <c r="I621" t="str">
        <f>VLOOKUP(F621,'Customers (2)'!A:I,4,0)</f>
        <v>+1 (317) 439-5584</v>
      </c>
      <c r="J621" t="str">
        <f>VLOOKUP(F621,'Customers (2)'!A:I,6,0)</f>
        <v>Seminole</v>
      </c>
      <c r="K621" t="str">
        <f>VLOOKUP(F621,'Customers (2)'!A:I,7,0)</f>
        <v>United States</v>
      </c>
      <c r="L621" t="str">
        <f>VLOOKUP(F621,'Customers (2)'!A:I,9,0)</f>
        <v>Yes</v>
      </c>
      <c r="M621" t="str">
        <f>VLOOKUP(N621,'Products (2)'!A:G,2,0)</f>
        <v>Liberica</v>
      </c>
      <c r="N621" t="s">
        <v>123</v>
      </c>
      <c r="O621" t="str">
        <f>VLOOKUP(N621,'Products (2)'!A:G,3,0)</f>
        <v>Dark</v>
      </c>
      <c r="P621">
        <f>VLOOKUP(N621,'Products (2)'!A:G,7,0)</f>
        <v>1.0101</v>
      </c>
      <c r="Q621">
        <v>2</v>
      </c>
      <c r="R621">
        <f>INDEX([1]products!$A$1:$G$49,MATCH([1]orders!$D621,[1]products!$A$1:$A$49,0),MATCH([1]orders!K$1,[1]products!$A$1:$G$1,0))</f>
        <v>0.5</v>
      </c>
      <c r="S621">
        <f>INDEX([1]products!$A$1:$G$49,MATCH([1]orders!$D621,[1]products!$A$1:$A$49,0),MATCH([1]orders!L$1,[1]products!$A$1:$G$1,0))</f>
        <v>7.77</v>
      </c>
      <c r="T621">
        <f t="shared" si="55"/>
        <v>15.54</v>
      </c>
      <c r="U621">
        <f t="shared" si="58"/>
        <v>2.0202</v>
      </c>
      <c r="V621">
        <f t="shared" si="59"/>
        <v>13</v>
      </c>
    </row>
    <row r="622" spans="1:22" x14ac:dyDescent="0.25">
      <c r="A622" t="s">
        <v>1211</v>
      </c>
      <c r="B622">
        <v>44217</v>
      </c>
      <c r="C622" t="str">
        <f t="shared" si="56"/>
        <v>21</v>
      </c>
      <c r="D622" t="str">
        <f t="shared" si="54"/>
        <v>January</v>
      </c>
      <c r="E622" t="str">
        <f t="shared" si="57"/>
        <v>2021</v>
      </c>
      <c r="F622" t="s">
        <v>1212</v>
      </c>
      <c r="G622" t="str">
        <f>VLOOKUP(F622,'Customers (2)'!A:I,2,0)</f>
        <v>Linn Alaway</v>
      </c>
      <c r="H622" t="str">
        <f>VLOOKUP(F622,'Customers (2)'!A:I,3,0)</f>
        <v>lalawayhh@weather.com</v>
      </c>
      <c r="I622">
        <f>VLOOKUP(F622,'Customers (2)'!A:I,4,0)</f>
        <v>0</v>
      </c>
      <c r="J622" t="str">
        <f>VLOOKUP(F622,'Customers (2)'!A:I,6,0)</f>
        <v>Fort Lauderdale</v>
      </c>
      <c r="K622" t="str">
        <f>VLOOKUP(F622,'Customers (2)'!A:I,7,0)</f>
        <v>United States</v>
      </c>
      <c r="L622" t="str">
        <f>VLOOKUP(F622,'Customers (2)'!A:I,9,0)</f>
        <v>No</v>
      </c>
      <c r="M622" t="str">
        <f>VLOOKUP(N622,'Products (2)'!A:G,2,0)</f>
        <v>Arabica</v>
      </c>
      <c r="N622" t="s">
        <v>44</v>
      </c>
      <c r="O622" t="str">
        <f>VLOOKUP(N622,'Products (2)'!A:G,3,0)</f>
        <v>Medium</v>
      </c>
      <c r="P622">
        <f>VLOOKUP(N622,'Products (2)'!A:G,7,0)</f>
        <v>0.30374999999999996</v>
      </c>
      <c r="Q622">
        <v>6</v>
      </c>
      <c r="R622">
        <f>INDEX([1]products!$A$1:$G$49,MATCH([1]orders!$D622,[1]products!$A$1:$A$49,0),MATCH([1]orders!K$1,[1]products!$A$1:$G$1,0))</f>
        <v>0.2</v>
      </c>
      <c r="S622">
        <f>INDEX([1]products!$A$1:$G$49,MATCH([1]orders!$D622,[1]products!$A$1:$A$49,0),MATCH([1]orders!L$1,[1]products!$A$1:$G$1,0))</f>
        <v>3.375</v>
      </c>
      <c r="T622">
        <f t="shared" si="55"/>
        <v>20.25</v>
      </c>
      <c r="U622">
        <f t="shared" si="58"/>
        <v>1.8224999999999998</v>
      </c>
      <c r="V622">
        <f t="shared" si="59"/>
        <v>8.9999999999999982</v>
      </c>
    </row>
    <row r="623" spans="1:22" x14ac:dyDescent="0.25">
      <c r="A623" t="s">
        <v>1213</v>
      </c>
      <c r="B623">
        <v>44006</v>
      </c>
      <c r="C623" t="str">
        <f t="shared" si="56"/>
        <v>24</v>
      </c>
      <c r="D623" t="str">
        <f t="shared" si="54"/>
        <v>June</v>
      </c>
      <c r="E623" t="str">
        <f t="shared" si="57"/>
        <v>2020</v>
      </c>
      <c r="F623" t="s">
        <v>1214</v>
      </c>
      <c r="G623" t="str">
        <f>VLOOKUP(F623,'Customers (2)'!A:I,2,0)</f>
        <v>Cordy Odgaard</v>
      </c>
      <c r="H623" t="str">
        <f>VLOOKUP(F623,'Customers (2)'!A:I,3,0)</f>
        <v>codgaardh9@nsw.gov.au</v>
      </c>
      <c r="I623" t="str">
        <f>VLOOKUP(F623,'Customers (2)'!A:I,4,0)</f>
        <v>+1 (503) 203-1484</v>
      </c>
      <c r="J623" t="str">
        <f>VLOOKUP(F623,'Customers (2)'!A:I,6,0)</f>
        <v>Portland</v>
      </c>
      <c r="K623" t="str">
        <f>VLOOKUP(F623,'Customers (2)'!A:I,7,0)</f>
        <v>United States</v>
      </c>
      <c r="L623" t="str">
        <f>VLOOKUP(F623,'Customers (2)'!A:I,9,0)</f>
        <v>No</v>
      </c>
      <c r="M623" t="str">
        <f>VLOOKUP(N623,'Products (2)'!A:G,2,0)</f>
        <v>Arabica</v>
      </c>
      <c r="N623" t="s">
        <v>6</v>
      </c>
      <c r="O623" t="str">
        <f>VLOOKUP(N623,'Products (2)'!A:G,3,0)</f>
        <v>Light</v>
      </c>
      <c r="P623">
        <f>VLOOKUP(N623,'Products (2)'!A:G,7,0)</f>
        <v>1.1655</v>
      </c>
      <c r="Q623">
        <v>6</v>
      </c>
      <c r="R623">
        <f>INDEX([1]products!$A$1:$G$49,MATCH([1]orders!$D623,[1]products!$A$1:$A$49,0),MATCH([1]orders!K$1,[1]products!$A$1:$G$1,0))</f>
        <v>1</v>
      </c>
      <c r="S623">
        <f>INDEX([1]products!$A$1:$G$49,MATCH([1]orders!$D623,[1]products!$A$1:$A$49,0),MATCH([1]orders!L$1,[1]products!$A$1:$G$1,0))</f>
        <v>12.95</v>
      </c>
      <c r="T623">
        <f t="shared" si="55"/>
        <v>77.699999999999989</v>
      </c>
      <c r="U623">
        <f t="shared" si="58"/>
        <v>6.9930000000000003</v>
      </c>
      <c r="V623">
        <f t="shared" si="59"/>
        <v>9.0000000000000018</v>
      </c>
    </row>
    <row r="624" spans="1:22" x14ac:dyDescent="0.25">
      <c r="A624" t="s">
        <v>1215</v>
      </c>
      <c r="B624">
        <v>43527</v>
      </c>
      <c r="C624" t="str">
        <f t="shared" si="56"/>
        <v>03</v>
      </c>
      <c r="D624" t="str">
        <f t="shared" si="54"/>
        <v>March</v>
      </c>
      <c r="E624" t="str">
        <f t="shared" si="57"/>
        <v>2019</v>
      </c>
      <c r="F624" t="s">
        <v>1216</v>
      </c>
      <c r="G624" t="str">
        <f>VLOOKUP(F624,'Customers (2)'!A:I,2,0)</f>
        <v>Bertine Byrd</v>
      </c>
      <c r="H624" t="str">
        <f>VLOOKUP(F624,'Customers (2)'!A:I,3,0)</f>
        <v>bbyrdha@4shared.com</v>
      </c>
      <c r="I624">
        <f>VLOOKUP(F624,'Customers (2)'!A:I,4,0)</f>
        <v>0</v>
      </c>
      <c r="J624" t="str">
        <f>VLOOKUP(F624,'Customers (2)'!A:I,6,0)</f>
        <v>Las Vegas</v>
      </c>
      <c r="K624" t="str">
        <f>VLOOKUP(F624,'Customers (2)'!A:I,7,0)</f>
        <v>United States</v>
      </c>
      <c r="L624" t="str">
        <f>VLOOKUP(F624,'Customers (2)'!A:I,9,0)</f>
        <v>No</v>
      </c>
      <c r="M624" t="str">
        <f>VLOOKUP(N624,'Products (2)'!A:G,2,0)</f>
        <v>Liberica</v>
      </c>
      <c r="N624" t="s">
        <v>197</v>
      </c>
      <c r="O624" t="str">
        <f>VLOOKUP(N624,'Products (2)'!A:G,3,0)</f>
        <v>Medium</v>
      </c>
      <c r="P624">
        <f>VLOOKUP(N624,'Products (2)'!A:G,7,0)</f>
        <v>4.3504499999999995</v>
      </c>
      <c r="Q624">
        <v>4</v>
      </c>
      <c r="R624">
        <f>INDEX([1]products!$A$1:$G$49,MATCH([1]orders!$D624,[1]products!$A$1:$A$49,0),MATCH([1]orders!K$1,[1]products!$A$1:$G$1,0))</f>
        <v>2.5</v>
      </c>
      <c r="S624">
        <f>INDEX([1]products!$A$1:$G$49,MATCH([1]orders!$D624,[1]products!$A$1:$A$49,0),MATCH([1]orders!L$1,[1]products!$A$1:$G$1,0))</f>
        <v>33.464999999999996</v>
      </c>
      <c r="T624">
        <f t="shared" si="55"/>
        <v>133.85999999999999</v>
      </c>
      <c r="U624">
        <f t="shared" si="58"/>
        <v>17.401799999999998</v>
      </c>
      <c r="V624">
        <f t="shared" si="59"/>
        <v>13</v>
      </c>
    </row>
    <row r="625" spans="1:22" x14ac:dyDescent="0.25">
      <c r="A625" t="s">
        <v>1217</v>
      </c>
      <c r="B625">
        <v>44224</v>
      </c>
      <c r="C625" t="str">
        <f t="shared" si="56"/>
        <v>28</v>
      </c>
      <c r="D625" t="str">
        <f t="shared" si="54"/>
        <v>January</v>
      </c>
      <c r="E625" t="str">
        <f t="shared" si="57"/>
        <v>2021</v>
      </c>
      <c r="F625" t="s">
        <v>1218</v>
      </c>
      <c r="G625" t="str">
        <f>VLOOKUP(F625,'Customers (2)'!A:I,2,0)</f>
        <v>Nelie Garnson</v>
      </c>
      <c r="H625">
        <f>VLOOKUP(F625,'Customers (2)'!A:I,3,0)</f>
        <v>0</v>
      </c>
      <c r="I625" t="str">
        <f>VLOOKUP(F625,'Customers (2)'!A:I,4,0)</f>
        <v>+44 (141) 640-7113</v>
      </c>
      <c r="J625" t="str">
        <f>VLOOKUP(F625,'Customers (2)'!A:I,6,0)</f>
        <v>Merton</v>
      </c>
      <c r="K625" t="str">
        <f>VLOOKUP(F625,'Customers (2)'!A:I,7,0)</f>
        <v>United Kingdom</v>
      </c>
      <c r="L625" t="str">
        <f>VLOOKUP(F625,'Customers (2)'!A:I,9,0)</f>
        <v>No</v>
      </c>
      <c r="M625" t="str">
        <f>VLOOKUP(N625,'Products (2)'!A:G,2,0)</f>
        <v>Excelsa</v>
      </c>
      <c r="N625" t="s">
        <v>245</v>
      </c>
      <c r="O625" t="str">
        <f>VLOOKUP(N625,'Products (2)'!A:G,3,0)</f>
        <v>Dark</v>
      </c>
      <c r="P625">
        <f>VLOOKUP(N625,'Products (2)'!A:G,7,0)</f>
        <v>1.3365</v>
      </c>
      <c r="Q625">
        <v>1</v>
      </c>
      <c r="R625">
        <f>INDEX([1]products!$A$1:$G$49,MATCH([1]orders!$D625,[1]products!$A$1:$A$49,0),MATCH([1]orders!K$1,[1]products!$A$1:$G$1,0))</f>
        <v>1</v>
      </c>
      <c r="S625">
        <f>INDEX([1]products!$A$1:$G$49,MATCH([1]orders!$D625,[1]products!$A$1:$A$49,0),MATCH([1]orders!L$1,[1]products!$A$1:$G$1,0))</f>
        <v>12.15</v>
      </c>
      <c r="T625">
        <f t="shared" si="55"/>
        <v>12.15</v>
      </c>
      <c r="U625">
        <f t="shared" si="58"/>
        <v>1.3365</v>
      </c>
      <c r="V625">
        <f t="shared" si="59"/>
        <v>11</v>
      </c>
    </row>
    <row r="626" spans="1:22" x14ac:dyDescent="0.25">
      <c r="A626" t="s">
        <v>1219</v>
      </c>
      <c r="B626">
        <v>44010</v>
      </c>
      <c r="C626" t="str">
        <f t="shared" si="56"/>
        <v>28</v>
      </c>
      <c r="D626" t="str">
        <f t="shared" si="54"/>
        <v>June</v>
      </c>
      <c r="E626" t="str">
        <f t="shared" si="57"/>
        <v>2020</v>
      </c>
      <c r="F626" t="s">
        <v>1220</v>
      </c>
      <c r="G626" t="str">
        <f>VLOOKUP(F626,'Customers (2)'!A:I,2,0)</f>
        <v>Dianne Chardin</v>
      </c>
      <c r="H626" t="str">
        <f>VLOOKUP(F626,'Customers (2)'!A:I,3,0)</f>
        <v>dchardinhc@nhs.uk</v>
      </c>
      <c r="I626">
        <f>VLOOKUP(F626,'Customers (2)'!A:I,4,0)</f>
        <v>0</v>
      </c>
      <c r="J626" t="str">
        <f>VLOOKUP(F626,'Customers (2)'!A:I,6,0)</f>
        <v>Ballybofey</v>
      </c>
      <c r="K626" t="str">
        <f>VLOOKUP(F626,'Customers (2)'!A:I,7,0)</f>
        <v>Ireland</v>
      </c>
      <c r="L626" t="str">
        <f>VLOOKUP(F626,'Customers (2)'!A:I,9,0)</f>
        <v>Yes</v>
      </c>
      <c r="M626" t="str">
        <f>VLOOKUP(N626,'Products (2)'!A:G,2,0)</f>
        <v>Excelsa</v>
      </c>
      <c r="N626" t="s">
        <v>112</v>
      </c>
      <c r="O626" t="str">
        <f>VLOOKUP(N626,'Products (2)'!A:G,3,0)</f>
        <v>Medium</v>
      </c>
      <c r="P626">
        <f>VLOOKUP(N626,'Products (2)'!A:G,7,0)</f>
        <v>3.4787499999999998</v>
      </c>
      <c r="Q626">
        <v>2</v>
      </c>
      <c r="R626">
        <f>INDEX([1]products!$A$1:$G$49,MATCH([1]orders!$D626,[1]products!$A$1:$A$49,0),MATCH([1]orders!K$1,[1]products!$A$1:$G$1,0))</f>
        <v>2.5</v>
      </c>
      <c r="S626">
        <f>INDEX([1]products!$A$1:$G$49,MATCH([1]orders!$D626,[1]products!$A$1:$A$49,0),MATCH([1]orders!L$1,[1]products!$A$1:$G$1,0))</f>
        <v>31.624999999999996</v>
      </c>
      <c r="T626">
        <f t="shared" si="55"/>
        <v>63.249999999999993</v>
      </c>
      <c r="U626">
        <f t="shared" si="58"/>
        <v>6.9574999999999996</v>
      </c>
      <c r="V626">
        <f t="shared" si="59"/>
        <v>11</v>
      </c>
    </row>
    <row r="627" spans="1:22" x14ac:dyDescent="0.25">
      <c r="A627" t="s">
        <v>1221</v>
      </c>
      <c r="B627">
        <v>44017</v>
      </c>
      <c r="C627" t="str">
        <f t="shared" si="56"/>
        <v>05</v>
      </c>
      <c r="D627" t="str">
        <f t="shared" si="54"/>
        <v>July</v>
      </c>
      <c r="E627" t="str">
        <f t="shared" si="57"/>
        <v>2020</v>
      </c>
      <c r="F627" t="s">
        <v>1222</v>
      </c>
      <c r="G627" t="str">
        <f>VLOOKUP(F627,'Customers (2)'!A:I,2,0)</f>
        <v>Hailee Radbone</v>
      </c>
      <c r="H627" t="str">
        <f>VLOOKUP(F627,'Customers (2)'!A:I,3,0)</f>
        <v>hradbonehd@newsvine.com</v>
      </c>
      <c r="I627" t="str">
        <f>VLOOKUP(F627,'Customers (2)'!A:I,4,0)</f>
        <v>+1 (415) 968-9559</v>
      </c>
      <c r="J627" t="str">
        <f>VLOOKUP(F627,'Customers (2)'!A:I,6,0)</f>
        <v>San Francisco</v>
      </c>
      <c r="K627" t="str">
        <f>VLOOKUP(F627,'Customers (2)'!A:I,7,0)</f>
        <v>United States</v>
      </c>
      <c r="L627" t="str">
        <f>VLOOKUP(F627,'Customers (2)'!A:I,9,0)</f>
        <v>No</v>
      </c>
      <c r="M627" t="str">
        <f>VLOOKUP(N627,'Products (2)'!A:G,2,0)</f>
        <v>Robusta</v>
      </c>
      <c r="N627" t="s">
        <v>157</v>
      </c>
      <c r="O627" t="str">
        <f>VLOOKUP(N627,'Products (2)'!A:G,3,0)</f>
        <v>Light</v>
      </c>
      <c r="P627">
        <f>VLOOKUP(N627,'Products (2)'!A:G,7,0)</f>
        <v>0.43019999999999992</v>
      </c>
      <c r="Q627">
        <v>5</v>
      </c>
      <c r="R627">
        <f>INDEX([1]products!$A$1:$G$49,MATCH([1]orders!$D627,[1]products!$A$1:$A$49,0),MATCH([1]orders!K$1,[1]products!$A$1:$G$1,0))</f>
        <v>0.5</v>
      </c>
      <c r="S627">
        <f>INDEX([1]products!$A$1:$G$49,MATCH([1]orders!$D627,[1]products!$A$1:$A$49,0),MATCH([1]orders!L$1,[1]products!$A$1:$G$1,0))</f>
        <v>7.169999999999999</v>
      </c>
      <c r="T627">
        <f t="shared" si="55"/>
        <v>35.849999999999994</v>
      </c>
      <c r="U627">
        <f t="shared" si="58"/>
        <v>2.1509999999999998</v>
      </c>
      <c r="V627">
        <f t="shared" si="59"/>
        <v>6.0000000000000009</v>
      </c>
    </row>
    <row r="628" spans="1:22" x14ac:dyDescent="0.25">
      <c r="A628" t="s">
        <v>1223</v>
      </c>
      <c r="B628">
        <v>43526</v>
      </c>
      <c r="C628" t="str">
        <f t="shared" si="56"/>
        <v>02</v>
      </c>
      <c r="D628" t="str">
        <f t="shared" si="54"/>
        <v>March</v>
      </c>
      <c r="E628" t="str">
        <f t="shared" si="57"/>
        <v>2019</v>
      </c>
      <c r="F628" t="s">
        <v>1224</v>
      </c>
      <c r="G628" t="str">
        <f>VLOOKUP(F628,'Customers (2)'!A:I,2,0)</f>
        <v>Wallis Bernth</v>
      </c>
      <c r="H628" t="str">
        <f>VLOOKUP(F628,'Customers (2)'!A:I,3,0)</f>
        <v>wbernthhe@miitbeian.gov.cn</v>
      </c>
      <c r="I628" t="str">
        <f>VLOOKUP(F628,'Customers (2)'!A:I,4,0)</f>
        <v>+1 (412) 597-3861</v>
      </c>
      <c r="J628" t="str">
        <f>VLOOKUP(F628,'Customers (2)'!A:I,6,0)</f>
        <v>Pittsburgh</v>
      </c>
      <c r="K628" t="str">
        <f>VLOOKUP(F628,'Customers (2)'!A:I,7,0)</f>
        <v>United States</v>
      </c>
      <c r="L628" t="str">
        <f>VLOOKUP(F628,'Customers (2)'!A:I,9,0)</f>
        <v>No</v>
      </c>
      <c r="M628" t="str">
        <f>VLOOKUP(N628,'Products (2)'!A:G,2,0)</f>
        <v>Arabica</v>
      </c>
      <c r="N628" t="s">
        <v>171</v>
      </c>
      <c r="O628" t="str">
        <f>VLOOKUP(N628,'Products (2)'!A:G,3,0)</f>
        <v>Medium</v>
      </c>
      <c r="P628">
        <f>VLOOKUP(N628,'Products (2)'!A:G,7,0)</f>
        <v>2.3287499999999994</v>
      </c>
      <c r="Q628">
        <v>3</v>
      </c>
      <c r="R628">
        <f>INDEX([1]products!$A$1:$G$49,MATCH([1]orders!$D628,[1]products!$A$1:$A$49,0),MATCH([1]orders!K$1,[1]products!$A$1:$G$1,0))</f>
        <v>2.5</v>
      </c>
      <c r="S628">
        <f>INDEX([1]products!$A$1:$G$49,MATCH([1]orders!$D628,[1]products!$A$1:$A$49,0),MATCH([1]orders!L$1,[1]products!$A$1:$G$1,0))</f>
        <v>25.874999999999996</v>
      </c>
      <c r="T628">
        <f t="shared" si="55"/>
        <v>77.624999999999986</v>
      </c>
      <c r="U628">
        <f t="shared" si="58"/>
        <v>6.9862499999999983</v>
      </c>
      <c r="V628">
        <f t="shared" si="59"/>
        <v>9</v>
      </c>
    </row>
    <row r="629" spans="1:22" x14ac:dyDescent="0.25">
      <c r="A629" t="s">
        <v>1225</v>
      </c>
      <c r="B629">
        <v>44682</v>
      </c>
      <c r="C629" t="str">
        <f t="shared" si="56"/>
        <v>01</v>
      </c>
      <c r="D629" t="str">
        <f t="shared" si="54"/>
        <v>May</v>
      </c>
      <c r="E629" t="str">
        <f t="shared" si="57"/>
        <v>2022</v>
      </c>
      <c r="F629" t="s">
        <v>1226</v>
      </c>
      <c r="G629" t="str">
        <f>VLOOKUP(F629,'Customers (2)'!A:I,2,0)</f>
        <v>Byron Acarson</v>
      </c>
      <c r="H629" t="str">
        <f>VLOOKUP(F629,'Customers (2)'!A:I,3,0)</f>
        <v>bacarsonhf@cnn.com</v>
      </c>
      <c r="I629" t="str">
        <f>VLOOKUP(F629,'Customers (2)'!A:I,4,0)</f>
        <v>+1 (713) 418-6385</v>
      </c>
      <c r="J629" t="str">
        <f>VLOOKUP(F629,'Customers (2)'!A:I,6,0)</f>
        <v>Houston</v>
      </c>
      <c r="K629" t="str">
        <f>VLOOKUP(F629,'Customers (2)'!A:I,7,0)</f>
        <v>United States</v>
      </c>
      <c r="L629" t="str">
        <f>VLOOKUP(F629,'Customers (2)'!A:I,9,0)</f>
        <v>Yes</v>
      </c>
      <c r="M629" t="str">
        <f>VLOOKUP(N629,'Products (2)'!A:G,2,0)</f>
        <v>Excelsa</v>
      </c>
      <c r="N629" t="s">
        <v>112</v>
      </c>
      <c r="O629" t="str">
        <f>VLOOKUP(N629,'Products (2)'!A:G,3,0)</f>
        <v>Medium</v>
      </c>
      <c r="P629">
        <f>VLOOKUP(N629,'Products (2)'!A:G,7,0)</f>
        <v>3.4787499999999998</v>
      </c>
      <c r="Q629">
        <v>2</v>
      </c>
      <c r="R629">
        <f>INDEX([1]products!$A$1:$G$49,MATCH([1]orders!$D629,[1]products!$A$1:$A$49,0),MATCH([1]orders!K$1,[1]products!$A$1:$G$1,0))</f>
        <v>2.5</v>
      </c>
      <c r="S629">
        <f>INDEX([1]products!$A$1:$G$49,MATCH([1]orders!$D629,[1]products!$A$1:$A$49,0),MATCH([1]orders!L$1,[1]products!$A$1:$G$1,0))</f>
        <v>31.624999999999996</v>
      </c>
      <c r="T629">
        <f t="shared" si="55"/>
        <v>63.249999999999993</v>
      </c>
      <c r="U629">
        <f t="shared" si="58"/>
        <v>6.9574999999999996</v>
      </c>
      <c r="V629">
        <f t="shared" si="59"/>
        <v>11</v>
      </c>
    </row>
    <row r="630" spans="1:22" x14ac:dyDescent="0.25">
      <c r="A630" t="s">
        <v>1227</v>
      </c>
      <c r="B630">
        <v>44680</v>
      </c>
      <c r="C630" t="str">
        <f t="shared" si="56"/>
        <v>29</v>
      </c>
      <c r="D630" t="str">
        <f t="shared" si="54"/>
        <v>April</v>
      </c>
      <c r="E630" t="str">
        <f t="shared" si="57"/>
        <v>2022</v>
      </c>
      <c r="F630" t="s">
        <v>1228</v>
      </c>
      <c r="G630" t="str">
        <f>VLOOKUP(F630,'Customers (2)'!A:I,2,0)</f>
        <v>Faunie Brigham</v>
      </c>
      <c r="H630" t="str">
        <f>VLOOKUP(F630,'Customers (2)'!A:I,3,0)</f>
        <v>fbrighamhg@blog.com</v>
      </c>
      <c r="I630" t="str">
        <f>VLOOKUP(F630,'Customers (2)'!A:I,4,0)</f>
        <v>+353 (620) 657-2946</v>
      </c>
      <c r="J630" t="str">
        <f>VLOOKUP(F630,'Customers (2)'!A:I,6,0)</f>
        <v>Castlerea</v>
      </c>
      <c r="K630" t="str">
        <f>VLOOKUP(F630,'Customers (2)'!A:I,7,0)</f>
        <v>Ireland</v>
      </c>
      <c r="L630" t="str">
        <f>VLOOKUP(F630,'Customers (2)'!A:I,9,0)</f>
        <v>Yes</v>
      </c>
      <c r="M630" t="str">
        <f>VLOOKUP(N630,'Products (2)'!A:G,2,0)</f>
        <v>Excelsa</v>
      </c>
      <c r="N630" t="s">
        <v>254</v>
      </c>
      <c r="O630" t="str">
        <f>VLOOKUP(N630,'Products (2)'!A:G,3,0)</f>
        <v>Light</v>
      </c>
      <c r="P630">
        <f>VLOOKUP(N630,'Products (2)'!A:G,7,0)</f>
        <v>0.49004999999999999</v>
      </c>
      <c r="Q630">
        <v>6</v>
      </c>
      <c r="R630">
        <f>INDEX([1]products!$A$1:$G$49,MATCH([1]orders!$D630,[1]products!$A$1:$A$49,0),MATCH([1]orders!K$1,[1]products!$A$1:$G$1,0))</f>
        <v>0.2</v>
      </c>
      <c r="S630">
        <f>INDEX([1]products!$A$1:$G$49,MATCH([1]orders!$D630,[1]products!$A$1:$A$49,0),MATCH([1]orders!L$1,[1]products!$A$1:$G$1,0))</f>
        <v>4.4550000000000001</v>
      </c>
      <c r="T630">
        <f t="shared" si="55"/>
        <v>26.73</v>
      </c>
      <c r="U630">
        <f t="shared" si="58"/>
        <v>2.9402999999999997</v>
      </c>
      <c r="V630">
        <f t="shared" si="59"/>
        <v>10.999999999999998</v>
      </c>
    </row>
    <row r="631" spans="1:22" x14ac:dyDescent="0.25">
      <c r="A631" t="s">
        <v>1227</v>
      </c>
      <c r="B631">
        <v>44680</v>
      </c>
      <c r="C631" t="str">
        <f t="shared" si="56"/>
        <v>29</v>
      </c>
      <c r="D631" t="str">
        <f t="shared" si="54"/>
        <v>April</v>
      </c>
      <c r="E631" t="str">
        <f t="shared" si="57"/>
        <v>2022</v>
      </c>
      <c r="F631" t="s">
        <v>1228</v>
      </c>
      <c r="G631" t="str">
        <f>VLOOKUP(F631,'Customers (2)'!A:I,2,0)</f>
        <v>Faunie Brigham</v>
      </c>
      <c r="H631" t="str">
        <f>VLOOKUP(F631,'Customers (2)'!A:I,3,0)</f>
        <v>fbrighamhg@blog.com</v>
      </c>
      <c r="I631" t="str">
        <f>VLOOKUP(F631,'Customers (2)'!A:I,4,0)</f>
        <v>+353 (620) 657-2946</v>
      </c>
      <c r="J631" t="str">
        <f>VLOOKUP(F631,'Customers (2)'!A:I,6,0)</f>
        <v>Castlerea</v>
      </c>
      <c r="K631" t="str">
        <f>VLOOKUP(F631,'Customers (2)'!A:I,7,0)</f>
        <v>Ireland</v>
      </c>
      <c r="L631" t="str">
        <f>VLOOKUP(F631,'Customers (2)'!A:I,9,0)</f>
        <v>Yes</v>
      </c>
      <c r="M631" t="str">
        <f>VLOOKUP(N631,'Products (2)'!A:G,2,0)</f>
        <v>Liberica</v>
      </c>
      <c r="N631" t="s">
        <v>123</v>
      </c>
      <c r="O631" t="str">
        <f>VLOOKUP(N631,'Products (2)'!A:G,3,0)</f>
        <v>Dark</v>
      </c>
      <c r="P631">
        <f>VLOOKUP(N631,'Products (2)'!A:G,7,0)</f>
        <v>1.0101</v>
      </c>
      <c r="Q631">
        <v>4</v>
      </c>
      <c r="R631">
        <f>INDEX([1]products!$A$1:$G$49,MATCH([1]orders!$D631,[1]products!$A$1:$A$49,0),MATCH([1]orders!K$1,[1]products!$A$1:$G$1,0))</f>
        <v>0.5</v>
      </c>
      <c r="S631">
        <f>INDEX([1]products!$A$1:$G$49,MATCH([1]orders!$D631,[1]products!$A$1:$A$49,0),MATCH([1]orders!L$1,[1]products!$A$1:$G$1,0))</f>
        <v>7.77</v>
      </c>
      <c r="T631">
        <f t="shared" si="55"/>
        <v>31.08</v>
      </c>
      <c r="U631">
        <f t="shared" si="58"/>
        <v>4.0404</v>
      </c>
      <c r="V631">
        <f t="shared" si="59"/>
        <v>13</v>
      </c>
    </row>
    <row r="632" spans="1:22" x14ac:dyDescent="0.25">
      <c r="A632" t="s">
        <v>1227</v>
      </c>
      <c r="B632">
        <v>44680</v>
      </c>
      <c r="C632" t="str">
        <f t="shared" si="56"/>
        <v>29</v>
      </c>
      <c r="D632" t="str">
        <f t="shared" si="54"/>
        <v>April</v>
      </c>
      <c r="E632" t="str">
        <f t="shared" si="57"/>
        <v>2022</v>
      </c>
      <c r="F632" t="s">
        <v>1228</v>
      </c>
      <c r="G632" t="str">
        <f>VLOOKUP(F632,'Customers (2)'!A:I,2,0)</f>
        <v>Faunie Brigham</v>
      </c>
      <c r="H632" t="str">
        <f>VLOOKUP(F632,'Customers (2)'!A:I,3,0)</f>
        <v>fbrighamhg@blog.com</v>
      </c>
      <c r="I632" t="str">
        <f>VLOOKUP(F632,'Customers (2)'!A:I,4,0)</f>
        <v>+353 (620) 657-2946</v>
      </c>
      <c r="J632" t="str">
        <f>VLOOKUP(F632,'Customers (2)'!A:I,6,0)</f>
        <v>Castlerea</v>
      </c>
      <c r="K632" t="str">
        <f>VLOOKUP(F632,'Customers (2)'!A:I,7,0)</f>
        <v>Ireland</v>
      </c>
      <c r="L632" t="str">
        <f>VLOOKUP(F632,'Customers (2)'!A:I,9,0)</f>
        <v>Yes</v>
      </c>
      <c r="M632" t="str">
        <f>VLOOKUP(N632,'Products (2)'!A:G,2,0)</f>
        <v>Arabica</v>
      </c>
      <c r="N632" t="s">
        <v>54</v>
      </c>
      <c r="O632" t="str">
        <f>VLOOKUP(N632,'Products (2)'!A:G,3,0)</f>
        <v>Dark</v>
      </c>
      <c r="P632">
        <f>VLOOKUP(N632,'Products (2)'!A:G,7,0)</f>
        <v>0.26865</v>
      </c>
      <c r="Q632">
        <v>1</v>
      </c>
      <c r="R632">
        <f>INDEX([1]products!$A$1:$G$49,MATCH([1]orders!$D632,[1]products!$A$1:$A$49,0),MATCH([1]orders!K$1,[1]products!$A$1:$G$1,0))</f>
        <v>0.2</v>
      </c>
      <c r="S632">
        <f>INDEX([1]products!$A$1:$G$49,MATCH([1]orders!$D632,[1]products!$A$1:$A$49,0),MATCH([1]orders!L$1,[1]products!$A$1:$G$1,0))</f>
        <v>2.9849999999999999</v>
      </c>
      <c r="T632">
        <f t="shared" si="55"/>
        <v>2.9849999999999999</v>
      </c>
      <c r="U632">
        <f t="shared" si="58"/>
        <v>0.26865</v>
      </c>
      <c r="V632">
        <f t="shared" si="59"/>
        <v>9.0000000000000018</v>
      </c>
    </row>
    <row r="633" spans="1:22" x14ac:dyDescent="0.25">
      <c r="A633" t="s">
        <v>1227</v>
      </c>
      <c r="B633">
        <v>44680</v>
      </c>
      <c r="C633" t="str">
        <f t="shared" si="56"/>
        <v>29</v>
      </c>
      <c r="D633" t="str">
        <f t="shared" si="54"/>
        <v>April</v>
      </c>
      <c r="E633" t="str">
        <f t="shared" si="57"/>
        <v>2022</v>
      </c>
      <c r="F633" t="s">
        <v>1228</v>
      </c>
      <c r="G633" t="str">
        <f>VLOOKUP(F633,'Customers (2)'!A:I,2,0)</f>
        <v>Faunie Brigham</v>
      </c>
      <c r="H633" t="str">
        <f>VLOOKUP(F633,'Customers (2)'!A:I,3,0)</f>
        <v>fbrighamhg@blog.com</v>
      </c>
      <c r="I633" t="str">
        <f>VLOOKUP(F633,'Customers (2)'!A:I,4,0)</f>
        <v>+353 (620) 657-2946</v>
      </c>
      <c r="J633" t="str">
        <f>VLOOKUP(F633,'Customers (2)'!A:I,6,0)</f>
        <v>Castlerea</v>
      </c>
      <c r="K633" t="str">
        <f>VLOOKUP(F633,'Customers (2)'!A:I,7,0)</f>
        <v>Ireland</v>
      </c>
      <c r="L633" t="str">
        <f>VLOOKUP(F633,'Customers (2)'!A:I,9,0)</f>
        <v>Yes</v>
      </c>
      <c r="M633" t="str">
        <f>VLOOKUP(N633,'Products (2)'!A:G,2,0)</f>
        <v>Robusta</v>
      </c>
      <c r="N633" t="s">
        <v>35</v>
      </c>
      <c r="O633" t="str">
        <f>VLOOKUP(N633,'Products (2)'!A:G,3,0)</f>
        <v>Dark</v>
      </c>
      <c r="P633">
        <f>VLOOKUP(N633,'Products (2)'!A:G,7,0)</f>
        <v>1.2350999999999999</v>
      </c>
      <c r="Q633">
        <v>5</v>
      </c>
      <c r="R633">
        <f>INDEX([1]products!$A$1:$G$49,MATCH([1]orders!$D633,[1]products!$A$1:$A$49,0),MATCH([1]orders!K$1,[1]products!$A$1:$G$1,0))</f>
        <v>2.5</v>
      </c>
      <c r="S633">
        <f>INDEX([1]products!$A$1:$G$49,MATCH([1]orders!$D633,[1]products!$A$1:$A$49,0),MATCH([1]orders!L$1,[1]products!$A$1:$G$1,0))</f>
        <v>20.584999999999997</v>
      </c>
      <c r="T633">
        <f t="shared" si="55"/>
        <v>102.92499999999998</v>
      </c>
      <c r="U633">
        <f t="shared" si="58"/>
        <v>6.1754999999999995</v>
      </c>
      <c r="V633">
        <f t="shared" si="59"/>
        <v>6.0000000000000009</v>
      </c>
    </row>
    <row r="634" spans="1:22" x14ac:dyDescent="0.25">
      <c r="A634" t="s">
        <v>1229</v>
      </c>
      <c r="B634">
        <v>44049</v>
      </c>
      <c r="C634" t="str">
        <f t="shared" si="56"/>
        <v>06</v>
      </c>
      <c r="D634" t="str">
        <f t="shared" si="54"/>
        <v>August</v>
      </c>
      <c r="E634" t="str">
        <f t="shared" si="57"/>
        <v>2020</v>
      </c>
      <c r="F634" t="s">
        <v>1230</v>
      </c>
      <c r="G634" t="str">
        <f>VLOOKUP(F634,'Customers (2)'!A:I,2,0)</f>
        <v>Marjorie Yoxen</v>
      </c>
      <c r="H634" t="str">
        <f>VLOOKUP(F634,'Customers (2)'!A:I,3,0)</f>
        <v>myoxenhk@google.com</v>
      </c>
      <c r="I634" t="str">
        <f>VLOOKUP(F634,'Customers (2)'!A:I,4,0)</f>
        <v>+1 (213) 241-8051</v>
      </c>
      <c r="J634" t="str">
        <f>VLOOKUP(F634,'Customers (2)'!A:I,6,0)</f>
        <v>Los Angeles</v>
      </c>
      <c r="K634" t="str">
        <f>VLOOKUP(F634,'Customers (2)'!A:I,7,0)</f>
        <v>United States</v>
      </c>
      <c r="L634" t="str">
        <f>VLOOKUP(F634,'Customers (2)'!A:I,9,0)</f>
        <v>No</v>
      </c>
      <c r="M634" t="str">
        <f>VLOOKUP(N634,'Products (2)'!A:G,2,0)</f>
        <v>Excelsa</v>
      </c>
      <c r="N634" t="s">
        <v>176</v>
      </c>
      <c r="O634" t="str">
        <f>VLOOKUP(N634,'Products (2)'!A:G,3,0)</f>
        <v>Light</v>
      </c>
      <c r="P634">
        <f>VLOOKUP(N634,'Products (2)'!A:G,7,0)</f>
        <v>0.98009999999999997</v>
      </c>
      <c r="Q634">
        <v>4</v>
      </c>
      <c r="R634">
        <f>INDEX([1]products!$A$1:$G$49,MATCH([1]orders!$D634,[1]products!$A$1:$A$49,0),MATCH([1]orders!K$1,[1]products!$A$1:$G$1,0))</f>
        <v>0.5</v>
      </c>
      <c r="S634">
        <f>INDEX([1]products!$A$1:$G$49,MATCH([1]orders!$D634,[1]products!$A$1:$A$49,0),MATCH([1]orders!L$1,[1]products!$A$1:$G$1,0))</f>
        <v>8.91</v>
      </c>
      <c r="T634">
        <f t="shared" si="55"/>
        <v>35.64</v>
      </c>
      <c r="U634">
        <f t="shared" si="58"/>
        <v>3.9203999999999999</v>
      </c>
      <c r="V634">
        <f t="shared" si="59"/>
        <v>11</v>
      </c>
    </row>
    <row r="635" spans="1:22" x14ac:dyDescent="0.25">
      <c r="A635" t="s">
        <v>1231</v>
      </c>
      <c r="B635">
        <v>43820</v>
      </c>
      <c r="C635" t="str">
        <f t="shared" si="56"/>
        <v>21</v>
      </c>
      <c r="D635" t="str">
        <f t="shared" si="54"/>
        <v>December</v>
      </c>
      <c r="E635" t="str">
        <f t="shared" si="57"/>
        <v>2019</v>
      </c>
      <c r="F635" t="s">
        <v>1232</v>
      </c>
      <c r="G635" t="str">
        <f>VLOOKUP(F635,'Customers (2)'!A:I,2,0)</f>
        <v>Gaspar McGavin</v>
      </c>
      <c r="H635" t="str">
        <f>VLOOKUP(F635,'Customers (2)'!A:I,3,0)</f>
        <v>gmcgavinhl@histats.com</v>
      </c>
      <c r="I635" t="str">
        <f>VLOOKUP(F635,'Customers (2)'!A:I,4,0)</f>
        <v>+1 (570) 745-7589</v>
      </c>
      <c r="J635" t="str">
        <f>VLOOKUP(F635,'Customers (2)'!A:I,6,0)</f>
        <v>Wilkes Barre</v>
      </c>
      <c r="K635" t="str">
        <f>VLOOKUP(F635,'Customers (2)'!A:I,7,0)</f>
        <v>United States</v>
      </c>
      <c r="L635" t="str">
        <f>VLOOKUP(F635,'Customers (2)'!A:I,9,0)</f>
        <v>No</v>
      </c>
      <c r="M635" t="str">
        <f>VLOOKUP(N635,'Products (2)'!A:G,2,0)</f>
        <v>Robusta</v>
      </c>
      <c r="N635" t="s">
        <v>189</v>
      </c>
      <c r="O635" t="str">
        <f>VLOOKUP(N635,'Products (2)'!A:G,3,0)</f>
        <v>Light</v>
      </c>
      <c r="P635">
        <f>VLOOKUP(N635,'Products (2)'!A:G,7,0)</f>
        <v>0.71699999999999997</v>
      </c>
      <c r="Q635">
        <v>4</v>
      </c>
      <c r="R635">
        <f>INDEX([1]products!$A$1:$G$49,MATCH([1]orders!$D635,[1]products!$A$1:$A$49,0),MATCH([1]orders!K$1,[1]products!$A$1:$G$1,0))</f>
        <v>1</v>
      </c>
      <c r="S635">
        <f>INDEX([1]products!$A$1:$G$49,MATCH([1]orders!$D635,[1]products!$A$1:$A$49,0),MATCH([1]orders!L$1,[1]products!$A$1:$G$1,0))</f>
        <v>11.95</v>
      </c>
      <c r="T635">
        <f t="shared" si="55"/>
        <v>47.8</v>
      </c>
      <c r="U635">
        <f t="shared" si="58"/>
        <v>2.8679999999999999</v>
      </c>
      <c r="V635">
        <f t="shared" si="59"/>
        <v>6</v>
      </c>
    </row>
    <row r="636" spans="1:22" x14ac:dyDescent="0.25">
      <c r="A636" t="s">
        <v>1233</v>
      </c>
      <c r="B636">
        <v>43940</v>
      </c>
      <c r="C636" t="str">
        <f t="shared" si="56"/>
        <v>19</v>
      </c>
      <c r="D636" t="str">
        <f t="shared" si="54"/>
        <v>April</v>
      </c>
      <c r="E636" t="str">
        <f t="shared" si="57"/>
        <v>2020</v>
      </c>
      <c r="F636" t="s">
        <v>1234</v>
      </c>
      <c r="G636" t="str">
        <f>VLOOKUP(F636,'Customers (2)'!A:I,2,0)</f>
        <v>Lindy Uttermare</v>
      </c>
      <c r="H636" t="str">
        <f>VLOOKUP(F636,'Customers (2)'!A:I,3,0)</f>
        <v>luttermarehm@engadget.com</v>
      </c>
      <c r="I636" t="str">
        <f>VLOOKUP(F636,'Customers (2)'!A:I,4,0)</f>
        <v>+1 (817) 793-6871</v>
      </c>
      <c r="J636" t="str">
        <f>VLOOKUP(F636,'Customers (2)'!A:I,6,0)</f>
        <v>Denton</v>
      </c>
      <c r="K636" t="str">
        <f>VLOOKUP(F636,'Customers (2)'!A:I,7,0)</f>
        <v>United States</v>
      </c>
      <c r="L636" t="str">
        <f>VLOOKUP(F636,'Customers (2)'!A:I,9,0)</f>
        <v>No</v>
      </c>
      <c r="M636" t="str">
        <f>VLOOKUP(N636,'Products (2)'!A:G,2,0)</f>
        <v>Liberica</v>
      </c>
      <c r="N636" t="s">
        <v>96</v>
      </c>
      <c r="O636" t="str">
        <f>VLOOKUP(N636,'Products (2)'!A:G,3,0)</f>
        <v>Medium</v>
      </c>
      <c r="P636">
        <f>VLOOKUP(N636,'Products (2)'!A:G,7,0)</f>
        <v>1.8915000000000002</v>
      </c>
      <c r="Q636">
        <v>3</v>
      </c>
      <c r="R636">
        <f>INDEX([1]products!$A$1:$G$49,MATCH([1]orders!$D636,[1]products!$A$1:$A$49,0),MATCH([1]orders!K$1,[1]products!$A$1:$G$1,0))</f>
        <v>1</v>
      </c>
      <c r="S636">
        <f>INDEX([1]products!$A$1:$G$49,MATCH([1]orders!$D636,[1]products!$A$1:$A$49,0),MATCH([1]orders!L$1,[1]products!$A$1:$G$1,0))</f>
        <v>14.55</v>
      </c>
      <c r="T636">
        <f t="shared" si="55"/>
        <v>43.650000000000006</v>
      </c>
      <c r="U636">
        <f t="shared" si="58"/>
        <v>5.6745000000000001</v>
      </c>
      <c r="V636">
        <f t="shared" si="59"/>
        <v>12.999999999999998</v>
      </c>
    </row>
    <row r="637" spans="1:22" x14ac:dyDescent="0.25">
      <c r="A637" t="s">
        <v>1235</v>
      </c>
      <c r="B637">
        <v>44578</v>
      </c>
      <c r="C637" t="str">
        <f t="shared" si="56"/>
        <v>17</v>
      </c>
      <c r="D637" t="str">
        <f t="shared" si="54"/>
        <v>January</v>
      </c>
      <c r="E637" t="str">
        <f t="shared" si="57"/>
        <v>2022</v>
      </c>
      <c r="F637" t="s">
        <v>1236</v>
      </c>
      <c r="G637" t="str">
        <f>VLOOKUP(F637,'Customers (2)'!A:I,2,0)</f>
        <v>Eal D'Ambrogio</v>
      </c>
      <c r="H637" t="str">
        <f>VLOOKUP(F637,'Customers (2)'!A:I,3,0)</f>
        <v>edambrogiohn@techcrunch.com</v>
      </c>
      <c r="I637" t="str">
        <f>VLOOKUP(F637,'Customers (2)'!A:I,4,0)</f>
        <v>+1 (816) 196-1729</v>
      </c>
      <c r="J637" t="str">
        <f>VLOOKUP(F637,'Customers (2)'!A:I,6,0)</f>
        <v>Lees Summit</v>
      </c>
      <c r="K637" t="str">
        <f>VLOOKUP(F637,'Customers (2)'!A:I,7,0)</f>
        <v>United States</v>
      </c>
      <c r="L637" t="str">
        <f>VLOOKUP(F637,'Customers (2)'!A:I,9,0)</f>
        <v>Yes</v>
      </c>
      <c r="M637" t="str">
        <f>VLOOKUP(N637,'Products (2)'!A:G,2,0)</f>
        <v>Excelsa</v>
      </c>
      <c r="N637" t="s">
        <v>176</v>
      </c>
      <c r="O637" t="str">
        <f>VLOOKUP(N637,'Products (2)'!A:G,3,0)</f>
        <v>Light</v>
      </c>
      <c r="P637">
        <f>VLOOKUP(N637,'Products (2)'!A:G,7,0)</f>
        <v>0.98009999999999997</v>
      </c>
      <c r="Q637">
        <v>4</v>
      </c>
      <c r="R637">
        <f>INDEX([1]products!$A$1:$G$49,MATCH([1]orders!$D637,[1]products!$A$1:$A$49,0),MATCH([1]orders!K$1,[1]products!$A$1:$G$1,0))</f>
        <v>0.5</v>
      </c>
      <c r="S637">
        <f>INDEX([1]products!$A$1:$G$49,MATCH([1]orders!$D637,[1]products!$A$1:$A$49,0),MATCH([1]orders!L$1,[1]products!$A$1:$G$1,0))</f>
        <v>8.91</v>
      </c>
      <c r="T637">
        <f t="shared" si="55"/>
        <v>35.64</v>
      </c>
      <c r="U637">
        <f t="shared" si="58"/>
        <v>3.9203999999999999</v>
      </c>
      <c r="V637">
        <f t="shared" si="59"/>
        <v>11</v>
      </c>
    </row>
    <row r="638" spans="1:22" x14ac:dyDescent="0.25">
      <c r="A638" t="s">
        <v>1237</v>
      </c>
      <c r="B638">
        <v>43487</v>
      </c>
      <c r="C638" t="str">
        <f t="shared" si="56"/>
        <v>22</v>
      </c>
      <c r="D638" t="str">
        <f t="shared" si="54"/>
        <v>January</v>
      </c>
      <c r="E638" t="str">
        <f t="shared" si="57"/>
        <v>2019</v>
      </c>
      <c r="F638" t="s">
        <v>1238</v>
      </c>
      <c r="G638" t="str">
        <f>VLOOKUP(F638,'Customers (2)'!A:I,2,0)</f>
        <v>Carolee Winchcombe</v>
      </c>
      <c r="H638" t="str">
        <f>VLOOKUP(F638,'Customers (2)'!A:I,3,0)</f>
        <v>cwinchcombeho@jiathis.com</v>
      </c>
      <c r="I638" t="str">
        <f>VLOOKUP(F638,'Customers (2)'!A:I,4,0)</f>
        <v>+1 (501) 772-4397</v>
      </c>
      <c r="J638" t="str">
        <f>VLOOKUP(F638,'Customers (2)'!A:I,6,0)</f>
        <v>Little Rock</v>
      </c>
      <c r="K638" t="str">
        <f>VLOOKUP(F638,'Customers (2)'!A:I,7,0)</f>
        <v>United States</v>
      </c>
      <c r="L638" t="str">
        <f>VLOOKUP(F638,'Customers (2)'!A:I,9,0)</f>
        <v>Yes</v>
      </c>
      <c r="M638" t="str">
        <f>VLOOKUP(N638,'Products (2)'!A:G,2,0)</f>
        <v>Liberica</v>
      </c>
      <c r="N638" t="s">
        <v>132</v>
      </c>
      <c r="O638" t="str">
        <f>VLOOKUP(N638,'Products (2)'!A:G,3,0)</f>
        <v>Light</v>
      </c>
      <c r="P638">
        <f>VLOOKUP(N638,'Products (2)'!A:G,7,0)</f>
        <v>2.0605000000000002</v>
      </c>
      <c r="Q638">
        <v>6</v>
      </c>
      <c r="R638">
        <f>INDEX([1]products!$A$1:$G$49,MATCH([1]orders!$D638,[1]products!$A$1:$A$49,0),MATCH([1]orders!K$1,[1]products!$A$1:$G$1,0))</f>
        <v>1</v>
      </c>
      <c r="S638">
        <f>INDEX([1]products!$A$1:$G$49,MATCH([1]orders!$D638,[1]products!$A$1:$A$49,0),MATCH([1]orders!L$1,[1]products!$A$1:$G$1,0))</f>
        <v>15.85</v>
      </c>
      <c r="T638">
        <f t="shared" si="55"/>
        <v>95.1</v>
      </c>
      <c r="U638">
        <f t="shared" si="58"/>
        <v>12.363000000000001</v>
      </c>
      <c r="V638">
        <f t="shared" si="59"/>
        <v>13.000000000000004</v>
      </c>
    </row>
    <row r="639" spans="1:22" x14ac:dyDescent="0.25">
      <c r="A639" t="s">
        <v>1239</v>
      </c>
      <c r="B639">
        <v>43889</v>
      </c>
      <c r="C639" t="str">
        <f t="shared" si="56"/>
        <v>28</v>
      </c>
      <c r="D639" t="str">
        <f t="shared" si="54"/>
        <v>February</v>
      </c>
      <c r="E639" t="str">
        <f t="shared" si="57"/>
        <v>2020</v>
      </c>
      <c r="F639" t="s">
        <v>1240</v>
      </c>
      <c r="G639" t="str">
        <f>VLOOKUP(F639,'Customers (2)'!A:I,2,0)</f>
        <v>Benedikta Paumier</v>
      </c>
      <c r="H639" t="str">
        <f>VLOOKUP(F639,'Customers (2)'!A:I,3,0)</f>
        <v>bpaumierhp@umn.edu</v>
      </c>
      <c r="I639" t="str">
        <f>VLOOKUP(F639,'Customers (2)'!A:I,4,0)</f>
        <v>+353 (777) 856-8236</v>
      </c>
      <c r="J639" t="str">
        <f>VLOOKUP(F639,'Customers (2)'!A:I,6,0)</f>
        <v>Ballisodare</v>
      </c>
      <c r="K639" t="str">
        <f>VLOOKUP(F639,'Customers (2)'!A:I,7,0)</f>
        <v>Ireland</v>
      </c>
      <c r="L639" t="str">
        <f>VLOOKUP(F639,'Customers (2)'!A:I,9,0)</f>
        <v>Yes</v>
      </c>
      <c r="M639" t="str">
        <f>VLOOKUP(N639,'Products (2)'!A:G,2,0)</f>
        <v>Excelsa</v>
      </c>
      <c r="N639" t="s">
        <v>112</v>
      </c>
      <c r="O639" t="str">
        <f>VLOOKUP(N639,'Products (2)'!A:G,3,0)</f>
        <v>Medium</v>
      </c>
      <c r="P639">
        <f>VLOOKUP(N639,'Products (2)'!A:G,7,0)</f>
        <v>3.4787499999999998</v>
      </c>
      <c r="Q639">
        <v>1</v>
      </c>
      <c r="R639">
        <f>INDEX([1]products!$A$1:$G$49,MATCH([1]orders!$D639,[1]products!$A$1:$A$49,0),MATCH([1]orders!K$1,[1]products!$A$1:$G$1,0))</f>
        <v>2.5</v>
      </c>
      <c r="S639">
        <f>INDEX([1]products!$A$1:$G$49,MATCH([1]orders!$D639,[1]products!$A$1:$A$49,0),MATCH([1]orders!L$1,[1]products!$A$1:$G$1,0))</f>
        <v>31.624999999999996</v>
      </c>
      <c r="T639">
        <f t="shared" si="55"/>
        <v>31.624999999999996</v>
      </c>
      <c r="U639">
        <f t="shared" si="58"/>
        <v>3.4787499999999998</v>
      </c>
      <c r="V639">
        <f t="shared" si="59"/>
        <v>11</v>
      </c>
    </row>
    <row r="640" spans="1:22" x14ac:dyDescent="0.25">
      <c r="A640" t="s">
        <v>1241</v>
      </c>
      <c r="B640">
        <v>43684</v>
      </c>
      <c r="C640" t="str">
        <f t="shared" si="56"/>
        <v>07</v>
      </c>
      <c r="D640" t="str">
        <f t="shared" si="54"/>
        <v>August</v>
      </c>
      <c r="E640" t="str">
        <f t="shared" si="57"/>
        <v>2019</v>
      </c>
      <c r="F640" t="s">
        <v>1242</v>
      </c>
      <c r="G640" t="str">
        <f>VLOOKUP(F640,'Customers (2)'!A:I,2,0)</f>
        <v>Neville Piatto</v>
      </c>
      <c r="H640">
        <f>VLOOKUP(F640,'Customers (2)'!A:I,3,0)</f>
        <v>0</v>
      </c>
      <c r="I640" t="str">
        <f>VLOOKUP(F640,'Customers (2)'!A:I,4,0)</f>
        <v>+353 (573) 561-9754</v>
      </c>
      <c r="J640" t="str">
        <f>VLOOKUP(F640,'Customers (2)'!A:I,6,0)</f>
        <v>Daingean</v>
      </c>
      <c r="K640" t="str">
        <f>VLOOKUP(F640,'Customers (2)'!A:I,7,0)</f>
        <v>Ireland</v>
      </c>
      <c r="L640" t="str">
        <f>VLOOKUP(F640,'Customers (2)'!A:I,9,0)</f>
        <v>Yes</v>
      </c>
      <c r="M640" t="str">
        <f>VLOOKUP(N640,'Products (2)'!A:G,2,0)</f>
        <v>Arabica</v>
      </c>
      <c r="N640" t="s">
        <v>171</v>
      </c>
      <c r="O640" t="str">
        <f>VLOOKUP(N640,'Products (2)'!A:G,3,0)</f>
        <v>Medium</v>
      </c>
      <c r="P640">
        <f>VLOOKUP(N640,'Products (2)'!A:G,7,0)</f>
        <v>2.3287499999999994</v>
      </c>
      <c r="Q640">
        <v>3</v>
      </c>
      <c r="R640">
        <f>INDEX([1]products!$A$1:$G$49,MATCH([1]orders!$D640,[1]products!$A$1:$A$49,0),MATCH([1]orders!K$1,[1]products!$A$1:$G$1,0))</f>
        <v>2.5</v>
      </c>
      <c r="S640">
        <f>INDEX([1]products!$A$1:$G$49,MATCH([1]orders!$D640,[1]products!$A$1:$A$49,0),MATCH([1]orders!L$1,[1]products!$A$1:$G$1,0))</f>
        <v>25.874999999999996</v>
      </c>
      <c r="T640">
        <f t="shared" si="55"/>
        <v>77.624999999999986</v>
      </c>
      <c r="U640">
        <f t="shared" si="58"/>
        <v>6.9862499999999983</v>
      </c>
      <c r="V640">
        <f t="shared" si="59"/>
        <v>9</v>
      </c>
    </row>
    <row r="641" spans="1:22" x14ac:dyDescent="0.25">
      <c r="A641" t="s">
        <v>1243</v>
      </c>
      <c r="B641">
        <v>44331</v>
      </c>
      <c r="C641" t="str">
        <f t="shared" si="56"/>
        <v>15</v>
      </c>
      <c r="D641" t="str">
        <f t="shared" si="54"/>
        <v>May</v>
      </c>
      <c r="E641" t="str">
        <f t="shared" si="57"/>
        <v>2021</v>
      </c>
      <c r="F641" t="s">
        <v>1244</v>
      </c>
      <c r="G641" t="str">
        <f>VLOOKUP(F641,'Customers (2)'!A:I,2,0)</f>
        <v>Jeno Capey</v>
      </c>
      <c r="H641" t="str">
        <f>VLOOKUP(F641,'Customers (2)'!A:I,3,0)</f>
        <v>jcapeyhr@bravesites.com</v>
      </c>
      <c r="I641" t="str">
        <f>VLOOKUP(F641,'Customers (2)'!A:I,4,0)</f>
        <v>+1 (814) 974-7878</v>
      </c>
      <c r="J641" t="str">
        <f>VLOOKUP(F641,'Customers (2)'!A:I,6,0)</f>
        <v>Erie</v>
      </c>
      <c r="K641" t="str">
        <f>VLOOKUP(F641,'Customers (2)'!A:I,7,0)</f>
        <v>United States</v>
      </c>
      <c r="L641" t="str">
        <f>VLOOKUP(F641,'Customers (2)'!A:I,9,0)</f>
        <v>Yes</v>
      </c>
      <c r="M641" t="str">
        <f>VLOOKUP(N641,'Products (2)'!A:G,2,0)</f>
        <v>Liberica</v>
      </c>
      <c r="N641" t="s">
        <v>38</v>
      </c>
      <c r="O641" t="str">
        <f>VLOOKUP(N641,'Products (2)'!A:G,3,0)</f>
        <v>Dark</v>
      </c>
      <c r="P641">
        <f>VLOOKUP(N641,'Products (2)'!A:G,7,0)</f>
        <v>0.50505</v>
      </c>
      <c r="Q641">
        <v>1</v>
      </c>
      <c r="R641">
        <f>INDEX([1]products!$A$1:$G$49,MATCH([1]orders!$D641,[1]products!$A$1:$A$49,0),MATCH([1]orders!K$1,[1]products!$A$1:$G$1,0))</f>
        <v>0.2</v>
      </c>
      <c r="S641">
        <f>INDEX([1]products!$A$1:$G$49,MATCH([1]orders!$D641,[1]products!$A$1:$A$49,0),MATCH([1]orders!L$1,[1]products!$A$1:$G$1,0))</f>
        <v>3.8849999999999998</v>
      </c>
      <c r="T641">
        <f t="shared" si="55"/>
        <v>3.8849999999999998</v>
      </c>
      <c r="U641">
        <f t="shared" si="58"/>
        <v>0.50505</v>
      </c>
      <c r="V641">
        <f t="shared" si="59"/>
        <v>13</v>
      </c>
    </row>
    <row r="642" spans="1:22" x14ac:dyDescent="0.25">
      <c r="A642" t="s">
        <v>1245</v>
      </c>
      <c r="B642">
        <v>44547</v>
      </c>
      <c r="C642" t="str">
        <f t="shared" si="56"/>
        <v>17</v>
      </c>
      <c r="D642" t="str">
        <f t="shared" ref="D642:D705" si="60">TEXT(B:B,"MMMM")</f>
        <v>December</v>
      </c>
      <c r="E642" t="str">
        <f t="shared" si="57"/>
        <v>2021</v>
      </c>
      <c r="F642" t="s">
        <v>1246</v>
      </c>
      <c r="G642" t="str">
        <f>VLOOKUP(F642,'Customers (2)'!A:I,2,0)</f>
        <v>Tuckie Mathonnet</v>
      </c>
      <c r="H642" t="str">
        <f>VLOOKUP(F642,'Customers (2)'!A:I,3,0)</f>
        <v>tmathonneti0@google.co.jp</v>
      </c>
      <c r="I642" t="str">
        <f>VLOOKUP(F642,'Customers (2)'!A:I,4,0)</f>
        <v>+1 (614) 781-0396</v>
      </c>
      <c r="J642" t="str">
        <f>VLOOKUP(F642,'Customers (2)'!A:I,6,0)</f>
        <v>Columbus</v>
      </c>
      <c r="K642" t="str">
        <f>VLOOKUP(F642,'Customers (2)'!A:I,7,0)</f>
        <v>United States</v>
      </c>
      <c r="L642" t="str">
        <f>VLOOKUP(F642,'Customers (2)'!A:I,9,0)</f>
        <v>No</v>
      </c>
      <c r="M642" t="str">
        <f>VLOOKUP(N642,'Products (2)'!A:G,2,0)</f>
        <v>Robusta</v>
      </c>
      <c r="N642" t="s">
        <v>10</v>
      </c>
      <c r="O642" t="str">
        <f>VLOOKUP(N642,'Products (2)'!A:G,3,0)</f>
        <v>Light</v>
      </c>
      <c r="P642">
        <f>VLOOKUP(N642,'Products (2)'!A:G,7,0)</f>
        <v>1.6490999999999998</v>
      </c>
      <c r="Q642">
        <v>5</v>
      </c>
      <c r="R642">
        <f>INDEX([1]products!$A$1:$G$49,MATCH([1]orders!$D642,[1]products!$A$1:$A$49,0),MATCH([1]orders!K$1,[1]products!$A$1:$G$1,0))</f>
        <v>2.5</v>
      </c>
      <c r="S642">
        <f>INDEX([1]products!$A$1:$G$49,MATCH([1]orders!$D642,[1]products!$A$1:$A$49,0),MATCH([1]orders!L$1,[1]products!$A$1:$G$1,0))</f>
        <v>27.484999999999996</v>
      </c>
      <c r="T642">
        <f t="shared" ref="T642:T705" si="61">Q642*S642</f>
        <v>137.42499999999998</v>
      </c>
      <c r="U642">
        <f t="shared" si="58"/>
        <v>8.2454999999999998</v>
      </c>
      <c r="V642">
        <f t="shared" si="59"/>
        <v>6.0000000000000009</v>
      </c>
    </row>
    <row r="643" spans="1:22" x14ac:dyDescent="0.25">
      <c r="A643" t="s">
        <v>1247</v>
      </c>
      <c r="B643">
        <v>44448</v>
      </c>
      <c r="C643" t="str">
        <f t="shared" ref="C643:C706" si="62">TEXT(B:B,"DD")</f>
        <v>09</v>
      </c>
      <c r="D643" t="str">
        <f t="shared" si="60"/>
        <v>September</v>
      </c>
      <c r="E643" t="str">
        <f t="shared" ref="E643:E706" si="63">TEXT(B:B,"yyyy")</f>
        <v>2021</v>
      </c>
      <c r="F643" t="s">
        <v>1248</v>
      </c>
      <c r="G643" t="str">
        <f>VLOOKUP(F643,'Customers (2)'!A:I,2,0)</f>
        <v>Yardley Basill</v>
      </c>
      <c r="H643" t="str">
        <f>VLOOKUP(F643,'Customers (2)'!A:I,3,0)</f>
        <v>ybasillht@theguardian.com</v>
      </c>
      <c r="I643" t="str">
        <f>VLOOKUP(F643,'Customers (2)'!A:I,4,0)</f>
        <v>+1 (412) 297-2806</v>
      </c>
      <c r="J643" t="str">
        <f>VLOOKUP(F643,'Customers (2)'!A:I,6,0)</f>
        <v>Pittsburgh</v>
      </c>
      <c r="K643" t="str">
        <f>VLOOKUP(F643,'Customers (2)'!A:I,7,0)</f>
        <v>United States</v>
      </c>
      <c r="L643" t="str">
        <f>VLOOKUP(F643,'Customers (2)'!A:I,9,0)</f>
        <v>Yes</v>
      </c>
      <c r="M643" t="str">
        <f>VLOOKUP(N643,'Products (2)'!A:G,2,0)</f>
        <v>Robusta</v>
      </c>
      <c r="N643" t="s">
        <v>189</v>
      </c>
      <c r="O643" t="str">
        <f>VLOOKUP(N643,'Products (2)'!A:G,3,0)</f>
        <v>Light</v>
      </c>
      <c r="P643">
        <f>VLOOKUP(N643,'Products (2)'!A:G,7,0)</f>
        <v>0.71699999999999997</v>
      </c>
      <c r="Q643">
        <v>3</v>
      </c>
      <c r="R643">
        <f>INDEX([1]products!$A$1:$G$49,MATCH([1]orders!$D643,[1]products!$A$1:$A$49,0),MATCH([1]orders!K$1,[1]products!$A$1:$G$1,0))</f>
        <v>1</v>
      </c>
      <c r="S643">
        <f>INDEX([1]products!$A$1:$G$49,MATCH([1]orders!$D643,[1]products!$A$1:$A$49,0),MATCH([1]orders!L$1,[1]products!$A$1:$G$1,0))</f>
        <v>11.95</v>
      </c>
      <c r="T643">
        <f t="shared" si="61"/>
        <v>35.849999999999994</v>
      </c>
      <c r="U643">
        <f t="shared" ref="U643:U706" si="64">Q643*P643</f>
        <v>2.1509999999999998</v>
      </c>
      <c r="V643">
        <f t="shared" ref="V643:V706" si="65">U643/T643*100</f>
        <v>6.0000000000000009</v>
      </c>
    </row>
    <row r="644" spans="1:22" x14ac:dyDescent="0.25">
      <c r="A644" t="s">
        <v>1249</v>
      </c>
      <c r="B644">
        <v>43880</v>
      </c>
      <c r="C644" t="str">
        <f t="shared" si="62"/>
        <v>19</v>
      </c>
      <c r="D644" t="str">
        <f t="shared" si="60"/>
        <v>February</v>
      </c>
      <c r="E644" t="str">
        <f t="shared" si="63"/>
        <v>2020</v>
      </c>
      <c r="F644" t="s">
        <v>1250</v>
      </c>
      <c r="G644" t="str">
        <f>VLOOKUP(F644,'Customers (2)'!A:I,2,0)</f>
        <v>Maggy Baistow</v>
      </c>
      <c r="H644" t="str">
        <f>VLOOKUP(F644,'Customers (2)'!A:I,3,0)</f>
        <v>mbaistowhu@i2i.jp</v>
      </c>
      <c r="I644" t="str">
        <f>VLOOKUP(F644,'Customers (2)'!A:I,4,0)</f>
        <v>+44 (876) 508-3376</v>
      </c>
      <c r="J644" t="str">
        <f>VLOOKUP(F644,'Customers (2)'!A:I,6,0)</f>
        <v>Ford</v>
      </c>
      <c r="K644" t="str">
        <f>VLOOKUP(F644,'Customers (2)'!A:I,7,0)</f>
        <v>United Kingdom</v>
      </c>
      <c r="L644" t="str">
        <f>VLOOKUP(F644,'Customers (2)'!A:I,9,0)</f>
        <v>Yes</v>
      </c>
      <c r="M644" t="str">
        <f>VLOOKUP(N644,'Products (2)'!A:G,2,0)</f>
        <v>Excelsa</v>
      </c>
      <c r="N644" t="s">
        <v>64</v>
      </c>
      <c r="O644" t="str">
        <f>VLOOKUP(N644,'Products (2)'!A:G,3,0)</f>
        <v>Medium</v>
      </c>
      <c r="P644">
        <f>VLOOKUP(N644,'Products (2)'!A:G,7,0)</f>
        <v>0.45374999999999999</v>
      </c>
      <c r="Q644">
        <v>2</v>
      </c>
      <c r="R644">
        <f>INDEX([1]products!$A$1:$G$49,MATCH([1]orders!$D644,[1]products!$A$1:$A$49,0),MATCH([1]orders!K$1,[1]products!$A$1:$G$1,0))</f>
        <v>0.2</v>
      </c>
      <c r="S644">
        <f>INDEX([1]products!$A$1:$G$49,MATCH([1]orders!$D644,[1]products!$A$1:$A$49,0),MATCH([1]orders!L$1,[1]products!$A$1:$G$1,0))</f>
        <v>4.125</v>
      </c>
      <c r="T644">
        <f t="shared" si="61"/>
        <v>8.25</v>
      </c>
      <c r="U644">
        <f t="shared" si="64"/>
        <v>0.90749999999999997</v>
      </c>
      <c r="V644">
        <f t="shared" si="65"/>
        <v>11</v>
      </c>
    </row>
    <row r="645" spans="1:22" x14ac:dyDescent="0.25">
      <c r="A645" t="s">
        <v>1251</v>
      </c>
      <c r="B645">
        <v>44011</v>
      </c>
      <c r="C645" t="str">
        <f t="shared" si="62"/>
        <v>29</v>
      </c>
      <c r="D645" t="str">
        <f t="shared" si="60"/>
        <v>June</v>
      </c>
      <c r="E645" t="str">
        <f t="shared" si="63"/>
        <v>2020</v>
      </c>
      <c r="F645" t="s">
        <v>1252</v>
      </c>
      <c r="G645" t="str">
        <f>VLOOKUP(F645,'Customers (2)'!A:I,2,0)</f>
        <v>Courtney Pallant</v>
      </c>
      <c r="H645" t="str">
        <f>VLOOKUP(F645,'Customers (2)'!A:I,3,0)</f>
        <v>cpallanthv@typepad.com</v>
      </c>
      <c r="I645">
        <f>VLOOKUP(F645,'Customers (2)'!A:I,4,0)</f>
        <v>0</v>
      </c>
      <c r="J645" t="str">
        <f>VLOOKUP(F645,'Customers (2)'!A:I,6,0)</f>
        <v>Dallas</v>
      </c>
      <c r="K645" t="str">
        <f>VLOOKUP(F645,'Customers (2)'!A:I,7,0)</f>
        <v>United States</v>
      </c>
      <c r="L645" t="str">
        <f>VLOOKUP(F645,'Customers (2)'!A:I,9,0)</f>
        <v>Yes</v>
      </c>
      <c r="M645" t="str">
        <f>VLOOKUP(N645,'Products (2)'!A:G,2,0)</f>
        <v>Excelsa</v>
      </c>
      <c r="N645" t="s">
        <v>30</v>
      </c>
      <c r="O645" t="str">
        <f>VLOOKUP(N645,'Products (2)'!A:G,3,0)</f>
        <v>Light</v>
      </c>
      <c r="P645">
        <f>VLOOKUP(N645,'Products (2)'!A:G,7,0)</f>
        <v>3.7570499999999996</v>
      </c>
      <c r="Q645">
        <v>3</v>
      </c>
      <c r="R645">
        <f>INDEX([1]products!$A$1:$G$49,MATCH([1]orders!$D645,[1]products!$A$1:$A$49,0),MATCH([1]orders!K$1,[1]products!$A$1:$G$1,0))</f>
        <v>2.5</v>
      </c>
      <c r="S645">
        <f>INDEX([1]products!$A$1:$G$49,MATCH([1]orders!$D645,[1]products!$A$1:$A$49,0),MATCH([1]orders!L$1,[1]products!$A$1:$G$1,0))</f>
        <v>34.154999999999994</v>
      </c>
      <c r="T645">
        <f t="shared" si="61"/>
        <v>102.46499999999997</v>
      </c>
      <c r="U645">
        <f t="shared" si="64"/>
        <v>11.271149999999999</v>
      </c>
      <c r="V645">
        <f t="shared" si="65"/>
        <v>11.000000000000002</v>
      </c>
    </row>
    <row r="646" spans="1:22" x14ac:dyDescent="0.25">
      <c r="A646" t="s">
        <v>1253</v>
      </c>
      <c r="B646">
        <v>44694</v>
      </c>
      <c r="C646" t="str">
        <f t="shared" si="62"/>
        <v>13</v>
      </c>
      <c r="D646" t="str">
        <f t="shared" si="60"/>
        <v>May</v>
      </c>
      <c r="E646" t="str">
        <f t="shared" si="63"/>
        <v>2022</v>
      </c>
      <c r="F646" t="s">
        <v>1254</v>
      </c>
      <c r="G646" t="str">
        <f>VLOOKUP(F646,'Customers (2)'!A:I,2,0)</f>
        <v>Marne Mingey</v>
      </c>
      <c r="H646">
        <f>VLOOKUP(F646,'Customers (2)'!A:I,3,0)</f>
        <v>0</v>
      </c>
      <c r="I646" t="str">
        <f>VLOOKUP(F646,'Customers (2)'!A:I,4,0)</f>
        <v>+1 (786) 445-8879</v>
      </c>
      <c r="J646" t="str">
        <f>VLOOKUP(F646,'Customers (2)'!A:I,6,0)</f>
        <v>Miami</v>
      </c>
      <c r="K646" t="str">
        <f>VLOOKUP(F646,'Customers (2)'!A:I,7,0)</f>
        <v>United States</v>
      </c>
      <c r="L646" t="str">
        <f>VLOOKUP(F646,'Customers (2)'!A:I,9,0)</f>
        <v>No</v>
      </c>
      <c r="M646" t="str">
        <f>VLOOKUP(N646,'Products (2)'!A:G,2,0)</f>
        <v>Robusta</v>
      </c>
      <c r="N646" t="s">
        <v>35</v>
      </c>
      <c r="O646" t="str">
        <f>VLOOKUP(N646,'Products (2)'!A:G,3,0)</f>
        <v>Dark</v>
      </c>
      <c r="P646">
        <f>VLOOKUP(N646,'Products (2)'!A:G,7,0)</f>
        <v>1.2350999999999999</v>
      </c>
      <c r="Q646">
        <v>2</v>
      </c>
      <c r="R646">
        <f>INDEX([1]products!$A$1:$G$49,MATCH([1]orders!$D646,[1]products!$A$1:$A$49,0),MATCH([1]orders!K$1,[1]products!$A$1:$G$1,0))</f>
        <v>2.5</v>
      </c>
      <c r="S646">
        <f>INDEX([1]products!$A$1:$G$49,MATCH([1]orders!$D646,[1]products!$A$1:$A$49,0),MATCH([1]orders!L$1,[1]products!$A$1:$G$1,0))</f>
        <v>20.584999999999997</v>
      </c>
      <c r="T646">
        <f t="shared" si="61"/>
        <v>41.169999999999995</v>
      </c>
      <c r="U646">
        <f t="shared" si="64"/>
        <v>2.4701999999999997</v>
      </c>
      <c r="V646">
        <f t="shared" si="65"/>
        <v>6.0000000000000009</v>
      </c>
    </row>
    <row r="647" spans="1:22" x14ac:dyDescent="0.25">
      <c r="A647" t="s">
        <v>1255</v>
      </c>
      <c r="B647">
        <v>44106</v>
      </c>
      <c r="C647" t="str">
        <f t="shared" si="62"/>
        <v>02</v>
      </c>
      <c r="D647" t="str">
        <f t="shared" si="60"/>
        <v>October</v>
      </c>
      <c r="E647" t="str">
        <f t="shared" si="63"/>
        <v>2020</v>
      </c>
      <c r="F647" t="s">
        <v>1256</v>
      </c>
      <c r="G647" t="str">
        <f>VLOOKUP(F647,'Customers (2)'!A:I,2,0)</f>
        <v>Denny O' Ronan</v>
      </c>
      <c r="H647" t="str">
        <f>VLOOKUP(F647,'Customers (2)'!A:I,3,0)</f>
        <v>dohx@redcross.org</v>
      </c>
      <c r="I647" t="str">
        <f>VLOOKUP(F647,'Customers (2)'!A:I,4,0)</f>
        <v>+1 (325) 276-3690</v>
      </c>
      <c r="J647" t="str">
        <f>VLOOKUP(F647,'Customers (2)'!A:I,6,0)</f>
        <v>San Angelo</v>
      </c>
      <c r="K647" t="str">
        <f>VLOOKUP(F647,'Customers (2)'!A:I,7,0)</f>
        <v>United States</v>
      </c>
      <c r="L647" t="str">
        <f>VLOOKUP(F647,'Customers (2)'!A:I,9,0)</f>
        <v>Yes</v>
      </c>
      <c r="M647" t="str">
        <f>VLOOKUP(N647,'Products (2)'!A:G,2,0)</f>
        <v>Arabica</v>
      </c>
      <c r="N647" t="s">
        <v>118</v>
      </c>
      <c r="O647" t="str">
        <f>VLOOKUP(N647,'Products (2)'!A:G,3,0)</f>
        <v>Dark</v>
      </c>
      <c r="P647">
        <f>VLOOKUP(N647,'Products (2)'!A:G,7,0)</f>
        <v>2.0596499999999995</v>
      </c>
      <c r="Q647">
        <v>3</v>
      </c>
      <c r="R647">
        <f>INDEX([1]products!$A$1:$G$49,MATCH([1]orders!$D647,[1]products!$A$1:$A$49,0),MATCH([1]orders!K$1,[1]products!$A$1:$G$1,0))</f>
        <v>2.5</v>
      </c>
      <c r="S647">
        <f>INDEX([1]products!$A$1:$G$49,MATCH([1]orders!$D647,[1]products!$A$1:$A$49,0),MATCH([1]orders!L$1,[1]products!$A$1:$G$1,0))</f>
        <v>22.884999999999998</v>
      </c>
      <c r="T647">
        <f t="shared" si="61"/>
        <v>68.655000000000001</v>
      </c>
      <c r="U647">
        <f t="shared" si="64"/>
        <v>6.1789499999999986</v>
      </c>
      <c r="V647">
        <f t="shared" si="65"/>
        <v>8.9999999999999982</v>
      </c>
    </row>
    <row r="648" spans="1:22" x14ac:dyDescent="0.25">
      <c r="A648" t="s">
        <v>1257</v>
      </c>
      <c r="B648">
        <v>44532</v>
      </c>
      <c r="C648" t="str">
        <f t="shared" si="62"/>
        <v>02</v>
      </c>
      <c r="D648" t="str">
        <f t="shared" si="60"/>
        <v>December</v>
      </c>
      <c r="E648" t="str">
        <f t="shared" si="63"/>
        <v>2021</v>
      </c>
      <c r="F648" t="s">
        <v>1258</v>
      </c>
      <c r="G648" t="str">
        <f>VLOOKUP(F648,'Customers (2)'!A:I,2,0)</f>
        <v>Dottie Rallin</v>
      </c>
      <c r="H648" t="str">
        <f>VLOOKUP(F648,'Customers (2)'!A:I,3,0)</f>
        <v>drallinhy@howstuffworks.com</v>
      </c>
      <c r="I648" t="str">
        <f>VLOOKUP(F648,'Customers (2)'!A:I,4,0)</f>
        <v>+1 (518) 981-1531</v>
      </c>
      <c r="J648" t="str">
        <f>VLOOKUP(F648,'Customers (2)'!A:I,6,0)</f>
        <v>Albany</v>
      </c>
      <c r="K648" t="str">
        <f>VLOOKUP(F648,'Customers (2)'!A:I,7,0)</f>
        <v>United States</v>
      </c>
      <c r="L648" t="str">
        <f>VLOOKUP(F648,'Customers (2)'!A:I,9,0)</f>
        <v>Yes</v>
      </c>
      <c r="M648" t="str">
        <f>VLOOKUP(N648,'Products (2)'!A:G,2,0)</f>
        <v>Arabica</v>
      </c>
      <c r="N648" t="s">
        <v>27</v>
      </c>
      <c r="O648" t="str">
        <f>VLOOKUP(N648,'Products (2)'!A:G,3,0)</f>
        <v>Dark</v>
      </c>
      <c r="P648">
        <f>VLOOKUP(N648,'Products (2)'!A:G,7,0)</f>
        <v>0.89549999999999985</v>
      </c>
      <c r="Q648">
        <v>1</v>
      </c>
      <c r="R648">
        <f>INDEX([1]products!$A$1:$G$49,MATCH([1]orders!$D648,[1]products!$A$1:$A$49,0),MATCH([1]orders!K$1,[1]products!$A$1:$G$1,0))</f>
        <v>1</v>
      </c>
      <c r="S648">
        <f>INDEX([1]products!$A$1:$G$49,MATCH([1]orders!$D648,[1]products!$A$1:$A$49,0),MATCH([1]orders!L$1,[1]products!$A$1:$G$1,0))</f>
        <v>9.9499999999999993</v>
      </c>
      <c r="T648">
        <f t="shared" si="61"/>
        <v>9.9499999999999993</v>
      </c>
      <c r="U648">
        <f t="shared" si="64"/>
        <v>0.89549999999999985</v>
      </c>
      <c r="V648">
        <f t="shared" si="65"/>
        <v>9</v>
      </c>
    </row>
    <row r="649" spans="1:22" x14ac:dyDescent="0.25">
      <c r="A649" t="s">
        <v>1259</v>
      </c>
      <c r="B649">
        <v>44502</v>
      </c>
      <c r="C649" t="str">
        <f t="shared" si="62"/>
        <v>02</v>
      </c>
      <c r="D649" t="str">
        <f t="shared" si="60"/>
        <v>November</v>
      </c>
      <c r="E649" t="str">
        <f t="shared" si="63"/>
        <v>2021</v>
      </c>
      <c r="F649" t="s">
        <v>1260</v>
      </c>
      <c r="G649" t="str">
        <f>VLOOKUP(F649,'Customers (2)'!A:I,2,0)</f>
        <v>Ardith Chill</v>
      </c>
      <c r="H649" t="str">
        <f>VLOOKUP(F649,'Customers (2)'!A:I,3,0)</f>
        <v>achillhz@epa.gov</v>
      </c>
      <c r="I649" t="str">
        <f>VLOOKUP(F649,'Customers (2)'!A:I,4,0)</f>
        <v>+44 (411) 344-1320</v>
      </c>
      <c r="J649" t="str">
        <f>VLOOKUP(F649,'Customers (2)'!A:I,6,0)</f>
        <v>Thorpe</v>
      </c>
      <c r="K649" t="str">
        <f>VLOOKUP(F649,'Customers (2)'!A:I,7,0)</f>
        <v>United Kingdom</v>
      </c>
      <c r="L649" t="str">
        <f>VLOOKUP(F649,'Customers (2)'!A:I,9,0)</f>
        <v>Yes</v>
      </c>
      <c r="M649" t="str">
        <f>VLOOKUP(N649,'Products (2)'!A:G,2,0)</f>
        <v>Liberica</v>
      </c>
      <c r="N649" t="s">
        <v>83</v>
      </c>
      <c r="O649" t="str">
        <f>VLOOKUP(N649,'Products (2)'!A:G,3,0)</f>
        <v>Light</v>
      </c>
      <c r="P649">
        <f>VLOOKUP(N649,'Products (2)'!A:G,7,0)</f>
        <v>1.2363</v>
      </c>
      <c r="Q649">
        <v>3</v>
      </c>
      <c r="R649">
        <f>INDEX([1]products!$A$1:$G$49,MATCH([1]orders!$D649,[1]products!$A$1:$A$49,0),MATCH([1]orders!K$1,[1]products!$A$1:$G$1,0))</f>
        <v>0.5</v>
      </c>
      <c r="S649">
        <f>INDEX([1]products!$A$1:$G$49,MATCH([1]orders!$D649,[1]products!$A$1:$A$49,0),MATCH([1]orders!L$1,[1]products!$A$1:$G$1,0))</f>
        <v>9.51</v>
      </c>
      <c r="T649">
        <f t="shared" si="61"/>
        <v>28.53</v>
      </c>
      <c r="U649">
        <f t="shared" si="64"/>
        <v>3.7088999999999999</v>
      </c>
      <c r="V649">
        <f t="shared" si="65"/>
        <v>12.999999999999998</v>
      </c>
    </row>
    <row r="650" spans="1:22" x14ac:dyDescent="0.25">
      <c r="A650" t="s">
        <v>1261</v>
      </c>
      <c r="B650">
        <v>43884</v>
      </c>
      <c r="C650" t="str">
        <f t="shared" si="62"/>
        <v>23</v>
      </c>
      <c r="D650" t="str">
        <f t="shared" si="60"/>
        <v>February</v>
      </c>
      <c r="E650" t="str">
        <f t="shared" si="63"/>
        <v>2020</v>
      </c>
      <c r="F650" t="s">
        <v>1246</v>
      </c>
      <c r="G650" t="str">
        <f>VLOOKUP(F650,'Customers (2)'!A:I,2,0)</f>
        <v>Tuckie Mathonnet</v>
      </c>
      <c r="H650" t="str">
        <f>VLOOKUP(F650,'Customers (2)'!A:I,3,0)</f>
        <v>tmathonneti0@google.co.jp</v>
      </c>
      <c r="I650" t="str">
        <f>VLOOKUP(F650,'Customers (2)'!A:I,4,0)</f>
        <v>+1 (614) 781-0396</v>
      </c>
      <c r="J650" t="str">
        <f>VLOOKUP(F650,'Customers (2)'!A:I,6,0)</f>
        <v>Columbus</v>
      </c>
      <c r="K650" t="str">
        <f>VLOOKUP(F650,'Customers (2)'!A:I,7,0)</f>
        <v>United States</v>
      </c>
      <c r="L650" t="str">
        <f>VLOOKUP(F650,'Customers (2)'!A:I,9,0)</f>
        <v>No</v>
      </c>
      <c r="M650" t="str">
        <f>VLOOKUP(N650,'Products (2)'!A:G,2,0)</f>
        <v>Robusta</v>
      </c>
      <c r="N650" t="s">
        <v>101</v>
      </c>
      <c r="O650" t="str">
        <f>VLOOKUP(N650,'Products (2)'!A:G,3,0)</f>
        <v>Dark</v>
      </c>
      <c r="P650">
        <f>VLOOKUP(N650,'Products (2)'!A:G,7,0)</f>
        <v>0.16109999999999997</v>
      </c>
      <c r="Q650">
        <v>6</v>
      </c>
      <c r="R650">
        <f>INDEX([1]products!$A$1:$G$49,MATCH([1]orders!$D650,[1]products!$A$1:$A$49,0),MATCH([1]orders!K$1,[1]products!$A$1:$G$1,0))</f>
        <v>0.2</v>
      </c>
      <c r="S650">
        <f>INDEX([1]products!$A$1:$G$49,MATCH([1]orders!$D650,[1]products!$A$1:$A$49,0),MATCH([1]orders!L$1,[1]products!$A$1:$G$1,0))</f>
        <v>2.6849999999999996</v>
      </c>
      <c r="T650">
        <f t="shared" si="61"/>
        <v>16.11</v>
      </c>
      <c r="U650">
        <f t="shared" si="64"/>
        <v>0.96659999999999979</v>
      </c>
      <c r="V650">
        <f t="shared" si="65"/>
        <v>5.9999999999999991</v>
      </c>
    </row>
    <row r="651" spans="1:22" x14ac:dyDescent="0.25">
      <c r="A651" t="s">
        <v>1262</v>
      </c>
      <c r="B651">
        <v>44015</v>
      </c>
      <c r="C651" t="str">
        <f t="shared" si="62"/>
        <v>03</v>
      </c>
      <c r="D651" t="str">
        <f t="shared" si="60"/>
        <v>July</v>
      </c>
      <c r="E651" t="str">
        <f t="shared" si="63"/>
        <v>2020</v>
      </c>
      <c r="F651" t="s">
        <v>1263</v>
      </c>
      <c r="G651" t="str">
        <f>VLOOKUP(F651,'Customers (2)'!A:I,2,0)</f>
        <v>Charmane Denys</v>
      </c>
      <c r="H651" t="str">
        <f>VLOOKUP(F651,'Customers (2)'!A:I,3,0)</f>
        <v>cdenysi1@is.gd</v>
      </c>
      <c r="I651" t="str">
        <f>VLOOKUP(F651,'Customers (2)'!A:I,4,0)</f>
        <v>+44 (341) 297-2539</v>
      </c>
      <c r="J651" t="str">
        <f>VLOOKUP(F651,'Customers (2)'!A:I,6,0)</f>
        <v>Carlton</v>
      </c>
      <c r="K651" t="str">
        <f>VLOOKUP(F651,'Customers (2)'!A:I,7,0)</f>
        <v>United Kingdom</v>
      </c>
      <c r="L651" t="str">
        <f>VLOOKUP(F651,'Customers (2)'!A:I,9,0)</f>
        <v>No</v>
      </c>
      <c r="M651" t="str">
        <f>VLOOKUP(N651,'Products (2)'!A:G,2,0)</f>
        <v>Liberica</v>
      </c>
      <c r="N651" t="s">
        <v>132</v>
      </c>
      <c r="O651" t="str">
        <f>VLOOKUP(N651,'Products (2)'!A:G,3,0)</f>
        <v>Light</v>
      </c>
      <c r="P651">
        <f>VLOOKUP(N651,'Products (2)'!A:G,7,0)</f>
        <v>2.0605000000000002</v>
      </c>
      <c r="Q651">
        <v>6</v>
      </c>
      <c r="R651">
        <f>INDEX([1]products!$A$1:$G$49,MATCH([1]orders!$D651,[1]products!$A$1:$A$49,0),MATCH([1]orders!K$1,[1]products!$A$1:$G$1,0))</f>
        <v>1</v>
      </c>
      <c r="S651">
        <f>INDEX([1]products!$A$1:$G$49,MATCH([1]orders!$D651,[1]products!$A$1:$A$49,0),MATCH([1]orders!L$1,[1]products!$A$1:$G$1,0))</f>
        <v>15.85</v>
      </c>
      <c r="T651">
        <f t="shared" si="61"/>
        <v>95.1</v>
      </c>
      <c r="U651">
        <f t="shared" si="64"/>
        <v>12.363000000000001</v>
      </c>
      <c r="V651">
        <f t="shared" si="65"/>
        <v>13.000000000000004</v>
      </c>
    </row>
    <row r="652" spans="1:22" x14ac:dyDescent="0.25">
      <c r="A652" t="s">
        <v>1264</v>
      </c>
      <c r="B652">
        <v>43507</v>
      </c>
      <c r="C652" t="str">
        <f t="shared" si="62"/>
        <v>11</v>
      </c>
      <c r="D652" t="str">
        <f t="shared" si="60"/>
        <v>February</v>
      </c>
      <c r="E652" t="str">
        <f t="shared" si="63"/>
        <v>2019</v>
      </c>
      <c r="F652" t="s">
        <v>1265</v>
      </c>
      <c r="G652" t="str">
        <f>VLOOKUP(F652,'Customers (2)'!A:I,2,0)</f>
        <v>Cecily Stebbings</v>
      </c>
      <c r="H652" t="str">
        <f>VLOOKUP(F652,'Customers (2)'!A:I,3,0)</f>
        <v>cstebbingsi2@drupal.org</v>
      </c>
      <c r="I652" t="str">
        <f>VLOOKUP(F652,'Customers (2)'!A:I,4,0)</f>
        <v>+1 (951) 986-4062</v>
      </c>
      <c r="J652" t="str">
        <f>VLOOKUP(F652,'Customers (2)'!A:I,6,0)</f>
        <v>Corona</v>
      </c>
      <c r="K652" t="str">
        <f>VLOOKUP(F652,'Customers (2)'!A:I,7,0)</f>
        <v>United States</v>
      </c>
      <c r="L652" t="str">
        <f>VLOOKUP(F652,'Customers (2)'!A:I,9,0)</f>
        <v>Yes</v>
      </c>
      <c r="M652" t="str">
        <f>VLOOKUP(N652,'Products (2)'!A:G,2,0)</f>
        <v>Robusta</v>
      </c>
      <c r="N652" t="s">
        <v>146</v>
      </c>
      <c r="O652" t="str">
        <f>VLOOKUP(N652,'Products (2)'!A:G,3,0)</f>
        <v>Dark</v>
      </c>
      <c r="P652">
        <f>VLOOKUP(N652,'Products (2)'!A:G,7,0)</f>
        <v>0.32219999999999993</v>
      </c>
      <c r="Q652">
        <v>1</v>
      </c>
      <c r="R652">
        <f>INDEX([1]products!$A$1:$G$49,MATCH([1]orders!$D652,[1]products!$A$1:$A$49,0),MATCH([1]orders!K$1,[1]products!$A$1:$G$1,0))</f>
        <v>0.5</v>
      </c>
      <c r="S652">
        <f>INDEX([1]products!$A$1:$G$49,MATCH([1]orders!$D652,[1]products!$A$1:$A$49,0),MATCH([1]orders!L$1,[1]products!$A$1:$G$1,0))</f>
        <v>5.3699999999999992</v>
      </c>
      <c r="T652">
        <f t="shared" si="61"/>
        <v>5.3699999999999992</v>
      </c>
      <c r="U652">
        <f t="shared" si="64"/>
        <v>0.32219999999999993</v>
      </c>
      <c r="V652">
        <f t="shared" si="65"/>
        <v>6</v>
      </c>
    </row>
    <row r="653" spans="1:22" x14ac:dyDescent="0.25">
      <c r="A653" t="s">
        <v>1266</v>
      </c>
      <c r="B653">
        <v>44084</v>
      </c>
      <c r="C653" t="str">
        <f t="shared" si="62"/>
        <v>10</v>
      </c>
      <c r="D653" t="str">
        <f t="shared" si="60"/>
        <v>September</v>
      </c>
      <c r="E653" t="str">
        <f t="shared" si="63"/>
        <v>2020</v>
      </c>
      <c r="F653" t="s">
        <v>1267</v>
      </c>
      <c r="G653" t="str">
        <f>VLOOKUP(F653,'Customers (2)'!A:I,2,0)</f>
        <v>Giana Tonnesen</v>
      </c>
      <c r="H653">
        <f>VLOOKUP(F653,'Customers (2)'!A:I,3,0)</f>
        <v>0</v>
      </c>
      <c r="I653" t="str">
        <f>VLOOKUP(F653,'Customers (2)'!A:I,4,0)</f>
        <v>+1 (202) 931-2413</v>
      </c>
      <c r="J653" t="str">
        <f>VLOOKUP(F653,'Customers (2)'!A:I,6,0)</f>
        <v>Washington</v>
      </c>
      <c r="K653" t="str">
        <f>VLOOKUP(F653,'Customers (2)'!A:I,7,0)</f>
        <v>United States</v>
      </c>
      <c r="L653" t="str">
        <f>VLOOKUP(F653,'Customers (2)'!A:I,9,0)</f>
        <v>No</v>
      </c>
      <c r="M653" t="str">
        <f>VLOOKUP(N653,'Products (2)'!A:G,2,0)</f>
        <v>Robusta</v>
      </c>
      <c r="N653" t="s">
        <v>189</v>
      </c>
      <c r="O653" t="str">
        <f>VLOOKUP(N653,'Products (2)'!A:G,3,0)</f>
        <v>Light</v>
      </c>
      <c r="P653">
        <f>VLOOKUP(N653,'Products (2)'!A:G,7,0)</f>
        <v>0.71699999999999997</v>
      </c>
      <c r="Q653">
        <v>4</v>
      </c>
      <c r="R653">
        <f>INDEX([1]products!$A$1:$G$49,MATCH([1]orders!$D653,[1]products!$A$1:$A$49,0),MATCH([1]orders!K$1,[1]products!$A$1:$G$1,0))</f>
        <v>1</v>
      </c>
      <c r="S653">
        <f>INDEX([1]products!$A$1:$G$49,MATCH([1]orders!$D653,[1]products!$A$1:$A$49,0),MATCH([1]orders!L$1,[1]products!$A$1:$G$1,0))</f>
        <v>11.95</v>
      </c>
      <c r="T653">
        <f t="shared" si="61"/>
        <v>47.8</v>
      </c>
      <c r="U653">
        <f t="shared" si="64"/>
        <v>2.8679999999999999</v>
      </c>
      <c r="V653">
        <f t="shared" si="65"/>
        <v>6</v>
      </c>
    </row>
    <row r="654" spans="1:22" x14ac:dyDescent="0.25">
      <c r="A654" t="s">
        <v>1268</v>
      </c>
      <c r="B654">
        <v>43892</v>
      </c>
      <c r="C654" t="str">
        <f t="shared" si="62"/>
        <v>02</v>
      </c>
      <c r="D654" t="str">
        <f t="shared" si="60"/>
        <v>March</v>
      </c>
      <c r="E654" t="str">
        <f t="shared" si="63"/>
        <v>2020</v>
      </c>
      <c r="F654" t="s">
        <v>1269</v>
      </c>
      <c r="G654" t="str">
        <f>VLOOKUP(F654,'Customers (2)'!A:I,2,0)</f>
        <v>Rhetta Zywicki</v>
      </c>
      <c r="H654" t="str">
        <f>VLOOKUP(F654,'Customers (2)'!A:I,3,0)</f>
        <v>rzywickii4@ifeng.com</v>
      </c>
      <c r="I654">
        <f>VLOOKUP(F654,'Customers (2)'!A:I,4,0)</f>
        <v>0</v>
      </c>
      <c r="J654" t="str">
        <f>VLOOKUP(F654,'Customers (2)'!A:I,6,0)</f>
        <v>Ballinteer</v>
      </c>
      <c r="K654" t="str">
        <f>VLOOKUP(F654,'Customers (2)'!A:I,7,0)</f>
        <v>Ireland</v>
      </c>
      <c r="L654" t="str">
        <f>VLOOKUP(F654,'Customers (2)'!A:I,9,0)</f>
        <v>No</v>
      </c>
      <c r="M654" t="str">
        <f>VLOOKUP(N654,'Products (2)'!A:G,2,0)</f>
        <v>Liberica</v>
      </c>
      <c r="N654" t="s">
        <v>132</v>
      </c>
      <c r="O654" t="str">
        <f>VLOOKUP(N654,'Products (2)'!A:G,3,0)</f>
        <v>Light</v>
      </c>
      <c r="P654">
        <f>VLOOKUP(N654,'Products (2)'!A:G,7,0)</f>
        <v>2.0605000000000002</v>
      </c>
      <c r="Q654">
        <v>4</v>
      </c>
      <c r="R654">
        <f>INDEX([1]products!$A$1:$G$49,MATCH([1]orders!$D654,[1]products!$A$1:$A$49,0),MATCH([1]orders!K$1,[1]products!$A$1:$G$1,0))</f>
        <v>1</v>
      </c>
      <c r="S654">
        <f>INDEX([1]products!$A$1:$G$49,MATCH([1]orders!$D654,[1]products!$A$1:$A$49,0),MATCH([1]orders!L$1,[1]products!$A$1:$G$1,0))</f>
        <v>15.85</v>
      </c>
      <c r="T654">
        <f t="shared" si="61"/>
        <v>63.4</v>
      </c>
      <c r="U654">
        <f t="shared" si="64"/>
        <v>8.2420000000000009</v>
      </c>
      <c r="V654">
        <f t="shared" si="65"/>
        <v>13</v>
      </c>
    </row>
    <row r="655" spans="1:22" x14ac:dyDescent="0.25">
      <c r="A655" t="s">
        <v>1270</v>
      </c>
      <c r="B655">
        <v>44375</v>
      </c>
      <c r="C655" t="str">
        <f t="shared" si="62"/>
        <v>28</v>
      </c>
      <c r="D655" t="str">
        <f t="shared" si="60"/>
        <v>June</v>
      </c>
      <c r="E655" t="str">
        <f t="shared" si="63"/>
        <v>2021</v>
      </c>
      <c r="F655" t="s">
        <v>1271</v>
      </c>
      <c r="G655" t="str">
        <f>VLOOKUP(F655,'Customers (2)'!A:I,2,0)</f>
        <v>Almeria Burgett</v>
      </c>
      <c r="H655" t="str">
        <f>VLOOKUP(F655,'Customers (2)'!A:I,3,0)</f>
        <v>aburgetti5@moonfruit.com</v>
      </c>
      <c r="I655" t="str">
        <f>VLOOKUP(F655,'Customers (2)'!A:I,4,0)</f>
        <v>+1 (419) 372-4746</v>
      </c>
      <c r="J655" t="str">
        <f>VLOOKUP(F655,'Customers (2)'!A:I,6,0)</f>
        <v>Toledo</v>
      </c>
      <c r="K655" t="str">
        <f>VLOOKUP(F655,'Customers (2)'!A:I,7,0)</f>
        <v>United States</v>
      </c>
      <c r="L655" t="str">
        <f>VLOOKUP(F655,'Customers (2)'!A:I,9,0)</f>
        <v>No</v>
      </c>
      <c r="M655" t="str">
        <f>VLOOKUP(N655,'Products (2)'!A:G,2,0)</f>
        <v>Arabica</v>
      </c>
      <c r="N655" t="s">
        <v>171</v>
      </c>
      <c r="O655" t="str">
        <f>VLOOKUP(N655,'Products (2)'!A:G,3,0)</f>
        <v>Medium</v>
      </c>
      <c r="P655">
        <f>VLOOKUP(N655,'Products (2)'!A:G,7,0)</f>
        <v>2.3287499999999994</v>
      </c>
      <c r="Q655">
        <v>4</v>
      </c>
      <c r="R655">
        <f>INDEX([1]products!$A$1:$G$49,MATCH([1]orders!$D655,[1]products!$A$1:$A$49,0),MATCH([1]orders!K$1,[1]products!$A$1:$G$1,0))</f>
        <v>2.5</v>
      </c>
      <c r="S655">
        <f>INDEX([1]products!$A$1:$G$49,MATCH([1]orders!$D655,[1]products!$A$1:$A$49,0),MATCH([1]orders!L$1,[1]products!$A$1:$G$1,0))</f>
        <v>25.874999999999996</v>
      </c>
      <c r="T655">
        <f t="shared" si="61"/>
        <v>103.49999999999999</v>
      </c>
      <c r="U655">
        <f t="shared" si="64"/>
        <v>9.3149999999999977</v>
      </c>
      <c r="V655">
        <f t="shared" si="65"/>
        <v>9</v>
      </c>
    </row>
    <row r="656" spans="1:22" x14ac:dyDescent="0.25">
      <c r="A656" t="s">
        <v>1272</v>
      </c>
      <c r="B656">
        <v>43476</v>
      </c>
      <c r="C656" t="str">
        <f t="shared" si="62"/>
        <v>11</v>
      </c>
      <c r="D656" t="str">
        <f t="shared" si="60"/>
        <v>January</v>
      </c>
      <c r="E656" t="str">
        <f t="shared" si="63"/>
        <v>2019</v>
      </c>
      <c r="F656" t="s">
        <v>1273</v>
      </c>
      <c r="G656" t="str">
        <f>VLOOKUP(F656,'Customers (2)'!A:I,2,0)</f>
        <v>Marvin Malloy</v>
      </c>
      <c r="H656" t="str">
        <f>VLOOKUP(F656,'Customers (2)'!A:I,3,0)</f>
        <v>mmalloyi6@seattletimes.com</v>
      </c>
      <c r="I656" t="str">
        <f>VLOOKUP(F656,'Customers (2)'!A:I,4,0)</f>
        <v>+1 (202) 284-7115</v>
      </c>
      <c r="J656" t="str">
        <f>VLOOKUP(F656,'Customers (2)'!A:I,6,0)</f>
        <v>Washington</v>
      </c>
      <c r="K656" t="str">
        <f>VLOOKUP(F656,'Customers (2)'!A:I,7,0)</f>
        <v>United States</v>
      </c>
      <c r="L656" t="str">
        <f>VLOOKUP(F656,'Customers (2)'!A:I,9,0)</f>
        <v>No</v>
      </c>
      <c r="M656" t="str">
        <f>VLOOKUP(N656,'Products (2)'!A:G,2,0)</f>
        <v>Arabica</v>
      </c>
      <c r="N656" t="s">
        <v>118</v>
      </c>
      <c r="O656" t="str">
        <f>VLOOKUP(N656,'Products (2)'!A:G,3,0)</f>
        <v>Dark</v>
      </c>
      <c r="P656">
        <f>VLOOKUP(N656,'Products (2)'!A:G,7,0)</f>
        <v>2.0596499999999995</v>
      </c>
      <c r="Q656">
        <v>3</v>
      </c>
      <c r="R656">
        <f>INDEX([1]products!$A$1:$G$49,MATCH([1]orders!$D656,[1]products!$A$1:$A$49,0),MATCH([1]orders!K$1,[1]products!$A$1:$G$1,0))</f>
        <v>2.5</v>
      </c>
      <c r="S656">
        <f>INDEX([1]products!$A$1:$G$49,MATCH([1]orders!$D656,[1]products!$A$1:$A$49,0),MATCH([1]orders!L$1,[1]products!$A$1:$G$1,0))</f>
        <v>22.884999999999998</v>
      </c>
      <c r="T656">
        <f t="shared" si="61"/>
        <v>68.655000000000001</v>
      </c>
      <c r="U656">
        <f t="shared" si="64"/>
        <v>6.1789499999999986</v>
      </c>
      <c r="V656">
        <f t="shared" si="65"/>
        <v>8.9999999999999982</v>
      </c>
    </row>
    <row r="657" spans="1:22" x14ac:dyDescent="0.25">
      <c r="A657" t="s">
        <v>1274</v>
      </c>
      <c r="B657">
        <v>43728</v>
      </c>
      <c r="C657" t="str">
        <f t="shared" si="62"/>
        <v>20</v>
      </c>
      <c r="D657" t="str">
        <f t="shared" si="60"/>
        <v>September</v>
      </c>
      <c r="E657" t="str">
        <f t="shared" si="63"/>
        <v>2019</v>
      </c>
      <c r="F657" t="s">
        <v>1275</v>
      </c>
      <c r="G657" t="str">
        <f>VLOOKUP(F657,'Customers (2)'!A:I,2,0)</f>
        <v>Maxim McParland</v>
      </c>
      <c r="H657" t="str">
        <f>VLOOKUP(F657,'Customers (2)'!A:I,3,0)</f>
        <v>mmcparlandi7@w3.org</v>
      </c>
      <c r="I657">
        <f>VLOOKUP(F657,'Customers (2)'!A:I,4,0)</f>
        <v>0</v>
      </c>
      <c r="J657" t="str">
        <f>VLOOKUP(F657,'Customers (2)'!A:I,6,0)</f>
        <v>Cedar Rapids</v>
      </c>
      <c r="K657" t="str">
        <f>VLOOKUP(F657,'Customers (2)'!A:I,7,0)</f>
        <v>United States</v>
      </c>
      <c r="L657" t="str">
        <f>VLOOKUP(F657,'Customers (2)'!A:I,9,0)</f>
        <v>Yes</v>
      </c>
      <c r="M657" t="str">
        <f>VLOOKUP(N657,'Products (2)'!A:G,2,0)</f>
        <v>Robusta</v>
      </c>
      <c r="N657" t="s">
        <v>41</v>
      </c>
      <c r="O657" t="str">
        <f>VLOOKUP(N657,'Products (2)'!A:G,3,0)</f>
        <v>Medium</v>
      </c>
      <c r="P657">
        <f>VLOOKUP(N657,'Products (2)'!A:G,7,0)</f>
        <v>1.3730999999999998</v>
      </c>
      <c r="Q657">
        <v>2</v>
      </c>
      <c r="R657">
        <f>INDEX([1]products!$A$1:$G$49,MATCH([1]orders!$D657,[1]products!$A$1:$A$49,0),MATCH([1]orders!K$1,[1]products!$A$1:$G$1,0))</f>
        <v>2.5</v>
      </c>
      <c r="S657">
        <f>INDEX([1]products!$A$1:$G$49,MATCH([1]orders!$D657,[1]products!$A$1:$A$49,0),MATCH([1]orders!L$1,[1]products!$A$1:$G$1,0))</f>
        <v>22.884999999999998</v>
      </c>
      <c r="T657">
        <f t="shared" si="61"/>
        <v>45.769999999999996</v>
      </c>
      <c r="U657">
        <f t="shared" si="64"/>
        <v>2.7461999999999995</v>
      </c>
      <c r="V657">
        <f t="shared" si="65"/>
        <v>6</v>
      </c>
    </row>
    <row r="658" spans="1:22" x14ac:dyDescent="0.25">
      <c r="A658" t="s">
        <v>1276</v>
      </c>
      <c r="B658">
        <v>44485</v>
      </c>
      <c r="C658" t="str">
        <f t="shared" si="62"/>
        <v>16</v>
      </c>
      <c r="D658" t="str">
        <f t="shared" si="60"/>
        <v>October</v>
      </c>
      <c r="E658" t="str">
        <f t="shared" si="63"/>
        <v>2021</v>
      </c>
      <c r="F658" t="s">
        <v>1277</v>
      </c>
      <c r="G658" t="str">
        <f>VLOOKUP(F658,'Customers (2)'!A:I,2,0)</f>
        <v>Sylas Jennaroy</v>
      </c>
      <c r="H658" t="str">
        <f>VLOOKUP(F658,'Customers (2)'!A:I,3,0)</f>
        <v>sjennaroyi8@purevolume.com</v>
      </c>
      <c r="I658">
        <f>VLOOKUP(F658,'Customers (2)'!A:I,4,0)</f>
        <v>0</v>
      </c>
      <c r="J658" t="str">
        <f>VLOOKUP(F658,'Customers (2)'!A:I,6,0)</f>
        <v>Aurora</v>
      </c>
      <c r="K658" t="str">
        <f>VLOOKUP(F658,'Customers (2)'!A:I,7,0)</f>
        <v>United States</v>
      </c>
      <c r="L658" t="str">
        <f>VLOOKUP(F658,'Customers (2)'!A:I,9,0)</f>
        <v>No</v>
      </c>
      <c r="M658" t="str">
        <f>VLOOKUP(N658,'Products (2)'!A:G,2,0)</f>
        <v>Liberica</v>
      </c>
      <c r="N658" t="s">
        <v>13</v>
      </c>
      <c r="O658" t="str">
        <f>VLOOKUP(N658,'Products (2)'!A:G,3,0)</f>
        <v>Dark</v>
      </c>
      <c r="P658">
        <f>VLOOKUP(N658,'Products (2)'!A:G,7,0)</f>
        <v>1.6835</v>
      </c>
      <c r="Q658">
        <v>4</v>
      </c>
      <c r="R658">
        <f>INDEX([1]products!$A$1:$G$49,MATCH([1]orders!$D658,[1]products!$A$1:$A$49,0),MATCH([1]orders!K$1,[1]products!$A$1:$G$1,0))</f>
        <v>1</v>
      </c>
      <c r="S658">
        <f>INDEX([1]products!$A$1:$G$49,MATCH([1]orders!$D658,[1]products!$A$1:$A$49,0),MATCH([1]orders!L$1,[1]products!$A$1:$G$1,0))</f>
        <v>12.95</v>
      </c>
      <c r="T658">
        <f t="shared" si="61"/>
        <v>51.8</v>
      </c>
      <c r="U658">
        <f t="shared" si="64"/>
        <v>6.734</v>
      </c>
      <c r="V658">
        <f t="shared" si="65"/>
        <v>13</v>
      </c>
    </row>
    <row r="659" spans="1:22" x14ac:dyDescent="0.25">
      <c r="A659" t="s">
        <v>1278</v>
      </c>
      <c r="B659">
        <v>43831</v>
      </c>
      <c r="C659" t="str">
        <f t="shared" si="62"/>
        <v>01</v>
      </c>
      <c r="D659" t="str">
        <f t="shared" si="60"/>
        <v>January</v>
      </c>
      <c r="E659" t="str">
        <f t="shared" si="63"/>
        <v>2020</v>
      </c>
      <c r="F659" t="s">
        <v>1279</v>
      </c>
      <c r="G659" t="str">
        <f>VLOOKUP(F659,'Customers (2)'!A:I,2,0)</f>
        <v>Wren Place</v>
      </c>
      <c r="H659" t="str">
        <f>VLOOKUP(F659,'Customers (2)'!A:I,3,0)</f>
        <v>wplacei9@wsj.com</v>
      </c>
      <c r="I659" t="str">
        <f>VLOOKUP(F659,'Customers (2)'!A:I,4,0)</f>
        <v>+1 (408) 106-8863</v>
      </c>
      <c r="J659" t="str">
        <f>VLOOKUP(F659,'Customers (2)'!A:I,6,0)</f>
        <v>Sunnyvale</v>
      </c>
      <c r="K659" t="str">
        <f>VLOOKUP(F659,'Customers (2)'!A:I,7,0)</f>
        <v>United States</v>
      </c>
      <c r="L659" t="str">
        <f>VLOOKUP(F659,'Customers (2)'!A:I,9,0)</f>
        <v>Yes</v>
      </c>
      <c r="M659" t="str">
        <f>VLOOKUP(N659,'Products (2)'!A:G,2,0)</f>
        <v>Arabica</v>
      </c>
      <c r="N659" t="s">
        <v>67</v>
      </c>
      <c r="O659" t="str">
        <f>VLOOKUP(N659,'Products (2)'!A:G,3,0)</f>
        <v>Medium</v>
      </c>
      <c r="P659">
        <f>VLOOKUP(N659,'Products (2)'!A:G,7,0)</f>
        <v>0.60749999999999993</v>
      </c>
      <c r="Q659">
        <v>2</v>
      </c>
      <c r="R659">
        <f>INDEX([1]products!$A$1:$G$49,MATCH([1]orders!$D659,[1]products!$A$1:$A$49,0),MATCH([1]orders!K$1,[1]products!$A$1:$G$1,0))</f>
        <v>0.5</v>
      </c>
      <c r="S659">
        <f>INDEX([1]products!$A$1:$G$49,MATCH([1]orders!$D659,[1]products!$A$1:$A$49,0),MATCH([1]orders!L$1,[1]products!$A$1:$G$1,0))</f>
        <v>6.75</v>
      </c>
      <c r="T659">
        <f t="shared" si="61"/>
        <v>13.5</v>
      </c>
      <c r="U659">
        <f t="shared" si="64"/>
        <v>1.2149999999999999</v>
      </c>
      <c r="V659">
        <f t="shared" si="65"/>
        <v>8.9999999999999982</v>
      </c>
    </row>
    <row r="660" spans="1:22" x14ac:dyDescent="0.25">
      <c r="A660" t="s">
        <v>1280</v>
      </c>
      <c r="B660">
        <v>44630</v>
      </c>
      <c r="C660" t="str">
        <f t="shared" si="62"/>
        <v>10</v>
      </c>
      <c r="D660" t="str">
        <f t="shared" si="60"/>
        <v>March</v>
      </c>
      <c r="E660" t="str">
        <f t="shared" si="63"/>
        <v>2022</v>
      </c>
      <c r="F660" t="s">
        <v>1281</v>
      </c>
      <c r="G660" t="str">
        <f>VLOOKUP(F660,'Customers (2)'!A:I,2,0)</f>
        <v>Janella Millett</v>
      </c>
      <c r="H660" t="str">
        <f>VLOOKUP(F660,'Customers (2)'!A:I,3,0)</f>
        <v>jmillettik@addtoany.com</v>
      </c>
      <c r="I660" t="str">
        <f>VLOOKUP(F660,'Customers (2)'!A:I,4,0)</f>
        <v>+1 (919) 302-3228</v>
      </c>
      <c r="J660" t="str">
        <f>VLOOKUP(F660,'Customers (2)'!A:I,6,0)</f>
        <v>Durham</v>
      </c>
      <c r="K660" t="str">
        <f>VLOOKUP(F660,'Customers (2)'!A:I,7,0)</f>
        <v>United States</v>
      </c>
      <c r="L660" t="str">
        <f>VLOOKUP(F660,'Customers (2)'!A:I,9,0)</f>
        <v>Yes</v>
      </c>
      <c r="M660" t="str">
        <f>VLOOKUP(N660,'Products (2)'!A:G,2,0)</f>
        <v>Excelsa</v>
      </c>
      <c r="N660" t="s">
        <v>3</v>
      </c>
      <c r="O660" t="str">
        <f>VLOOKUP(N660,'Products (2)'!A:G,3,0)</f>
        <v>Medium</v>
      </c>
      <c r="P660">
        <f>VLOOKUP(N660,'Products (2)'!A:G,7,0)</f>
        <v>0.90749999999999997</v>
      </c>
      <c r="Q660">
        <v>3</v>
      </c>
      <c r="R660">
        <f>INDEX([1]products!$A$1:$G$49,MATCH([1]orders!$D660,[1]products!$A$1:$A$49,0),MATCH([1]orders!K$1,[1]products!$A$1:$G$1,0))</f>
        <v>0.5</v>
      </c>
      <c r="S660">
        <f>INDEX([1]products!$A$1:$G$49,MATCH([1]orders!$D660,[1]products!$A$1:$A$49,0),MATCH([1]orders!L$1,[1]products!$A$1:$G$1,0))</f>
        <v>8.25</v>
      </c>
      <c r="T660">
        <f t="shared" si="61"/>
        <v>24.75</v>
      </c>
      <c r="U660">
        <f t="shared" si="64"/>
        <v>2.7225000000000001</v>
      </c>
      <c r="V660">
        <f t="shared" si="65"/>
        <v>11</v>
      </c>
    </row>
    <row r="661" spans="1:22" x14ac:dyDescent="0.25">
      <c r="A661" t="s">
        <v>1282</v>
      </c>
      <c r="B661">
        <v>44693</v>
      </c>
      <c r="C661" t="str">
        <f t="shared" si="62"/>
        <v>12</v>
      </c>
      <c r="D661" t="str">
        <f t="shared" si="60"/>
        <v>May</v>
      </c>
      <c r="E661" t="str">
        <f t="shared" si="63"/>
        <v>2022</v>
      </c>
      <c r="F661" t="s">
        <v>1283</v>
      </c>
      <c r="G661" t="str">
        <f>VLOOKUP(F661,'Customers (2)'!A:I,2,0)</f>
        <v>Dollie Gadsden</v>
      </c>
      <c r="H661" t="str">
        <f>VLOOKUP(F661,'Customers (2)'!A:I,3,0)</f>
        <v>dgadsdenib@google.com.hk</v>
      </c>
      <c r="I661" t="str">
        <f>VLOOKUP(F661,'Customers (2)'!A:I,4,0)</f>
        <v>+353 (847) 447-7835</v>
      </c>
      <c r="J661" t="str">
        <f>VLOOKUP(F661,'Customers (2)'!A:I,6,0)</f>
        <v>Cluain Meala</v>
      </c>
      <c r="K661" t="str">
        <f>VLOOKUP(F661,'Customers (2)'!A:I,7,0)</f>
        <v>Ireland</v>
      </c>
      <c r="L661" t="str">
        <f>VLOOKUP(F661,'Customers (2)'!A:I,9,0)</f>
        <v>Yes</v>
      </c>
      <c r="M661" t="str">
        <f>VLOOKUP(N661,'Products (2)'!A:G,2,0)</f>
        <v>Arabica</v>
      </c>
      <c r="N661" t="s">
        <v>118</v>
      </c>
      <c r="O661" t="str">
        <f>VLOOKUP(N661,'Products (2)'!A:G,3,0)</f>
        <v>Dark</v>
      </c>
      <c r="P661">
        <f>VLOOKUP(N661,'Products (2)'!A:G,7,0)</f>
        <v>2.0596499999999995</v>
      </c>
      <c r="Q661">
        <v>2</v>
      </c>
      <c r="R661">
        <f>INDEX([1]products!$A$1:$G$49,MATCH([1]orders!$D661,[1]products!$A$1:$A$49,0),MATCH([1]orders!K$1,[1]products!$A$1:$G$1,0))</f>
        <v>2.5</v>
      </c>
      <c r="S661">
        <f>INDEX([1]products!$A$1:$G$49,MATCH([1]orders!$D661,[1]products!$A$1:$A$49,0),MATCH([1]orders!L$1,[1]products!$A$1:$G$1,0))</f>
        <v>22.884999999999998</v>
      </c>
      <c r="T661">
        <f t="shared" si="61"/>
        <v>45.769999999999996</v>
      </c>
      <c r="U661">
        <f t="shared" si="64"/>
        <v>4.1192999999999991</v>
      </c>
      <c r="V661">
        <f t="shared" si="65"/>
        <v>8.9999999999999982</v>
      </c>
    </row>
    <row r="662" spans="1:22" x14ac:dyDescent="0.25">
      <c r="A662" t="s">
        <v>1284</v>
      </c>
      <c r="B662">
        <v>44084</v>
      </c>
      <c r="C662" t="str">
        <f t="shared" si="62"/>
        <v>10</v>
      </c>
      <c r="D662" t="str">
        <f t="shared" si="60"/>
        <v>September</v>
      </c>
      <c r="E662" t="str">
        <f t="shared" si="63"/>
        <v>2020</v>
      </c>
      <c r="F662" t="s">
        <v>1285</v>
      </c>
      <c r="G662" t="str">
        <f>VLOOKUP(F662,'Customers (2)'!A:I,2,0)</f>
        <v>Val Wakelin</v>
      </c>
      <c r="H662" t="str">
        <f>VLOOKUP(F662,'Customers (2)'!A:I,3,0)</f>
        <v>vwakelinic@unesco.org</v>
      </c>
      <c r="I662" t="str">
        <f>VLOOKUP(F662,'Customers (2)'!A:I,4,0)</f>
        <v>+1 (517) 163-7746</v>
      </c>
      <c r="J662" t="str">
        <f>VLOOKUP(F662,'Customers (2)'!A:I,6,0)</f>
        <v>Lansing</v>
      </c>
      <c r="K662" t="str">
        <f>VLOOKUP(F662,'Customers (2)'!A:I,7,0)</f>
        <v>United States</v>
      </c>
      <c r="L662" t="str">
        <f>VLOOKUP(F662,'Customers (2)'!A:I,9,0)</f>
        <v>No</v>
      </c>
      <c r="M662" t="str">
        <f>VLOOKUP(N662,'Products (2)'!A:G,2,0)</f>
        <v>Excelsa</v>
      </c>
      <c r="N662" t="s">
        <v>176</v>
      </c>
      <c r="O662" t="str">
        <f>VLOOKUP(N662,'Products (2)'!A:G,3,0)</f>
        <v>Light</v>
      </c>
      <c r="P662">
        <f>VLOOKUP(N662,'Products (2)'!A:G,7,0)</f>
        <v>0.98009999999999997</v>
      </c>
      <c r="Q662">
        <v>6</v>
      </c>
      <c r="R662">
        <f>INDEX([1]products!$A$1:$G$49,MATCH([1]orders!$D662,[1]products!$A$1:$A$49,0),MATCH([1]orders!K$1,[1]products!$A$1:$G$1,0))</f>
        <v>0.5</v>
      </c>
      <c r="S662">
        <f>INDEX([1]products!$A$1:$G$49,MATCH([1]orders!$D662,[1]products!$A$1:$A$49,0),MATCH([1]orders!L$1,[1]products!$A$1:$G$1,0))</f>
        <v>8.91</v>
      </c>
      <c r="T662">
        <f t="shared" si="61"/>
        <v>53.46</v>
      </c>
      <c r="U662">
        <f t="shared" si="64"/>
        <v>5.8805999999999994</v>
      </c>
      <c r="V662">
        <f t="shared" si="65"/>
        <v>10.999999999999998</v>
      </c>
    </row>
    <row r="663" spans="1:22" x14ac:dyDescent="0.25">
      <c r="A663" t="s">
        <v>1286</v>
      </c>
      <c r="B663">
        <v>44485</v>
      </c>
      <c r="C663" t="str">
        <f t="shared" si="62"/>
        <v>16</v>
      </c>
      <c r="D663" t="str">
        <f t="shared" si="60"/>
        <v>October</v>
      </c>
      <c r="E663" t="str">
        <f t="shared" si="63"/>
        <v>2021</v>
      </c>
      <c r="F663" t="s">
        <v>1287</v>
      </c>
      <c r="G663" t="str">
        <f>VLOOKUP(F663,'Customers (2)'!A:I,2,0)</f>
        <v>Annie Campsall</v>
      </c>
      <c r="H663" t="str">
        <f>VLOOKUP(F663,'Customers (2)'!A:I,3,0)</f>
        <v>acampsallid@zimbio.com</v>
      </c>
      <c r="I663" t="str">
        <f>VLOOKUP(F663,'Customers (2)'!A:I,4,0)</f>
        <v>+1 (713) 339-5547</v>
      </c>
      <c r="J663" t="str">
        <f>VLOOKUP(F663,'Customers (2)'!A:I,6,0)</f>
        <v>Houston</v>
      </c>
      <c r="K663" t="str">
        <f>VLOOKUP(F663,'Customers (2)'!A:I,7,0)</f>
        <v>United States</v>
      </c>
      <c r="L663" t="str">
        <f>VLOOKUP(F663,'Customers (2)'!A:I,9,0)</f>
        <v>Yes</v>
      </c>
      <c r="M663" t="str">
        <f>VLOOKUP(N663,'Products (2)'!A:G,2,0)</f>
        <v>Arabica</v>
      </c>
      <c r="N663" t="s">
        <v>44</v>
      </c>
      <c r="O663" t="str">
        <f>VLOOKUP(N663,'Products (2)'!A:G,3,0)</f>
        <v>Medium</v>
      </c>
      <c r="P663">
        <f>VLOOKUP(N663,'Products (2)'!A:G,7,0)</f>
        <v>0.30374999999999996</v>
      </c>
      <c r="Q663">
        <v>6</v>
      </c>
      <c r="R663">
        <f>INDEX([1]products!$A$1:$G$49,MATCH([1]orders!$D663,[1]products!$A$1:$A$49,0),MATCH([1]orders!K$1,[1]products!$A$1:$G$1,0))</f>
        <v>0.2</v>
      </c>
      <c r="S663">
        <f>INDEX([1]products!$A$1:$G$49,MATCH([1]orders!$D663,[1]products!$A$1:$A$49,0),MATCH([1]orders!L$1,[1]products!$A$1:$G$1,0))</f>
        <v>3.375</v>
      </c>
      <c r="T663">
        <f t="shared" si="61"/>
        <v>20.25</v>
      </c>
      <c r="U663">
        <f t="shared" si="64"/>
        <v>1.8224999999999998</v>
      </c>
      <c r="V663">
        <f t="shared" si="65"/>
        <v>8.9999999999999982</v>
      </c>
    </row>
    <row r="664" spans="1:22" x14ac:dyDescent="0.25">
      <c r="A664" t="s">
        <v>1288</v>
      </c>
      <c r="B664">
        <v>44364</v>
      </c>
      <c r="C664" t="str">
        <f t="shared" si="62"/>
        <v>17</v>
      </c>
      <c r="D664" t="str">
        <f t="shared" si="60"/>
        <v>June</v>
      </c>
      <c r="E664" t="str">
        <f t="shared" si="63"/>
        <v>2021</v>
      </c>
      <c r="F664" t="s">
        <v>1289</v>
      </c>
      <c r="G664" t="str">
        <f>VLOOKUP(F664,'Customers (2)'!A:I,2,0)</f>
        <v>Shermy Moseby</v>
      </c>
      <c r="H664" t="str">
        <f>VLOOKUP(F664,'Customers (2)'!A:I,3,0)</f>
        <v>smosebyie@stanford.edu</v>
      </c>
      <c r="I664">
        <f>VLOOKUP(F664,'Customers (2)'!A:I,4,0)</f>
        <v>0</v>
      </c>
      <c r="J664" t="str">
        <f>VLOOKUP(F664,'Customers (2)'!A:I,6,0)</f>
        <v>Murfreesboro</v>
      </c>
      <c r="K664" t="str">
        <f>VLOOKUP(F664,'Customers (2)'!A:I,7,0)</f>
        <v>United States</v>
      </c>
      <c r="L664" t="str">
        <f>VLOOKUP(F664,'Customers (2)'!A:I,9,0)</f>
        <v>No</v>
      </c>
      <c r="M664" t="str">
        <f>VLOOKUP(N664,'Products (2)'!A:G,2,0)</f>
        <v>Liberica</v>
      </c>
      <c r="N664" t="s">
        <v>109</v>
      </c>
      <c r="O664" t="str">
        <f>VLOOKUP(N664,'Products (2)'!A:G,3,0)</f>
        <v>Dark</v>
      </c>
      <c r="P664">
        <f>VLOOKUP(N664,'Products (2)'!A:G,7,0)</f>
        <v>3.8720499999999998</v>
      </c>
      <c r="Q664">
        <v>5</v>
      </c>
      <c r="R664">
        <f>INDEX([1]products!$A$1:$G$49,MATCH([1]orders!$D664,[1]products!$A$1:$A$49,0),MATCH([1]orders!K$1,[1]products!$A$1:$G$1,0))</f>
        <v>2.5</v>
      </c>
      <c r="S664">
        <f>INDEX([1]products!$A$1:$G$49,MATCH([1]orders!$D664,[1]products!$A$1:$A$49,0),MATCH([1]orders!L$1,[1]products!$A$1:$G$1,0))</f>
        <v>29.784999999999997</v>
      </c>
      <c r="T664">
        <f t="shared" si="61"/>
        <v>148.92499999999998</v>
      </c>
      <c r="U664">
        <f t="shared" si="64"/>
        <v>19.360250000000001</v>
      </c>
      <c r="V664">
        <f t="shared" si="65"/>
        <v>13.000000000000004</v>
      </c>
    </row>
    <row r="665" spans="1:22" x14ac:dyDescent="0.25">
      <c r="A665" t="s">
        <v>1290</v>
      </c>
      <c r="B665">
        <v>43554</v>
      </c>
      <c r="C665" t="str">
        <f t="shared" si="62"/>
        <v>30</v>
      </c>
      <c r="D665" t="str">
        <f t="shared" si="60"/>
        <v>March</v>
      </c>
      <c r="E665" t="str">
        <f t="shared" si="63"/>
        <v>2019</v>
      </c>
      <c r="F665" t="s">
        <v>1291</v>
      </c>
      <c r="G665" t="str">
        <f>VLOOKUP(F665,'Customers (2)'!A:I,2,0)</f>
        <v>Corrie Wass</v>
      </c>
      <c r="H665" t="str">
        <f>VLOOKUP(F665,'Customers (2)'!A:I,3,0)</f>
        <v>cwassif@prweb.com</v>
      </c>
      <c r="I665">
        <f>VLOOKUP(F665,'Customers (2)'!A:I,4,0)</f>
        <v>0</v>
      </c>
      <c r="J665" t="str">
        <f>VLOOKUP(F665,'Customers (2)'!A:I,6,0)</f>
        <v>Charleston</v>
      </c>
      <c r="K665" t="str">
        <f>VLOOKUP(F665,'Customers (2)'!A:I,7,0)</f>
        <v>United States</v>
      </c>
      <c r="L665" t="str">
        <f>VLOOKUP(F665,'Customers (2)'!A:I,9,0)</f>
        <v>No</v>
      </c>
      <c r="M665" t="str">
        <f>VLOOKUP(N665,'Products (2)'!A:G,2,0)</f>
        <v>Arabica</v>
      </c>
      <c r="N665" t="s">
        <v>61</v>
      </c>
      <c r="O665" t="str">
        <f>VLOOKUP(N665,'Products (2)'!A:G,3,0)</f>
        <v>Medium</v>
      </c>
      <c r="P665">
        <f>VLOOKUP(N665,'Products (2)'!A:G,7,0)</f>
        <v>1.0125</v>
      </c>
      <c r="Q665">
        <v>6</v>
      </c>
      <c r="R665">
        <f>INDEX([1]products!$A$1:$G$49,MATCH([1]orders!$D665,[1]products!$A$1:$A$49,0),MATCH([1]orders!K$1,[1]products!$A$1:$G$1,0))</f>
        <v>1</v>
      </c>
      <c r="S665">
        <f>INDEX([1]products!$A$1:$G$49,MATCH([1]orders!$D665,[1]products!$A$1:$A$49,0),MATCH([1]orders!L$1,[1]products!$A$1:$G$1,0))</f>
        <v>11.25</v>
      </c>
      <c r="T665">
        <f t="shared" si="61"/>
        <v>67.5</v>
      </c>
      <c r="U665">
        <f t="shared" si="64"/>
        <v>6.0749999999999993</v>
      </c>
      <c r="V665">
        <f t="shared" si="65"/>
        <v>8.9999999999999982</v>
      </c>
    </row>
    <row r="666" spans="1:22" x14ac:dyDescent="0.25">
      <c r="A666" t="s">
        <v>1292</v>
      </c>
      <c r="B666">
        <v>44549</v>
      </c>
      <c r="C666" t="str">
        <f t="shared" si="62"/>
        <v>19</v>
      </c>
      <c r="D666" t="str">
        <f t="shared" si="60"/>
        <v>December</v>
      </c>
      <c r="E666" t="str">
        <f t="shared" si="63"/>
        <v>2021</v>
      </c>
      <c r="F666" t="s">
        <v>1293</v>
      </c>
      <c r="G666" t="str">
        <f>VLOOKUP(F666,'Customers (2)'!A:I,2,0)</f>
        <v>Ira Sjostrom</v>
      </c>
      <c r="H666" t="str">
        <f>VLOOKUP(F666,'Customers (2)'!A:I,3,0)</f>
        <v>isjostromig@pbs.org</v>
      </c>
      <c r="I666" t="str">
        <f>VLOOKUP(F666,'Customers (2)'!A:I,4,0)</f>
        <v>+1 (814) 359-4610</v>
      </c>
      <c r="J666" t="str">
        <f>VLOOKUP(F666,'Customers (2)'!A:I,6,0)</f>
        <v>Erie</v>
      </c>
      <c r="K666" t="str">
        <f>VLOOKUP(F666,'Customers (2)'!A:I,7,0)</f>
        <v>United States</v>
      </c>
      <c r="L666" t="str">
        <f>VLOOKUP(F666,'Customers (2)'!A:I,9,0)</f>
        <v>No</v>
      </c>
      <c r="M666" t="str">
        <f>VLOOKUP(N666,'Products (2)'!A:G,2,0)</f>
        <v>Excelsa</v>
      </c>
      <c r="N666" t="s">
        <v>245</v>
      </c>
      <c r="O666" t="str">
        <f>VLOOKUP(N666,'Products (2)'!A:G,3,0)</f>
        <v>Dark</v>
      </c>
      <c r="P666">
        <f>VLOOKUP(N666,'Products (2)'!A:G,7,0)</f>
        <v>1.3365</v>
      </c>
      <c r="Q666">
        <v>6</v>
      </c>
      <c r="R666">
        <f>INDEX([1]products!$A$1:$G$49,MATCH([1]orders!$D666,[1]products!$A$1:$A$49,0),MATCH([1]orders!K$1,[1]products!$A$1:$G$1,0))</f>
        <v>1</v>
      </c>
      <c r="S666">
        <f>INDEX([1]products!$A$1:$G$49,MATCH([1]orders!$D666,[1]products!$A$1:$A$49,0),MATCH([1]orders!L$1,[1]products!$A$1:$G$1,0))</f>
        <v>12.15</v>
      </c>
      <c r="T666">
        <f t="shared" si="61"/>
        <v>72.900000000000006</v>
      </c>
      <c r="U666">
        <f t="shared" si="64"/>
        <v>8.0190000000000001</v>
      </c>
      <c r="V666">
        <f t="shared" si="65"/>
        <v>10.999999999999998</v>
      </c>
    </row>
    <row r="667" spans="1:22" x14ac:dyDescent="0.25">
      <c r="A667" t="s">
        <v>1292</v>
      </c>
      <c r="B667">
        <v>44549</v>
      </c>
      <c r="C667" t="str">
        <f t="shared" si="62"/>
        <v>19</v>
      </c>
      <c r="D667" t="str">
        <f t="shared" si="60"/>
        <v>December</v>
      </c>
      <c r="E667" t="str">
        <f t="shared" si="63"/>
        <v>2021</v>
      </c>
      <c r="F667" t="s">
        <v>1293</v>
      </c>
      <c r="G667" t="str">
        <f>VLOOKUP(F667,'Customers (2)'!A:I,2,0)</f>
        <v>Ira Sjostrom</v>
      </c>
      <c r="H667" t="str">
        <f>VLOOKUP(F667,'Customers (2)'!A:I,3,0)</f>
        <v>isjostromig@pbs.org</v>
      </c>
      <c r="I667" t="str">
        <f>VLOOKUP(F667,'Customers (2)'!A:I,4,0)</f>
        <v>+1 (814) 359-4610</v>
      </c>
      <c r="J667" t="str">
        <f>VLOOKUP(F667,'Customers (2)'!A:I,6,0)</f>
        <v>Erie</v>
      </c>
      <c r="K667" t="str">
        <f>VLOOKUP(F667,'Customers (2)'!A:I,7,0)</f>
        <v>United States</v>
      </c>
      <c r="L667" t="str">
        <f>VLOOKUP(F667,'Customers (2)'!A:I,9,0)</f>
        <v>No</v>
      </c>
      <c r="M667" t="str">
        <f>VLOOKUP(N667,'Products (2)'!A:G,2,0)</f>
        <v>Liberica</v>
      </c>
      <c r="N667" t="s">
        <v>38</v>
      </c>
      <c r="O667" t="str">
        <f>VLOOKUP(N667,'Products (2)'!A:G,3,0)</f>
        <v>Dark</v>
      </c>
      <c r="P667">
        <f>VLOOKUP(N667,'Products (2)'!A:G,7,0)</f>
        <v>0.50505</v>
      </c>
      <c r="Q667">
        <v>2</v>
      </c>
      <c r="R667">
        <f>INDEX([1]products!$A$1:$G$49,MATCH([1]orders!$D667,[1]products!$A$1:$A$49,0),MATCH([1]orders!K$1,[1]products!$A$1:$G$1,0))</f>
        <v>0.2</v>
      </c>
      <c r="S667">
        <f>INDEX([1]products!$A$1:$G$49,MATCH([1]orders!$D667,[1]products!$A$1:$A$49,0),MATCH([1]orders!L$1,[1]products!$A$1:$G$1,0))</f>
        <v>3.8849999999999998</v>
      </c>
      <c r="T667">
        <f t="shared" si="61"/>
        <v>7.77</v>
      </c>
      <c r="U667">
        <f t="shared" si="64"/>
        <v>1.0101</v>
      </c>
      <c r="V667">
        <f t="shared" si="65"/>
        <v>13</v>
      </c>
    </row>
    <row r="668" spans="1:22" x14ac:dyDescent="0.25">
      <c r="A668" t="s">
        <v>1294</v>
      </c>
      <c r="B668">
        <v>43987</v>
      </c>
      <c r="C668" t="str">
        <f t="shared" si="62"/>
        <v>05</v>
      </c>
      <c r="D668" t="str">
        <f t="shared" si="60"/>
        <v>June</v>
      </c>
      <c r="E668" t="str">
        <f t="shared" si="63"/>
        <v>2020</v>
      </c>
      <c r="F668" t="s">
        <v>1295</v>
      </c>
      <c r="G668" t="str">
        <f>VLOOKUP(F668,'Customers (2)'!A:I,2,0)</f>
        <v>Jermaine Branchett</v>
      </c>
      <c r="H668" t="str">
        <f>VLOOKUP(F668,'Customers (2)'!A:I,3,0)</f>
        <v>jbranchettii@bravesites.com</v>
      </c>
      <c r="I668" t="str">
        <f>VLOOKUP(F668,'Customers (2)'!A:I,4,0)</f>
        <v>+1 (806) 376-6144</v>
      </c>
      <c r="J668" t="str">
        <f>VLOOKUP(F668,'Customers (2)'!A:I,6,0)</f>
        <v>Lubbock</v>
      </c>
      <c r="K668" t="str">
        <f>VLOOKUP(F668,'Customers (2)'!A:I,7,0)</f>
        <v>United States</v>
      </c>
      <c r="L668" t="str">
        <f>VLOOKUP(F668,'Customers (2)'!A:I,9,0)</f>
        <v>No</v>
      </c>
      <c r="M668" t="str">
        <f>VLOOKUP(N668,'Products (2)'!A:G,2,0)</f>
        <v>Arabica</v>
      </c>
      <c r="N668" t="s">
        <v>118</v>
      </c>
      <c r="O668" t="str">
        <f>VLOOKUP(N668,'Products (2)'!A:G,3,0)</f>
        <v>Dark</v>
      </c>
      <c r="P668">
        <f>VLOOKUP(N668,'Products (2)'!A:G,7,0)</f>
        <v>2.0596499999999995</v>
      </c>
      <c r="Q668">
        <v>4</v>
      </c>
      <c r="R668">
        <f>INDEX([1]products!$A$1:$G$49,MATCH([1]orders!$D668,[1]products!$A$1:$A$49,0),MATCH([1]orders!K$1,[1]products!$A$1:$G$1,0))</f>
        <v>2.5</v>
      </c>
      <c r="S668">
        <f>INDEX([1]products!$A$1:$G$49,MATCH([1]orders!$D668,[1]products!$A$1:$A$49,0),MATCH([1]orders!L$1,[1]products!$A$1:$G$1,0))</f>
        <v>22.884999999999998</v>
      </c>
      <c r="T668">
        <f t="shared" si="61"/>
        <v>91.539999999999992</v>
      </c>
      <c r="U668">
        <f t="shared" si="64"/>
        <v>8.2385999999999981</v>
      </c>
      <c r="V668">
        <f t="shared" si="65"/>
        <v>8.9999999999999982</v>
      </c>
    </row>
    <row r="669" spans="1:22" x14ac:dyDescent="0.25">
      <c r="A669" t="s">
        <v>1296</v>
      </c>
      <c r="B669">
        <v>44451</v>
      </c>
      <c r="C669" t="str">
        <f t="shared" si="62"/>
        <v>12</v>
      </c>
      <c r="D669" t="str">
        <f t="shared" si="60"/>
        <v>September</v>
      </c>
      <c r="E669" t="str">
        <f t="shared" si="63"/>
        <v>2021</v>
      </c>
      <c r="F669" t="s">
        <v>1297</v>
      </c>
      <c r="G669" t="str">
        <f>VLOOKUP(F669,'Customers (2)'!A:I,2,0)</f>
        <v>Nissie Rudland</v>
      </c>
      <c r="H669" t="str">
        <f>VLOOKUP(F669,'Customers (2)'!A:I,3,0)</f>
        <v>nrudlandij@blogs.com</v>
      </c>
      <c r="I669" t="str">
        <f>VLOOKUP(F669,'Customers (2)'!A:I,4,0)</f>
        <v>+353 (445) 224-6111</v>
      </c>
      <c r="J669" t="str">
        <f>VLOOKUP(F669,'Customers (2)'!A:I,6,0)</f>
        <v>Gorey</v>
      </c>
      <c r="K669" t="str">
        <f>VLOOKUP(F669,'Customers (2)'!A:I,7,0)</f>
        <v>Ireland</v>
      </c>
      <c r="L669" t="str">
        <f>VLOOKUP(F669,'Customers (2)'!A:I,9,0)</f>
        <v>No</v>
      </c>
      <c r="M669" t="str">
        <f>VLOOKUP(N669,'Products (2)'!A:G,2,0)</f>
        <v>Arabica</v>
      </c>
      <c r="N669" t="s">
        <v>27</v>
      </c>
      <c r="O669" t="str">
        <f>VLOOKUP(N669,'Products (2)'!A:G,3,0)</f>
        <v>Dark</v>
      </c>
      <c r="P669">
        <f>VLOOKUP(N669,'Products (2)'!A:G,7,0)</f>
        <v>0.89549999999999985</v>
      </c>
      <c r="Q669">
        <v>6</v>
      </c>
      <c r="R669">
        <f>INDEX([1]products!$A$1:$G$49,MATCH([1]orders!$D669,[1]products!$A$1:$A$49,0),MATCH([1]orders!K$1,[1]products!$A$1:$G$1,0))</f>
        <v>1</v>
      </c>
      <c r="S669">
        <f>INDEX([1]products!$A$1:$G$49,MATCH([1]orders!$D669,[1]products!$A$1:$A$49,0),MATCH([1]orders!L$1,[1]products!$A$1:$G$1,0))</f>
        <v>9.9499999999999993</v>
      </c>
      <c r="T669">
        <f t="shared" si="61"/>
        <v>59.699999999999996</v>
      </c>
      <c r="U669">
        <f t="shared" si="64"/>
        <v>5.3729999999999993</v>
      </c>
      <c r="V669">
        <f t="shared" si="65"/>
        <v>9</v>
      </c>
    </row>
    <row r="670" spans="1:22" x14ac:dyDescent="0.25">
      <c r="A670" t="s">
        <v>1298</v>
      </c>
      <c r="B670">
        <v>44636</v>
      </c>
      <c r="C670" t="str">
        <f t="shared" si="62"/>
        <v>16</v>
      </c>
      <c r="D670" t="str">
        <f t="shared" si="60"/>
        <v>March</v>
      </c>
      <c r="E670" t="str">
        <f t="shared" si="63"/>
        <v>2022</v>
      </c>
      <c r="F670" t="s">
        <v>1281</v>
      </c>
      <c r="G670" t="str">
        <f>VLOOKUP(F670,'Customers (2)'!A:I,2,0)</f>
        <v>Janella Millett</v>
      </c>
      <c r="H670" t="str">
        <f>VLOOKUP(F670,'Customers (2)'!A:I,3,0)</f>
        <v>jmillettik@addtoany.com</v>
      </c>
      <c r="I670" t="str">
        <f>VLOOKUP(F670,'Customers (2)'!A:I,4,0)</f>
        <v>+1 (919) 302-3228</v>
      </c>
      <c r="J670" t="str">
        <f>VLOOKUP(F670,'Customers (2)'!A:I,6,0)</f>
        <v>Durham</v>
      </c>
      <c r="K670" t="str">
        <f>VLOOKUP(F670,'Customers (2)'!A:I,7,0)</f>
        <v>United States</v>
      </c>
      <c r="L670" t="str">
        <f>VLOOKUP(F670,'Customers (2)'!A:I,9,0)</f>
        <v>Yes</v>
      </c>
      <c r="M670" t="str">
        <f>VLOOKUP(N670,'Products (2)'!A:G,2,0)</f>
        <v>Robusta</v>
      </c>
      <c r="N670" t="s">
        <v>10</v>
      </c>
      <c r="O670" t="str">
        <f>VLOOKUP(N670,'Products (2)'!A:G,3,0)</f>
        <v>Light</v>
      </c>
      <c r="P670">
        <f>VLOOKUP(N670,'Products (2)'!A:G,7,0)</f>
        <v>1.6490999999999998</v>
      </c>
      <c r="Q670">
        <v>5</v>
      </c>
      <c r="R670">
        <f>INDEX([1]products!$A$1:$G$49,MATCH([1]orders!$D670,[1]products!$A$1:$A$49,0),MATCH([1]orders!K$1,[1]products!$A$1:$G$1,0))</f>
        <v>2.5</v>
      </c>
      <c r="S670">
        <f>INDEX([1]products!$A$1:$G$49,MATCH([1]orders!$D670,[1]products!$A$1:$A$49,0),MATCH([1]orders!L$1,[1]products!$A$1:$G$1,0))</f>
        <v>27.484999999999996</v>
      </c>
      <c r="T670">
        <f t="shared" si="61"/>
        <v>137.42499999999998</v>
      </c>
      <c r="U670">
        <f t="shared" si="64"/>
        <v>8.2454999999999998</v>
      </c>
      <c r="V670">
        <f t="shared" si="65"/>
        <v>6.0000000000000009</v>
      </c>
    </row>
    <row r="671" spans="1:22" x14ac:dyDescent="0.25">
      <c r="A671" t="s">
        <v>1299</v>
      </c>
      <c r="B671">
        <v>44551</v>
      </c>
      <c r="C671" t="str">
        <f t="shared" si="62"/>
        <v>21</v>
      </c>
      <c r="D671" t="str">
        <f t="shared" si="60"/>
        <v>December</v>
      </c>
      <c r="E671" t="str">
        <f t="shared" si="63"/>
        <v>2021</v>
      </c>
      <c r="F671" t="s">
        <v>1300</v>
      </c>
      <c r="G671" t="str">
        <f>VLOOKUP(F671,'Customers (2)'!A:I,2,0)</f>
        <v>Ferdie Tourry</v>
      </c>
      <c r="H671" t="str">
        <f>VLOOKUP(F671,'Customers (2)'!A:I,3,0)</f>
        <v>ftourryil@google.de</v>
      </c>
      <c r="I671" t="str">
        <f>VLOOKUP(F671,'Customers (2)'!A:I,4,0)</f>
        <v>+1 (843) 243-1686</v>
      </c>
      <c r="J671" t="str">
        <f>VLOOKUP(F671,'Customers (2)'!A:I,6,0)</f>
        <v>Florence</v>
      </c>
      <c r="K671" t="str">
        <f>VLOOKUP(F671,'Customers (2)'!A:I,7,0)</f>
        <v>United States</v>
      </c>
      <c r="L671" t="str">
        <f>VLOOKUP(F671,'Customers (2)'!A:I,9,0)</f>
        <v>No</v>
      </c>
      <c r="M671" t="str">
        <f>VLOOKUP(N671,'Products (2)'!A:G,2,0)</f>
        <v>Liberica</v>
      </c>
      <c r="N671" t="s">
        <v>197</v>
      </c>
      <c r="O671" t="str">
        <f>VLOOKUP(N671,'Products (2)'!A:G,3,0)</f>
        <v>Medium</v>
      </c>
      <c r="P671">
        <f>VLOOKUP(N671,'Products (2)'!A:G,7,0)</f>
        <v>4.3504499999999995</v>
      </c>
      <c r="Q671">
        <v>2</v>
      </c>
      <c r="R671">
        <f>INDEX([1]products!$A$1:$G$49,MATCH([1]orders!$D671,[1]products!$A$1:$A$49,0),MATCH([1]orders!K$1,[1]products!$A$1:$G$1,0))</f>
        <v>2.5</v>
      </c>
      <c r="S671">
        <f>INDEX([1]products!$A$1:$G$49,MATCH([1]orders!$D671,[1]products!$A$1:$A$49,0),MATCH([1]orders!L$1,[1]products!$A$1:$G$1,0))</f>
        <v>33.464999999999996</v>
      </c>
      <c r="T671">
        <f t="shared" si="61"/>
        <v>66.929999999999993</v>
      </c>
      <c r="U671">
        <f t="shared" si="64"/>
        <v>8.700899999999999</v>
      </c>
      <c r="V671">
        <f t="shared" si="65"/>
        <v>13</v>
      </c>
    </row>
    <row r="672" spans="1:22" x14ac:dyDescent="0.25">
      <c r="A672" t="s">
        <v>1301</v>
      </c>
      <c r="B672">
        <v>43606</v>
      </c>
      <c r="C672" t="str">
        <f t="shared" si="62"/>
        <v>21</v>
      </c>
      <c r="D672" t="str">
        <f t="shared" si="60"/>
        <v>May</v>
      </c>
      <c r="E672" t="str">
        <f t="shared" si="63"/>
        <v>2019</v>
      </c>
      <c r="F672" t="s">
        <v>1302</v>
      </c>
      <c r="G672" t="str">
        <f>VLOOKUP(F672,'Customers (2)'!A:I,2,0)</f>
        <v>Cecil Weatherall</v>
      </c>
      <c r="H672" t="str">
        <f>VLOOKUP(F672,'Customers (2)'!A:I,3,0)</f>
        <v>cweatherallim@toplist.cz</v>
      </c>
      <c r="I672" t="str">
        <f>VLOOKUP(F672,'Customers (2)'!A:I,4,0)</f>
        <v>+1 (315) 335-0182</v>
      </c>
      <c r="J672" t="str">
        <f>VLOOKUP(F672,'Customers (2)'!A:I,6,0)</f>
        <v>Syracuse</v>
      </c>
      <c r="K672" t="str">
        <f>VLOOKUP(F672,'Customers (2)'!A:I,7,0)</f>
        <v>United States</v>
      </c>
      <c r="L672" t="str">
        <f>VLOOKUP(F672,'Customers (2)'!A:I,9,0)</f>
        <v>Yes</v>
      </c>
      <c r="M672" t="str">
        <f>VLOOKUP(N672,'Products (2)'!A:G,2,0)</f>
        <v>Liberica</v>
      </c>
      <c r="N672" t="s">
        <v>77</v>
      </c>
      <c r="O672" t="str">
        <f>VLOOKUP(N672,'Products (2)'!A:G,3,0)</f>
        <v>Medium</v>
      </c>
      <c r="P672">
        <f>VLOOKUP(N672,'Products (2)'!A:G,7,0)</f>
        <v>0.56745000000000001</v>
      </c>
      <c r="Q672">
        <v>3</v>
      </c>
      <c r="R672">
        <f>INDEX([1]products!$A$1:$G$49,MATCH([1]orders!$D672,[1]products!$A$1:$A$49,0),MATCH([1]orders!K$1,[1]products!$A$1:$G$1,0))</f>
        <v>0.2</v>
      </c>
      <c r="S672">
        <f>INDEX([1]products!$A$1:$G$49,MATCH([1]orders!$D672,[1]products!$A$1:$A$49,0),MATCH([1]orders!L$1,[1]products!$A$1:$G$1,0))</f>
        <v>4.3650000000000002</v>
      </c>
      <c r="T672">
        <f t="shared" si="61"/>
        <v>13.095000000000001</v>
      </c>
      <c r="U672">
        <f t="shared" si="64"/>
        <v>1.70235</v>
      </c>
      <c r="V672">
        <f t="shared" si="65"/>
        <v>13</v>
      </c>
    </row>
    <row r="673" spans="1:22" x14ac:dyDescent="0.25">
      <c r="A673" t="s">
        <v>1303</v>
      </c>
      <c r="B673">
        <v>44495</v>
      </c>
      <c r="C673" t="str">
        <f t="shared" si="62"/>
        <v>26</v>
      </c>
      <c r="D673" t="str">
        <f t="shared" si="60"/>
        <v>October</v>
      </c>
      <c r="E673" t="str">
        <f t="shared" si="63"/>
        <v>2021</v>
      </c>
      <c r="F673" t="s">
        <v>1304</v>
      </c>
      <c r="G673" t="str">
        <f>VLOOKUP(F673,'Customers (2)'!A:I,2,0)</f>
        <v>Gale Heindrick</v>
      </c>
      <c r="H673" t="str">
        <f>VLOOKUP(F673,'Customers (2)'!A:I,3,0)</f>
        <v>gheindrickin@usda.gov</v>
      </c>
      <c r="I673" t="str">
        <f>VLOOKUP(F673,'Customers (2)'!A:I,4,0)</f>
        <v>+1 (229) 111-7292</v>
      </c>
      <c r="J673" t="str">
        <f>VLOOKUP(F673,'Customers (2)'!A:I,6,0)</f>
        <v>Lawrenceville</v>
      </c>
      <c r="K673" t="str">
        <f>VLOOKUP(F673,'Customers (2)'!A:I,7,0)</f>
        <v>United States</v>
      </c>
      <c r="L673" t="str">
        <f>VLOOKUP(F673,'Customers (2)'!A:I,9,0)</f>
        <v>No</v>
      </c>
      <c r="M673" t="str">
        <f>VLOOKUP(N673,'Products (2)'!A:G,2,0)</f>
        <v>Robusta</v>
      </c>
      <c r="N673" t="s">
        <v>189</v>
      </c>
      <c r="O673" t="str">
        <f>VLOOKUP(N673,'Products (2)'!A:G,3,0)</f>
        <v>Light</v>
      </c>
      <c r="P673">
        <f>VLOOKUP(N673,'Products (2)'!A:G,7,0)</f>
        <v>0.71699999999999997</v>
      </c>
      <c r="Q673">
        <v>5</v>
      </c>
      <c r="R673">
        <f>INDEX([1]products!$A$1:$G$49,MATCH([1]orders!$D673,[1]products!$A$1:$A$49,0),MATCH([1]orders!K$1,[1]products!$A$1:$G$1,0))</f>
        <v>1</v>
      </c>
      <c r="S673">
        <f>INDEX([1]products!$A$1:$G$49,MATCH([1]orders!$D673,[1]products!$A$1:$A$49,0),MATCH([1]orders!L$1,[1]products!$A$1:$G$1,0))</f>
        <v>11.95</v>
      </c>
      <c r="T673">
        <f t="shared" si="61"/>
        <v>59.75</v>
      </c>
      <c r="U673">
        <f t="shared" si="64"/>
        <v>3.585</v>
      </c>
      <c r="V673">
        <f t="shared" si="65"/>
        <v>6</v>
      </c>
    </row>
    <row r="674" spans="1:22" x14ac:dyDescent="0.25">
      <c r="A674" t="s">
        <v>1305</v>
      </c>
      <c r="B674">
        <v>43916</v>
      </c>
      <c r="C674" t="str">
        <f t="shared" si="62"/>
        <v>26</v>
      </c>
      <c r="D674" t="str">
        <f t="shared" si="60"/>
        <v>March</v>
      </c>
      <c r="E674" t="str">
        <f t="shared" si="63"/>
        <v>2020</v>
      </c>
      <c r="F674" t="s">
        <v>1306</v>
      </c>
      <c r="G674" t="str">
        <f>VLOOKUP(F674,'Customers (2)'!A:I,2,0)</f>
        <v>Layne Imason</v>
      </c>
      <c r="H674" t="str">
        <f>VLOOKUP(F674,'Customers (2)'!A:I,3,0)</f>
        <v>limasonio@discuz.net</v>
      </c>
      <c r="I674">
        <f>VLOOKUP(F674,'Customers (2)'!A:I,4,0)</f>
        <v>0</v>
      </c>
      <c r="J674" t="str">
        <f>VLOOKUP(F674,'Customers (2)'!A:I,6,0)</f>
        <v>Houston</v>
      </c>
      <c r="K674" t="str">
        <f>VLOOKUP(F674,'Customers (2)'!A:I,7,0)</f>
        <v>United States</v>
      </c>
      <c r="L674" t="str">
        <f>VLOOKUP(F674,'Customers (2)'!A:I,9,0)</f>
        <v>Yes</v>
      </c>
      <c r="M674" t="str">
        <f>VLOOKUP(N674,'Products (2)'!A:G,2,0)</f>
        <v>Liberica</v>
      </c>
      <c r="N674" t="s">
        <v>78</v>
      </c>
      <c r="O674" t="str">
        <f>VLOOKUP(N674,'Products (2)'!A:G,3,0)</f>
        <v>Medium</v>
      </c>
      <c r="P674">
        <f>VLOOKUP(N674,'Products (2)'!A:G,7,0)</f>
        <v>1.1349</v>
      </c>
      <c r="Q674">
        <v>5</v>
      </c>
      <c r="R674">
        <f>INDEX([1]products!$A$1:$G$49,MATCH([1]orders!$D674,[1]products!$A$1:$A$49,0),MATCH([1]orders!K$1,[1]products!$A$1:$G$1,0))</f>
        <v>0.5</v>
      </c>
      <c r="S674">
        <f>INDEX([1]products!$A$1:$G$49,MATCH([1]orders!$D674,[1]products!$A$1:$A$49,0),MATCH([1]orders!L$1,[1]products!$A$1:$G$1,0))</f>
        <v>8.73</v>
      </c>
      <c r="T674">
        <f t="shared" si="61"/>
        <v>43.650000000000006</v>
      </c>
      <c r="U674">
        <f t="shared" si="64"/>
        <v>5.6745000000000001</v>
      </c>
      <c r="V674">
        <f t="shared" si="65"/>
        <v>12.999999999999998</v>
      </c>
    </row>
    <row r="675" spans="1:22" x14ac:dyDescent="0.25">
      <c r="A675" t="s">
        <v>1307</v>
      </c>
      <c r="B675">
        <v>44118</v>
      </c>
      <c r="C675" t="str">
        <f t="shared" si="62"/>
        <v>14</v>
      </c>
      <c r="D675" t="str">
        <f t="shared" si="60"/>
        <v>October</v>
      </c>
      <c r="E675" t="str">
        <f t="shared" si="63"/>
        <v>2020</v>
      </c>
      <c r="F675" t="s">
        <v>1308</v>
      </c>
      <c r="G675" t="str">
        <f>VLOOKUP(F675,'Customers (2)'!A:I,2,0)</f>
        <v>Hazel Saill</v>
      </c>
      <c r="H675" t="str">
        <f>VLOOKUP(F675,'Customers (2)'!A:I,3,0)</f>
        <v>hsaillip@odnoklassniki.ru</v>
      </c>
      <c r="I675" t="str">
        <f>VLOOKUP(F675,'Customers (2)'!A:I,4,0)</f>
        <v>+1 (913) 968-8024</v>
      </c>
      <c r="J675" t="str">
        <f>VLOOKUP(F675,'Customers (2)'!A:I,6,0)</f>
        <v>Kansas City</v>
      </c>
      <c r="K675" t="str">
        <f>VLOOKUP(F675,'Customers (2)'!A:I,7,0)</f>
        <v>United States</v>
      </c>
      <c r="L675" t="str">
        <f>VLOOKUP(F675,'Customers (2)'!A:I,9,0)</f>
        <v>Yes</v>
      </c>
      <c r="M675" t="str">
        <f>VLOOKUP(N675,'Products (2)'!A:G,2,0)</f>
        <v>Excelsa</v>
      </c>
      <c r="N675" t="s">
        <v>9</v>
      </c>
      <c r="O675" t="str">
        <f>VLOOKUP(N675,'Products (2)'!A:G,3,0)</f>
        <v>Medium</v>
      </c>
      <c r="P675">
        <f>VLOOKUP(N675,'Products (2)'!A:G,7,0)</f>
        <v>1.5125</v>
      </c>
      <c r="Q675">
        <v>6</v>
      </c>
      <c r="R675">
        <f>INDEX([1]products!$A$1:$G$49,MATCH([1]orders!$D675,[1]products!$A$1:$A$49,0),MATCH([1]orders!K$1,[1]products!$A$1:$G$1,0))</f>
        <v>1</v>
      </c>
      <c r="S675">
        <f>INDEX([1]products!$A$1:$G$49,MATCH([1]orders!$D675,[1]products!$A$1:$A$49,0),MATCH([1]orders!L$1,[1]products!$A$1:$G$1,0))</f>
        <v>13.75</v>
      </c>
      <c r="T675">
        <f t="shared" si="61"/>
        <v>82.5</v>
      </c>
      <c r="U675">
        <f t="shared" si="64"/>
        <v>9.0749999999999993</v>
      </c>
      <c r="V675">
        <f t="shared" si="65"/>
        <v>10.999999999999998</v>
      </c>
    </row>
    <row r="676" spans="1:22" x14ac:dyDescent="0.25">
      <c r="A676" t="s">
        <v>1309</v>
      </c>
      <c r="B676">
        <v>44543</v>
      </c>
      <c r="C676" t="str">
        <f t="shared" si="62"/>
        <v>13</v>
      </c>
      <c r="D676" t="str">
        <f t="shared" si="60"/>
        <v>December</v>
      </c>
      <c r="E676" t="str">
        <f t="shared" si="63"/>
        <v>2021</v>
      </c>
      <c r="F676" t="s">
        <v>1310</v>
      </c>
      <c r="G676" t="str">
        <f>VLOOKUP(F676,'Customers (2)'!A:I,2,0)</f>
        <v>Hermann Larvor</v>
      </c>
      <c r="H676" t="str">
        <f>VLOOKUP(F676,'Customers (2)'!A:I,3,0)</f>
        <v>hlarvoriq@last.fm</v>
      </c>
      <c r="I676" t="str">
        <f>VLOOKUP(F676,'Customers (2)'!A:I,4,0)</f>
        <v>+1 (941) 779-2195</v>
      </c>
      <c r="J676" t="str">
        <f>VLOOKUP(F676,'Customers (2)'!A:I,6,0)</f>
        <v>Bradenton</v>
      </c>
      <c r="K676" t="str">
        <f>VLOOKUP(F676,'Customers (2)'!A:I,7,0)</f>
        <v>United States</v>
      </c>
      <c r="L676" t="str">
        <f>VLOOKUP(F676,'Customers (2)'!A:I,9,0)</f>
        <v>Yes</v>
      </c>
      <c r="M676" t="str">
        <f>VLOOKUP(N676,'Products (2)'!A:G,2,0)</f>
        <v>Arabica</v>
      </c>
      <c r="N676" t="s">
        <v>204</v>
      </c>
      <c r="O676" t="str">
        <f>VLOOKUP(N676,'Products (2)'!A:G,3,0)</f>
        <v>Light</v>
      </c>
      <c r="P676">
        <f>VLOOKUP(N676,'Products (2)'!A:G,7,0)</f>
        <v>2.6806499999999995</v>
      </c>
      <c r="Q676">
        <v>6</v>
      </c>
      <c r="R676">
        <f>INDEX([1]products!$A$1:$G$49,MATCH([1]orders!$D676,[1]products!$A$1:$A$49,0),MATCH([1]orders!K$1,[1]products!$A$1:$G$1,0))</f>
        <v>2.5</v>
      </c>
      <c r="S676">
        <f>INDEX([1]products!$A$1:$G$49,MATCH([1]orders!$D676,[1]products!$A$1:$A$49,0),MATCH([1]orders!L$1,[1]products!$A$1:$G$1,0))</f>
        <v>29.784999999999997</v>
      </c>
      <c r="T676">
        <f t="shared" si="61"/>
        <v>178.70999999999998</v>
      </c>
      <c r="U676">
        <f t="shared" si="64"/>
        <v>16.083899999999996</v>
      </c>
      <c r="V676">
        <f t="shared" si="65"/>
        <v>8.9999999999999982</v>
      </c>
    </row>
    <row r="677" spans="1:22" x14ac:dyDescent="0.25">
      <c r="A677" t="s">
        <v>1311</v>
      </c>
      <c r="B677">
        <v>44263</v>
      </c>
      <c r="C677" t="str">
        <f t="shared" si="62"/>
        <v>08</v>
      </c>
      <c r="D677" t="str">
        <f t="shared" si="60"/>
        <v>March</v>
      </c>
      <c r="E677" t="str">
        <f t="shared" si="63"/>
        <v>2021</v>
      </c>
      <c r="F677" t="s">
        <v>1312</v>
      </c>
      <c r="G677" t="str">
        <f>VLOOKUP(F677,'Customers (2)'!A:I,2,0)</f>
        <v>Terri Lyford</v>
      </c>
      <c r="H677">
        <f>VLOOKUP(F677,'Customers (2)'!A:I,3,0)</f>
        <v>0</v>
      </c>
      <c r="I677" t="str">
        <f>VLOOKUP(F677,'Customers (2)'!A:I,4,0)</f>
        <v>+1 (610) 942-2790</v>
      </c>
      <c r="J677" t="str">
        <f>VLOOKUP(F677,'Customers (2)'!A:I,6,0)</f>
        <v>Allentown</v>
      </c>
      <c r="K677" t="str">
        <f>VLOOKUP(F677,'Customers (2)'!A:I,7,0)</f>
        <v>United States</v>
      </c>
      <c r="L677" t="str">
        <f>VLOOKUP(F677,'Customers (2)'!A:I,9,0)</f>
        <v>Yes</v>
      </c>
      <c r="M677" t="str">
        <f>VLOOKUP(N677,'Products (2)'!A:G,2,0)</f>
        <v>Liberica</v>
      </c>
      <c r="N677" t="s">
        <v>109</v>
      </c>
      <c r="O677" t="str">
        <f>VLOOKUP(N677,'Products (2)'!A:G,3,0)</f>
        <v>Dark</v>
      </c>
      <c r="P677">
        <f>VLOOKUP(N677,'Products (2)'!A:G,7,0)</f>
        <v>3.8720499999999998</v>
      </c>
      <c r="Q677">
        <v>4</v>
      </c>
      <c r="R677">
        <f>INDEX([1]products!$A$1:$G$49,MATCH([1]orders!$D677,[1]products!$A$1:$A$49,0),MATCH([1]orders!K$1,[1]products!$A$1:$G$1,0))</f>
        <v>2.5</v>
      </c>
      <c r="S677">
        <f>INDEX([1]products!$A$1:$G$49,MATCH([1]orders!$D677,[1]products!$A$1:$A$49,0),MATCH([1]orders!L$1,[1]products!$A$1:$G$1,0))</f>
        <v>29.784999999999997</v>
      </c>
      <c r="T677">
        <f t="shared" si="61"/>
        <v>119.13999999999999</v>
      </c>
      <c r="U677">
        <f t="shared" si="64"/>
        <v>15.488199999999999</v>
      </c>
      <c r="V677">
        <f t="shared" si="65"/>
        <v>13</v>
      </c>
    </row>
    <row r="678" spans="1:22" x14ac:dyDescent="0.25">
      <c r="A678" t="s">
        <v>1313</v>
      </c>
      <c r="B678">
        <v>44217</v>
      </c>
      <c r="C678" t="str">
        <f t="shared" si="62"/>
        <v>21</v>
      </c>
      <c r="D678" t="str">
        <f t="shared" si="60"/>
        <v>January</v>
      </c>
      <c r="E678" t="str">
        <f t="shared" si="63"/>
        <v>2021</v>
      </c>
      <c r="F678" t="s">
        <v>1314</v>
      </c>
      <c r="G678" t="str">
        <f>VLOOKUP(F678,'Customers (2)'!A:I,2,0)</f>
        <v>Gabey Cogan</v>
      </c>
      <c r="H678">
        <f>VLOOKUP(F678,'Customers (2)'!A:I,3,0)</f>
        <v>0</v>
      </c>
      <c r="I678" t="str">
        <f>VLOOKUP(F678,'Customers (2)'!A:I,4,0)</f>
        <v>+1 (757) 101-9459</v>
      </c>
      <c r="J678" t="str">
        <f>VLOOKUP(F678,'Customers (2)'!A:I,6,0)</f>
        <v>Hampton</v>
      </c>
      <c r="K678" t="str">
        <f>VLOOKUP(F678,'Customers (2)'!A:I,7,0)</f>
        <v>United States</v>
      </c>
      <c r="L678" t="str">
        <f>VLOOKUP(F678,'Customers (2)'!A:I,9,0)</f>
        <v>No</v>
      </c>
      <c r="M678" t="str">
        <f>VLOOKUP(N678,'Products (2)'!A:G,2,0)</f>
        <v>Liberica</v>
      </c>
      <c r="N678" t="s">
        <v>83</v>
      </c>
      <c r="O678" t="str">
        <f>VLOOKUP(N678,'Products (2)'!A:G,3,0)</f>
        <v>Light</v>
      </c>
      <c r="P678">
        <f>VLOOKUP(N678,'Products (2)'!A:G,7,0)</f>
        <v>1.2363</v>
      </c>
      <c r="Q678">
        <v>5</v>
      </c>
      <c r="R678">
        <f>INDEX([1]products!$A$1:$G$49,MATCH([1]orders!$D678,[1]products!$A$1:$A$49,0),MATCH([1]orders!K$1,[1]products!$A$1:$G$1,0))</f>
        <v>0.5</v>
      </c>
      <c r="S678">
        <f>INDEX([1]products!$A$1:$G$49,MATCH([1]orders!$D678,[1]products!$A$1:$A$49,0),MATCH([1]orders!L$1,[1]products!$A$1:$G$1,0))</f>
        <v>9.51</v>
      </c>
      <c r="T678">
        <f t="shared" si="61"/>
        <v>47.55</v>
      </c>
      <c r="U678">
        <f t="shared" si="64"/>
        <v>6.1814999999999998</v>
      </c>
      <c r="V678">
        <f t="shared" si="65"/>
        <v>13</v>
      </c>
    </row>
    <row r="679" spans="1:22" x14ac:dyDescent="0.25">
      <c r="A679" t="s">
        <v>1315</v>
      </c>
      <c r="B679">
        <v>44206</v>
      </c>
      <c r="C679" t="str">
        <f t="shared" si="62"/>
        <v>10</v>
      </c>
      <c r="D679" t="str">
        <f t="shared" si="60"/>
        <v>January</v>
      </c>
      <c r="E679" t="str">
        <f t="shared" si="63"/>
        <v>2021</v>
      </c>
      <c r="F679" t="s">
        <v>1316</v>
      </c>
      <c r="G679" t="str">
        <f>VLOOKUP(F679,'Customers (2)'!A:I,2,0)</f>
        <v>Charin Penwarden</v>
      </c>
      <c r="H679" t="str">
        <f>VLOOKUP(F679,'Customers (2)'!A:I,3,0)</f>
        <v>cpenwardenit@mlb.com</v>
      </c>
      <c r="I679" t="str">
        <f>VLOOKUP(F679,'Customers (2)'!A:I,4,0)</f>
        <v>+353 (765) 345-5590</v>
      </c>
      <c r="J679" t="str">
        <f>VLOOKUP(F679,'Customers (2)'!A:I,6,0)</f>
        <v>Whitegate</v>
      </c>
      <c r="K679" t="str">
        <f>VLOOKUP(F679,'Customers (2)'!A:I,7,0)</f>
        <v>Ireland</v>
      </c>
      <c r="L679" t="str">
        <f>VLOOKUP(F679,'Customers (2)'!A:I,9,0)</f>
        <v>No</v>
      </c>
      <c r="M679" t="str">
        <f>VLOOKUP(N679,'Products (2)'!A:G,2,0)</f>
        <v>Liberica</v>
      </c>
      <c r="N679" t="s">
        <v>78</v>
      </c>
      <c r="O679" t="str">
        <f>VLOOKUP(N679,'Products (2)'!A:G,3,0)</f>
        <v>Medium</v>
      </c>
      <c r="P679">
        <f>VLOOKUP(N679,'Products (2)'!A:G,7,0)</f>
        <v>1.1349</v>
      </c>
      <c r="Q679">
        <v>5</v>
      </c>
      <c r="R679">
        <f>INDEX([1]products!$A$1:$G$49,MATCH([1]orders!$D679,[1]products!$A$1:$A$49,0),MATCH([1]orders!K$1,[1]products!$A$1:$G$1,0))</f>
        <v>0.5</v>
      </c>
      <c r="S679">
        <f>INDEX([1]products!$A$1:$G$49,MATCH([1]orders!$D679,[1]products!$A$1:$A$49,0),MATCH([1]orders!L$1,[1]products!$A$1:$G$1,0))</f>
        <v>8.73</v>
      </c>
      <c r="T679">
        <f t="shared" si="61"/>
        <v>43.650000000000006</v>
      </c>
      <c r="U679">
        <f t="shared" si="64"/>
        <v>5.6745000000000001</v>
      </c>
      <c r="V679">
        <f t="shared" si="65"/>
        <v>12.999999999999998</v>
      </c>
    </row>
    <row r="680" spans="1:22" x14ac:dyDescent="0.25">
      <c r="A680" t="s">
        <v>1317</v>
      </c>
      <c r="B680">
        <v>44281</v>
      </c>
      <c r="C680" t="str">
        <f t="shared" si="62"/>
        <v>26</v>
      </c>
      <c r="D680" t="str">
        <f t="shared" si="60"/>
        <v>March</v>
      </c>
      <c r="E680" t="str">
        <f t="shared" si="63"/>
        <v>2021</v>
      </c>
      <c r="F680" t="s">
        <v>1318</v>
      </c>
      <c r="G680" t="str">
        <f>VLOOKUP(F680,'Customers (2)'!A:I,2,0)</f>
        <v>Milty Middis</v>
      </c>
      <c r="H680" t="str">
        <f>VLOOKUP(F680,'Customers (2)'!A:I,3,0)</f>
        <v>mmiddisiu@dmoz.org</v>
      </c>
      <c r="I680" t="str">
        <f>VLOOKUP(F680,'Customers (2)'!A:I,4,0)</f>
        <v>+1 (316) 736-9645</v>
      </c>
      <c r="J680" t="str">
        <f>VLOOKUP(F680,'Customers (2)'!A:I,6,0)</f>
        <v>Wichita</v>
      </c>
      <c r="K680" t="str">
        <f>VLOOKUP(F680,'Customers (2)'!A:I,7,0)</f>
        <v>United States</v>
      </c>
      <c r="L680" t="str">
        <f>VLOOKUP(F680,'Customers (2)'!A:I,9,0)</f>
        <v>Yes</v>
      </c>
      <c r="M680" t="str">
        <f>VLOOKUP(N680,'Products (2)'!A:G,2,0)</f>
        <v>Arabica</v>
      </c>
      <c r="N680" t="s">
        <v>204</v>
      </c>
      <c r="O680" t="str">
        <f>VLOOKUP(N680,'Products (2)'!A:G,3,0)</f>
        <v>Light</v>
      </c>
      <c r="P680">
        <f>VLOOKUP(N680,'Products (2)'!A:G,7,0)</f>
        <v>2.6806499999999995</v>
      </c>
      <c r="Q680">
        <v>6</v>
      </c>
      <c r="R680">
        <f>INDEX([1]products!$A$1:$G$49,MATCH([1]orders!$D680,[1]products!$A$1:$A$49,0),MATCH([1]orders!K$1,[1]products!$A$1:$G$1,0))</f>
        <v>2.5</v>
      </c>
      <c r="S680">
        <f>INDEX([1]products!$A$1:$G$49,MATCH([1]orders!$D680,[1]products!$A$1:$A$49,0),MATCH([1]orders!L$1,[1]products!$A$1:$G$1,0))</f>
        <v>29.784999999999997</v>
      </c>
      <c r="T680">
        <f t="shared" si="61"/>
        <v>178.70999999999998</v>
      </c>
      <c r="U680">
        <f t="shared" si="64"/>
        <v>16.083899999999996</v>
      </c>
      <c r="V680">
        <f t="shared" si="65"/>
        <v>8.9999999999999982</v>
      </c>
    </row>
    <row r="681" spans="1:22" x14ac:dyDescent="0.25">
      <c r="A681" t="s">
        <v>1319</v>
      </c>
      <c r="B681">
        <v>44645</v>
      </c>
      <c r="C681" t="str">
        <f t="shared" si="62"/>
        <v>25</v>
      </c>
      <c r="D681" t="str">
        <f t="shared" si="60"/>
        <v>March</v>
      </c>
      <c r="E681" t="str">
        <f t="shared" si="63"/>
        <v>2022</v>
      </c>
      <c r="F681" t="s">
        <v>1320</v>
      </c>
      <c r="G681" t="str">
        <f>VLOOKUP(F681,'Customers (2)'!A:I,2,0)</f>
        <v>Adrianne Vairow</v>
      </c>
      <c r="H681" t="str">
        <f>VLOOKUP(F681,'Customers (2)'!A:I,3,0)</f>
        <v>avairowiv@studiopress.com</v>
      </c>
      <c r="I681" t="str">
        <f>VLOOKUP(F681,'Customers (2)'!A:I,4,0)</f>
        <v>+44 (236) 517-2586</v>
      </c>
      <c r="J681" t="str">
        <f>VLOOKUP(F681,'Customers (2)'!A:I,6,0)</f>
        <v>Thorpe</v>
      </c>
      <c r="K681" t="str">
        <f>VLOOKUP(F681,'Customers (2)'!A:I,7,0)</f>
        <v>United Kingdom</v>
      </c>
      <c r="L681" t="str">
        <f>VLOOKUP(F681,'Customers (2)'!A:I,9,0)</f>
        <v>No</v>
      </c>
      <c r="M681" t="str">
        <f>VLOOKUP(N681,'Products (2)'!A:G,2,0)</f>
        <v>Robusta</v>
      </c>
      <c r="N681" t="s">
        <v>10</v>
      </c>
      <c r="O681" t="str">
        <f>VLOOKUP(N681,'Products (2)'!A:G,3,0)</f>
        <v>Light</v>
      </c>
      <c r="P681">
        <f>VLOOKUP(N681,'Products (2)'!A:G,7,0)</f>
        <v>1.6490999999999998</v>
      </c>
      <c r="Q681">
        <v>1</v>
      </c>
      <c r="R681">
        <f>INDEX([1]products!$A$1:$G$49,MATCH([1]orders!$D681,[1]products!$A$1:$A$49,0),MATCH([1]orders!K$1,[1]products!$A$1:$G$1,0))</f>
        <v>2.5</v>
      </c>
      <c r="S681">
        <f>INDEX([1]products!$A$1:$G$49,MATCH([1]orders!$D681,[1]products!$A$1:$A$49,0),MATCH([1]orders!L$1,[1]products!$A$1:$G$1,0))</f>
        <v>27.484999999999996</v>
      </c>
      <c r="T681">
        <f t="shared" si="61"/>
        <v>27.484999999999996</v>
      </c>
      <c r="U681">
        <f t="shared" si="64"/>
        <v>1.6490999999999998</v>
      </c>
      <c r="V681">
        <f t="shared" si="65"/>
        <v>6.0000000000000009</v>
      </c>
    </row>
    <row r="682" spans="1:22" x14ac:dyDescent="0.25">
      <c r="A682" t="s">
        <v>1321</v>
      </c>
      <c r="B682">
        <v>44399</v>
      </c>
      <c r="C682" t="str">
        <f t="shared" si="62"/>
        <v>22</v>
      </c>
      <c r="D682" t="str">
        <f t="shared" si="60"/>
        <v>July</v>
      </c>
      <c r="E682" t="str">
        <f t="shared" si="63"/>
        <v>2021</v>
      </c>
      <c r="F682" t="s">
        <v>1322</v>
      </c>
      <c r="G682" t="str">
        <f>VLOOKUP(F682,'Customers (2)'!A:I,2,0)</f>
        <v>Anjanette Goldie</v>
      </c>
      <c r="H682" t="str">
        <f>VLOOKUP(F682,'Customers (2)'!A:I,3,0)</f>
        <v>agoldieiw@goo.gl</v>
      </c>
      <c r="I682">
        <f>VLOOKUP(F682,'Customers (2)'!A:I,4,0)</f>
        <v>0</v>
      </c>
      <c r="J682" t="str">
        <f>VLOOKUP(F682,'Customers (2)'!A:I,6,0)</f>
        <v>Danbury</v>
      </c>
      <c r="K682" t="str">
        <f>VLOOKUP(F682,'Customers (2)'!A:I,7,0)</f>
        <v>United States</v>
      </c>
      <c r="L682" t="str">
        <f>VLOOKUP(F682,'Customers (2)'!A:I,9,0)</f>
        <v>No</v>
      </c>
      <c r="M682" t="str">
        <f>VLOOKUP(N682,'Products (2)'!A:G,2,0)</f>
        <v>Arabica</v>
      </c>
      <c r="N682" t="s">
        <v>61</v>
      </c>
      <c r="O682" t="str">
        <f>VLOOKUP(N682,'Products (2)'!A:G,3,0)</f>
        <v>Medium</v>
      </c>
      <c r="P682">
        <f>VLOOKUP(N682,'Products (2)'!A:G,7,0)</f>
        <v>1.0125</v>
      </c>
      <c r="Q682">
        <v>5</v>
      </c>
      <c r="R682">
        <f>INDEX([1]products!$A$1:$G$49,MATCH([1]orders!$D682,[1]products!$A$1:$A$49,0),MATCH([1]orders!K$1,[1]products!$A$1:$G$1,0))</f>
        <v>1</v>
      </c>
      <c r="S682">
        <f>INDEX([1]products!$A$1:$G$49,MATCH([1]orders!$D682,[1]products!$A$1:$A$49,0),MATCH([1]orders!L$1,[1]products!$A$1:$G$1,0))</f>
        <v>11.25</v>
      </c>
      <c r="T682">
        <f t="shared" si="61"/>
        <v>56.25</v>
      </c>
      <c r="U682">
        <f t="shared" si="64"/>
        <v>5.0625</v>
      </c>
      <c r="V682">
        <f t="shared" si="65"/>
        <v>9</v>
      </c>
    </row>
    <row r="683" spans="1:22" x14ac:dyDescent="0.25">
      <c r="A683" t="s">
        <v>1323</v>
      </c>
      <c r="B683">
        <v>44080</v>
      </c>
      <c r="C683" t="str">
        <f t="shared" si="62"/>
        <v>06</v>
      </c>
      <c r="D683" t="str">
        <f t="shared" si="60"/>
        <v>September</v>
      </c>
      <c r="E683" t="str">
        <f t="shared" si="63"/>
        <v>2020</v>
      </c>
      <c r="F683" t="s">
        <v>1324</v>
      </c>
      <c r="G683" t="str">
        <f>VLOOKUP(F683,'Customers (2)'!A:I,2,0)</f>
        <v>Nicky Ayris</v>
      </c>
      <c r="H683" t="str">
        <f>VLOOKUP(F683,'Customers (2)'!A:I,3,0)</f>
        <v>nayrisix@t-online.de</v>
      </c>
      <c r="I683" t="str">
        <f>VLOOKUP(F683,'Customers (2)'!A:I,4,0)</f>
        <v>+44 (627) 552-5656</v>
      </c>
      <c r="J683" t="str">
        <f>VLOOKUP(F683,'Customers (2)'!A:I,6,0)</f>
        <v>Kinloch</v>
      </c>
      <c r="K683" t="str">
        <f>VLOOKUP(F683,'Customers (2)'!A:I,7,0)</f>
        <v>United Kingdom</v>
      </c>
      <c r="L683" t="str">
        <f>VLOOKUP(F683,'Customers (2)'!A:I,9,0)</f>
        <v>Yes</v>
      </c>
      <c r="M683" t="str">
        <f>VLOOKUP(N683,'Products (2)'!A:G,2,0)</f>
        <v>Liberica</v>
      </c>
      <c r="N683" t="s">
        <v>19</v>
      </c>
      <c r="O683" t="str">
        <f>VLOOKUP(N683,'Products (2)'!A:G,3,0)</f>
        <v>Light</v>
      </c>
      <c r="P683">
        <f>VLOOKUP(N683,'Products (2)'!A:G,7,0)</f>
        <v>0.61814999999999998</v>
      </c>
      <c r="Q683">
        <v>2</v>
      </c>
      <c r="R683">
        <f>INDEX([1]products!$A$1:$G$49,MATCH([1]orders!$D683,[1]products!$A$1:$A$49,0),MATCH([1]orders!K$1,[1]products!$A$1:$G$1,0))</f>
        <v>0.2</v>
      </c>
      <c r="S683">
        <f>INDEX([1]products!$A$1:$G$49,MATCH([1]orders!$D683,[1]products!$A$1:$A$49,0),MATCH([1]orders!L$1,[1]products!$A$1:$G$1,0))</f>
        <v>4.7549999999999999</v>
      </c>
      <c r="T683">
        <f t="shared" si="61"/>
        <v>9.51</v>
      </c>
      <c r="U683">
        <f t="shared" si="64"/>
        <v>1.2363</v>
      </c>
      <c r="V683">
        <f t="shared" si="65"/>
        <v>13</v>
      </c>
    </row>
    <row r="684" spans="1:22" x14ac:dyDescent="0.25">
      <c r="A684" t="s">
        <v>1325</v>
      </c>
      <c r="B684">
        <v>43827</v>
      </c>
      <c r="C684" t="str">
        <f t="shared" si="62"/>
        <v>28</v>
      </c>
      <c r="D684" t="str">
        <f t="shared" si="60"/>
        <v>December</v>
      </c>
      <c r="E684" t="str">
        <f t="shared" si="63"/>
        <v>2019</v>
      </c>
      <c r="F684" t="s">
        <v>1326</v>
      </c>
      <c r="G684" t="str">
        <f>VLOOKUP(F684,'Customers (2)'!A:I,2,0)</f>
        <v>Laryssa Benediktovich</v>
      </c>
      <c r="H684" t="str">
        <f>VLOOKUP(F684,'Customers (2)'!A:I,3,0)</f>
        <v>lbenediktovichiy@wunderground.com</v>
      </c>
      <c r="I684" t="str">
        <f>VLOOKUP(F684,'Customers (2)'!A:I,4,0)</f>
        <v>+1 (904) 330-1211</v>
      </c>
      <c r="J684" t="str">
        <f>VLOOKUP(F684,'Customers (2)'!A:I,6,0)</f>
        <v>Jacksonville</v>
      </c>
      <c r="K684" t="str">
        <f>VLOOKUP(F684,'Customers (2)'!A:I,7,0)</f>
        <v>United States</v>
      </c>
      <c r="L684" t="str">
        <f>VLOOKUP(F684,'Customers (2)'!A:I,9,0)</f>
        <v>Yes</v>
      </c>
      <c r="M684" t="str">
        <f>VLOOKUP(N684,'Products (2)'!A:G,2,0)</f>
        <v>Excelsa</v>
      </c>
      <c r="N684" t="s">
        <v>64</v>
      </c>
      <c r="O684" t="str">
        <f>VLOOKUP(N684,'Products (2)'!A:G,3,0)</f>
        <v>Medium</v>
      </c>
      <c r="P684">
        <f>VLOOKUP(N684,'Products (2)'!A:G,7,0)</f>
        <v>0.45374999999999999</v>
      </c>
      <c r="Q684">
        <v>2</v>
      </c>
      <c r="R684">
        <f>INDEX([1]products!$A$1:$G$49,MATCH([1]orders!$D684,[1]products!$A$1:$A$49,0),MATCH([1]orders!K$1,[1]products!$A$1:$G$1,0))</f>
        <v>0.2</v>
      </c>
      <c r="S684">
        <f>INDEX([1]products!$A$1:$G$49,MATCH([1]orders!$D684,[1]products!$A$1:$A$49,0),MATCH([1]orders!L$1,[1]products!$A$1:$G$1,0))</f>
        <v>4.125</v>
      </c>
      <c r="T684">
        <f t="shared" si="61"/>
        <v>8.25</v>
      </c>
      <c r="U684">
        <f t="shared" si="64"/>
        <v>0.90749999999999997</v>
      </c>
      <c r="V684">
        <f t="shared" si="65"/>
        <v>11</v>
      </c>
    </row>
    <row r="685" spans="1:22" x14ac:dyDescent="0.25">
      <c r="A685" t="s">
        <v>1327</v>
      </c>
      <c r="B685">
        <v>43941</v>
      </c>
      <c r="C685" t="str">
        <f t="shared" si="62"/>
        <v>20</v>
      </c>
      <c r="D685" t="str">
        <f t="shared" si="60"/>
        <v>April</v>
      </c>
      <c r="E685" t="str">
        <f t="shared" si="63"/>
        <v>2020</v>
      </c>
      <c r="F685" t="s">
        <v>1328</v>
      </c>
      <c r="G685" t="str">
        <f>VLOOKUP(F685,'Customers (2)'!A:I,2,0)</f>
        <v>Theo Jacobovitz</v>
      </c>
      <c r="H685" t="str">
        <f>VLOOKUP(F685,'Customers (2)'!A:I,3,0)</f>
        <v>tjacobovitziz@cbc.ca</v>
      </c>
      <c r="I685" t="str">
        <f>VLOOKUP(F685,'Customers (2)'!A:I,4,0)</f>
        <v>+1 (713) 642-2082</v>
      </c>
      <c r="J685" t="str">
        <f>VLOOKUP(F685,'Customers (2)'!A:I,6,0)</f>
        <v>Houston</v>
      </c>
      <c r="K685" t="str">
        <f>VLOOKUP(F685,'Customers (2)'!A:I,7,0)</f>
        <v>United States</v>
      </c>
      <c r="L685" t="str">
        <f>VLOOKUP(F685,'Customers (2)'!A:I,9,0)</f>
        <v>No</v>
      </c>
      <c r="M685" t="str">
        <f>VLOOKUP(N685,'Products (2)'!A:G,2,0)</f>
        <v>Liberica</v>
      </c>
      <c r="N685" t="s">
        <v>123</v>
      </c>
      <c r="O685" t="str">
        <f>VLOOKUP(N685,'Products (2)'!A:G,3,0)</f>
        <v>Dark</v>
      </c>
      <c r="P685">
        <f>VLOOKUP(N685,'Products (2)'!A:G,7,0)</f>
        <v>1.0101</v>
      </c>
      <c r="Q685">
        <v>6</v>
      </c>
      <c r="R685">
        <f>INDEX([1]products!$A$1:$G$49,MATCH([1]orders!$D685,[1]products!$A$1:$A$49,0),MATCH([1]orders!K$1,[1]products!$A$1:$G$1,0))</f>
        <v>0.5</v>
      </c>
      <c r="S685">
        <f>INDEX([1]products!$A$1:$G$49,MATCH([1]orders!$D685,[1]products!$A$1:$A$49,0),MATCH([1]orders!L$1,[1]products!$A$1:$G$1,0))</f>
        <v>7.77</v>
      </c>
      <c r="T685">
        <f t="shared" si="61"/>
        <v>46.62</v>
      </c>
      <c r="U685">
        <f t="shared" si="64"/>
        <v>6.0606</v>
      </c>
      <c r="V685">
        <f t="shared" si="65"/>
        <v>13</v>
      </c>
    </row>
    <row r="686" spans="1:22" x14ac:dyDescent="0.25">
      <c r="A686" t="s">
        <v>1329</v>
      </c>
      <c r="B686">
        <v>43517</v>
      </c>
      <c r="C686" t="str">
        <f t="shared" si="62"/>
        <v>21</v>
      </c>
      <c r="D686" t="str">
        <f t="shared" si="60"/>
        <v>February</v>
      </c>
      <c r="E686" t="str">
        <f t="shared" si="63"/>
        <v>2019</v>
      </c>
      <c r="F686" t="s">
        <v>1330</v>
      </c>
      <c r="G686" t="str">
        <f>VLOOKUP(F686,'Customers (2)'!A:I,2,0)</f>
        <v>Becca Ableson</v>
      </c>
      <c r="H686">
        <f>VLOOKUP(F686,'Customers (2)'!A:I,3,0)</f>
        <v>0</v>
      </c>
      <c r="I686" t="str">
        <f>VLOOKUP(F686,'Customers (2)'!A:I,4,0)</f>
        <v>+1 (971) 254-5295</v>
      </c>
      <c r="J686" t="str">
        <f>VLOOKUP(F686,'Customers (2)'!A:I,6,0)</f>
        <v>Portland</v>
      </c>
      <c r="K686" t="str">
        <f>VLOOKUP(F686,'Customers (2)'!A:I,7,0)</f>
        <v>United States</v>
      </c>
      <c r="L686" t="str">
        <f>VLOOKUP(F686,'Customers (2)'!A:I,9,0)</f>
        <v>No</v>
      </c>
      <c r="M686" t="str">
        <f>VLOOKUP(N686,'Products (2)'!A:G,2,0)</f>
        <v>Robusta</v>
      </c>
      <c r="N686" t="s">
        <v>189</v>
      </c>
      <c r="O686" t="str">
        <f>VLOOKUP(N686,'Products (2)'!A:G,3,0)</f>
        <v>Light</v>
      </c>
      <c r="P686">
        <f>VLOOKUP(N686,'Products (2)'!A:G,7,0)</f>
        <v>0.71699999999999997</v>
      </c>
      <c r="Q686">
        <v>6</v>
      </c>
      <c r="R686">
        <f>INDEX([1]products!$A$1:$G$49,MATCH([1]orders!$D686,[1]products!$A$1:$A$49,0),MATCH([1]orders!K$1,[1]products!$A$1:$G$1,0))</f>
        <v>1</v>
      </c>
      <c r="S686">
        <f>INDEX([1]products!$A$1:$G$49,MATCH([1]orders!$D686,[1]products!$A$1:$A$49,0),MATCH([1]orders!L$1,[1]products!$A$1:$G$1,0))</f>
        <v>11.95</v>
      </c>
      <c r="T686">
        <f t="shared" si="61"/>
        <v>71.699999999999989</v>
      </c>
      <c r="U686">
        <f t="shared" si="64"/>
        <v>4.3019999999999996</v>
      </c>
      <c r="V686">
        <f t="shared" si="65"/>
        <v>6.0000000000000009</v>
      </c>
    </row>
    <row r="687" spans="1:22" x14ac:dyDescent="0.25">
      <c r="A687" t="s">
        <v>1331</v>
      </c>
      <c r="B687">
        <v>44637</v>
      </c>
      <c r="C687" t="str">
        <f t="shared" si="62"/>
        <v>17</v>
      </c>
      <c r="D687" t="str">
        <f t="shared" si="60"/>
        <v>March</v>
      </c>
      <c r="E687" t="str">
        <f t="shared" si="63"/>
        <v>2022</v>
      </c>
      <c r="F687" t="s">
        <v>1332</v>
      </c>
      <c r="G687" t="str">
        <f>VLOOKUP(F687,'Customers (2)'!A:I,2,0)</f>
        <v>Jeno Druitt</v>
      </c>
      <c r="H687" t="str">
        <f>VLOOKUP(F687,'Customers (2)'!A:I,3,0)</f>
        <v>jdruittj1@feedburner.com</v>
      </c>
      <c r="I687" t="str">
        <f>VLOOKUP(F687,'Customers (2)'!A:I,4,0)</f>
        <v>+1 (650) 693-6904</v>
      </c>
      <c r="J687" t="str">
        <f>VLOOKUP(F687,'Customers (2)'!A:I,6,0)</f>
        <v>Pasadena</v>
      </c>
      <c r="K687" t="str">
        <f>VLOOKUP(F687,'Customers (2)'!A:I,7,0)</f>
        <v>United States</v>
      </c>
      <c r="L687" t="str">
        <f>VLOOKUP(F687,'Customers (2)'!A:I,9,0)</f>
        <v>Yes</v>
      </c>
      <c r="M687" t="str">
        <f>VLOOKUP(N687,'Products (2)'!A:G,2,0)</f>
        <v>Liberica</v>
      </c>
      <c r="N687" t="s">
        <v>104</v>
      </c>
      <c r="O687" t="str">
        <f>VLOOKUP(N687,'Products (2)'!A:G,3,0)</f>
        <v>Light</v>
      </c>
      <c r="P687">
        <f>VLOOKUP(N687,'Products (2)'!A:G,7,0)</f>
        <v>4.7391499999999995</v>
      </c>
      <c r="Q687">
        <v>2</v>
      </c>
      <c r="R687">
        <f>INDEX([1]products!$A$1:$G$49,MATCH([1]orders!$D687,[1]products!$A$1:$A$49,0),MATCH([1]orders!K$1,[1]products!$A$1:$G$1,0))</f>
        <v>2.5</v>
      </c>
      <c r="S687">
        <f>INDEX([1]products!$A$1:$G$49,MATCH([1]orders!$D687,[1]products!$A$1:$A$49,0),MATCH([1]orders!L$1,[1]products!$A$1:$G$1,0))</f>
        <v>36.454999999999998</v>
      </c>
      <c r="T687">
        <f t="shared" si="61"/>
        <v>72.91</v>
      </c>
      <c r="U687">
        <f t="shared" si="64"/>
        <v>9.4782999999999991</v>
      </c>
      <c r="V687">
        <f t="shared" si="65"/>
        <v>13</v>
      </c>
    </row>
    <row r="688" spans="1:22" x14ac:dyDescent="0.25">
      <c r="A688" t="s">
        <v>1333</v>
      </c>
      <c r="B688">
        <v>44330</v>
      </c>
      <c r="C688" t="str">
        <f t="shared" si="62"/>
        <v>14</v>
      </c>
      <c r="D688" t="str">
        <f t="shared" si="60"/>
        <v>May</v>
      </c>
      <c r="E688" t="str">
        <f t="shared" si="63"/>
        <v>2021</v>
      </c>
      <c r="F688" t="s">
        <v>1334</v>
      </c>
      <c r="G688" t="str">
        <f>VLOOKUP(F688,'Customers (2)'!A:I,2,0)</f>
        <v>Deonne Shortall</v>
      </c>
      <c r="H688" t="str">
        <f>VLOOKUP(F688,'Customers (2)'!A:I,3,0)</f>
        <v>dshortallj2@wikipedia.org</v>
      </c>
      <c r="I688" t="str">
        <f>VLOOKUP(F688,'Customers (2)'!A:I,4,0)</f>
        <v>+1 (714) 917-8665</v>
      </c>
      <c r="J688" t="str">
        <f>VLOOKUP(F688,'Customers (2)'!A:I,6,0)</f>
        <v>Santa Ana</v>
      </c>
      <c r="K688" t="str">
        <f>VLOOKUP(F688,'Customers (2)'!A:I,7,0)</f>
        <v>United States</v>
      </c>
      <c r="L688" t="str">
        <f>VLOOKUP(F688,'Customers (2)'!A:I,9,0)</f>
        <v>Yes</v>
      </c>
      <c r="M688" t="str">
        <f>VLOOKUP(N688,'Products (2)'!A:G,2,0)</f>
        <v>Robusta</v>
      </c>
      <c r="N688" t="s">
        <v>101</v>
      </c>
      <c r="O688" t="str">
        <f>VLOOKUP(N688,'Products (2)'!A:G,3,0)</f>
        <v>Dark</v>
      </c>
      <c r="P688">
        <f>VLOOKUP(N688,'Products (2)'!A:G,7,0)</f>
        <v>0.16109999999999997</v>
      </c>
      <c r="Q688">
        <v>3</v>
      </c>
      <c r="R688">
        <f>INDEX([1]products!$A$1:$G$49,MATCH([1]orders!$D688,[1]products!$A$1:$A$49,0),MATCH([1]orders!K$1,[1]products!$A$1:$G$1,0))</f>
        <v>0.2</v>
      </c>
      <c r="S688">
        <f>INDEX([1]products!$A$1:$G$49,MATCH([1]orders!$D688,[1]products!$A$1:$A$49,0),MATCH([1]orders!L$1,[1]products!$A$1:$G$1,0))</f>
        <v>2.6849999999999996</v>
      </c>
      <c r="T688">
        <f t="shared" si="61"/>
        <v>8.0549999999999997</v>
      </c>
      <c r="U688">
        <f t="shared" si="64"/>
        <v>0.4832999999999999</v>
      </c>
      <c r="V688">
        <f t="shared" si="65"/>
        <v>5.9999999999999991</v>
      </c>
    </row>
    <row r="689" spans="1:22" x14ac:dyDescent="0.25">
      <c r="A689" t="s">
        <v>1335</v>
      </c>
      <c r="B689">
        <v>43471</v>
      </c>
      <c r="C689" t="str">
        <f t="shared" si="62"/>
        <v>06</v>
      </c>
      <c r="D689" t="str">
        <f t="shared" si="60"/>
        <v>January</v>
      </c>
      <c r="E689" t="str">
        <f t="shared" si="63"/>
        <v>2019</v>
      </c>
      <c r="F689" t="s">
        <v>1336</v>
      </c>
      <c r="G689" t="str">
        <f>VLOOKUP(F689,'Customers (2)'!A:I,2,0)</f>
        <v>Wilton Cottier</v>
      </c>
      <c r="H689" t="str">
        <f>VLOOKUP(F689,'Customers (2)'!A:I,3,0)</f>
        <v>wcottierj3@cafepress.com</v>
      </c>
      <c r="I689" t="str">
        <f>VLOOKUP(F689,'Customers (2)'!A:I,4,0)</f>
        <v>+1 (408) 261-7902</v>
      </c>
      <c r="J689" t="str">
        <f>VLOOKUP(F689,'Customers (2)'!A:I,6,0)</f>
        <v>San Jose</v>
      </c>
      <c r="K689" t="str">
        <f>VLOOKUP(F689,'Customers (2)'!A:I,7,0)</f>
        <v>United States</v>
      </c>
      <c r="L689" t="str">
        <f>VLOOKUP(F689,'Customers (2)'!A:I,9,0)</f>
        <v>No</v>
      </c>
      <c r="M689" t="str">
        <f>VLOOKUP(N689,'Products (2)'!A:G,2,0)</f>
        <v>Excelsa</v>
      </c>
      <c r="N689" t="s">
        <v>3</v>
      </c>
      <c r="O689" t="str">
        <f>VLOOKUP(N689,'Products (2)'!A:G,3,0)</f>
        <v>Medium</v>
      </c>
      <c r="P689">
        <f>VLOOKUP(N689,'Products (2)'!A:G,7,0)</f>
        <v>0.90749999999999997</v>
      </c>
      <c r="Q689">
        <v>2</v>
      </c>
      <c r="R689">
        <f>INDEX([1]products!$A$1:$G$49,MATCH([1]orders!$D689,[1]products!$A$1:$A$49,0),MATCH([1]orders!K$1,[1]products!$A$1:$G$1,0))</f>
        <v>0.5</v>
      </c>
      <c r="S689">
        <f>INDEX([1]products!$A$1:$G$49,MATCH([1]orders!$D689,[1]products!$A$1:$A$49,0),MATCH([1]orders!L$1,[1]products!$A$1:$G$1,0))</f>
        <v>8.25</v>
      </c>
      <c r="T689">
        <f t="shared" si="61"/>
        <v>16.5</v>
      </c>
      <c r="U689">
        <f t="shared" si="64"/>
        <v>1.8149999999999999</v>
      </c>
      <c r="V689">
        <f t="shared" si="65"/>
        <v>11</v>
      </c>
    </row>
    <row r="690" spans="1:22" x14ac:dyDescent="0.25">
      <c r="A690" t="s">
        <v>1337</v>
      </c>
      <c r="B690">
        <v>43579</v>
      </c>
      <c r="C690" t="str">
        <f t="shared" si="62"/>
        <v>24</v>
      </c>
      <c r="D690" t="str">
        <f t="shared" si="60"/>
        <v>April</v>
      </c>
      <c r="E690" t="str">
        <f t="shared" si="63"/>
        <v>2019</v>
      </c>
      <c r="F690" t="s">
        <v>1338</v>
      </c>
      <c r="G690" t="str">
        <f>VLOOKUP(F690,'Customers (2)'!A:I,2,0)</f>
        <v>Kevan Grinsted</v>
      </c>
      <c r="H690" t="str">
        <f>VLOOKUP(F690,'Customers (2)'!A:I,3,0)</f>
        <v>kgrinstedj4@google.com.br</v>
      </c>
      <c r="I690" t="str">
        <f>VLOOKUP(F690,'Customers (2)'!A:I,4,0)</f>
        <v>+353 (773) 225-6216</v>
      </c>
      <c r="J690" t="str">
        <f>VLOOKUP(F690,'Customers (2)'!A:I,6,0)</f>
        <v>Tallaght</v>
      </c>
      <c r="K690" t="str">
        <f>VLOOKUP(F690,'Customers (2)'!A:I,7,0)</f>
        <v>Ireland</v>
      </c>
      <c r="L690" t="str">
        <f>VLOOKUP(F690,'Customers (2)'!A:I,9,0)</f>
        <v>No</v>
      </c>
      <c r="M690" t="str">
        <f>VLOOKUP(N690,'Products (2)'!A:G,2,0)</f>
        <v>Arabica</v>
      </c>
      <c r="N690" t="s">
        <v>6</v>
      </c>
      <c r="O690" t="str">
        <f>VLOOKUP(N690,'Products (2)'!A:G,3,0)</f>
        <v>Light</v>
      </c>
      <c r="P690">
        <f>VLOOKUP(N690,'Products (2)'!A:G,7,0)</f>
        <v>1.1655</v>
      </c>
      <c r="Q690">
        <v>5</v>
      </c>
      <c r="R690">
        <f>INDEX([1]products!$A$1:$G$49,MATCH([1]orders!$D690,[1]products!$A$1:$A$49,0),MATCH([1]orders!K$1,[1]products!$A$1:$G$1,0))</f>
        <v>1</v>
      </c>
      <c r="S690">
        <f>INDEX([1]products!$A$1:$G$49,MATCH([1]orders!$D690,[1]products!$A$1:$A$49,0),MATCH([1]orders!L$1,[1]products!$A$1:$G$1,0))</f>
        <v>12.95</v>
      </c>
      <c r="T690">
        <f t="shared" si="61"/>
        <v>64.75</v>
      </c>
      <c r="U690">
        <f t="shared" si="64"/>
        <v>5.8274999999999997</v>
      </c>
      <c r="V690">
        <f t="shared" si="65"/>
        <v>9</v>
      </c>
    </row>
    <row r="691" spans="1:22" x14ac:dyDescent="0.25">
      <c r="A691" t="s">
        <v>1339</v>
      </c>
      <c r="B691">
        <v>44346</v>
      </c>
      <c r="C691" t="str">
        <f t="shared" si="62"/>
        <v>30</v>
      </c>
      <c r="D691" t="str">
        <f t="shared" si="60"/>
        <v>May</v>
      </c>
      <c r="E691" t="str">
        <f t="shared" si="63"/>
        <v>2021</v>
      </c>
      <c r="F691" t="s">
        <v>1340</v>
      </c>
      <c r="G691" t="str">
        <f>VLOOKUP(F691,'Customers (2)'!A:I,2,0)</f>
        <v>Dionne Skyner</v>
      </c>
      <c r="H691" t="str">
        <f>VLOOKUP(F691,'Customers (2)'!A:I,3,0)</f>
        <v>dskynerj5@hubpages.com</v>
      </c>
      <c r="I691" t="str">
        <f>VLOOKUP(F691,'Customers (2)'!A:I,4,0)</f>
        <v>+1 (719) 937-4913</v>
      </c>
      <c r="J691" t="str">
        <f>VLOOKUP(F691,'Customers (2)'!A:I,6,0)</f>
        <v>Colorado Springs</v>
      </c>
      <c r="K691" t="str">
        <f>VLOOKUP(F691,'Customers (2)'!A:I,7,0)</f>
        <v>United States</v>
      </c>
      <c r="L691" t="str">
        <f>VLOOKUP(F691,'Customers (2)'!A:I,9,0)</f>
        <v>No</v>
      </c>
      <c r="M691" t="str">
        <f>VLOOKUP(N691,'Products (2)'!A:G,2,0)</f>
        <v>Arabica</v>
      </c>
      <c r="N691" t="s">
        <v>67</v>
      </c>
      <c r="O691" t="str">
        <f>VLOOKUP(N691,'Products (2)'!A:G,3,0)</f>
        <v>Medium</v>
      </c>
      <c r="P691">
        <f>VLOOKUP(N691,'Products (2)'!A:G,7,0)</f>
        <v>0.60749999999999993</v>
      </c>
      <c r="Q691">
        <v>5</v>
      </c>
      <c r="R691">
        <f>INDEX([1]products!$A$1:$G$49,MATCH([1]orders!$D691,[1]products!$A$1:$A$49,0),MATCH([1]orders!K$1,[1]products!$A$1:$G$1,0))</f>
        <v>0.5</v>
      </c>
      <c r="S691">
        <f>INDEX([1]products!$A$1:$G$49,MATCH([1]orders!$D691,[1]products!$A$1:$A$49,0),MATCH([1]orders!L$1,[1]products!$A$1:$G$1,0))</f>
        <v>6.75</v>
      </c>
      <c r="T691">
        <f t="shared" si="61"/>
        <v>33.75</v>
      </c>
      <c r="U691">
        <f t="shared" si="64"/>
        <v>3.0374999999999996</v>
      </c>
      <c r="V691">
        <f t="shared" si="65"/>
        <v>8.9999999999999982</v>
      </c>
    </row>
    <row r="692" spans="1:22" x14ac:dyDescent="0.25">
      <c r="A692" t="s">
        <v>1341</v>
      </c>
      <c r="B692">
        <v>44754</v>
      </c>
      <c r="C692" t="str">
        <f t="shared" si="62"/>
        <v>12</v>
      </c>
      <c r="D692" t="str">
        <f t="shared" si="60"/>
        <v>July</v>
      </c>
      <c r="E692" t="str">
        <f t="shared" si="63"/>
        <v>2022</v>
      </c>
      <c r="F692" t="s">
        <v>1342</v>
      </c>
      <c r="G692" t="str">
        <f>VLOOKUP(F692,'Customers (2)'!A:I,2,0)</f>
        <v>Francesco Dressel</v>
      </c>
      <c r="H692">
        <f>VLOOKUP(F692,'Customers (2)'!A:I,3,0)</f>
        <v>0</v>
      </c>
      <c r="I692">
        <f>VLOOKUP(F692,'Customers (2)'!A:I,4,0)</f>
        <v>0</v>
      </c>
      <c r="J692" t="str">
        <f>VLOOKUP(F692,'Customers (2)'!A:I,6,0)</f>
        <v>Toledo</v>
      </c>
      <c r="K692" t="str">
        <f>VLOOKUP(F692,'Customers (2)'!A:I,7,0)</f>
        <v>United States</v>
      </c>
      <c r="L692" t="str">
        <f>VLOOKUP(F692,'Customers (2)'!A:I,9,0)</f>
        <v>No</v>
      </c>
      <c r="M692" t="str">
        <f>VLOOKUP(N692,'Products (2)'!A:G,2,0)</f>
        <v>Liberica</v>
      </c>
      <c r="N692" t="s">
        <v>109</v>
      </c>
      <c r="O692" t="str">
        <f>VLOOKUP(N692,'Products (2)'!A:G,3,0)</f>
        <v>Dark</v>
      </c>
      <c r="P692">
        <f>VLOOKUP(N692,'Products (2)'!A:G,7,0)</f>
        <v>3.8720499999999998</v>
      </c>
      <c r="Q692">
        <v>6</v>
      </c>
      <c r="R692">
        <f>INDEX([1]products!$A$1:$G$49,MATCH([1]orders!$D692,[1]products!$A$1:$A$49,0),MATCH([1]orders!K$1,[1]products!$A$1:$G$1,0))</f>
        <v>2.5</v>
      </c>
      <c r="S692">
        <f>INDEX([1]products!$A$1:$G$49,MATCH([1]orders!$D692,[1]products!$A$1:$A$49,0),MATCH([1]orders!L$1,[1]products!$A$1:$G$1,0))</f>
        <v>29.784999999999997</v>
      </c>
      <c r="T692">
        <f t="shared" si="61"/>
        <v>178.70999999999998</v>
      </c>
      <c r="U692">
        <f t="shared" si="64"/>
        <v>23.232299999999999</v>
      </c>
      <c r="V692">
        <f t="shared" si="65"/>
        <v>13</v>
      </c>
    </row>
    <row r="693" spans="1:22" x14ac:dyDescent="0.25">
      <c r="A693" t="s">
        <v>1343</v>
      </c>
      <c r="B693">
        <v>44227</v>
      </c>
      <c r="C693" t="str">
        <f t="shared" si="62"/>
        <v>31</v>
      </c>
      <c r="D693" t="str">
        <f t="shared" si="60"/>
        <v>January</v>
      </c>
      <c r="E693" t="str">
        <f t="shared" si="63"/>
        <v>2021</v>
      </c>
      <c r="F693" t="s">
        <v>1344</v>
      </c>
      <c r="G693" t="str">
        <f>VLOOKUP(F693,'Customers (2)'!A:I,2,0)</f>
        <v>Jimmy Dymoke</v>
      </c>
      <c r="H693" t="str">
        <f>VLOOKUP(F693,'Customers (2)'!A:I,3,0)</f>
        <v>jdymokeje@prnewswire.com</v>
      </c>
      <c r="I693" t="str">
        <f>VLOOKUP(F693,'Customers (2)'!A:I,4,0)</f>
        <v>+353 (390) 459-9269</v>
      </c>
      <c r="J693" t="str">
        <f>VLOOKUP(F693,'Customers (2)'!A:I,6,0)</f>
        <v>Beaumont</v>
      </c>
      <c r="K693" t="str">
        <f>VLOOKUP(F693,'Customers (2)'!A:I,7,0)</f>
        <v>Ireland</v>
      </c>
      <c r="L693" t="str">
        <f>VLOOKUP(F693,'Customers (2)'!A:I,9,0)</f>
        <v>No</v>
      </c>
      <c r="M693" t="str">
        <f>VLOOKUP(N693,'Products (2)'!A:G,2,0)</f>
        <v>Arabica</v>
      </c>
      <c r="N693" t="s">
        <v>61</v>
      </c>
      <c r="O693" t="str">
        <f>VLOOKUP(N693,'Products (2)'!A:G,3,0)</f>
        <v>Medium</v>
      </c>
      <c r="P693">
        <f>VLOOKUP(N693,'Products (2)'!A:G,7,0)</f>
        <v>1.0125</v>
      </c>
      <c r="Q693">
        <v>2</v>
      </c>
      <c r="R693">
        <f>INDEX([1]products!$A$1:$G$49,MATCH([1]orders!$D693,[1]products!$A$1:$A$49,0),MATCH([1]orders!K$1,[1]products!$A$1:$G$1,0))</f>
        <v>1</v>
      </c>
      <c r="S693">
        <f>INDEX([1]products!$A$1:$G$49,MATCH([1]orders!$D693,[1]products!$A$1:$A$49,0),MATCH([1]orders!L$1,[1]products!$A$1:$G$1,0))</f>
        <v>11.25</v>
      </c>
      <c r="T693">
        <f t="shared" si="61"/>
        <v>22.5</v>
      </c>
      <c r="U693">
        <f t="shared" si="64"/>
        <v>2.0249999999999999</v>
      </c>
      <c r="V693">
        <f t="shared" si="65"/>
        <v>9</v>
      </c>
    </row>
    <row r="694" spans="1:22" x14ac:dyDescent="0.25">
      <c r="A694" t="s">
        <v>1345</v>
      </c>
      <c r="B694">
        <v>43720</v>
      </c>
      <c r="C694" t="str">
        <f t="shared" si="62"/>
        <v>12</v>
      </c>
      <c r="D694" t="str">
        <f t="shared" si="60"/>
        <v>September</v>
      </c>
      <c r="E694" t="str">
        <f t="shared" si="63"/>
        <v>2019</v>
      </c>
      <c r="F694" t="s">
        <v>1346</v>
      </c>
      <c r="G694" t="str">
        <f>VLOOKUP(F694,'Customers (2)'!A:I,2,0)</f>
        <v>Ambrosio Weinmann</v>
      </c>
      <c r="H694" t="str">
        <f>VLOOKUP(F694,'Customers (2)'!A:I,3,0)</f>
        <v>aweinmannj8@shinystat.com</v>
      </c>
      <c r="I694" t="str">
        <f>VLOOKUP(F694,'Customers (2)'!A:I,4,0)</f>
        <v>+1 (513) 966-3308</v>
      </c>
      <c r="J694" t="str">
        <f>VLOOKUP(F694,'Customers (2)'!A:I,6,0)</f>
        <v>Cincinnati</v>
      </c>
      <c r="K694" t="str">
        <f>VLOOKUP(F694,'Customers (2)'!A:I,7,0)</f>
        <v>United States</v>
      </c>
      <c r="L694" t="str">
        <f>VLOOKUP(F694,'Customers (2)'!A:I,9,0)</f>
        <v>No</v>
      </c>
      <c r="M694" t="str">
        <f>VLOOKUP(N694,'Products (2)'!A:G,2,0)</f>
        <v>Liberica</v>
      </c>
      <c r="N694" t="s">
        <v>13</v>
      </c>
      <c r="O694" t="str">
        <f>VLOOKUP(N694,'Products (2)'!A:G,3,0)</f>
        <v>Dark</v>
      </c>
      <c r="P694">
        <f>VLOOKUP(N694,'Products (2)'!A:G,7,0)</f>
        <v>1.6835</v>
      </c>
      <c r="Q694">
        <v>1</v>
      </c>
      <c r="R694">
        <f>INDEX([1]products!$A$1:$G$49,MATCH([1]orders!$D694,[1]products!$A$1:$A$49,0),MATCH([1]orders!K$1,[1]products!$A$1:$G$1,0))</f>
        <v>1</v>
      </c>
      <c r="S694">
        <f>INDEX([1]products!$A$1:$G$49,MATCH([1]orders!$D694,[1]products!$A$1:$A$49,0),MATCH([1]orders!L$1,[1]products!$A$1:$G$1,0))</f>
        <v>12.95</v>
      </c>
      <c r="T694">
        <f t="shared" si="61"/>
        <v>12.95</v>
      </c>
      <c r="U694">
        <f t="shared" si="64"/>
        <v>1.6835</v>
      </c>
      <c r="V694">
        <f t="shared" si="65"/>
        <v>13</v>
      </c>
    </row>
    <row r="695" spans="1:22" x14ac:dyDescent="0.25">
      <c r="A695" t="s">
        <v>1347</v>
      </c>
      <c r="B695">
        <v>44012</v>
      </c>
      <c r="C695" t="str">
        <f t="shared" si="62"/>
        <v>30</v>
      </c>
      <c r="D695" t="str">
        <f t="shared" si="60"/>
        <v>June</v>
      </c>
      <c r="E695" t="str">
        <f t="shared" si="63"/>
        <v>2020</v>
      </c>
      <c r="F695" t="s">
        <v>1348</v>
      </c>
      <c r="G695" t="str">
        <f>VLOOKUP(F695,'Customers (2)'!A:I,2,0)</f>
        <v>Elden Andriessen</v>
      </c>
      <c r="H695" t="str">
        <f>VLOOKUP(F695,'Customers (2)'!A:I,3,0)</f>
        <v>eandriessenj9@europa.eu</v>
      </c>
      <c r="I695" t="str">
        <f>VLOOKUP(F695,'Customers (2)'!A:I,4,0)</f>
        <v>+1 (314) 307-5250</v>
      </c>
      <c r="J695" t="str">
        <f>VLOOKUP(F695,'Customers (2)'!A:I,6,0)</f>
        <v>Saint Louis</v>
      </c>
      <c r="K695" t="str">
        <f>VLOOKUP(F695,'Customers (2)'!A:I,7,0)</f>
        <v>United States</v>
      </c>
      <c r="L695" t="str">
        <f>VLOOKUP(F695,'Customers (2)'!A:I,9,0)</f>
        <v>Yes</v>
      </c>
      <c r="M695" t="str">
        <f>VLOOKUP(N695,'Products (2)'!A:G,2,0)</f>
        <v>Arabica</v>
      </c>
      <c r="N695" t="s">
        <v>171</v>
      </c>
      <c r="O695" t="str">
        <f>VLOOKUP(N695,'Products (2)'!A:G,3,0)</f>
        <v>Medium</v>
      </c>
      <c r="P695">
        <f>VLOOKUP(N695,'Products (2)'!A:G,7,0)</f>
        <v>2.3287499999999994</v>
      </c>
      <c r="Q695">
        <v>2</v>
      </c>
      <c r="R695">
        <f>INDEX([1]products!$A$1:$G$49,MATCH([1]orders!$D695,[1]products!$A$1:$A$49,0),MATCH([1]orders!K$1,[1]products!$A$1:$G$1,0))</f>
        <v>2.5</v>
      </c>
      <c r="S695">
        <f>INDEX([1]products!$A$1:$G$49,MATCH([1]orders!$D695,[1]products!$A$1:$A$49,0),MATCH([1]orders!L$1,[1]products!$A$1:$G$1,0))</f>
        <v>25.874999999999996</v>
      </c>
      <c r="T695">
        <f t="shared" si="61"/>
        <v>51.749999999999993</v>
      </c>
      <c r="U695">
        <f t="shared" si="64"/>
        <v>4.6574999999999989</v>
      </c>
      <c r="V695">
        <f t="shared" si="65"/>
        <v>9</v>
      </c>
    </row>
    <row r="696" spans="1:22" x14ac:dyDescent="0.25">
      <c r="A696" t="s">
        <v>1349</v>
      </c>
      <c r="B696">
        <v>43915</v>
      </c>
      <c r="C696" t="str">
        <f t="shared" si="62"/>
        <v>25</v>
      </c>
      <c r="D696" t="str">
        <f t="shared" si="60"/>
        <v>March</v>
      </c>
      <c r="E696" t="str">
        <f t="shared" si="63"/>
        <v>2020</v>
      </c>
      <c r="F696" t="s">
        <v>1350</v>
      </c>
      <c r="G696" t="str">
        <f>VLOOKUP(F696,'Customers (2)'!A:I,2,0)</f>
        <v>Roxie Deaconson</v>
      </c>
      <c r="H696" t="str">
        <f>VLOOKUP(F696,'Customers (2)'!A:I,3,0)</f>
        <v>rdeaconsonja@archive.org</v>
      </c>
      <c r="I696" t="str">
        <f>VLOOKUP(F696,'Customers (2)'!A:I,4,0)</f>
        <v>+1 (914) 524-1161</v>
      </c>
      <c r="J696" t="str">
        <f>VLOOKUP(F696,'Customers (2)'!A:I,6,0)</f>
        <v>Yonkers</v>
      </c>
      <c r="K696" t="str">
        <f>VLOOKUP(F696,'Customers (2)'!A:I,7,0)</f>
        <v>United States</v>
      </c>
      <c r="L696" t="str">
        <f>VLOOKUP(F696,'Customers (2)'!A:I,9,0)</f>
        <v>No</v>
      </c>
      <c r="M696" t="str">
        <f>VLOOKUP(N696,'Products (2)'!A:G,2,0)</f>
        <v>Excelsa</v>
      </c>
      <c r="N696" t="s">
        <v>16</v>
      </c>
      <c r="O696" t="str">
        <f>VLOOKUP(N696,'Products (2)'!A:G,3,0)</f>
        <v>Dark</v>
      </c>
      <c r="P696">
        <f>VLOOKUP(N696,'Products (2)'!A:G,7,0)</f>
        <v>0.80190000000000006</v>
      </c>
      <c r="Q696">
        <v>5</v>
      </c>
      <c r="R696">
        <f>INDEX([1]products!$A$1:$G$49,MATCH([1]orders!$D696,[1]products!$A$1:$A$49,0),MATCH([1]orders!K$1,[1]products!$A$1:$G$1,0))</f>
        <v>0.5</v>
      </c>
      <c r="S696">
        <f>INDEX([1]products!$A$1:$G$49,MATCH([1]orders!$D696,[1]products!$A$1:$A$49,0),MATCH([1]orders!L$1,[1]products!$A$1:$G$1,0))</f>
        <v>7.29</v>
      </c>
      <c r="T696">
        <f t="shared" si="61"/>
        <v>36.450000000000003</v>
      </c>
      <c r="U696">
        <f t="shared" si="64"/>
        <v>4.0095000000000001</v>
      </c>
      <c r="V696">
        <f t="shared" si="65"/>
        <v>10.999999999999998</v>
      </c>
    </row>
    <row r="697" spans="1:22" x14ac:dyDescent="0.25">
      <c r="A697" t="s">
        <v>1351</v>
      </c>
      <c r="B697">
        <v>44300</v>
      </c>
      <c r="C697" t="str">
        <f t="shared" si="62"/>
        <v>14</v>
      </c>
      <c r="D697" t="str">
        <f t="shared" si="60"/>
        <v>April</v>
      </c>
      <c r="E697" t="str">
        <f t="shared" si="63"/>
        <v>2021</v>
      </c>
      <c r="F697" t="s">
        <v>1352</v>
      </c>
      <c r="G697" t="str">
        <f>VLOOKUP(F697,'Customers (2)'!A:I,2,0)</f>
        <v>Davida Caro</v>
      </c>
      <c r="H697" t="str">
        <f>VLOOKUP(F697,'Customers (2)'!A:I,3,0)</f>
        <v>dcarojb@twitter.com</v>
      </c>
      <c r="I697" t="str">
        <f>VLOOKUP(F697,'Customers (2)'!A:I,4,0)</f>
        <v>+1 (410) 594-3041</v>
      </c>
      <c r="J697" t="str">
        <f>VLOOKUP(F697,'Customers (2)'!A:I,6,0)</f>
        <v>Baltimore</v>
      </c>
      <c r="K697" t="str">
        <f>VLOOKUP(F697,'Customers (2)'!A:I,7,0)</f>
        <v>United States</v>
      </c>
      <c r="L697" t="str">
        <f>VLOOKUP(F697,'Customers (2)'!A:I,9,0)</f>
        <v>Yes</v>
      </c>
      <c r="M697" t="str">
        <f>VLOOKUP(N697,'Products (2)'!A:G,2,0)</f>
        <v>Liberica</v>
      </c>
      <c r="N697" t="s">
        <v>104</v>
      </c>
      <c r="O697" t="str">
        <f>VLOOKUP(N697,'Products (2)'!A:G,3,0)</f>
        <v>Light</v>
      </c>
      <c r="P697">
        <f>VLOOKUP(N697,'Products (2)'!A:G,7,0)</f>
        <v>4.7391499999999995</v>
      </c>
      <c r="Q697">
        <v>5</v>
      </c>
      <c r="R697">
        <f>INDEX([1]products!$A$1:$G$49,MATCH([1]orders!$D697,[1]products!$A$1:$A$49,0),MATCH([1]orders!K$1,[1]products!$A$1:$G$1,0))</f>
        <v>2.5</v>
      </c>
      <c r="S697">
        <f>INDEX([1]products!$A$1:$G$49,MATCH([1]orders!$D697,[1]products!$A$1:$A$49,0),MATCH([1]orders!L$1,[1]products!$A$1:$G$1,0))</f>
        <v>36.454999999999998</v>
      </c>
      <c r="T697">
        <f t="shared" si="61"/>
        <v>182.27499999999998</v>
      </c>
      <c r="U697">
        <f t="shared" si="64"/>
        <v>23.695749999999997</v>
      </c>
      <c r="V697">
        <f t="shared" si="65"/>
        <v>13</v>
      </c>
    </row>
    <row r="698" spans="1:22" x14ac:dyDescent="0.25">
      <c r="A698" t="s">
        <v>1353</v>
      </c>
      <c r="B698">
        <v>43693</v>
      </c>
      <c r="C698" t="str">
        <f t="shared" si="62"/>
        <v>16</v>
      </c>
      <c r="D698" t="str">
        <f t="shared" si="60"/>
        <v>August</v>
      </c>
      <c r="E698" t="str">
        <f t="shared" si="63"/>
        <v>2019</v>
      </c>
      <c r="F698" t="s">
        <v>1354</v>
      </c>
      <c r="G698" t="str">
        <f>VLOOKUP(F698,'Customers (2)'!A:I,2,0)</f>
        <v>Johna Bluck</v>
      </c>
      <c r="H698" t="str">
        <f>VLOOKUP(F698,'Customers (2)'!A:I,3,0)</f>
        <v>jbluckjc@imageshack.us</v>
      </c>
      <c r="I698" t="str">
        <f>VLOOKUP(F698,'Customers (2)'!A:I,4,0)</f>
        <v>+1 (904) 875-3139</v>
      </c>
      <c r="J698" t="str">
        <f>VLOOKUP(F698,'Customers (2)'!A:I,6,0)</f>
        <v>Jacksonville</v>
      </c>
      <c r="K698" t="str">
        <f>VLOOKUP(F698,'Customers (2)'!A:I,7,0)</f>
        <v>United States</v>
      </c>
      <c r="L698" t="str">
        <f>VLOOKUP(F698,'Customers (2)'!A:I,9,0)</f>
        <v>No</v>
      </c>
      <c r="M698" t="str">
        <f>VLOOKUP(N698,'Products (2)'!A:G,2,0)</f>
        <v>Liberica</v>
      </c>
      <c r="N698" t="s">
        <v>123</v>
      </c>
      <c r="O698" t="str">
        <f>VLOOKUP(N698,'Products (2)'!A:G,3,0)</f>
        <v>Dark</v>
      </c>
      <c r="P698">
        <f>VLOOKUP(N698,'Products (2)'!A:G,7,0)</f>
        <v>1.0101</v>
      </c>
      <c r="Q698">
        <v>4</v>
      </c>
      <c r="R698">
        <f>INDEX([1]products!$A$1:$G$49,MATCH([1]orders!$D698,[1]products!$A$1:$A$49,0),MATCH([1]orders!K$1,[1]products!$A$1:$G$1,0))</f>
        <v>0.5</v>
      </c>
      <c r="S698">
        <f>INDEX([1]products!$A$1:$G$49,MATCH([1]orders!$D698,[1]products!$A$1:$A$49,0),MATCH([1]orders!L$1,[1]products!$A$1:$G$1,0))</f>
        <v>7.77</v>
      </c>
      <c r="T698">
        <f t="shared" si="61"/>
        <v>31.08</v>
      </c>
      <c r="U698">
        <f t="shared" si="64"/>
        <v>4.0404</v>
      </c>
      <c r="V698">
        <f t="shared" si="65"/>
        <v>13</v>
      </c>
    </row>
    <row r="699" spans="1:22" x14ac:dyDescent="0.25">
      <c r="A699" t="s">
        <v>1355</v>
      </c>
      <c r="B699">
        <v>44547</v>
      </c>
      <c r="C699" t="str">
        <f t="shared" si="62"/>
        <v>17</v>
      </c>
      <c r="D699" t="str">
        <f t="shared" si="60"/>
        <v>December</v>
      </c>
      <c r="E699" t="str">
        <f t="shared" si="63"/>
        <v>2021</v>
      </c>
      <c r="F699" t="s">
        <v>1356</v>
      </c>
      <c r="G699" t="str">
        <f>VLOOKUP(F699,'Customers (2)'!A:I,2,0)</f>
        <v>Myrle Dearden</v>
      </c>
      <c r="H699">
        <f>VLOOKUP(F699,'Customers (2)'!A:I,3,0)</f>
        <v>0</v>
      </c>
      <c r="I699">
        <f>VLOOKUP(F699,'Customers (2)'!A:I,4,0)</f>
        <v>0</v>
      </c>
      <c r="J699" t="str">
        <f>VLOOKUP(F699,'Customers (2)'!A:I,6,0)</f>
        <v>Bayside</v>
      </c>
      <c r="K699" t="str">
        <f>VLOOKUP(F699,'Customers (2)'!A:I,7,0)</f>
        <v>Ireland</v>
      </c>
      <c r="L699" t="str">
        <f>VLOOKUP(F699,'Customers (2)'!A:I,9,0)</f>
        <v>No</v>
      </c>
      <c r="M699" t="str">
        <f>VLOOKUP(N699,'Products (2)'!A:G,2,0)</f>
        <v>Arabica</v>
      </c>
      <c r="N699" t="s">
        <v>67</v>
      </c>
      <c r="O699" t="str">
        <f>VLOOKUP(N699,'Products (2)'!A:G,3,0)</f>
        <v>Medium</v>
      </c>
      <c r="P699">
        <f>VLOOKUP(N699,'Products (2)'!A:G,7,0)</f>
        <v>0.60749999999999993</v>
      </c>
      <c r="Q699">
        <v>3</v>
      </c>
      <c r="R699">
        <f>INDEX([1]products!$A$1:$G$49,MATCH([1]orders!$D699,[1]products!$A$1:$A$49,0),MATCH([1]orders!K$1,[1]products!$A$1:$G$1,0))</f>
        <v>0.5</v>
      </c>
      <c r="S699">
        <f>INDEX([1]products!$A$1:$G$49,MATCH([1]orders!$D699,[1]products!$A$1:$A$49,0),MATCH([1]orders!L$1,[1]products!$A$1:$G$1,0))</f>
        <v>6.75</v>
      </c>
      <c r="T699">
        <f t="shared" si="61"/>
        <v>20.25</v>
      </c>
      <c r="U699">
        <f t="shared" si="64"/>
        <v>1.8224999999999998</v>
      </c>
      <c r="V699">
        <f t="shared" si="65"/>
        <v>8.9999999999999982</v>
      </c>
    </row>
    <row r="700" spans="1:22" x14ac:dyDescent="0.25">
      <c r="A700" t="s">
        <v>1357</v>
      </c>
      <c r="B700">
        <v>43830</v>
      </c>
      <c r="C700" t="str">
        <f t="shared" si="62"/>
        <v>31</v>
      </c>
      <c r="D700" t="str">
        <f t="shared" si="60"/>
        <v>December</v>
      </c>
      <c r="E700" t="str">
        <f t="shared" si="63"/>
        <v>2019</v>
      </c>
      <c r="F700" t="s">
        <v>1344</v>
      </c>
      <c r="G700" t="str">
        <f>VLOOKUP(F700,'Customers (2)'!A:I,2,0)</f>
        <v>Jimmy Dymoke</v>
      </c>
      <c r="H700" t="str">
        <f>VLOOKUP(F700,'Customers (2)'!A:I,3,0)</f>
        <v>jdymokeje@prnewswire.com</v>
      </c>
      <c r="I700" t="str">
        <f>VLOOKUP(F700,'Customers (2)'!A:I,4,0)</f>
        <v>+353 (390) 459-9269</v>
      </c>
      <c r="J700" t="str">
        <f>VLOOKUP(F700,'Customers (2)'!A:I,6,0)</f>
        <v>Beaumont</v>
      </c>
      <c r="K700" t="str">
        <f>VLOOKUP(F700,'Customers (2)'!A:I,7,0)</f>
        <v>Ireland</v>
      </c>
      <c r="L700" t="str">
        <f>VLOOKUP(F700,'Customers (2)'!A:I,9,0)</f>
        <v>No</v>
      </c>
      <c r="M700" t="str">
        <f>VLOOKUP(N700,'Products (2)'!A:G,2,0)</f>
        <v>Liberica</v>
      </c>
      <c r="N700" t="s">
        <v>13</v>
      </c>
      <c r="O700" t="str">
        <f>VLOOKUP(N700,'Products (2)'!A:G,3,0)</f>
        <v>Dark</v>
      </c>
      <c r="P700">
        <f>VLOOKUP(N700,'Products (2)'!A:G,7,0)</f>
        <v>1.6835</v>
      </c>
      <c r="Q700">
        <v>2</v>
      </c>
      <c r="R700">
        <f>INDEX([1]products!$A$1:$G$49,MATCH([1]orders!$D700,[1]products!$A$1:$A$49,0),MATCH([1]orders!K$1,[1]products!$A$1:$G$1,0))</f>
        <v>1</v>
      </c>
      <c r="S700">
        <f>INDEX([1]products!$A$1:$G$49,MATCH([1]orders!$D700,[1]products!$A$1:$A$49,0),MATCH([1]orders!L$1,[1]products!$A$1:$G$1,0))</f>
        <v>12.95</v>
      </c>
      <c r="T700">
        <f t="shared" si="61"/>
        <v>25.9</v>
      </c>
      <c r="U700">
        <f t="shared" si="64"/>
        <v>3.367</v>
      </c>
      <c r="V700">
        <f t="shared" si="65"/>
        <v>13</v>
      </c>
    </row>
    <row r="701" spans="1:22" x14ac:dyDescent="0.25">
      <c r="A701" t="s">
        <v>1358</v>
      </c>
      <c r="B701">
        <v>44298</v>
      </c>
      <c r="C701" t="str">
        <f t="shared" si="62"/>
        <v>12</v>
      </c>
      <c r="D701" t="str">
        <f t="shared" si="60"/>
        <v>April</v>
      </c>
      <c r="E701" t="str">
        <f t="shared" si="63"/>
        <v>2021</v>
      </c>
      <c r="F701" t="s">
        <v>1359</v>
      </c>
      <c r="G701" t="str">
        <f>VLOOKUP(F701,'Customers (2)'!A:I,2,0)</f>
        <v>Orland Tadman</v>
      </c>
      <c r="H701" t="str">
        <f>VLOOKUP(F701,'Customers (2)'!A:I,3,0)</f>
        <v>otadmanjf@ft.com</v>
      </c>
      <c r="I701" t="str">
        <f>VLOOKUP(F701,'Customers (2)'!A:I,4,0)</f>
        <v>+1 (305) 205-3682</v>
      </c>
      <c r="J701" t="str">
        <f>VLOOKUP(F701,'Customers (2)'!A:I,6,0)</f>
        <v>Miami</v>
      </c>
      <c r="K701" t="str">
        <f>VLOOKUP(F701,'Customers (2)'!A:I,7,0)</f>
        <v>United States</v>
      </c>
      <c r="L701" t="str">
        <f>VLOOKUP(F701,'Customers (2)'!A:I,9,0)</f>
        <v>Yes</v>
      </c>
      <c r="M701" t="str">
        <f>VLOOKUP(N701,'Products (2)'!A:G,2,0)</f>
        <v>Arabica</v>
      </c>
      <c r="N701" t="s">
        <v>72</v>
      </c>
      <c r="O701" t="str">
        <f>VLOOKUP(N701,'Products (2)'!A:G,3,0)</f>
        <v>Dark</v>
      </c>
      <c r="P701">
        <f>VLOOKUP(N701,'Products (2)'!A:G,7,0)</f>
        <v>0.5373</v>
      </c>
      <c r="Q701">
        <v>4</v>
      </c>
      <c r="R701">
        <f>INDEX([1]products!$A$1:$G$49,MATCH([1]orders!$D701,[1]products!$A$1:$A$49,0),MATCH([1]orders!K$1,[1]products!$A$1:$G$1,0))</f>
        <v>0.5</v>
      </c>
      <c r="S701">
        <f>INDEX([1]products!$A$1:$G$49,MATCH([1]orders!$D701,[1]products!$A$1:$A$49,0),MATCH([1]orders!L$1,[1]products!$A$1:$G$1,0))</f>
        <v>5.97</v>
      </c>
      <c r="T701">
        <f t="shared" si="61"/>
        <v>23.88</v>
      </c>
      <c r="U701">
        <f t="shared" si="64"/>
        <v>2.1492</v>
      </c>
      <c r="V701">
        <f t="shared" si="65"/>
        <v>9.0000000000000018</v>
      </c>
    </row>
    <row r="702" spans="1:22" x14ac:dyDescent="0.25">
      <c r="A702" t="s">
        <v>1360</v>
      </c>
      <c r="B702">
        <v>43736</v>
      </c>
      <c r="C702" t="str">
        <f t="shared" si="62"/>
        <v>28</v>
      </c>
      <c r="D702" t="str">
        <f t="shared" si="60"/>
        <v>September</v>
      </c>
      <c r="E702" t="str">
        <f t="shared" si="63"/>
        <v>2019</v>
      </c>
      <c r="F702" t="s">
        <v>1361</v>
      </c>
      <c r="G702" t="str">
        <f>VLOOKUP(F702,'Customers (2)'!A:I,2,0)</f>
        <v>Barrett Gudde</v>
      </c>
      <c r="H702" t="str">
        <f>VLOOKUP(F702,'Customers (2)'!A:I,3,0)</f>
        <v>bguddejg@dailymotion.com</v>
      </c>
      <c r="I702">
        <f>VLOOKUP(F702,'Customers (2)'!A:I,4,0)</f>
        <v>0</v>
      </c>
      <c r="J702" t="str">
        <f>VLOOKUP(F702,'Customers (2)'!A:I,6,0)</f>
        <v>San Francisco</v>
      </c>
      <c r="K702" t="str">
        <f>VLOOKUP(F702,'Customers (2)'!A:I,7,0)</f>
        <v>United States</v>
      </c>
      <c r="L702" t="str">
        <f>VLOOKUP(F702,'Customers (2)'!A:I,9,0)</f>
        <v>No</v>
      </c>
      <c r="M702" t="str">
        <f>VLOOKUP(N702,'Products (2)'!A:G,2,0)</f>
        <v>Liberica</v>
      </c>
      <c r="N702" t="s">
        <v>83</v>
      </c>
      <c r="O702" t="str">
        <f>VLOOKUP(N702,'Products (2)'!A:G,3,0)</f>
        <v>Light</v>
      </c>
      <c r="P702">
        <f>VLOOKUP(N702,'Products (2)'!A:G,7,0)</f>
        <v>1.2363</v>
      </c>
      <c r="Q702">
        <v>2</v>
      </c>
      <c r="R702">
        <f>INDEX([1]products!$A$1:$G$49,MATCH([1]orders!$D702,[1]products!$A$1:$A$49,0),MATCH([1]orders!K$1,[1]products!$A$1:$G$1,0))</f>
        <v>0.5</v>
      </c>
      <c r="S702">
        <f>INDEX([1]products!$A$1:$G$49,MATCH([1]orders!$D702,[1]products!$A$1:$A$49,0),MATCH([1]orders!L$1,[1]products!$A$1:$G$1,0))</f>
        <v>9.51</v>
      </c>
      <c r="T702">
        <f t="shared" si="61"/>
        <v>19.02</v>
      </c>
      <c r="U702">
        <f t="shared" si="64"/>
        <v>2.4725999999999999</v>
      </c>
      <c r="V702">
        <f t="shared" si="65"/>
        <v>13</v>
      </c>
    </row>
    <row r="703" spans="1:22" x14ac:dyDescent="0.25">
      <c r="A703" t="s">
        <v>1362</v>
      </c>
      <c r="B703">
        <v>44727</v>
      </c>
      <c r="C703" t="str">
        <f t="shared" si="62"/>
        <v>15</v>
      </c>
      <c r="D703" t="str">
        <f t="shared" si="60"/>
        <v>June</v>
      </c>
      <c r="E703" t="str">
        <f t="shared" si="63"/>
        <v>2022</v>
      </c>
      <c r="F703" t="s">
        <v>1363</v>
      </c>
      <c r="G703" t="str">
        <f>VLOOKUP(F703,'Customers (2)'!A:I,2,0)</f>
        <v>Nathan Sictornes</v>
      </c>
      <c r="H703" t="str">
        <f>VLOOKUP(F703,'Customers (2)'!A:I,3,0)</f>
        <v>nsictornesjh@buzzfeed.com</v>
      </c>
      <c r="I703" t="str">
        <f>VLOOKUP(F703,'Customers (2)'!A:I,4,0)</f>
        <v>+353 (410) 713-0145</v>
      </c>
      <c r="J703" t="str">
        <f>VLOOKUP(F703,'Customers (2)'!A:I,6,0)</f>
        <v>Sandyford</v>
      </c>
      <c r="K703" t="str">
        <f>VLOOKUP(F703,'Customers (2)'!A:I,7,0)</f>
        <v>Ireland</v>
      </c>
      <c r="L703" t="str">
        <f>VLOOKUP(F703,'Customers (2)'!A:I,9,0)</f>
        <v>Yes</v>
      </c>
      <c r="M703" t="str">
        <f>VLOOKUP(N703,'Products (2)'!A:G,2,0)</f>
        <v>Arabica</v>
      </c>
      <c r="N703" t="s">
        <v>72</v>
      </c>
      <c r="O703" t="str">
        <f>VLOOKUP(N703,'Products (2)'!A:G,3,0)</f>
        <v>Dark</v>
      </c>
      <c r="P703">
        <f>VLOOKUP(N703,'Products (2)'!A:G,7,0)</f>
        <v>0.5373</v>
      </c>
      <c r="Q703">
        <v>5</v>
      </c>
      <c r="R703">
        <f>INDEX([1]products!$A$1:$G$49,MATCH([1]orders!$D703,[1]products!$A$1:$A$49,0),MATCH([1]orders!K$1,[1]products!$A$1:$G$1,0))</f>
        <v>0.5</v>
      </c>
      <c r="S703">
        <f>INDEX([1]products!$A$1:$G$49,MATCH([1]orders!$D703,[1]products!$A$1:$A$49,0),MATCH([1]orders!L$1,[1]products!$A$1:$G$1,0))</f>
        <v>5.97</v>
      </c>
      <c r="T703">
        <f t="shared" si="61"/>
        <v>29.849999999999998</v>
      </c>
      <c r="U703">
        <f t="shared" si="64"/>
        <v>2.6865000000000001</v>
      </c>
      <c r="V703">
        <f t="shared" si="65"/>
        <v>9.0000000000000018</v>
      </c>
    </row>
    <row r="704" spans="1:22" x14ac:dyDescent="0.25">
      <c r="A704" t="s">
        <v>1364</v>
      </c>
      <c r="B704">
        <v>43661</v>
      </c>
      <c r="C704" t="str">
        <f t="shared" si="62"/>
        <v>15</v>
      </c>
      <c r="D704" t="str">
        <f t="shared" si="60"/>
        <v>July</v>
      </c>
      <c r="E704" t="str">
        <f t="shared" si="63"/>
        <v>2019</v>
      </c>
      <c r="F704" t="s">
        <v>1365</v>
      </c>
      <c r="G704" t="str">
        <f>VLOOKUP(F704,'Customers (2)'!A:I,2,0)</f>
        <v>Vivyan Dunning</v>
      </c>
      <c r="H704" t="str">
        <f>VLOOKUP(F704,'Customers (2)'!A:I,3,0)</f>
        <v>vdunningji@independent.co.uk</v>
      </c>
      <c r="I704">
        <f>VLOOKUP(F704,'Customers (2)'!A:I,4,0)</f>
        <v>0</v>
      </c>
      <c r="J704" t="str">
        <f>VLOOKUP(F704,'Customers (2)'!A:I,6,0)</f>
        <v>Punta Gorda</v>
      </c>
      <c r="K704" t="str">
        <f>VLOOKUP(F704,'Customers (2)'!A:I,7,0)</f>
        <v>United States</v>
      </c>
      <c r="L704" t="str">
        <f>VLOOKUP(F704,'Customers (2)'!A:I,9,0)</f>
        <v>Yes</v>
      </c>
      <c r="M704" t="str">
        <f>VLOOKUP(N704,'Products (2)'!A:G,2,0)</f>
        <v>Arabica</v>
      </c>
      <c r="N704" t="s">
        <v>192</v>
      </c>
      <c r="O704" t="str">
        <f>VLOOKUP(N704,'Products (2)'!A:G,3,0)</f>
        <v>Light</v>
      </c>
      <c r="P704">
        <f>VLOOKUP(N704,'Products (2)'!A:G,7,0)</f>
        <v>0.69929999999999992</v>
      </c>
      <c r="Q704">
        <v>1</v>
      </c>
      <c r="R704">
        <f>INDEX([1]products!$A$1:$G$49,MATCH([1]orders!$D704,[1]products!$A$1:$A$49,0),MATCH([1]orders!K$1,[1]products!$A$1:$G$1,0))</f>
        <v>0.5</v>
      </c>
      <c r="S704">
        <f>INDEX([1]products!$A$1:$G$49,MATCH([1]orders!$D704,[1]products!$A$1:$A$49,0),MATCH([1]orders!L$1,[1]products!$A$1:$G$1,0))</f>
        <v>7.77</v>
      </c>
      <c r="T704">
        <f t="shared" si="61"/>
        <v>7.77</v>
      </c>
      <c r="U704">
        <f t="shared" si="64"/>
        <v>0.69929999999999992</v>
      </c>
      <c r="V704">
        <f t="shared" si="65"/>
        <v>9</v>
      </c>
    </row>
    <row r="705" spans="1:22" x14ac:dyDescent="0.25">
      <c r="A705" t="s">
        <v>1366</v>
      </c>
      <c r="B705">
        <v>43506</v>
      </c>
      <c r="C705" t="str">
        <f t="shared" si="62"/>
        <v>10</v>
      </c>
      <c r="D705" t="str">
        <f t="shared" si="60"/>
        <v>February</v>
      </c>
      <c r="E705" t="str">
        <f t="shared" si="63"/>
        <v>2019</v>
      </c>
      <c r="F705" t="s">
        <v>1367</v>
      </c>
      <c r="G705" t="str">
        <f>VLOOKUP(F705,'Customers (2)'!A:I,2,0)</f>
        <v>Doralin Baison</v>
      </c>
      <c r="H705">
        <f>VLOOKUP(F705,'Customers (2)'!A:I,3,0)</f>
        <v>0</v>
      </c>
      <c r="I705" t="str">
        <f>VLOOKUP(F705,'Customers (2)'!A:I,4,0)</f>
        <v>+353 (214) 406-4884</v>
      </c>
      <c r="J705" t="str">
        <f>VLOOKUP(F705,'Customers (2)'!A:I,6,0)</f>
        <v>Ballivor</v>
      </c>
      <c r="K705" t="str">
        <f>VLOOKUP(F705,'Customers (2)'!A:I,7,0)</f>
        <v>Ireland</v>
      </c>
      <c r="L705" t="str">
        <f>VLOOKUP(F705,'Customers (2)'!A:I,9,0)</f>
        <v>Yes</v>
      </c>
      <c r="M705" t="str">
        <f>VLOOKUP(N705,'Products (2)'!A:G,2,0)</f>
        <v>Liberica</v>
      </c>
      <c r="N705" t="s">
        <v>109</v>
      </c>
      <c r="O705" t="str">
        <f>VLOOKUP(N705,'Products (2)'!A:G,3,0)</f>
        <v>Dark</v>
      </c>
      <c r="P705">
        <f>VLOOKUP(N705,'Products (2)'!A:G,7,0)</f>
        <v>3.8720499999999998</v>
      </c>
      <c r="Q705">
        <v>4</v>
      </c>
      <c r="R705">
        <f>INDEX([1]products!$A$1:$G$49,MATCH([1]orders!$D705,[1]products!$A$1:$A$49,0),MATCH([1]orders!K$1,[1]products!$A$1:$G$1,0))</f>
        <v>2.5</v>
      </c>
      <c r="S705">
        <f>INDEX([1]products!$A$1:$G$49,MATCH([1]orders!$D705,[1]products!$A$1:$A$49,0),MATCH([1]orders!L$1,[1]products!$A$1:$G$1,0))</f>
        <v>29.784999999999997</v>
      </c>
      <c r="T705">
        <f t="shared" si="61"/>
        <v>119.13999999999999</v>
      </c>
      <c r="U705">
        <f t="shared" si="64"/>
        <v>15.488199999999999</v>
      </c>
      <c r="V705">
        <f t="shared" si="65"/>
        <v>13</v>
      </c>
    </row>
    <row r="706" spans="1:22" x14ac:dyDescent="0.25">
      <c r="A706" t="s">
        <v>1368</v>
      </c>
      <c r="B706">
        <v>44716</v>
      </c>
      <c r="C706" t="str">
        <f t="shared" si="62"/>
        <v>04</v>
      </c>
      <c r="D706" t="str">
        <f t="shared" ref="D706:D769" si="66">TEXT(B:B,"MMMM")</f>
        <v>June</v>
      </c>
      <c r="E706" t="str">
        <f t="shared" si="63"/>
        <v>2022</v>
      </c>
      <c r="F706" t="s">
        <v>1369</v>
      </c>
      <c r="G706" t="str">
        <f>VLOOKUP(F706,'Customers (2)'!A:I,2,0)</f>
        <v>Josefina Ferens</v>
      </c>
      <c r="H706">
        <f>VLOOKUP(F706,'Customers (2)'!A:I,3,0)</f>
        <v>0</v>
      </c>
      <c r="I706" t="str">
        <f>VLOOKUP(F706,'Customers (2)'!A:I,4,0)</f>
        <v>+1 (212) 163-1916</v>
      </c>
      <c r="J706" t="str">
        <f>VLOOKUP(F706,'Customers (2)'!A:I,6,0)</f>
        <v>New York City</v>
      </c>
      <c r="K706" t="str">
        <f>VLOOKUP(F706,'Customers (2)'!A:I,7,0)</f>
        <v>United States</v>
      </c>
      <c r="L706" t="str">
        <f>VLOOKUP(F706,'Customers (2)'!A:I,9,0)</f>
        <v>Yes</v>
      </c>
      <c r="M706" t="str">
        <f>VLOOKUP(N706,'Products (2)'!A:G,2,0)</f>
        <v>Excelsa</v>
      </c>
      <c r="N706" t="s">
        <v>51</v>
      </c>
      <c r="O706" t="str">
        <f>VLOOKUP(N706,'Products (2)'!A:G,3,0)</f>
        <v>Dark</v>
      </c>
      <c r="P706">
        <f>VLOOKUP(N706,'Products (2)'!A:G,7,0)</f>
        <v>0.40095000000000003</v>
      </c>
      <c r="Q706">
        <v>6</v>
      </c>
      <c r="R706">
        <f>INDEX([1]products!$A$1:$G$49,MATCH([1]orders!$D706,[1]products!$A$1:$A$49,0),MATCH([1]orders!K$1,[1]products!$A$1:$G$1,0))</f>
        <v>0.2</v>
      </c>
      <c r="S706">
        <f>INDEX([1]products!$A$1:$G$49,MATCH([1]orders!$D706,[1]products!$A$1:$A$49,0),MATCH([1]orders!L$1,[1]products!$A$1:$G$1,0))</f>
        <v>3.645</v>
      </c>
      <c r="T706">
        <f t="shared" ref="T706:T769" si="67">Q706*S706</f>
        <v>21.87</v>
      </c>
      <c r="U706">
        <f t="shared" si="64"/>
        <v>2.4057000000000004</v>
      </c>
      <c r="V706">
        <f t="shared" si="65"/>
        <v>11.000000000000002</v>
      </c>
    </row>
    <row r="707" spans="1:22" x14ac:dyDescent="0.25">
      <c r="A707" t="s">
        <v>1370</v>
      </c>
      <c r="B707">
        <v>44114</v>
      </c>
      <c r="C707" t="str">
        <f t="shared" ref="C707:C770" si="68">TEXT(B:B,"DD")</f>
        <v>10</v>
      </c>
      <c r="D707" t="str">
        <f t="shared" si="66"/>
        <v>October</v>
      </c>
      <c r="E707" t="str">
        <f t="shared" ref="E707:E770" si="69">TEXT(B:B,"yyyy")</f>
        <v>2020</v>
      </c>
      <c r="F707" t="s">
        <v>1371</v>
      </c>
      <c r="G707" t="str">
        <f>VLOOKUP(F707,'Customers (2)'!A:I,2,0)</f>
        <v>Shelley Gehring</v>
      </c>
      <c r="H707" t="str">
        <f>VLOOKUP(F707,'Customers (2)'!A:I,3,0)</f>
        <v>sgehringjl@gnu.org</v>
      </c>
      <c r="I707" t="str">
        <f>VLOOKUP(F707,'Customers (2)'!A:I,4,0)</f>
        <v>+1 (864) 940-7075</v>
      </c>
      <c r="J707" t="str">
        <f>VLOOKUP(F707,'Customers (2)'!A:I,6,0)</f>
        <v>Spartanburg</v>
      </c>
      <c r="K707" t="str">
        <f>VLOOKUP(F707,'Customers (2)'!A:I,7,0)</f>
        <v>United States</v>
      </c>
      <c r="L707" t="str">
        <f>VLOOKUP(F707,'Customers (2)'!A:I,9,0)</f>
        <v>No</v>
      </c>
      <c r="M707" t="str">
        <f>VLOOKUP(N707,'Products (2)'!A:G,2,0)</f>
        <v>Excelsa</v>
      </c>
      <c r="N707" t="s">
        <v>176</v>
      </c>
      <c r="O707" t="str">
        <f>VLOOKUP(N707,'Products (2)'!A:G,3,0)</f>
        <v>Light</v>
      </c>
      <c r="P707">
        <f>VLOOKUP(N707,'Products (2)'!A:G,7,0)</f>
        <v>0.98009999999999997</v>
      </c>
      <c r="Q707">
        <v>2</v>
      </c>
      <c r="R707">
        <f>INDEX([1]products!$A$1:$G$49,MATCH([1]orders!$D707,[1]products!$A$1:$A$49,0),MATCH([1]orders!K$1,[1]products!$A$1:$G$1,0))</f>
        <v>0.5</v>
      </c>
      <c r="S707">
        <f>INDEX([1]products!$A$1:$G$49,MATCH([1]orders!$D707,[1]products!$A$1:$A$49,0),MATCH([1]orders!L$1,[1]products!$A$1:$G$1,0))</f>
        <v>8.91</v>
      </c>
      <c r="T707">
        <f t="shared" si="67"/>
        <v>17.82</v>
      </c>
      <c r="U707">
        <f t="shared" ref="U707:U770" si="70">Q707*P707</f>
        <v>1.9601999999999999</v>
      </c>
      <c r="V707">
        <f t="shared" ref="V707:V770" si="71">U707/T707*100</f>
        <v>11</v>
      </c>
    </row>
    <row r="708" spans="1:22" x14ac:dyDescent="0.25">
      <c r="A708" t="s">
        <v>1372</v>
      </c>
      <c r="B708">
        <v>44353</v>
      </c>
      <c r="C708" t="str">
        <f t="shared" si="68"/>
        <v>06</v>
      </c>
      <c r="D708" t="str">
        <f t="shared" si="66"/>
        <v>June</v>
      </c>
      <c r="E708" t="str">
        <f t="shared" si="69"/>
        <v>2021</v>
      </c>
      <c r="F708" t="s">
        <v>1373</v>
      </c>
      <c r="G708" t="str">
        <f>VLOOKUP(F708,'Customers (2)'!A:I,2,0)</f>
        <v>Barrie Fallowes</v>
      </c>
      <c r="H708" t="str">
        <f>VLOOKUP(F708,'Customers (2)'!A:I,3,0)</f>
        <v>bfallowesjm@purevolume.com</v>
      </c>
      <c r="I708" t="str">
        <f>VLOOKUP(F708,'Customers (2)'!A:I,4,0)</f>
        <v>+1 (805) 975-3527</v>
      </c>
      <c r="J708" t="str">
        <f>VLOOKUP(F708,'Customers (2)'!A:I,6,0)</f>
        <v>Bakersfield</v>
      </c>
      <c r="K708" t="str">
        <f>VLOOKUP(F708,'Customers (2)'!A:I,7,0)</f>
        <v>United States</v>
      </c>
      <c r="L708" t="str">
        <f>VLOOKUP(F708,'Customers (2)'!A:I,9,0)</f>
        <v>No</v>
      </c>
      <c r="M708" t="str">
        <f>VLOOKUP(N708,'Products (2)'!A:G,2,0)</f>
        <v>Excelsa</v>
      </c>
      <c r="N708" t="s">
        <v>64</v>
      </c>
      <c r="O708" t="str">
        <f>VLOOKUP(N708,'Products (2)'!A:G,3,0)</f>
        <v>Medium</v>
      </c>
      <c r="P708">
        <f>VLOOKUP(N708,'Products (2)'!A:G,7,0)</f>
        <v>0.45374999999999999</v>
      </c>
      <c r="Q708">
        <v>3</v>
      </c>
      <c r="R708">
        <f>INDEX([1]products!$A$1:$G$49,MATCH([1]orders!$D708,[1]products!$A$1:$A$49,0),MATCH([1]orders!K$1,[1]products!$A$1:$G$1,0))</f>
        <v>0.2</v>
      </c>
      <c r="S708">
        <f>INDEX([1]products!$A$1:$G$49,MATCH([1]orders!$D708,[1]products!$A$1:$A$49,0),MATCH([1]orders!L$1,[1]products!$A$1:$G$1,0))</f>
        <v>4.125</v>
      </c>
      <c r="T708">
        <f t="shared" si="67"/>
        <v>12.375</v>
      </c>
      <c r="U708">
        <f t="shared" si="70"/>
        <v>1.3612500000000001</v>
      </c>
      <c r="V708">
        <f t="shared" si="71"/>
        <v>11</v>
      </c>
    </row>
    <row r="709" spans="1:22" x14ac:dyDescent="0.25">
      <c r="A709" t="s">
        <v>1374</v>
      </c>
      <c r="B709">
        <v>43540</v>
      </c>
      <c r="C709" t="str">
        <f t="shared" si="68"/>
        <v>16</v>
      </c>
      <c r="D709" t="str">
        <f t="shared" si="66"/>
        <v>March</v>
      </c>
      <c r="E709" t="str">
        <f t="shared" si="69"/>
        <v>2019</v>
      </c>
      <c r="F709" t="s">
        <v>1375</v>
      </c>
      <c r="G709" t="str">
        <f>VLOOKUP(F709,'Customers (2)'!A:I,2,0)</f>
        <v>Nicolas Aiton</v>
      </c>
      <c r="H709">
        <f>VLOOKUP(F709,'Customers (2)'!A:I,3,0)</f>
        <v>0</v>
      </c>
      <c r="I709" t="str">
        <f>VLOOKUP(F709,'Customers (2)'!A:I,4,0)</f>
        <v>+353 (861) 791-0313</v>
      </c>
      <c r="J709" t="str">
        <f>VLOOKUP(F709,'Customers (2)'!A:I,6,0)</f>
        <v>Dungarvan</v>
      </c>
      <c r="K709" t="str">
        <f>VLOOKUP(F709,'Customers (2)'!A:I,7,0)</f>
        <v>Ireland</v>
      </c>
      <c r="L709" t="str">
        <f>VLOOKUP(F709,'Customers (2)'!A:I,9,0)</f>
        <v>No</v>
      </c>
      <c r="M709" t="str">
        <f>VLOOKUP(N709,'Products (2)'!A:G,2,0)</f>
        <v>Liberica</v>
      </c>
      <c r="N709" t="s">
        <v>13</v>
      </c>
      <c r="O709" t="str">
        <f>VLOOKUP(N709,'Products (2)'!A:G,3,0)</f>
        <v>Dark</v>
      </c>
      <c r="P709">
        <f>VLOOKUP(N709,'Products (2)'!A:G,7,0)</f>
        <v>1.6835</v>
      </c>
      <c r="Q709">
        <v>2</v>
      </c>
      <c r="R709">
        <f>INDEX([1]products!$A$1:$G$49,MATCH([1]orders!$D709,[1]products!$A$1:$A$49,0),MATCH([1]orders!K$1,[1]products!$A$1:$G$1,0))</f>
        <v>1</v>
      </c>
      <c r="S709">
        <f>INDEX([1]products!$A$1:$G$49,MATCH([1]orders!$D709,[1]products!$A$1:$A$49,0),MATCH([1]orders!L$1,[1]products!$A$1:$G$1,0))</f>
        <v>12.95</v>
      </c>
      <c r="T709">
        <f t="shared" si="67"/>
        <v>25.9</v>
      </c>
      <c r="U709">
        <f t="shared" si="70"/>
        <v>3.367</v>
      </c>
      <c r="V709">
        <f t="shared" si="71"/>
        <v>13</v>
      </c>
    </row>
    <row r="710" spans="1:22" x14ac:dyDescent="0.25">
      <c r="A710" t="s">
        <v>1376</v>
      </c>
      <c r="B710">
        <v>43804</v>
      </c>
      <c r="C710" t="str">
        <f t="shared" si="68"/>
        <v>05</v>
      </c>
      <c r="D710" t="str">
        <f t="shared" si="66"/>
        <v>December</v>
      </c>
      <c r="E710" t="str">
        <f t="shared" si="69"/>
        <v>2019</v>
      </c>
      <c r="F710" t="s">
        <v>1377</v>
      </c>
      <c r="G710" t="str">
        <f>VLOOKUP(F710,'Customers (2)'!A:I,2,0)</f>
        <v>Shelli De Banke</v>
      </c>
      <c r="H710" t="str">
        <f>VLOOKUP(F710,'Customers (2)'!A:I,3,0)</f>
        <v>sdejo@newsvine.com</v>
      </c>
      <c r="I710" t="str">
        <f>VLOOKUP(F710,'Customers (2)'!A:I,4,0)</f>
        <v>+1 (314) 496-2561</v>
      </c>
      <c r="J710" t="str">
        <f>VLOOKUP(F710,'Customers (2)'!A:I,6,0)</f>
        <v>Saint Louis</v>
      </c>
      <c r="K710" t="str">
        <f>VLOOKUP(F710,'Customers (2)'!A:I,7,0)</f>
        <v>United States</v>
      </c>
      <c r="L710" t="str">
        <f>VLOOKUP(F710,'Customers (2)'!A:I,9,0)</f>
        <v>Yes</v>
      </c>
      <c r="M710" t="str">
        <f>VLOOKUP(N710,'Products (2)'!A:G,2,0)</f>
        <v>Arabica</v>
      </c>
      <c r="N710" t="s">
        <v>67</v>
      </c>
      <c r="O710" t="str">
        <f>VLOOKUP(N710,'Products (2)'!A:G,3,0)</f>
        <v>Medium</v>
      </c>
      <c r="P710">
        <f>VLOOKUP(N710,'Products (2)'!A:G,7,0)</f>
        <v>0.60749999999999993</v>
      </c>
      <c r="Q710">
        <v>2</v>
      </c>
      <c r="R710">
        <f>INDEX([1]products!$A$1:$G$49,MATCH([1]orders!$D710,[1]products!$A$1:$A$49,0),MATCH([1]orders!K$1,[1]products!$A$1:$G$1,0))</f>
        <v>0.5</v>
      </c>
      <c r="S710">
        <f>INDEX([1]products!$A$1:$G$49,MATCH([1]orders!$D710,[1]products!$A$1:$A$49,0),MATCH([1]orders!L$1,[1]products!$A$1:$G$1,0))</f>
        <v>6.75</v>
      </c>
      <c r="T710">
        <f t="shared" si="67"/>
        <v>13.5</v>
      </c>
      <c r="U710">
        <f t="shared" si="70"/>
        <v>1.2149999999999999</v>
      </c>
      <c r="V710">
        <f t="shared" si="71"/>
        <v>8.9999999999999982</v>
      </c>
    </row>
    <row r="711" spans="1:22" x14ac:dyDescent="0.25">
      <c r="A711" t="s">
        <v>1378</v>
      </c>
      <c r="B711">
        <v>43485</v>
      </c>
      <c r="C711" t="str">
        <f t="shared" si="68"/>
        <v>20</v>
      </c>
      <c r="D711" t="str">
        <f t="shared" si="66"/>
        <v>January</v>
      </c>
      <c r="E711" t="str">
        <f t="shared" si="69"/>
        <v>2019</v>
      </c>
      <c r="F711" t="s">
        <v>1379</v>
      </c>
      <c r="G711" t="str">
        <f>VLOOKUP(F711,'Customers (2)'!A:I,2,0)</f>
        <v>Lyell Murch</v>
      </c>
      <c r="H711">
        <f>VLOOKUP(F711,'Customers (2)'!A:I,3,0)</f>
        <v>0</v>
      </c>
      <c r="I711" t="str">
        <f>VLOOKUP(F711,'Customers (2)'!A:I,4,0)</f>
        <v>+1 (260) 280-7251</v>
      </c>
      <c r="J711" t="str">
        <f>VLOOKUP(F711,'Customers (2)'!A:I,6,0)</f>
        <v>Fort Wayne</v>
      </c>
      <c r="K711" t="str">
        <f>VLOOKUP(F711,'Customers (2)'!A:I,7,0)</f>
        <v>United States</v>
      </c>
      <c r="L711" t="str">
        <f>VLOOKUP(F711,'Customers (2)'!A:I,9,0)</f>
        <v>Yes</v>
      </c>
      <c r="M711" t="str">
        <f>VLOOKUP(N711,'Products (2)'!A:G,2,0)</f>
        <v>Excelsa</v>
      </c>
      <c r="N711" t="s">
        <v>176</v>
      </c>
      <c r="O711" t="str">
        <f>VLOOKUP(N711,'Products (2)'!A:G,3,0)</f>
        <v>Light</v>
      </c>
      <c r="P711">
        <f>VLOOKUP(N711,'Products (2)'!A:G,7,0)</f>
        <v>0.98009999999999997</v>
      </c>
      <c r="Q711">
        <v>2</v>
      </c>
      <c r="R711">
        <f>INDEX([1]products!$A$1:$G$49,MATCH([1]orders!$D711,[1]products!$A$1:$A$49,0),MATCH([1]orders!K$1,[1]products!$A$1:$G$1,0))</f>
        <v>0.5</v>
      </c>
      <c r="S711">
        <f>INDEX([1]products!$A$1:$G$49,MATCH([1]orders!$D711,[1]products!$A$1:$A$49,0),MATCH([1]orders!L$1,[1]products!$A$1:$G$1,0))</f>
        <v>8.91</v>
      </c>
      <c r="T711">
        <f t="shared" si="67"/>
        <v>17.82</v>
      </c>
      <c r="U711">
        <f t="shared" si="70"/>
        <v>1.9601999999999999</v>
      </c>
      <c r="V711">
        <f t="shared" si="71"/>
        <v>11</v>
      </c>
    </row>
    <row r="712" spans="1:22" x14ac:dyDescent="0.25">
      <c r="A712" t="s">
        <v>1380</v>
      </c>
      <c r="B712">
        <v>44655</v>
      </c>
      <c r="C712" t="str">
        <f t="shared" si="68"/>
        <v>04</v>
      </c>
      <c r="D712" t="str">
        <f t="shared" si="66"/>
        <v>April</v>
      </c>
      <c r="E712" t="str">
        <f t="shared" si="69"/>
        <v>2022</v>
      </c>
      <c r="F712" t="s">
        <v>1381</v>
      </c>
      <c r="G712" t="str">
        <f>VLOOKUP(F712,'Customers (2)'!A:I,2,0)</f>
        <v>Stearne Count</v>
      </c>
      <c r="H712" t="str">
        <f>VLOOKUP(F712,'Customers (2)'!A:I,3,0)</f>
        <v>scountjq@nba.com</v>
      </c>
      <c r="I712" t="str">
        <f>VLOOKUP(F712,'Customers (2)'!A:I,4,0)</f>
        <v>+1 (952) 721-7276</v>
      </c>
      <c r="J712" t="str">
        <f>VLOOKUP(F712,'Customers (2)'!A:I,6,0)</f>
        <v>Young America</v>
      </c>
      <c r="K712" t="str">
        <f>VLOOKUP(F712,'Customers (2)'!A:I,7,0)</f>
        <v>United States</v>
      </c>
      <c r="L712" t="str">
        <f>VLOOKUP(F712,'Customers (2)'!A:I,9,0)</f>
        <v>No</v>
      </c>
      <c r="M712" t="str">
        <f>VLOOKUP(N712,'Products (2)'!A:G,2,0)</f>
        <v>Excelsa</v>
      </c>
      <c r="N712" t="s">
        <v>3</v>
      </c>
      <c r="O712" t="str">
        <f>VLOOKUP(N712,'Products (2)'!A:G,3,0)</f>
        <v>Medium</v>
      </c>
      <c r="P712">
        <f>VLOOKUP(N712,'Products (2)'!A:G,7,0)</f>
        <v>0.90749999999999997</v>
      </c>
      <c r="Q712">
        <v>3</v>
      </c>
      <c r="R712">
        <f>INDEX([1]products!$A$1:$G$49,MATCH([1]orders!$D712,[1]products!$A$1:$A$49,0),MATCH([1]orders!K$1,[1]products!$A$1:$G$1,0))</f>
        <v>0.5</v>
      </c>
      <c r="S712">
        <f>INDEX([1]products!$A$1:$G$49,MATCH([1]orders!$D712,[1]products!$A$1:$A$49,0),MATCH([1]orders!L$1,[1]products!$A$1:$G$1,0))</f>
        <v>8.25</v>
      </c>
      <c r="T712">
        <f t="shared" si="67"/>
        <v>24.75</v>
      </c>
      <c r="U712">
        <f t="shared" si="70"/>
        <v>2.7225000000000001</v>
      </c>
      <c r="V712">
        <f t="shared" si="71"/>
        <v>11</v>
      </c>
    </row>
    <row r="713" spans="1:22" x14ac:dyDescent="0.25">
      <c r="A713" t="s">
        <v>1382</v>
      </c>
      <c r="B713">
        <v>44600</v>
      </c>
      <c r="C713" t="str">
        <f t="shared" si="68"/>
        <v>08</v>
      </c>
      <c r="D713" t="str">
        <f t="shared" si="66"/>
        <v>February</v>
      </c>
      <c r="E713" t="str">
        <f t="shared" si="69"/>
        <v>2022</v>
      </c>
      <c r="F713" t="s">
        <v>1383</v>
      </c>
      <c r="G713" t="str">
        <f>VLOOKUP(F713,'Customers (2)'!A:I,2,0)</f>
        <v>Selia Ragles</v>
      </c>
      <c r="H713" t="str">
        <f>VLOOKUP(F713,'Customers (2)'!A:I,3,0)</f>
        <v>sraglesjr@blogtalkradio.com</v>
      </c>
      <c r="I713" t="str">
        <f>VLOOKUP(F713,'Customers (2)'!A:I,4,0)</f>
        <v>+1 (479) 494-1369</v>
      </c>
      <c r="J713" t="str">
        <f>VLOOKUP(F713,'Customers (2)'!A:I,6,0)</f>
        <v>Fort Smith</v>
      </c>
      <c r="K713" t="str">
        <f>VLOOKUP(F713,'Customers (2)'!A:I,7,0)</f>
        <v>United States</v>
      </c>
      <c r="L713" t="str">
        <f>VLOOKUP(F713,'Customers (2)'!A:I,9,0)</f>
        <v>No</v>
      </c>
      <c r="M713" t="str">
        <f>VLOOKUP(N713,'Products (2)'!A:G,2,0)</f>
        <v>Robusta</v>
      </c>
      <c r="N713" t="s">
        <v>162</v>
      </c>
      <c r="O713" t="str">
        <f>VLOOKUP(N713,'Products (2)'!A:G,3,0)</f>
        <v>Medium</v>
      </c>
      <c r="P713">
        <f>VLOOKUP(N713,'Products (2)'!A:G,7,0)</f>
        <v>0.17909999999999998</v>
      </c>
      <c r="Q713">
        <v>6</v>
      </c>
      <c r="R713">
        <f>INDEX([1]products!$A$1:$G$49,MATCH([1]orders!$D713,[1]products!$A$1:$A$49,0),MATCH([1]orders!K$1,[1]products!$A$1:$G$1,0))</f>
        <v>0.2</v>
      </c>
      <c r="S713">
        <f>INDEX([1]products!$A$1:$G$49,MATCH([1]orders!$D713,[1]products!$A$1:$A$49,0),MATCH([1]orders!L$1,[1]products!$A$1:$G$1,0))</f>
        <v>2.9849999999999999</v>
      </c>
      <c r="T713">
        <f t="shared" si="67"/>
        <v>17.91</v>
      </c>
      <c r="U713">
        <f t="shared" si="70"/>
        <v>1.0745999999999998</v>
      </c>
      <c r="V713">
        <f t="shared" si="71"/>
        <v>5.9999999999999982</v>
      </c>
    </row>
    <row r="714" spans="1:22" x14ac:dyDescent="0.25">
      <c r="A714" t="s">
        <v>1384</v>
      </c>
      <c r="B714">
        <v>43646</v>
      </c>
      <c r="C714" t="str">
        <f t="shared" si="68"/>
        <v>30</v>
      </c>
      <c r="D714" t="str">
        <f t="shared" si="66"/>
        <v>June</v>
      </c>
      <c r="E714" t="str">
        <f t="shared" si="69"/>
        <v>2019</v>
      </c>
      <c r="F714" t="s">
        <v>1385</v>
      </c>
      <c r="G714" t="str">
        <f>VLOOKUP(F714,'Customers (2)'!A:I,2,0)</f>
        <v>Silas Deehan</v>
      </c>
      <c r="H714">
        <f>VLOOKUP(F714,'Customers (2)'!A:I,3,0)</f>
        <v>0</v>
      </c>
      <c r="I714">
        <f>VLOOKUP(F714,'Customers (2)'!A:I,4,0)</f>
        <v>0</v>
      </c>
      <c r="J714" t="str">
        <f>VLOOKUP(F714,'Customers (2)'!A:I,6,0)</f>
        <v>Charlton</v>
      </c>
      <c r="K714" t="str">
        <f>VLOOKUP(F714,'Customers (2)'!A:I,7,0)</f>
        <v>United Kingdom</v>
      </c>
      <c r="L714" t="str">
        <f>VLOOKUP(F714,'Customers (2)'!A:I,9,0)</f>
        <v>No</v>
      </c>
      <c r="M714" t="str">
        <f>VLOOKUP(N714,'Products (2)'!A:G,2,0)</f>
        <v>Excelsa</v>
      </c>
      <c r="N714" t="s">
        <v>3</v>
      </c>
      <c r="O714" t="str">
        <f>VLOOKUP(N714,'Products (2)'!A:G,3,0)</f>
        <v>Medium</v>
      </c>
      <c r="P714">
        <f>VLOOKUP(N714,'Products (2)'!A:G,7,0)</f>
        <v>0.90749999999999997</v>
      </c>
      <c r="Q714">
        <v>2</v>
      </c>
      <c r="R714">
        <f>INDEX([1]products!$A$1:$G$49,MATCH([1]orders!$D714,[1]products!$A$1:$A$49,0),MATCH([1]orders!K$1,[1]products!$A$1:$G$1,0))</f>
        <v>0.5</v>
      </c>
      <c r="S714">
        <f>INDEX([1]products!$A$1:$G$49,MATCH([1]orders!$D714,[1]products!$A$1:$A$49,0),MATCH([1]orders!L$1,[1]products!$A$1:$G$1,0))</f>
        <v>8.25</v>
      </c>
      <c r="T714">
        <f t="shared" si="67"/>
        <v>16.5</v>
      </c>
      <c r="U714">
        <f t="shared" si="70"/>
        <v>1.8149999999999999</v>
      </c>
      <c r="V714">
        <f t="shared" si="71"/>
        <v>11</v>
      </c>
    </row>
    <row r="715" spans="1:22" x14ac:dyDescent="0.25">
      <c r="A715" t="s">
        <v>1386</v>
      </c>
      <c r="B715">
        <v>43960</v>
      </c>
      <c r="C715" t="str">
        <f t="shared" si="68"/>
        <v>09</v>
      </c>
      <c r="D715" t="str">
        <f t="shared" si="66"/>
        <v>May</v>
      </c>
      <c r="E715" t="str">
        <f t="shared" si="69"/>
        <v>2020</v>
      </c>
      <c r="F715" t="s">
        <v>1387</v>
      </c>
      <c r="G715" t="str">
        <f>VLOOKUP(F715,'Customers (2)'!A:I,2,0)</f>
        <v>Sacha Bruun</v>
      </c>
      <c r="H715" t="str">
        <f>VLOOKUP(F715,'Customers (2)'!A:I,3,0)</f>
        <v>sbruunjt@blogtalkradio.com</v>
      </c>
      <c r="I715" t="str">
        <f>VLOOKUP(F715,'Customers (2)'!A:I,4,0)</f>
        <v>+1 (209) 784-1969</v>
      </c>
      <c r="J715" t="str">
        <f>VLOOKUP(F715,'Customers (2)'!A:I,6,0)</f>
        <v>Stockton</v>
      </c>
      <c r="K715" t="str">
        <f>VLOOKUP(F715,'Customers (2)'!A:I,7,0)</f>
        <v>United States</v>
      </c>
      <c r="L715" t="str">
        <f>VLOOKUP(F715,'Customers (2)'!A:I,9,0)</f>
        <v>No</v>
      </c>
      <c r="M715" t="str">
        <f>VLOOKUP(N715,'Products (2)'!A:G,2,0)</f>
        <v>Robusta</v>
      </c>
      <c r="N715" t="s">
        <v>162</v>
      </c>
      <c r="O715" t="str">
        <f>VLOOKUP(N715,'Products (2)'!A:G,3,0)</f>
        <v>Medium</v>
      </c>
      <c r="P715">
        <f>VLOOKUP(N715,'Products (2)'!A:G,7,0)</f>
        <v>0.17909999999999998</v>
      </c>
      <c r="Q715">
        <v>1</v>
      </c>
      <c r="R715">
        <f>INDEX([1]products!$A$1:$G$49,MATCH([1]orders!$D715,[1]products!$A$1:$A$49,0),MATCH([1]orders!K$1,[1]products!$A$1:$G$1,0))</f>
        <v>0.2</v>
      </c>
      <c r="S715">
        <f>INDEX([1]products!$A$1:$G$49,MATCH([1]orders!$D715,[1]products!$A$1:$A$49,0),MATCH([1]orders!L$1,[1]products!$A$1:$G$1,0))</f>
        <v>2.9849999999999999</v>
      </c>
      <c r="T715">
        <f t="shared" si="67"/>
        <v>2.9849999999999999</v>
      </c>
      <c r="U715">
        <f t="shared" si="70"/>
        <v>0.17909999999999998</v>
      </c>
      <c r="V715">
        <f t="shared" si="71"/>
        <v>6</v>
      </c>
    </row>
    <row r="716" spans="1:22" x14ac:dyDescent="0.25">
      <c r="A716" t="s">
        <v>1388</v>
      </c>
      <c r="B716">
        <v>44358</v>
      </c>
      <c r="C716" t="str">
        <f t="shared" si="68"/>
        <v>11</v>
      </c>
      <c r="D716" t="str">
        <f t="shared" si="66"/>
        <v>June</v>
      </c>
      <c r="E716" t="str">
        <f t="shared" si="69"/>
        <v>2021</v>
      </c>
      <c r="F716" t="s">
        <v>1389</v>
      </c>
      <c r="G716" t="str">
        <f>VLOOKUP(F716,'Customers (2)'!A:I,2,0)</f>
        <v>Alon Pllu</v>
      </c>
      <c r="H716" t="str">
        <f>VLOOKUP(F716,'Customers (2)'!A:I,3,0)</f>
        <v>aplluju@dagondesign.com</v>
      </c>
      <c r="I716" t="str">
        <f>VLOOKUP(F716,'Customers (2)'!A:I,4,0)</f>
        <v>+353 (915) 742-6707</v>
      </c>
      <c r="J716" t="str">
        <f>VLOOKUP(F716,'Customers (2)'!A:I,6,0)</f>
        <v>Navan</v>
      </c>
      <c r="K716" t="str">
        <f>VLOOKUP(F716,'Customers (2)'!A:I,7,0)</f>
        <v>Ireland</v>
      </c>
      <c r="L716" t="str">
        <f>VLOOKUP(F716,'Customers (2)'!A:I,9,0)</f>
        <v>Yes</v>
      </c>
      <c r="M716" t="str">
        <f>VLOOKUP(N716,'Products (2)'!A:G,2,0)</f>
        <v>Excelsa</v>
      </c>
      <c r="N716" t="s">
        <v>51</v>
      </c>
      <c r="O716" t="str">
        <f>VLOOKUP(N716,'Products (2)'!A:G,3,0)</f>
        <v>Dark</v>
      </c>
      <c r="P716">
        <f>VLOOKUP(N716,'Products (2)'!A:G,7,0)</f>
        <v>0.40095000000000003</v>
      </c>
      <c r="Q716">
        <v>4</v>
      </c>
      <c r="R716">
        <f>INDEX([1]products!$A$1:$G$49,MATCH([1]orders!$D716,[1]products!$A$1:$A$49,0),MATCH([1]orders!K$1,[1]products!$A$1:$G$1,0))</f>
        <v>0.2</v>
      </c>
      <c r="S716">
        <f>INDEX([1]products!$A$1:$G$49,MATCH([1]orders!$D716,[1]products!$A$1:$A$49,0),MATCH([1]orders!L$1,[1]products!$A$1:$G$1,0))</f>
        <v>3.645</v>
      </c>
      <c r="T716">
        <f t="shared" si="67"/>
        <v>14.58</v>
      </c>
      <c r="U716">
        <f t="shared" si="70"/>
        <v>1.6038000000000001</v>
      </c>
      <c r="V716">
        <f t="shared" si="71"/>
        <v>11</v>
      </c>
    </row>
    <row r="717" spans="1:22" x14ac:dyDescent="0.25">
      <c r="A717" t="s">
        <v>1390</v>
      </c>
      <c r="B717">
        <v>44504</v>
      </c>
      <c r="C717" t="str">
        <f t="shared" si="68"/>
        <v>04</v>
      </c>
      <c r="D717" t="str">
        <f t="shared" si="66"/>
        <v>November</v>
      </c>
      <c r="E717" t="str">
        <f t="shared" si="69"/>
        <v>2021</v>
      </c>
      <c r="F717" t="s">
        <v>1391</v>
      </c>
      <c r="G717" t="str">
        <f>VLOOKUP(F717,'Customers (2)'!A:I,2,0)</f>
        <v>Gilberto Cornier</v>
      </c>
      <c r="H717" t="str">
        <f>VLOOKUP(F717,'Customers (2)'!A:I,3,0)</f>
        <v>gcornierjv@techcrunch.com</v>
      </c>
      <c r="I717">
        <f>VLOOKUP(F717,'Customers (2)'!A:I,4,0)</f>
        <v>0</v>
      </c>
      <c r="J717" t="str">
        <f>VLOOKUP(F717,'Customers (2)'!A:I,6,0)</f>
        <v>Tampa</v>
      </c>
      <c r="K717" t="str">
        <f>VLOOKUP(F717,'Customers (2)'!A:I,7,0)</f>
        <v>United States</v>
      </c>
      <c r="L717" t="str">
        <f>VLOOKUP(F717,'Customers (2)'!A:I,9,0)</f>
        <v>No</v>
      </c>
      <c r="M717" t="str">
        <f>VLOOKUP(N717,'Products (2)'!A:G,2,0)</f>
        <v>Excelsa</v>
      </c>
      <c r="N717" t="s">
        <v>137</v>
      </c>
      <c r="O717" t="str">
        <f>VLOOKUP(N717,'Products (2)'!A:G,3,0)</f>
        <v>Light</v>
      </c>
      <c r="P717">
        <f>VLOOKUP(N717,'Products (2)'!A:G,7,0)</f>
        <v>1.6335</v>
      </c>
      <c r="Q717">
        <v>6</v>
      </c>
      <c r="R717">
        <f>INDEX([1]products!$A$1:$G$49,MATCH([1]orders!$D717,[1]products!$A$1:$A$49,0),MATCH([1]orders!K$1,[1]products!$A$1:$G$1,0))</f>
        <v>1</v>
      </c>
      <c r="S717">
        <f>INDEX([1]products!$A$1:$G$49,MATCH([1]orders!$D717,[1]products!$A$1:$A$49,0),MATCH([1]orders!L$1,[1]products!$A$1:$G$1,0))</f>
        <v>14.85</v>
      </c>
      <c r="T717">
        <f t="shared" si="67"/>
        <v>89.1</v>
      </c>
      <c r="U717">
        <f t="shared" si="70"/>
        <v>9.8010000000000002</v>
      </c>
      <c r="V717">
        <f t="shared" si="71"/>
        <v>11.000000000000002</v>
      </c>
    </row>
    <row r="718" spans="1:22" x14ac:dyDescent="0.25">
      <c r="A718" t="s">
        <v>1392</v>
      </c>
      <c r="B718">
        <v>44612</v>
      </c>
      <c r="C718" t="str">
        <f t="shared" si="68"/>
        <v>20</v>
      </c>
      <c r="D718" t="str">
        <f t="shared" si="66"/>
        <v>February</v>
      </c>
      <c r="E718" t="str">
        <f t="shared" si="69"/>
        <v>2022</v>
      </c>
      <c r="F718" t="s">
        <v>1344</v>
      </c>
      <c r="G718" t="str">
        <f>VLOOKUP(F718,'Customers (2)'!A:I,2,0)</f>
        <v>Jimmy Dymoke</v>
      </c>
      <c r="H718" t="str">
        <f>VLOOKUP(F718,'Customers (2)'!A:I,3,0)</f>
        <v>jdymokeje@prnewswire.com</v>
      </c>
      <c r="I718" t="str">
        <f>VLOOKUP(F718,'Customers (2)'!A:I,4,0)</f>
        <v>+353 (390) 459-9269</v>
      </c>
      <c r="J718" t="str">
        <f>VLOOKUP(F718,'Customers (2)'!A:I,6,0)</f>
        <v>Beaumont</v>
      </c>
      <c r="K718" t="str">
        <f>VLOOKUP(F718,'Customers (2)'!A:I,7,0)</f>
        <v>Ireland</v>
      </c>
      <c r="L718" t="str">
        <f>VLOOKUP(F718,'Customers (2)'!A:I,9,0)</f>
        <v>No</v>
      </c>
      <c r="M718" t="str">
        <f>VLOOKUP(N718,'Products (2)'!A:G,2,0)</f>
        <v>Robusta</v>
      </c>
      <c r="N718" t="s">
        <v>189</v>
      </c>
      <c r="O718" t="str">
        <f>VLOOKUP(N718,'Products (2)'!A:G,3,0)</f>
        <v>Light</v>
      </c>
      <c r="P718">
        <f>VLOOKUP(N718,'Products (2)'!A:G,7,0)</f>
        <v>0.71699999999999997</v>
      </c>
      <c r="Q718">
        <v>3</v>
      </c>
      <c r="R718">
        <f>INDEX([1]products!$A$1:$G$49,MATCH([1]orders!$D718,[1]products!$A$1:$A$49,0),MATCH([1]orders!K$1,[1]products!$A$1:$G$1,0))</f>
        <v>1</v>
      </c>
      <c r="S718">
        <f>INDEX([1]products!$A$1:$G$49,MATCH([1]orders!$D718,[1]products!$A$1:$A$49,0),MATCH([1]orders!L$1,[1]products!$A$1:$G$1,0))</f>
        <v>11.95</v>
      </c>
      <c r="T718">
        <f t="shared" si="67"/>
        <v>35.849999999999994</v>
      </c>
      <c r="U718">
        <f t="shared" si="70"/>
        <v>2.1509999999999998</v>
      </c>
      <c r="V718">
        <f t="shared" si="71"/>
        <v>6.0000000000000009</v>
      </c>
    </row>
    <row r="719" spans="1:22" x14ac:dyDescent="0.25">
      <c r="A719" t="s">
        <v>1393</v>
      </c>
      <c r="B719">
        <v>43649</v>
      </c>
      <c r="C719" t="str">
        <f t="shared" si="68"/>
        <v>03</v>
      </c>
      <c r="D719" t="str">
        <f t="shared" si="66"/>
        <v>July</v>
      </c>
      <c r="E719" t="str">
        <f t="shared" si="69"/>
        <v>2019</v>
      </c>
      <c r="F719" t="s">
        <v>1394</v>
      </c>
      <c r="G719" t="str">
        <f>VLOOKUP(F719,'Customers (2)'!A:I,2,0)</f>
        <v>Willabella Harvison</v>
      </c>
      <c r="H719" t="str">
        <f>VLOOKUP(F719,'Customers (2)'!A:I,3,0)</f>
        <v>wharvisonjx@gizmodo.com</v>
      </c>
      <c r="I719" t="str">
        <f>VLOOKUP(F719,'Customers (2)'!A:I,4,0)</f>
        <v>+1 (610) 316-8430</v>
      </c>
      <c r="J719" t="str">
        <f>VLOOKUP(F719,'Customers (2)'!A:I,6,0)</f>
        <v>Philadelphia</v>
      </c>
      <c r="K719" t="str">
        <f>VLOOKUP(F719,'Customers (2)'!A:I,7,0)</f>
        <v>United States</v>
      </c>
      <c r="L719" t="str">
        <f>VLOOKUP(F719,'Customers (2)'!A:I,9,0)</f>
        <v>No</v>
      </c>
      <c r="M719" t="str">
        <f>VLOOKUP(N719,'Products (2)'!A:G,2,0)</f>
        <v>Arabica</v>
      </c>
      <c r="N719" t="s">
        <v>118</v>
      </c>
      <c r="O719" t="str">
        <f>VLOOKUP(N719,'Products (2)'!A:G,3,0)</f>
        <v>Dark</v>
      </c>
      <c r="P719">
        <f>VLOOKUP(N719,'Products (2)'!A:G,7,0)</f>
        <v>2.0596499999999995</v>
      </c>
      <c r="Q719">
        <v>3</v>
      </c>
      <c r="R719">
        <f>INDEX([1]products!$A$1:$G$49,MATCH([1]orders!$D719,[1]products!$A$1:$A$49,0),MATCH([1]orders!K$1,[1]products!$A$1:$G$1,0))</f>
        <v>2.5</v>
      </c>
      <c r="S719">
        <f>INDEX([1]products!$A$1:$G$49,MATCH([1]orders!$D719,[1]products!$A$1:$A$49,0),MATCH([1]orders!L$1,[1]products!$A$1:$G$1,0))</f>
        <v>22.884999999999998</v>
      </c>
      <c r="T719">
        <f t="shared" si="67"/>
        <v>68.655000000000001</v>
      </c>
      <c r="U719">
        <f t="shared" si="70"/>
        <v>6.1789499999999986</v>
      </c>
      <c r="V719">
        <f t="shared" si="71"/>
        <v>8.9999999999999982</v>
      </c>
    </row>
    <row r="720" spans="1:22" x14ac:dyDescent="0.25">
      <c r="A720" t="s">
        <v>1395</v>
      </c>
      <c r="B720">
        <v>44348</v>
      </c>
      <c r="C720" t="str">
        <f t="shared" si="68"/>
        <v>01</v>
      </c>
      <c r="D720" t="str">
        <f t="shared" si="66"/>
        <v>June</v>
      </c>
      <c r="E720" t="str">
        <f t="shared" si="69"/>
        <v>2021</v>
      </c>
      <c r="F720" t="s">
        <v>1396</v>
      </c>
      <c r="G720" t="str">
        <f>VLOOKUP(F720,'Customers (2)'!A:I,2,0)</f>
        <v>Darice Heaford</v>
      </c>
      <c r="H720" t="str">
        <f>VLOOKUP(F720,'Customers (2)'!A:I,3,0)</f>
        <v>dheafordjy@twitpic.com</v>
      </c>
      <c r="I720" t="str">
        <f>VLOOKUP(F720,'Customers (2)'!A:I,4,0)</f>
        <v>+1 (325) 537-8835</v>
      </c>
      <c r="J720" t="str">
        <f>VLOOKUP(F720,'Customers (2)'!A:I,6,0)</f>
        <v>San Angelo</v>
      </c>
      <c r="K720" t="str">
        <f>VLOOKUP(F720,'Customers (2)'!A:I,7,0)</f>
        <v>United States</v>
      </c>
      <c r="L720" t="str">
        <f>VLOOKUP(F720,'Customers (2)'!A:I,9,0)</f>
        <v>No</v>
      </c>
      <c r="M720" t="str">
        <f>VLOOKUP(N720,'Products (2)'!A:G,2,0)</f>
        <v>Liberica</v>
      </c>
      <c r="N720" t="s">
        <v>13</v>
      </c>
      <c r="O720" t="str">
        <f>VLOOKUP(N720,'Products (2)'!A:G,3,0)</f>
        <v>Dark</v>
      </c>
      <c r="P720">
        <f>VLOOKUP(N720,'Products (2)'!A:G,7,0)</f>
        <v>1.6835</v>
      </c>
      <c r="Q720">
        <v>3</v>
      </c>
      <c r="R720">
        <f>INDEX([1]products!$A$1:$G$49,MATCH([1]orders!$D720,[1]products!$A$1:$A$49,0),MATCH([1]orders!K$1,[1]products!$A$1:$G$1,0))</f>
        <v>1</v>
      </c>
      <c r="S720">
        <f>INDEX([1]products!$A$1:$G$49,MATCH([1]orders!$D720,[1]products!$A$1:$A$49,0),MATCH([1]orders!L$1,[1]products!$A$1:$G$1,0))</f>
        <v>12.95</v>
      </c>
      <c r="T720">
        <f t="shared" si="67"/>
        <v>38.849999999999994</v>
      </c>
      <c r="U720">
        <f t="shared" si="70"/>
        <v>5.0504999999999995</v>
      </c>
      <c r="V720">
        <f t="shared" si="71"/>
        <v>13</v>
      </c>
    </row>
    <row r="721" spans="1:22" x14ac:dyDescent="0.25">
      <c r="A721" t="s">
        <v>1397</v>
      </c>
      <c r="B721">
        <v>44150</v>
      </c>
      <c r="C721" t="str">
        <f t="shared" si="68"/>
        <v>15</v>
      </c>
      <c r="D721" t="str">
        <f t="shared" si="66"/>
        <v>November</v>
      </c>
      <c r="E721" t="str">
        <f t="shared" si="69"/>
        <v>2020</v>
      </c>
      <c r="F721" t="s">
        <v>1398</v>
      </c>
      <c r="G721" t="str">
        <f>VLOOKUP(F721,'Customers (2)'!A:I,2,0)</f>
        <v>Granger Fantham</v>
      </c>
      <c r="H721" t="str">
        <f>VLOOKUP(F721,'Customers (2)'!A:I,3,0)</f>
        <v>gfanthamjz@hexun.com</v>
      </c>
      <c r="I721" t="str">
        <f>VLOOKUP(F721,'Customers (2)'!A:I,4,0)</f>
        <v>+1 (323) 878-8818</v>
      </c>
      <c r="J721" t="str">
        <f>VLOOKUP(F721,'Customers (2)'!A:I,6,0)</f>
        <v>Los Angeles</v>
      </c>
      <c r="K721" t="str">
        <f>VLOOKUP(F721,'Customers (2)'!A:I,7,0)</f>
        <v>United States</v>
      </c>
      <c r="L721" t="str">
        <f>VLOOKUP(F721,'Customers (2)'!A:I,9,0)</f>
        <v>Yes</v>
      </c>
      <c r="M721" t="str">
        <f>VLOOKUP(N721,'Products (2)'!A:G,2,0)</f>
        <v>Liberica</v>
      </c>
      <c r="N721" t="s">
        <v>132</v>
      </c>
      <c r="O721" t="str">
        <f>VLOOKUP(N721,'Products (2)'!A:G,3,0)</f>
        <v>Light</v>
      </c>
      <c r="P721">
        <f>VLOOKUP(N721,'Products (2)'!A:G,7,0)</f>
        <v>2.0605000000000002</v>
      </c>
      <c r="Q721">
        <v>5</v>
      </c>
      <c r="R721">
        <f>INDEX([1]products!$A$1:$G$49,MATCH([1]orders!$D721,[1]products!$A$1:$A$49,0),MATCH([1]orders!K$1,[1]products!$A$1:$G$1,0))</f>
        <v>1</v>
      </c>
      <c r="S721">
        <f>INDEX([1]products!$A$1:$G$49,MATCH([1]orders!$D721,[1]products!$A$1:$A$49,0),MATCH([1]orders!L$1,[1]products!$A$1:$G$1,0))</f>
        <v>15.85</v>
      </c>
      <c r="T721">
        <f t="shared" si="67"/>
        <v>79.25</v>
      </c>
      <c r="U721">
        <f t="shared" si="70"/>
        <v>10.302500000000002</v>
      </c>
      <c r="V721">
        <f t="shared" si="71"/>
        <v>13.000000000000004</v>
      </c>
    </row>
    <row r="722" spans="1:22" x14ac:dyDescent="0.25">
      <c r="A722" t="s">
        <v>1399</v>
      </c>
      <c r="B722">
        <v>44215</v>
      </c>
      <c r="C722" t="str">
        <f t="shared" si="68"/>
        <v>19</v>
      </c>
      <c r="D722" t="str">
        <f t="shared" si="66"/>
        <v>January</v>
      </c>
      <c r="E722" t="str">
        <f t="shared" si="69"/>
        <v>2021</v>
      </c>
      <c r="F722" t="s">
        <v>1400</v>
      </c>
      <c r="G722" t="str">
        <f>VLOOKUP(F722,'Customers (2)'!A:I,2,0)</f>
        <v>Reynolds Crookshanks</v>
      </c>
      <c r="H722" t="str">
        <f>VLOOKUP(F722,'Customers (2)'!A:I,3,0)</f>
        <v>rcrookshanksk0@unc.edu</v>
      </c>
      <c r="I722" t="str">
        <f>VLOOKUP(F722,'Customers (2)'!A:I,4,0)</f>
        <v>+1 (517) 654-6004</v>
      </c>
      <c r="J722" t="str">
        <f>VLOOKUP(F722,'Customers (2)'!A:I,6,0)</f>
        <v>Lansing</v>
      </c>
      <c r="K722" t="str">
        <f>VLOOKUP(F722,'Customers (2)'!A:I,7,0)</f>
        <v>United States</v>
      </c>
      <c r="L722" t="str">
        <f>VLOOKUP(F722,'Customers (2)'!A:I,9,0)</f>
        <v>Yes</v>
      </c>
      <c r="M722" t="str">
        <f>VLOOKUP(N722,'Products (2)'!A:G,2,0)</f>
        <v>Excelsa</v>
      </c>
      <c r="N722" t="s">
        <v>16</v>
      </c>
      <c r="O722" t="str">
        <f>VLOOKUP(N722,'Products (2)'!A:G,3,0)</f>
        <v>Dark</v>
      </c>
      <c r="P722">
        <f>VLOOKUP(N722,'Products (2)'!A:G,7,0)</f>
        <v>0.80190000000000006</v>
      </c>
      <c r="Q722">
        <v>5</v>
      </c>
      <c r="R722">
        <f>INDEX([1]products!$A$1:$G$49,MATCH([1]orders!$D722,[1]products!$A$1:$A$49,0),MATCH([1]orders!K$1,[1]products!$A$1:$G$1,0))</f>
        <v>0.5</v>
      </c>
      <c r="S722">
        <f>INDEX([1]products!$A$1:$G$49,MATCH([1]orders!$D722,[1]products!$A$1:$A$49,0),MATCH([1]orders!L$1,[1]products!$A$1:$G$1,0))</f>
        <v>7.29</v>
      </c>
      <c r="T722">
        <f t="shared" si="67"/>
        <v>36.450000000000003</v>
      </c>
      <c r="U722">
        <f t="shared" si="70"/>
        <v>4.0095000000000001</v>
      </c>
      <c r="V722">
        <f t="shared" si="71"/>
        <v>10.999999999999998</v>
      </c>
    </row>
    <row r="723" spans="1:22" x14ac:dyDescent="0.25">
      <c r="A723" t="s">
        <v>1401</v>
      </c>
      <c r="B723">
        <v>44479</v>
      </c>
      <c r="C723" t="str">
        <f t="shared" si="68"/>
        <v>10</v>
      </c>
      <c r="D723" t="str">
        <f t="shared" si="66"/>
        <v>October</v>
      </c>
      <c r="E723" t="str">
        <f t="shared" si="69"/>
        <v>2021</v>
      </c>
      <c r="F723" t="s">
        <v>1402</v>
      </c>
      <c r="G723" t="str">
        <f>VLOOKUP(F723,'Customers (2)'!A:I,2,0)</f>
        <v>Niels Leake</v>
      </c>
      <c r="H723" t="str">
        <f>VLOOKUP(F723,'Customers (2)'!A:I,3,0)</f>
        <v>nleakek1@cmu.edu</v>
      </c>
      <c r="I723" t="str">
        <f>VLOOKUP(F723,'Customers (2)'!A:I,4,0)</f>
        <v>+1 (786) 470-1233</v>
      </c>
      <c r="J723" t="str">
        <f>VLOOKUP(F723,'Customers (2)'!A:I,6,0)</f>
        <v>Clearwater</v>
      </c>
      <c r="K723" t="str">
        <f>VLOOKUP(F723,'Customers (2)'!A:I,7,0)</f>
        <v>United States</v>
      </c>
      <c r="L723" t="str">
        <f>VLOOKUP(F723,'Customers (2)'!A:I,9,0)</f>
        <v>Yes</v>
      </c>
      <c r="M723" t="str">
        <f>VLOOKUP(N723,'Products (2)'!A:G,2,0)</f>
        <v>Robusta</v>
      </c>
      <c r="N723" t="s">
        <v>162</v>
      </c>
      <c r="O723" t="str">
        <f>VLOOKUP(N723,'Products (2)'!A:G,3,0)</f>
        <v>Medium</v>
      </c>
      <c r="P723">
        <f>VLOOKUP(N723,'Products (2)'!A:G,7,0)</f>
        <v>0.17909999999999998</v>
      </c>
      <c r="Q723">
        <v>3</v>
      </c>
      <c r="R723">
        <f>INDEX([1]products!$A$1:$G$49,MATCH([1]orders!$D723,[1]products!$A$1:$A$49,0),MATCH([1]orders!K$1,[1]products!$A$1:$G$1,0))</f>
        <v>0.2</v>
      </c>
      <c r="S723">
        <f>INDEX([1]products!$A$1:$G$49,MATCH([1]orders!$D723,[1]products!$A$1:$A$49,0),MATCH([1]orders!L$1,[1]products!$A$1:$G$1,0))</f>
        <v>2.9849999999999999</v>
      </c>
      <c r="T723">
        <f t="shared" si="67"/>
        <v>8.9550000000000001</v>
      </c>
      <c r="U723">
        <f t="shared" si="70"/>
        <v>0.53729999999999989</v>
      </c>
      <c r="V723">
        <f t="shared" si="71"/>
        <v>5.9999999999999982</v>
      </c>
    </row>
    <row r="724" spans="1:22" x14ac:dyDescent="0.25">
      <c r="A724" t="s">
        <v>1403</v>
      </c>
      <c r="B724">
        <v>44620</v>
      </c>
      <c r="C724" t="str">
        <f t="shared" si="68"/>
        <v>28</v>
      </c>
      <c r="D724" t="str">
        <f t="shared" si="66"/>
        <v>February</v>
      </c>
      <c r="E724" t="str">
        <f t="shared" si="69"/>
        <v>2022</v>
      </c>
      <c r="F724" t="s">
        <v>1404</v>
      </c>
      <c r="G724" t="str">
        <f>VLOOKUP(F724,'Customers (2)'!A:I,2,0)</f>
        <v>Hetti Measures</v>
      </c>
      <c r="H724">
        <f>VLOOKUP(F724,'Customers (2)'!A:I,3,0)</f>
        <v>0</v>
      </c>
      <c r="I724" t="str">
        <f>VLOOKUP(F724,'Customers (2)'!A:I,4,0)</f>
        <v>+1 (562) 343-9707</v>
      </c>
      <c r="J724" t="str">
        <f>VLOOKUP(F724,'Customers (2)'!A:I,6,0)</f>
        <v>Whittier</v>
      </c>
      <c r="K724" t="str">
        <f>VLOOKUP(F724,'Customers (2)'!A:I,7,0)</f>
        <v>United States</v>
      </c>
      <c r="L724" t="str">
        <f>VLOOKUP(F724,'Customers (2)'!A:I,9,0)</f>
        <v>No</v>
      </c>
      <c r="M724" t="str">
        <f>VLOOKUP(N724,'Products (2)'!A:G,2,0)</f>
        <v>Excelsa</v>
      </c>
      <c r="N724" t="s">
        <v>245</v>
      </c>
      <c r="O724" t="str">
        <f>VLOOKUP(N724,'Products (2)'!A:G,3,0)</f>
        <v>Dark</v>
      </c>
      <c r="P724">
        <f>VLOOKUP(N724,'Products (2)'!A:G,7,0)</f>
        <v>1.3365</v>
      </c>
      <c r="Q724">
        <v>2</v>
      </c>
      <c r="R724">
        <f>INDEX([1]products!$A$1:$G$49,MATCH([1]orders!$D724,[1]products!$A$1:$A$49,0),MATCH([1]orders!K$1,[1]products!$A$1:$G$1,0))</f>
        <v>1</v>
      </c>
      <c r="S724">
        <f>INDEX([1]products!$A$1:$G$49,MATCH([1]orders!$D724,[1]products!$A$1:$A$49,0),MATCH([1]orders!L$1,[1]products!$A$1:$G$1,0))</f>
        <v>12.15</v>
      </c>
      <c r="T724">
        <f t="shared" si="67"/>
        <v>24.3</v>
      </c>
      <c r="U724">
        <f t="shared" si="70"/>
        <v>2.673</v>
      </c>
      <c r="V724">
        <f t="shared" si="71"/>
        <v>11</v>
      </c>
    </row>
    <row r="725" spans="1:22" x14ac:dyDescent="0.25">
      <c r="A725" t="s">
        <v>1405</v>
      </c>
      <c r="B725">
        <v>44470</v>
      </c>
      <c r="C725" t="str">
        <f t="shared" si="68"/>
        <v>01</v>
      </c>
      <c r="D725" t="str">
        <f t="shared" si="66"/>
        <v>October</v>
      </c>
      <c r="E725" t="str">
        <f t="shared" si="69"/>
        <v>2021</v>
      </c>
      <c r="F725" t="s">
        <v>1406</v>
      </c>
      <c r="G725" t="str">
        <f>VLOOKUP(F725,'Customers (2)'!A:I,2,0)</f>
        <v>Gay Eilhersen</v>
      </c>
      <c r="H725" t="str">
        <f>VLOOKUP(F725,'Customers (2)'!A:I,3,0)</f>
        <v>geilhersenk3@networksolutions.com</v>
      </c>
      <c r="I725" t="str">
        <f>VLOOKUP(F725,'Customers (2)'!A:I,4,0)</f>
        <v>+1 (559) 791-5117</v>
      </c>
      <c r="J725" t="str">
        <f>VLOOKUP(F725,'Customers (2)'!A:I,6,0)</f>
        <v>Fresno</v>
      </c>
      <c r="K725" t="str">
        <f>VLOOKUP(F725,'Customers (2)'!A:I,7,0)</f>
        <v>United States</v>
      </c>
      <c r="L725" t="str">
        <f>VLOOKUP(F725,'Customers (2)'!A:I,9,0)</f>
        <v>No</v>
      </c>
      <c r="M725" t="str">
        <f>VLOOKUP(N725,'Products (2)'!A:G,2,0)</f>
        <v>Excelsa</v>
      </c>
      <c r="N725" t="s">
        <v>112</v>
      </c>
      <c r="O725" t="str">
        <f>VLOOKUP(N725,'Products (2)'!A:G,3,0)</f>
        <v>Medium</v>
      </c>
      <c r="P725">
        <f>VLOOKUP(N725,'Products (2)'!A:G,7,0)</f>
        <v>3.4787499999999998</v>
      </c>
      <c r="Q725">
        <v>2</v>
      </c>
      <c r="R725">
        <f>INDEX([1]products!$A$1:$G$49,MATCH([1]orders!$D725,[1]products!$A$1:$A$49,0),MATCH([1]orders!K$1,[1]products!$A$1:$G$1,0))</f>
        <v>2.5</v>
      </c>
      <c r="S725">
        <f>INDEX([1]products!$A$1:$G$49,MATCH([1]orders!$D725,[1]products!$A$1:$A$49,0),MATCH([1]orders!L$1,[1]products!$A$1:$G$1,0))</f>
        <v>31.624999999999996</v>
      </c>
      <c r="T725">
        <f t="shared" si="67"/>
        <v>63.249999999999993</v>
      </c>
      <c r="U725">
        <f t="shared" si="70"/>
        <v>6.9574999999999996</v>
      </c>
      <c r="V725">
        <f t="shared" si="71"/>
        <v>11</v>
      </c>
    </row>
    <row r="726" spans="1:22" x14ac:dyDescent="0.25">
      <c r="A726" t="s">
        <v>1407</v>
      </c>
      <c r="B726">
        <v>44076</v>
      </c>
      <c r="C726" t="str">
        <f t="shared" si="68"/>
        <v>02</v>
      </c>
      <c r="D726" t="str">
        <f t="shared" si="66"/>
        <v>September</v>
      </c>
      <c r="E726" t="str">
        <f t="shared" si="69"/>
        <v>2020</v>
      </c>
      <c r="F726" t="s">
        <v>1408</v>
      </c>
      <c r="G726" t="str">
        <f>VLOOKUP(F726,'Customers (2)'!A:I,2,0)</f>
        <v>Nico Hubert</v>
      </c>
      <c r="H726">
        <f>VLOOKUP(F726,'Customers (2)'!A:I,3,0)</f>
        <v>0</v>
      </c>
      <c r="I726" t="str">
        <f>VLOOKUP(F726,'Customers (2)'!A:I,4,0)</f>
        <v>+1 (646) 228-3492</v>
      </c>
      <c r="J726" t="str">
        <f>VLOOKUP(F726,'Customers (2)'!A:I,6,0)</f>
        <v>New York City</v>
      </c>
      <c r="K726" t="str">
        <f>VLOOKUP(F726,'Customers (2)'!A:I,7,0)</f>
        <v>United States</v>
      </c>
      <c r="L726" t="str">
        <f>VLOOKUP(F726,'Customers (2)'!A:I,9,0)</f>
        <v>Yes</v>
      </c>
      <c r="M726" t="str">
        <f>VLOOKUP(N726,'Products (2)'!A:G,2,0)</f>
        <v>Arabica</v>
      </c>
      <c r="N726" t="s">
        <v>44</v>
      </c>
      <c r="O726" t="str">
        <f>VLOOKUP(N726,'Products (2)'!A:G,3,0)</f>
        <v>Medium</v>
      </c>
      <c r="P726">
        <f>VLOOKUP(N726,'Products (2)'!A:G,7,0)</f>
        <v>0.30374999999999996</v>
      </c>
      <c r="Q726">
        <v>2</v>
      </c>
      <c r="R726">
        <f>INDEX([1]products!$A$1:$G$49,MATCH([1]orders!$D726,[1]products!$A$1:$A$49,0),MATCH([1]orders!K$1,[1]products!$A$1:$G$1,0))</f>
        <v>0.2</v>
      </c>
      <c r="S726">
        <f>INDEX([1]products!$A$1:$G$49,MATCH([1]orders!$D726,[1]products!$A$1:$A$49,0),MATCH([1]orders!L$1,[1]products!$A$1:$G$1,0))</f>
        <v>3.375</v>
      </c>
      <c r="T726">
        <f t="shared" si="67"/>
        <v>6.75</v>
      </c>
      <c r="U726">
        <f t="shared" si="70"/>
        <v>0.60749999999999993</v>
      </c>
      <c r="V726">
        <f t="shared" si="71"/>
        <v>8.9999999999999982</v>
      </c>
    </row>
    <row r="727" spans="1:22" x14ac:dyDescent="0.25">
      <c r="A727" t="s">
        <v>1409</v>
      </c>
      <c r="B727">
        <v>44043</v>
      </c>
      <c r="C727" t="str">
        <f t="shared" si="68"/>
        <v>31</v>
      </c>
      <c r="D727" t="str">
        <f t="shared" si="66"/>
        <v>July</v>
      </c>
      <c r="E727" t="str">
        <f t="shared" si="69"/>
        <v>2020</v>
      </c>
      <c r="F727" t="s">
        <v>1410</v>
      </c>
      <c r="G727" t="str">
        <f>VLOOKUP(F727,'Customers (2)'!A:I,2,0)</f>
        <v>Cristina Aleixo</v>
      </c>
      <c r="H727" t="str">
        <f>VLOOKUP(F727,'Customers (2)'!A:I,3,0)</f>
        <v>caleixok5@globo.com</v>
      </c>
      <c r="I727" t="str">
        <f>VLOOKUP(F727,'Customers (2)'!A:I,4,0)</f>
        <v>+1 (719) 241-4639</v>
      </c>
      <c r="J727" t="str">
        <f>VLOOKUP(F727,'Customers (2)'!A:I,6,0)</f>
        <v>Colorado Springs</v>
      </c>
      <c r="K727" t="str">
        <f>VLOOKUP(F727,'Customers (2)'!A:I,7,0)</f>
        <v>United States</v>
      </c>
      <c r="L727" t="str">
        <f>VLOOKUP(F727,'Customers (2)'!A:I,9,0)</f>
        <v>No</v>
      </c>
      <c r="M727" t="str">
        <f>VLOOKUP(N727,'Products (2)'!A:G,2,0)</f>
        <v>Arabica</v>
      </c>
      <c r="N727" t="s">
        <v>115</v>
      </c>
      <c r="O727" t="str">
        <f>VLOOKUP(N727,'Products (2)'!A:G,3,0)</f>
        <v>Light</v>
      </c>
      <c r="P727">
        <f>VLOOKUP(N727,'Products (2)'!A:G,7,0)</f>
        <v>0.34964999999999996</v>
      </c>
      <c r="Q727">
        <v>6</v>
      </c>
      <c r="R727">
        <f>INDEX([1]products!$A$1:$G$49,MATCH([1]orders!$D727,[1]products!$A$1:$A$49,0),MATCH([1]orders!K$1,[1]products!$A$1:$G$1,0))</f>
        <v>0.2</v>
      </c>
      <c r="S727">
        <f>INDEX([1]products!$A$1:$G$49,MATCH([1]orders!$D727,[1]products!$A$1:$A$49,0),MATCH([1]orders!L$1,[1]products!$A$1:$G$1,0))</f>
        <v>3.8849999999999998</v>
      </c>
      <c r="T727">
        <f t="shared" si="67"/>
        <v>23.31</v>
      </c>
      <c r="U727">
        <f t="shared" si="70"/>
        <v>2.0978999999999997</v>
      </c>
      <c r="V727">
        <f t="shared" si="71"/>
        <v>9</v>
      </c>
    </row>
    <row r="728" spans="1:22" x14ac:dyDescent="0.25">
      <c r="A728" t="s">
        <v>1411</v>
      </c>
      <c r="B728">
        <v>44571</v>
      </c>
      <c r="C728" t="str">
        <f t="shared" si="68"/>
        <v>10</v>
      </c>
      <c r="D728" t="str">
        <f t="shared" si="66"/>
        <v>January</v>
      </c>
      <c r="E728" t="str">
        <f t="shared" si="69"/>
        <v>2022</v>
      </c>
      <c r="F728" t="s">
        <v>1412</v>
      </c>
      <c r="G728" t="str">
        <f>VLOOKUP(F728,'Customers (2)'!A:I,2,0)</f>
        <v>Derrek Allpress</v>
      </c>
      <c r="H728">
        <f>VLOOKUP(F728,'Customers (2)'!A:I,3,0)</f>
        <v>0</v>
      </c>
      <c r="I728" t="str">
        <f>VLOOKUP(F728,'Customers (2)'!A:I,4,0)</f>
        <v>+1 (562) 723-4457</v>
      </c>
      <c r="J728" t="str">
        <f>VLOOKUP(F728,'Customers (2)'!A:I,6,0)</f>
        <v>Long Beach</v>
      </c>
      <c r="K728" t="str">
        <f>VLOOKUP(F728,'Customers (2)'!A:I,7,0)</f>
        <v>United States</v>
      </c>
      <c r="L728" t="str">
        <f>VLOOKUP(F728,'Customers (2)'!A:I,9,0)</f>
        <v>No</v>
      </c>
      <c r="M728" t="str">
        <f>VLOOKUP(N728,'Products (2)'!A:G,2,0)</f>
        <v>Liberica</v>
      </c>
      <c r="N728" t="s">
        <v>104</v>
      </c>
      <c r="O728" t="str">
        <f>VLOOKUP(N728,'Products (2)'!A:G,3,0)</f>
        <v>Light</v>
      </c>
      <c r="P728">
        <f>VLOOKUP(N728,'Products (2)'!A:G,7,0)</f>
        <v>4.7391499999999995</v>
      </c>
      <c r="Q728">
        <v>4</v>
      </c>
      <c r="R728">
        <f>INDEX([1]products!$A$1:$G$49,MATCH([1]orders!$D728,[1]products!$A$1:$A$49,0),MATCH([1]orders!K$1,[1]products!$A$1:$G$1,0))</f>
        <v>2.5</v>
      </c>
      <c r="S728">
        <f>INDEX([1]products!$A$1:$G$49,MATCH([1]orders!$D728,[1]products!$A$1:$A$49,0),MATCH([1]orders!L$1,[1]products!$A$1:$G$1,0))</f>
        <v>36.454999999999998</v>
      </c>
      <c r="T728">
        <f t="shared" si="67"/>
        <v>145.82</v>
      </c>
      <c r="U728">
        <f t="shared" si="70"/>
        <v>18.956599999999998</v>
      </c>
      <c r="V728">
        <f t="shared" si="71"/>
        <v>13</v>
      </c>
    </row>
    <row r="729" spans="1:22" x14ac:dyDescent="0.25">
      <c r="A729" t="s">
        <v>1413</v>
      </c>
      <c r="B729">
        <v>44264</v>
      </c>
      <c r="C729" t="str">
        <f t="shared" si="68"/>
        <v>09</v>
      </c>
      <c r="D729" t="str">
        <f t="shared" si="66"/>
        <v>March</v>
      </c>
      <c r="E729" t="str">
        <f t="shared" si="69"/>
        <v>2021</v>
      </c>
      <c r="F729" t="s">
        <v>1414</v>
      </c>
      <c r="G729" t="str">
        <f>VLOOKUP(F729,'Customers (2)'!A:I,2,0)</f>
        <v>Rikki Tomkowicz</v>
      </c>
      <c r="H729" t="str">
        <f>VLOOKUP(F729,'Customers (2)'!A:I,3,0)</f>
        <v>rtomkowiczk7@bravesites.com</v>
      </c>
      <c r="I729" t="str">
        <f>VLOOKUP(F729,'Customers (2)'!A:I,4,0)</f>
        <v>+353 (849) 645-1593</v>
      </c>
      <c r="J729" t="str">
        <f>VLOOKUP(F729,'Customers (2)'!A:I,6,0)</f>
        <v>Lusk</v>
      </c>
      <c r="K729" t="str">
        <f>VLOOKUP(F729,'Customers (2)'!A:I,7,0)</f>
        <v>Ireland</v>
      </c>
      <c r="L729" t="str">
        <f>VLOOKUP(F729,'Customers (2)'!A:I,9,0)</f>
        <v>Yes</v>
      </c>
      <c r="M729" t="str">
        <f>VLOOKUP(N729,'Products (2)'!A:G,2,0)</f>
        <v>Robusta</v>
      </c>
      <c r="N729" t="s">
        <v>22</v>
      </c>
      <c r="O729" t="str">
        <f>VLOOKUP(N729,'Products (2)'!A:G,3,0)</f>
        <v>Medium</v>
      </c>
      <c r="P729">
        <f>VLOOKUP(N729,'Products (2)'!A:G,7,0)</f>
        <v>0.35819999999999996</v>
      </c>
      <c r="Q729">
        <v>5</v>
      </c>
      <c r="R729">
        <f>INDEX([1]products!$A$1:$G$49,MATCH([1]orders!$D729,[1]products!$A$1:$A$49,0),MATCH([1]orders!K$1,[1]products!$A$1:$G$1,0))</f>
        <v>0.5</v>
      </c>
      <c r="S729">
        <f>INDEX([1]products!$A$1:$G$49,MATCH([1]orders!$D729,[1]products!$A$1:$A$49,0),MATCH([1]orders!L$1,[1]products!$A$1:$G$1,0))</f>
        <v>5.97</v>
      </c>
      <c r="T729">
        <f t="shared" si="67"/>
        <v>29.849999999999998</v>
      </c>
      <c r="U729">
        <f t="shared" si="70"/>
        <v>1.7909999999999999</v>
      </c>
      <c r="V729">
        <f t="shared" si="71"/>
        <v>6.0000000000000009</v>
      </c>
    </row>
    <row r="730" spans="1:22" x14ac:dyDescent="0.25">
      <c r="A730" t="s">
        <v>1415</v>
      </c>
      <c r="B730">
        <v>44155</v>
      </c>
      <c r="C730" t="str">
        <f t="shared" si="68"/>
        <v>20</v>
      </c>
      <c r="D730" t="str">
        <f t="shared" si="66"/>
        <v>November</v>
      </c>
      <c r="E730" t="str">
        <f t="shared" si="69"/>
        <v>2020</v>
      </c>
      <c r="F730" t="s">
        <v>1416</v>
      </c>
      <c r="G730" t="str">
        <f>VLOOKUP(F730,'Customers (2)'!A:I,2,0)</f>
        <v>Rochette Huscroft</v>
      </c>
      <c r="H730" t="str">
        <f>VLOOKUP(F730,'Customers (2)'!A:I,3,0)</f>
        <v>rhuscroftk8@jimdo.com</v>
      </c>
      <c r="I730" t="str">
        <f>VLOOKUP(F730,'Customers (2)'!A:I,4,0)</f>
        <v>+1 (775) 223-5044</v>
      </c>
      <c r="J730" t="str">
        <f>VLOOKUP(F730,'Customers (2)'!A:I,6,0)</f>
        <v>Reno</v>
      </c>
      <c r="K730" t="str">
        <f>VLOOKUP(F730,'Customers (2)'!A:I,7,0)</f>
        <v>United States</v>
      </c>
      <c r="L730" t="str">
        <f>VLOOKUP(F730,'Customers (2)'!A:I,9,0)</f>
        <v>Yes</v>
      </c>
      <c r="M730" t="str">
        <f>VLOOKUP(N730,'Products (2)'!A:G,2,0)</f>
        <v>Excelsa</v>
      </c>
      <c r="N730" t="s">
        <v>16</v>
      </c>
      <c r="O730" t="str">
        <f>VLOOKUP(N730,'Products (2)'!A:G,3,0)</f>
        <v>Dark</v>
      </c>
      <c r="P730">
        <f>VLOOKUP(N730,'Products (2)'!A:G,7,0)</f>
        <v>0.80190000000000006</v>
      </c>
      <c r="Q730">
        <v>3</v>
      </c>
      <c r="R730">
        <f>INDEX([1]products!$A$1:$G$49,MATCH([1]orders!$D730,[1]products!$A$1:$A$49,0),MATCH([1]orders!K$1,[1]products!$A$1:$G$1,0))</f>
        <v>0.5</v>
      </c>
      <c r="S730">
        <f>INDEX([1]products!$A$1:$G$49,MATCH([1]orders!$D730,[1]products!$A$1:$A$49,0),MATCH([1]orders!L$1,[1]products!$A$1:$G$1,0))</f>
        <v>7.29</v>
      </c>
      <c r="T730">
        <f t="shared" si="67"/>
        <v>21.87</v>
      </c>
      <c r="U730">
        <f t="shared" si="70"/>
        <v>2.4057000000000004</v>
      </c>
      <c r="V730">
        <f t="shared" si="71"/>
        <v>11.000000000000002</v>
      </c>
    </row>
    <row r="731" spans="1:22" x14ac:dyDescent="0.25">
      <c r="A731" t="s">
        <v>1417</v>
      </c>
      <c r="B731">
        <v>44634</v>
      </c>
      <c r="C731" t="str">
        <f t="shared" si="68"/>
        <v>14</v>
      </c>
      <c r="D731" t="str">
        <f t="shared" si="66"/>
        <v>March</v>
      </c>
      <c r="E731" t="str">
        <f t="shared" si="69"/>
        <v>2022</v>
      </c>
      <c r="F731" t="s">
        <v>1418</v>
      </c>
      <c r="G731" t="str">
        <f>VLOOKUP(F731,'Customers (2)'!A:I,2,0)</f>
        <v>Selle Scurrer</v>
      </c>
      <c r="H731" t="str">
        <f>VLOOKUP(F731,'Customers (2)'!A:I,3,0)</f>
        <v>sscurrerk9@flavors.me</v>
      </c>
      <c r="I731" t="str">
        <f>VLOOKUP(F731,'Customers (2)'!A:I,4,0)</f>
        <v>+44 (520) 402-1303</v>
      </c>
      <c r="J731" t="str">
        <f>VLOOKUP(F731,'Customers (2)'!A:I,6,0)</f>
        <v>Upton</v>
      </c>
      <c r="K731" t="str">
        <f>VLOOKUP(F731,'Customers (2)'!A:I,7,0)</f>
        <v>United Kingdom</v>
      </c>
      <c r="L731" t="str">
        <f>VLOOKUP(F731,'Customers (2)'!A:I,9,0)</f>
        <v>No</v>
      </c>
      <c r="M731" t="str">
        <f>VLOOKUP(N731,'Products (2)'!A:G,2,0)</f>
        <v>Liberica</v>
      </c>
      <c r="N731" t="s">
        <v>77</v>
      </c>
      <c r="O731" t="str">
        <f>VLOOKUP(N731,'Products (2)'!A:G,3,0)</f>
        <v>Medium</v>
      </c>
      <c r="P731">
        <f>VLOOKUP(N731,'Products (2)'!A:G,7,0)</f>
        <v>0.56745000000000001</v>
      </c>
      <c r="Q731">
        <v>1</v>
      </c>
      <c r="R731">
        <f>INDEX([1]products!$A$1:$G$49,MATCH([1]orders!$D731,[1]products!$A$1:$A$49,0),MATCH([1]orders!K$1,[1]products!$A$1:$G$1,0))</f>
        <v>0.2</v>
      </c>
      <c r="S731">
        <f>INDEX([1]products!$A$1:$G$49,MATCH([1]orders!$D731,[1]products!$A$1:$A$49,0),MATCH([1]orders!L$1,[1]products!$A$1:$G$1,0))</f>
        <v>4.3650000000000002</v>
      </c>
      <c r="T731">
        <f t="shared" si="67"/>
        <v>4.3650000000000002</v>
      </c>
      <c r="U731">
        <f t="shared" si="70"/>
        <v>0.56745000000000001</v>
      </c>
      <c r="V731">
        <f t="shared" si="71"/>
        <v>13</v>
      </c>
    </row>
    <row r="732" spans="1:22" x14ac:dyDescent="0.25">
      <c r="A732" t="s">
        <v>1419</v>
      </c>
      <c r="B732">
        <v>43475</v>
      </c>
      <c r="C732" t="str">
        <f t="shared" si="68"/>
        <v>10</v>
      </c>
      <c r="D732" t="str">
        <f t="shared" si="66"/>
        <v>January</v>
      </c>
      <c r="E732" t="str">
        <f t="shared" si="69"/>
        <v>2019</v>
      </c>
      <c r="F732" t="s">
        <v>1420</v>
      </c>
      <c r="G732" t="str">
        <f>VLOOKUP(F732,'Customers (2)'!A:I,2,0)</f>
        <v>Andie Rudram</v>
      </c>
      <c r="H732" t="str">
        <f>VLOOKUP(F732,'Customers (2)'!A:I,3,0)</f>
        <v>arudramka@prnewswire.com</v>
      </c>
      <c r="I732" t="str">
        <f>VLOOKUP(F732,'Customers (2)'!A:I,4,0)</f>
        <v>+1 (702) 333-7442</v>
      </c>
      <c r="J732" t="str">
        <f>VLOOKUP(F732,'Customers (2)'!A:I,6,0)</f>
        <v>Las Vegas</v>
      </c>
      <c r="K732" t="str">
        <f>VLOOKUP(F732,'Customers (2)'!A:I,7,0)</f>
        <v>United States</v>
      </c>
      <c r="L732" t="str">
        <f>VLOOKUP(F732,'Customers (2)'!A:I,9,0)</f>
        <v>No</v>
      </c>
      <c r="M732" t="str">
        <f>VLOOKUP(N732,'Products (2)'!A:G,2,0)</f>
        <v>Liberica</v>
      </c>
      <c r="N732" t="s">
        <v>104</v>
      </c>
      <c r="O732" t="str">
        <f>VLOOKUP(N732,'Products (2)'!A:G,3,0)</f>
        <v>Light</v>
      </c>
      <c r="P732">
        <f>VLOOKUP(N732,'Products (2)'!A:G,7,0)</f>
        <v>4.7391499999999995</v>
      </c>
      <c r="Q732">
        <v>1</v>
      </c>
      <c r="R732">
        <f>INDEX([1]products!$A$1:$G$49,MATCH([1]orders!$D732,[1]products!$A$1:$A$49,0),MATCH([1]orders!K$1,[1]products!$A$1:$G$1,0))</f>
        <v>2.5</v>
      </c>
      <c r="S732">
        <f>INDEX([1]products!$A$1:$G$49,MATCH([1]orders!$D732,[1]products!$A$1:$A$49,0),MATCH([1]orders!L$1,[1]products!$A$1:$G$1,0))</f>
        <v>36.454999999999998</v>
      </c>
      <c r="T732">
        <f t="shared" si="67"/>
        <v>36.454999999999998</v>
      </c>
      <c r="U732">
        <f t="shared" si="70"/>
        <v>4.7391499999999995</v>
      </c>
      <c r="V732">
        <f t="shared" si="71"/>
        <v>13</v>
      </c>
    </row>
    <row r="733" spans="1:22" x14ac:dyDescent="0.25">
      <c r="A733" t="s">
        <v>1421</v>
      </c>
      <c r="B733">
        <v>44222</v>
      </c>
      <c r="C733" t="str">
        <f t="shared" si="68"/>
        <v>26</v>
      </c>
      <c r="D733" t="str">
        <f t="shared" si="66"/>
        <v>January</v>
      </c>
      <c r="E733" t="str">
        <f t="shared" si="69"/>
        <v>2021</v>
      </c>
      <c r="F733" t="s">
        <v>1422</v>
      </c>
      <c r="G733" t="str">
        <f>VLOOKUP(F733,'Customers (2)'!A:I,2,0)</f>
        <v>Leta Clarricoates</v>
      </c>
      <c r="H733">
        <f>VLOOKUP(F733,'Customers (2)'!A:I,3,0)</f>
        <v>0</v>
      </c>
      <c r="I733" t="str">
        <f>VLOOKUP(F733,'Customers (2)'!A:I,4,0)</f>
        <v>+1 (302) 620-1205</v>
      </c>
      <c r="J733" t="str">
        <f>VLOOKUP(F733,'Customers (2)'!A:I,6,0)</f>
        <v>Wilmington</v>
      </c>
      <c r="K733" t="str">
        <f>VLOOKUP(F733,'Customers (2)'!A:I,7,0)</f>
        <v>United States</v>
      </c>
      <c r="L733" t="str">
        <f>VLOOKUP(F733,'Customers (2)'!A:I,9,0)</f>
        <v>Yes</v>
      </c>
      <c r="M733" t="str">
        <f>VLOOKUP(N733,'Products (2)'!A:G,2,0)</f>
        <v>Liberica</v>
      </c>
      <c r="N733" t="s">
        <v>38</v>
      </c>
      <c r="O733" t="str">
        <f>VLOOKUP(N733,'Products (2)'!A:G,3,0)</f>
        <v>Dark</v>
      </c>
      <c r="P733">
        <f>VLOOKUP(N733,'Products (2)'!A:G,7,0)</f>
        <v>0.50505</v>
      </c>
      <c r="Q733">
        <v>4</v>
      </c>
      <c r="R733">
        <f>INDEX([1]products!$A$1:$G$49,MATCH([1]orders!$D733,[1]products!$A$1:$A$49,0),MATCH([1]orders!K$1,[1]products!$A$1:$G$1,0))</f>
        <v>0.2</v>
      </c>
      <c r="S733">
        <f>INDEX([1]products!$A$1:$G$49,MATCH([1]orders!$D733,[1]products!$A$1:$A$49,0),MATCH([1]orders!L$1,[1]products!$A$1:$G$1,0))</f>
        <v>3.8849999999999998</v>
      </c>
      <c r="T733">
        <f t="shared" si="67"/>
        <v>15.54</v>
      </c>
      <c r="U733">
        <f t="shared" si="70"/>
        <v>2.0202</v>
      </c>
      <c r="V733">
        <f t="shared" si="71"/>
        <v>13</v>
      </c>
    </row>
    <row r="734" spans="1:22" x14ac:dyDescent="0.25">
      <c r="A734" t="s">
        <v>1423</v>
      </c>
      <c r="B734">
        <v>44312</v>
      </c>
      <c r="C734" t="str">
        <f t="shared" si="68"/>
        <v>26</v>
      </c>
      <c r="D734" t="str">
        <f t="shared" si="66"/>
        <v>April</v>
      </c>
      <c r="E734" t="str">
        <f t="shared" si="69"/>
        <v>2021</v>
      </c>
      <c r="F734" t="s">
        <v>1424</v>
      </c>
      <c r="G734" t="str">
        <f>VLOOKUP(F734,'Customers (2)'!A:I,2,0)</f>
        <v>Jacquelyn Maha</v>
      </c>
      <c r="H734" t="str">
        <f>VLOOKUP(F734,'Customers (2)'!A:I,3,0)</f>
        <v>jmahakc@cyberchimps.com</v>
      </c>
      <c r="I734" t="str">
        <f>VLOOKUP(F734,'Customers (2)'!A:I,4,0)</f>
        <v>+1 (702) 238-8287</v>
      </c>
      <c r="J734" t="str">
        <f>VLOOKUP(F734,'Customers (2)'!A:I,6,0)</f>
        <v>Reno</v>
      </c>
      <c r="K734" t="str">
        <f>VLOOKUP(F734,'Customers (2)'!A:I,7,0)</f>
        <v>United States</v>
      </c>
      <c r="L734" t="str">
        <f>VLOOKUP(F734,'Customers (2)'!A:I,9,0)</f>
        <v>No</v>
      </c>
      <c r="M734" t="str">
        <f>VLOOKUP(N734,'Products (2)'!A:G,2,0)</f>
        <v>Excelsa</v>
      </c>
      <c r="N734" t="s">
        <v>254</v>
      </c>
      <c r="O734" t="str">
        <f>VLOOKUP(N734,'Products (2)'!A:G,3,0)</f>
        <v>Light</v>
      </c>
      <c r="P734">
        <f>VLOOKUP(N734,'Products (2)'!A:G,7,0)</f>
        <v>0.49004999999999999</v>
      </c>
      <c r="Q734">
        <v>2</v>
      </c>
      <c r="R734">
        <f>INDEX([1]products!$A$1:$G$49,MATCH([1]orders!$D734,[1]products!$A$1:$A$49,0),MATCH([1]orders!K$1,[1]products!$A$1:$G$1,0))</f>
        <v>0.2</v>
      </c>
      <c r="S734">
        <f>INDEX([1]products!$A$1:$G$49,MATCH([1]orders!$D734,[1]products!$A$1:$A$49,0),MATCH([1]orders!L$1,[1]products!$A$1:$G$1,0))</f>
        <v>4.4550000000000001</v>
      </c>
      <c r="T734">
        <f t="shared" si="67"/>
        <v>8.91</v>
      </c>
      <c r="U734">
        <f t="shared" si="70"/>
        <v>0.98009999999999997</v>
      </c>
      <c r="V734">
        <f t="shared" si="71"/>
        <v>11</v>
      </c>
    </row>
    <row r="735" spans="1:22" x14ac:dyDescent="0.25">
      <c r="A735" t="s">
        <v>1425</v>
      </c>
      <c r="B735">
        <v>44565</v>
      </c>
      <c r="C735" t="str">
        <f t="shared" si="68"/>
        <v>04</v>
      </c>
      <c r="D735" t="str">
        <f t="shared" si="66"/>
        <v>January</v>
      </c>
      <c r="E735" t="str">
        <f t="shared" si="69"/>
        <v>2022</v>
      </c>
      <c r="F735" t="s">
        <v>1426</v>
      </c>
      <c r="G735" t="str">
        <f>VLOOKUP(F735,'Customers (2)'!A:I,2,0)</f>
        <v>Glory Clemon</v>
      </c>
      <c r="H735" t="str">
        <f>VLOOKUP(F735,'Customers (2)'!A:I,3,0)</f>
        <v>gclemonkd@networksolutions.com</v>
      </c>
      <c r="I735" t="str">
        <f>VLOOKUP(F735,'Customers (2)'!A:I,4,0)</f>
        <v>+1 (205) 681-2376</v>
      </c>
      <c r="J735" t="str">
        <f>VLOOKUP(F735,'Customers (2)'!A:I,6,0)</f>
        <v>Tuscaloosa</v>
      </c>
      <c r="K735" t="str">
        <f>VLOOKUP(F735,'Customers (2)'!A:I,7,0)</f>
        <v>United States</v>
      </c>
      <c r="L735" t="str">
        <f>VLOOKUP(F735,'Customers (2)'!A:I,9,0)</f>
        <v>Yes</v>
      </c>
      <c r="M735" t="str">
        <f>VLOOKUP(N735,'Products (2)'!A:G,2,0)</f>
        <v>Liberica</v>
      </c>
      <c r="N735" t="s">
        <v>197</v>
      </c>
      <c r="O735" t="str">
        <f>VLOOKUP(N735,'Products (2)'!A:G,3,0)</f>
        <v>Medium</v>
      </c>
      <c r="P735">
        <f>VLOOKUP(N735,'Products (2)'!A:G,7,0)</f>
        <v>4.3504499999999995</v>
      </c>
      <c r="Q735">
        <v>3</v>
      </c>
      <c r="R735">
        <f>INDEX([1]products!$A$1:$G$49,MATCH([1]orders!$D735,[1]products!$A$1:$A$49,0),MATCH([1]orders!K$1,[1]products!$A$1:$G$1,0))</f>
        <v>2.5</v>
      </c>
      <c r="S735">
        <f>INDEX([1]products!$A$1:$G$49,MATCH([1]orders!$D735,[1]products!$A$1:$A$49,0),MATCH([1]orders!L$1,[1]products!$A$1:$G$1,0))</f>
        <v>33.464999999999996</v>
      </c>
      <c r="T735">
        <f t="shared" si="67"/>
        <v>100.39499999999998</v>
      </c>
      <c r="U735">
        <f t="shared" si="70"/>
        <v>13.051349999999999</v>
      </c>
      <c r="V735">
        <f t="shared" si="71"/>
        <v>13</v>
      </c>
    </row>
    <row r="736" spans="1:22" x14ac:dyDescent="0.25">
      <c r="A736" t="s">
        <v>1427</v>
      </c>
      <c r="B736">
        <v>43697</v>
      </c>
      <c r="C736" t="str">
        <f t="shared" si="68"/>
        <v>20</v>
      </c>
      <c r="D736" t="str">
        <f t="shared" si="66"/>
        <v>August</v>
      </c>
      <c r="E736" t="str">
        <f t="shared" si="69"/>
        <v>2019</v>
      </c>
      <c r="F736" t="s">
        <v>1428</v>
      </c>
      <c r="G736" t="str">
        <f>VLOOKUP(F736,'Customers (2)'!A:I,2,0)</f>
        <v>Alica Kift</v>
      </c>
      <c r="H736">
        <f>VLOOKUP(F736,'Customers (2)'!A:I,3,0)</f>
        <v>0</v>
      </c>
      <c r="I736" t="str">
        <f>VLOOKUP(F736,'Customers (2)'!A:I,4,0)</f>
        <v>+1 (209) 133-9447</v>
      </c>
      <c r="J736" t="str">
        <f>VLOOKUP(F736,'Customers (2)'!A:I,6,0)</f>
        <v>Garden Grove</v>
      </c>
      <c r="K736" t="str">
        <f>VLOOKUP(F736,'Customers (2)'!A:I,7,0)</f>
        <v>United States</v>
      </c>
      <c r="L736" t="str">
        <f>VLOOKUP(F736,'Customers (2)'!A:I,9,0)</f>
        <v>No</v>
      </c>
      <c r="M736" t="str">
        <f>VLOOKUP(N736,'Products (2)'!A:G,2,0)</f>
        <v>Robusta</v>
      </c>
      <c r="N736" t="s">
        <v>101</v>
      </c>
      <c r="O736" t="str">
        <f>VLOOKUP(N736,'Products (2)'!A:G,3,0)</f>
        <v>Dark</v>
      </c>
      <c r="P736">
        <f>VLOOKUP(N736,'Products (2)'!A:G,7,0)</f>
        <v>0.16109999999999997</v>
      </c>
      <c r="Q736">
        <v>5</v>
      </c>
      <c r="R736">
        <f>INDEX([1]products!$A$1:$G$49,MATCH([1]orders!$D736,[1]products!$A$1:$A$49,0),MATCH([1]orders!K$1,[1]products!$A$1:$G$1,0))</f>
        <v>0.2</v>
      </c>
      <c r="S736">
        <f>INDEX([1]products!$A$1:$G$49,MATCH([1]orders!$D736,[1]products!$A$1:$A$49,0),MATCH([1]orders!L$1,[1]products!$A$1:$G$1,0))</f>
        <v>2.6849999999999996</v>
      </c>
      <c r="T736">
        <f t="shared" si="67"/>
        <v>13.424999999999997</v>
      </c>
      <c r="U736">
        <f t="shared" si="70"/>
        <v>0.80549999999999988</v>
      </c>
      <c r="V736">
        <f t="shared" si="71"/>
        <v>6.0000000000000009</v>
      </c>
    </row>
    <row r="737" spans="1:22" x14ac:dyDescent="0.25">
      <c r="A737" t="s">
        <v>1429</v>
      </c>
      <c r="B737">
        <v>44757</v>
      </c>
      <c r="C737" t="str">
        <f t="shared" si="68"/>
        <v>15</v>
      </c>
      <c r="D737" t="str">
        <f t="shared" si="66"/>
        <v>July</v>
      </c>
      <c r="E737" t="str">
        <f t="shared" si="69"/>
        <v>2022</v>
      </c>
      <c r="F737" t="s">
        <v>1430</v>
      </c>
      <c r="G737" t="str">
        <f>VLOOKUP(F737,'Customers (2)'!A:I,2,0)</f>
        <v>Babb Pollins</v>
      </c>
      <c r="H737" t="str">
        <f>VLOOKUP(F737,'Customers (2)'!A:I,3,0)</f>
        <v>bpollinskf@shinystat.com</v>
      </c>
      <c r="I737">
        <f>VLOOKUP(F737,'Customers (2)'!A:I,4,0)</f>
        <v>0</v>
      </c>
      <c r="J737" t="str">
        <f>VLOOKUP(F737,'Customers (2)'!A:I,6,0)</f>
        <v>Shawnee Mission</v>
      </c>
      <c r="K737" t="str">
        <f>VLOOKUP(F737,'Customers (2)'!A:I,7,0)</f>
        <v>United States</v>
      </c>
      <c r="L737" t="str">
        <f>VLOOKUP(F737,'Customers (2)'!A:I,9,0)</f>
        <v>No</v>
      </c>
      <c r="M737" t="str">
        <f>VLOOKUP(N737,'Products (2)'!A:G,2,0)</f>
        <v>Excelsa</v>
      </c>
      <c r="N737" t="s">
        <v>51</v>
      </c>
      <c r="O737" t="str">
        <f>VLOOKUP(N737,'Products (2)'!A:G,3,0)</f>
        <v>Dark</v>
      </c>
      <c r="P737">
        <f>VLOOKUP(N737,'Products (2)'!A:G,7,0)</f>
        <v>0.40095000000000003</v>
      </c>
      <c r="Q737">
        <v>6</v>
      </c>
      <c r="R737">
        <f>INDEX([1]products!$A$1:$G$49,MATCH([1]orders!$D737,[1]products!$A$1:$A$49,0),MATCH([1]orders!K$1,[1]products!$A$1:$G$1,0))</f>
        <v>0.2</v>
      </c>
      <c r="S737">
        <f>INDEX([1]products!$A$1:$G$49,MATCH([1]orders!$D737,[1]products!$A$1:$A$49,0),MATCH([1]orders!L$1,[1]products!$A$1:$G$1,0))</f>
        <v>3.645</v>
      </c>
      <c r="T737">
        <f t="shared" si="67"/>
        <v>21.87</v>
      </c>
      <c r="U737">
        <f t="shared" si="70"/>
        <v>2.4057000000000004</v>
      </c>
      <c r="V737">
        <f t="shared" si="71"/>
        <v>11.000000000000002</v>
      </c>
    </row>
    <row r="738" spans="1:22" x14ac:dyDescent="0.25">
      <c r="A738" t="s">
        <v>1431</v>
      </c>
      <c r="B738">
        <v>43508</v>
      </c>
      <c r="C738" t="str">
        <f t="shared" si="68"/>
        <v>12</v>
      </c>
      <c r="D738" t="str">
        <f t="shared" si="66"/>
        <v>February</v>
      </c>
      <c r="E738" t="str">
        <f t="shared" si="69"/>
        <v>2019</v>
      </c>
      <c r="F738" t="s">
        <v>1432</v>
      </c>
      <c r="G738" t="str">
        <f>VLOOKUP(F738,'Customers (2)'!A:I,2,0)</f>
        <v>Jarret Toye</v>
      </c>
      <c r="H738" t="str">
        <f>VLOOKUP(F738,'Customers (2)'!A:I,3,0)</f>
        <v>jtoyekg@pinterest.com</v>
      </c>
      <c r="I738" t="str">
        <f>VLOOKUP(F738,'Customers (2)'!A:I,4,0)</f>
        <v>+353 (587) 270-6561</v>
      </c>
      <c r="J738" t="str">
        <f>VLOOKUP(F738,'Customers (2)'!A:I,6,0)</f>
        <v>Ballivor</v>
      </c>
      <c r="K738" t="str">
        <f>VLOOKUP(F738,'Customers (2)'!A:I,7,0)</f>
        <v>Ireland</v>
      </c>
      <c r="L738" t="str">
        <f>VLOOKUP(F738,'Customers (2)'!A:I,9,0)</f>
        <v>Yes</v>
      </c>
      <c r="M738" t="str">
        <f>VLOOKUP(N738,'Products (2)'!A:G,2,0)</f>
        <v>Liberica</v>
      </c>
      <c r="N738" t="s">
        <v>13</v>
      </c>
      <c r="O738" t="str">
        <f>VLOOKUP(N738,'Products (2)'!A:G,3,0)</f>
        <v>Dark</v>
      </c>
      <c r="P738">
        <f>VLOOKUP(N738,'Products (2)'!A:G,7,0)</f>
        <v>1.6835</v>
      </c>
      <c r="Q738">
        <v>2</v>
      </c>
      <c r="R738">
        <f>INDEX([1]products!$A$1:$G$49,MATCH([1]orders!$D738,[1]products!$A$1:$A$49,0),MATCH([1]orders!K$1,[1]products!$A$1:$G$1,0))</f>
        <v>1</v>
      </c>
      <c r="S738">
        <f>INDEX([1]products!$A$1:$G$49,MATCH([1]orders!$D738,[1]products!$A$1:$A$49,0),MATCH([1]orders!L$1,[1]products!$A$1:$G$1,0))</f>
        <v>12.95</v>
      </c>
      <c r="T738">
        <f t="shared" si="67"/>
        <v>25.9</v>
      </c>
      <c r="U738">
        <f t="shared" si="70"/>
        <v>3.367</v>
      </c>
      <c r="V738">
        <f t="shared" si="71"/>
        <v>13</v>
      </c>
    </row>
    <row r="739" spans="1:22" x14ac:dyDescent="0.25">
      <c r="A739" t="s">
        <v>1433</v>
      </c>
      <c r="B739">
        <v>44447</v>
      </c>
      <c r="C739" t="str">
        <f t="shared" si="68"/>
        <v>08</v>
      </c>
      <c r="D739" t="str">
        <f t="shared" si="66"/>
        <v>September</v>
      </c>
      <c r="E739" t="str">
        <f t="shared" si="69"/>
        <v>2021</v>
      </c>
      <c r="F739" t="s">
        <v>1434</v>
      </c>
      <c r="G739" t="str">
        <f>VLOOKUP(F739,'Customers (2)'!A:I,2,0)</f>
        <v>Carlie Linskill</v>
      </c>
      <c r="H739" t="str">
        <f>VLOOKUP(F739,'Customers (2)'!A:I,3,0)</f>
        <v>clinskillkh@sphinn.com</v>
      </c>
      <c r="I739" t="str">
        <f>VLOOKUP(F739,'Customers (2)'!A:I,4,0)</f>
        <v>+1 (513) 743-7556</v>
      </c>
      <c r="J739" t="str">
        <f>VLOOKUP(F739,'Customers (2)'!A:I,6,0)</f>
        <v>Cincinnati</v>
      </c>
      <c r="K739" t="str">
        <f>VLOOKUP(F739,'Customers (2)'!A:I,7,0)</f>
        <v>United States</v>
      </c>
      <c r="L739" t="str">
        <f>VLOOKUP(F739,'Customers (2)'!A:I,9,0)</f>
        <v>No</v>
      </c>
      <c r="M739" t="str">
        <f>VLOOKUP(N739,'Products (2)'!A:G,2,0)</f>
        <v>Arabica</v>
      </c>
      <c r="N739" t="s">
        <v>61</v>
      </c>
      <c r="O739" t="str">
        <f>VLOOKUP(N739,'Products (2)'!A:G,3,0)</f>
        <v>Medium</v>
      </c>
      <c r="P739">
        <f>VLOOKUP(N739,'Products (2)'!A:G,7,0)</f>
        <v>1.0125</v>
      </c>
      <c r="Q739">
        <v>5</v>
      </c>
      <c r="R739">
        <f>INDEX([1]products!$A$1:$G$49,MATCH([1]orders!$D739,[1]products!$A$1:$A$49,0),MATCH([1]orders!K$1,[1]products!$A$1:$G$1,0))</f>
        <v>1</v>
      </c>
      <c r="S739">
        <f>INDEX([1]products!$A$1:$G$49,MATCH([1]orders!$D739,[1]products!$A$1:$A$49,0),MATCH([1]orders!L$1,[1]products!$A$1:$G$1,0))</f>
        <v>11.25</v>
      </c>
      <c r="T739">
        <f t="shared" si="67"/>
        <v>56.25</v>
      </c>
      <c r="U739">
        <f t="shared" si="70"/>
        <v>5.0625</v>
      </c>
      <c r="V739">
        <f t="shared" si="71"/>
        <v>9</v>
      </c>
    </row>
    <row r="740" spans="1:22" x14ac:dyDescent="0.25">
      <c r="A740" t="s">
        <v>1435</v>
      </c>
      <c r="B740">
        <v>43812</v>
      </c>
      <c r="C740" t="str">
        <f t="shared" si="68"/>
        <v>13</v>
      </c>
      <c r="D740" t="str">
        <f t="shared" si="66"/>
        <v>December</v>
      </c>
      <c r="E740" t="str">
        <f t="shared" si="69"/>
        <v>2019</v>
      </c>
      <c r="F740" t="s">
        <v>1436</v>
      </c>
      <c r="G740" t="str">
        <f>VLOOKUP(F740,'Customers (2)'!A:I,2,0)</f>
        <v>Natal Vigrass</v>
      </c>
      <c r="H740" t="str">
        <f>VLOOKUP(F740,'Customers (2)'!A:I,3,0)</f>
        <v>nvigrasski@ezinearticles.com</v>
      </c>
      <c r="I740" t="str">
        <f>VLOOKUP(F740,'Customers (2)'!A:I,4,0)</f>
        <v>+44 (336) 257-7415</v>
      </c>
      <c r="J740" t="str">
        <f>VLOOKUP(F740,'Customers (2)'!A:I,6,0)</f>
        <v>Whitwell</v>
      </c>
      <c r="K740" t="str">
        <f>VLOOKUP(F740,'Customers (2)'!A:I,7,0)</f>
        <v>United Kingdom</v>
      </c>
      <c r="L740" t="str">
        <f>VLOOKUP(F740,'Customers (2)'!A:I,9,0)</f>
        <v>No</v>
      </c>
      <c r="M740" t="str">
        <f>VLOOKUP(N740,'Products (2)'!A:G,2,0)</f>
        <v>Robusta</v>
      </c>
      <c r="N740" t="s">
        <v>182</v>
      </c>
      <c r="O740" t="str">
        <f>VLOOKUP(N740,'Products (2)'!A:G,3,0)</f>
        <v>Light</v>
      </c>
      <c r="P740">
        <f>VLOOKUP(N740,'Products (2)'!A:G,7,0)</f>
        <v>0.21509999999999996</v>
      </c>
      <c r="Q740">
        <v>3</v>
      </c>
      <c r="R740">
        <f>INDEX([1]products!$A$1:$G$49,MATCH([1]orders!$D740,[1]products!$A$1:$A$49,0),MATCH([1]orders!K$1,[1]products!$A$1:$G$1,0))</f>
        <v>0.2</v>
      </c>
      <c r="S740">
        <f>INDEX([1]products!$A$1:$G$49,MATCH([1]orders!$D740,[1]products!$A$1:$A$49,0),MATCH([1]orders!L$1,[1]products!$A$1:$G$1,0))</f>
        <v>3.5849999999999995</v>
      </c>
      <c r="T740">
        <f t="shared" si="67"/>
        <v>10.754999999999999</v>
      </c>
      <c r="U740">
        <f t="shared" si="70"/>
        <v>0.64529999999999987</v>
      </c>
      <c r="V740">
        <f t="shared" si="71"/>
        <v>5.9999999999999991</v>
      </c>
    </row>
    <row r="741" spans="1:22" x14ac:dyDescent="0.25">
      <c r="A741" t="s">
        <v>1437</v>
      </c>
      <c r="B741">
        <v>44433</v>
      </c>
      <c r="C741" t="str">
        <f t="shared" si="68"/>
        <v>25</v>
      </c>
      <c r="D741" t="str">
        <f t="shared" si="66"/>
        <v>August</v>
      </c>
      <c r="E741" t="str">
        <f t="shared" si="69"/>
        <v>2021</v>
      </c>
      <c r="F741" t="s">
        <v>1344</v>
      </c>
      <c r="G741" t="str">
        <f>VLOOKUP(F741,'Customers (2)'!A:I,2,0)</f>
        <v>Jimmy Dymoke</v>
      </c>
      <c r="H741" t="str">
        <f>VLOOKUP(F741,'Customers (2)'!A:I,3,0)</f>
        <v>jdymokeje@prnewswire.com</v>
      </c>
      <c r="I741" t="str">
        <f>VLOOKUP(F741,'Customers (2)'!A:I,4,0)</f>
        <v>+353 (390) 459-9269</v>
      </c>
      <c r="J741" t="str">
        <f>VLOOKUP(F741,'Customers (2)'!A:I,6,0)</f>
        <v>Beaumont</v>
      </c>
      <c r="K741" t="str">
        <f>VLOOKUP(F741,'Customers (2)'!A:I,7,0)</f>
        <v>Ireland</v>
      </c>
      <c r="L741" t="str">
        <f>VLOOKUP(F741,'Customers (2)'!A:I,9,0)</f>
        <v>No</v>
      </c>
      <c r="M741" t="str">
        <f>VLOOKUP(N741,'Products (2)'!A:G,2,0)</f>
        <v>Excelsa</v>
      </c>
      <c r="N741" t="s">
        <v>51</v>
      </c>
      <c r="O741" t="str">
        <f>VLOOKUP(N741,'Products (2)'!A:G,3,0)</f>
        <v>Dark</v>
      </c>
      <c r="P741">
        <f>VLOOKUP(N741,'Products (2)'!A:G,7,0)</f>
        <v>0.40095000000000003</v>
      </c>
      <c r="Q741">
        <v>5</v>
      </c>
      <c r="R741">
        <f>INDEX([1]products!$A$1:$G$49,MATCH([1]orders!$D741,[1]products!$A$1:$A$49,0),MATCH([1]orders!K$1,[1]products!$A$1:$G$1,0))</f>
        <v>0.2</v>
      </c>
      <c r="S741">
        <f>INDEX([1]products!$A$1:$G$49,MATCH([1]orders!$D741,[1]products!$A$1:$A$49,0),MATCH([1]orders!L$1,[1]products!$A$1:$G$1,0))</f>
        <v>3.645</v>
      </c>
      <c r="T741">
        <f t="shared" si="67"/>
        <v>18.225000000000001</v>
      </c>
      <c r="U741">
        <f t="shared" si="70"/>
        <v>2.00475</v>
      </c>
      <c r="V741">
        <f t="shared" si="71"/>
        <v>10.999999999999998</v>
      </c>
    </row>
    <row r="742" spans="1:22" x14ac:dyDescent="0.25">
      <c r="A742" t="s">
        <v>1438</v>
      </c>
      <c r="B742">
        <v>44643</v>
      </c>
      <c r="C742" t="str">
        <f t="shared" si="68"/>
        <v>23</v>
      </c>
      <c r="D742" t="str">
        <f t="shared" si="66"/>
        <v>March</v>
      </c>
      <c r="E742" t="str">
        <f t="shared" si="69"/>
        <v>2022</v>
      </c>
      <c r="F742" t="s">
        <v>1439</v>
      </c>
      <c r="G742" t="str">
        <f>VLOOKUP(F742,'Customers (2)'!A:I,2,0)</f>
        <v>Kandace Cragell</v>
      </c>
      <c r="H742" t="str">
        <f>VLOOKUP(F742,'Customers (2)'!A:I,3,0)</f>
        <v>kcragellkk@google.com</v>
      </c>
      <c r="I742" t="str">
        <f>VLOOKUP(F742,'Customers (2)'!A:I,4,0)</f>
        <v>+353 (458) 634-2269</v>
      </c>
      <c r="J742" t="str">
        <f>VLOOKUP(F742,'Customers (2)'!A:I,6,0)</f>
        <v>Dungarvan</v>
      </c>
      <c r="K742" t="str">
        <f>VLOOKUP(F742,'Customers (2)'!A:I,7,0)</f>
        <v>Ireland</v>
      </c>
      <c r="L742" t="str">
        <f>VLOOKUP(F742,'Customers (2)'!A:I,9,0)</f>
        <v>No</v>
      </c>
      <c r="M742" t="str">
        <f>VLOOKUP(N742,'Products (2)'!A:G,2,0)</f>
        <v>Robusta</v>
      </c>
      <c r="N742" t="s">
        <v>157</v>
      </c>
      <c r="O742" t="str">
        <f>VLOOKUP(N742,'Products (2)'!A:G,3,0)</f>
        <v>Light</v>
      </c>
      <c r="P742">
        <f>VLOOKUP(N742,'Products (2)'!A:G,7,0)</f>
        <v>0.43019999999999992</v>
      </c>
      <c r="Q742">
        <v>4</v>
      </c>
      <c r="R742">
        <f>INDEX([1]products!$A$1:$G$49,MATCH([1]orders!$D742,[1]products!$A$1:$A$49,0),MATCH([1]orders!K$1,[1]products!$A$1:$G$1,0))</f>
        <v>0.5</v>
      </c>
      <c r="S742">
        <f>INDEX([1]products!$A$1:$G$49,MATCH([1]orders!$D742,[1]products!$A$1:$A$49,0),MATCH([1]orders!L$1,[1]products!$A$1:$G$1,0))</f>
        <v>7.169999999999999</v>
      </c>
      <c r="T742">
        <f t="shared" si="67"/>
        <v>28.679999999999996</v>
      </c>
      <c r="U742">
        <f t="shared" si="70"/>
        <v>1.7207999999999997</v>
      </c>
      <c r="V742">
        <f t="shared" si="71"/>
        <v>6</v>
      </c>
    </row>
    <row r="743" spans="1:22" x14ac:dyDescent="0.25">
      <c r="A743" t="s">
        <v>1440</v>
      </c>
      <c r="B743">
        <v>43566</v>
      </c>
      <c r="C743" t="str">
        <f t="shared" si="68"/>
        <v>11</v>
      </c>
      <c r="D743" t="str">
        <f t="shared" si="66"/>
        <v>April</v>
      </c>
      <c r="E743" t="str">
        <f t="shared" si="69"/>
        <v>2019</v>
      </c>
      <c r="F743" t="s">
        <v>1441</v>
      </c>
      <c r="G743" t="str">
        <f>VLOOKUP(F743,'Customers (2)'!A:I,2,0)</f>
        <v>Lyon Ibert</v>
      </c>
      <c r="H743" t="str">
        <f>VLOOKUP(F743,'Customers (2)'!A:I,3,0)</f>
        <v>libertkl@huffingtonpost.com</v>
      </c>
      <c r="I743" t="str">
        <f>VLOOKUP(F743,'Customers (2)'!A:I,4,0)</f>
        <v>+1 (408) 546-0790</v>
      </c>
      <c r="J743" t="str">
        <f>VLOOKUP(F743,'Customers (2)'!A:I,6,0)</f>
        <v>Sunnyvale</v>
      </c>
      <c r="K743" t="str">
        <f>VLOOKUP(F743,'Customers (2)'!A:I,7,0)</f>
        <v>United States</v>
      </c>
      <c r="L743" t="str">
        <f>VLOOKUP(F743,'Customers (2)'!A:I,9,0)</f>
        <v>No</v>
      </c>
      <c r="M743" t="str">
        <f>VLOOKUP(N743,'Products (2)'!A:G,2,0)</f>
        <v>Liberica</v>
      </c>
      <c r="N743" t="s">
        <v>77</v>
      </c>
      <c r="O743" t="str">
        <f>VLOOKUP(N743,'Products (2)'!A:G,3,0)</f>
        <v>Medium</v>
      </c>
      <c r="P743">
        <f>VLOOKUP(N743,'Products (2)'!A:G,7,0)</f>
        <v>0.56745000000000001</v>
      </c>
      <c r="Q743">
        <v>2</v>
      </c>
      <c r="R743">
        <f>INDEX([1]products!$A$1:$G$49,MATCH([1]orders!$D743,[1]products!$A$1:$A$49,0),MATCH([1]orders!K$1,[1]products!$A$1:$G$1,0))</f>
        <v>0.2</v>
      </c>
      <c r="S743">
        <f>INDEX([1]products!$A$1:$G$49,MATCH([1]orders!$D743,[1]products!$A$1:$A$49,0),MATCH([1]orders!L$1,[1]products!$A$1:$G$1,0))</f>
        <v>4.3650000000000002</v>
      </c>
      <c r="T743">
        <f t="shared" si="67"/>
        <v>8.73</v>
      </c>
      <c r="U743">
        <f t="shared" si="70"/>
        <v>1.1349</v>
      </c>
      <c r="V743">
        <f t="shared" si="71"/>
        <v>13</v>
      </c>
    </row>
    <row r="744" spans="1:22" x14ac:dyDescent="0.25">
      <c r="A744" t="s">
        <v>1442</v>
      </c>
      <c r="B744">
        <v>44133</v>
      </c>
      <c r="C744" t="str">
        <f t="shared" si="68"/>
        <v>29</v>
      </c>
      <c r="D744" t="str">
        <f t="shared" si="66"/>
        <v>October</v>
      </c>
      <c r="E744" t="str">
        <f t="shared" si="69"/>
        <v>2020</v>
      </c>
      <c r="F744" t="s">
        <v>1443</v>
      </c>
      <c r="G744" t="str">
        <f>VLOOKUP(F744,'Customers (2)'!A:I,2,0)</f>
        <v>Reese Lidgey</v>
      </c>
      <c r="H744" t="str">
        <f>VLOOKUP(F744,'Customers (2)'!A:I,3,0)</f>
        <v>rlidgeykm@vimeo.com</v>
      </c>
      <c r="I744" t="str">
        <f>VLOOKUP(F744,'Customers (2)'!A:I,4,0)</f>
        <v>+1 (901) 276-4141</v>
      </c>
      <c r="J744" t="str">
        <f>VLOOKUP(F744,'Customers (2)'!A:I,6,0)</f>
        <v>Memphis</v>
      </c>
      <c r="K744" t="str">
        <f>VLOOKUP(F744,'Customers (2)'!A:I,7,0)</f>
        <v>United States</v>
      </c>
      <c r="L744" t="str">
        <f>VLOOKUP(F744,'Customers (2)'!A:I,9,0)</f>
        <v>No</v>
      </c>
      <c r="M744" t="str">
        <f>VLOOKUP(N744,'Products (2)'!A:G,2,0)</f>
        <v>Liberica</v>
      </c>
      <c r="N744" t="s">
        <v>96</v>
      </c>
      <c r="O744" t="str">
        <f>VLOOKUP(N744,'Products (2)'!A:G,3,0)</f>
        <v>Medium</v>
      </c>
      <c r="P744">
        <f>VLOOKUP(N744,'Products (2)'!A:G,7,0)</f>
        <v>1.8915000000000002</v>
      </c>
      <c r="Q744">
        <v>4</v>
      </c>
      <c r="R744">
        <f>INDEX([1]products!$A$1:$G$49,MATCH([1]orders!$D744,[1]products!$A$1:$A$49,0),MATCH([1]orders!K$1,[1]products!$A$1:$G$1,0))</f>
        <v>1</v>
      </c>
      <c r="S744">
        <f>INDEX([1]products!$A$1:$G$49,MATCH([1]orders!$D744,[1]products!$A$1:$A$49,0),MATCH([1]orders!L$1,[1]products!$A$1:$G$1,0))</f>
        <v>14.55</v>
      </c>
      <c r="T744">
        <f t="shared" si="67"/>
        <v>58.2</v>
      </c>
      <c r="U744">
        <f t="shared" si="70"/>
        <v>7.5660000000000007</v>
      </c>
      <c r="V744">
        <f t="shared" si="71"/>
        <v>13</v>
      </c>
    </row>
    <row r="745" spans="1:22" x14ac:dyDescent="0.25">
      <c r="A745" t="s">
        <v>1444</v>
      </c>
      <c r="B745">
        <v>44042</v>
      </c>
      <c r="C745" t="str">
        <f t="shared" si="68"/>
        <v>30</v>
      </c>
      <c r="D745" t="str">
        <f t="shared" si="66"/>
        <v>July</v>
      </c>
      <c r="E745" t="str">
        <f t="shared" si="69"/>
        <v>2020</v>
      </c>
      <c r="F745" t="s">
        <v>1445</v>
      </c>
      <c r="G745" t="str">
        <f>VLOOKUP(F745,'Customers (2)'!A:I,2,0)</f>
        <v>Tersina Castagne</v>
      </c>
      <c r="H745" t="str">
        <f>VLOOKUP(F745,'Customers (2)'!A:I,3,0)</f>
        <v>tcastagnekn@wikia.com</v>
      </c>
      <c r="I745" t="str">
        <f>VLOOKUP(F745,'Customers (2)'!A:I,4,0)</f>
        <v>+1 (407) 154-6967</v>
      </c>
      <c r="J745" t="str">
        <f>VLOOKUP(F745,'Customers (2)'!A:I,6,0)</f>
        <v>Orlando</v>
      </c>
      <c r="K745" t="str">
        <f>VLOOKUP(F745,'Customers (2)'!A:I,7,0)</f>
        <v>United States</v>
      </c>
      <c r="L745" t="str">
        <f>VLOOKUP(F745,'Customers (2)'!A:I,9,0)</f>
        <v>No</v>
      </c>
      <c r="M745" t="str">
        <f>VLOOKUP(N745,'Products (2)'!A:G,2,0)</f>
        <v>Arabica</v>
      </c>
      <c r="N745" t="s">
        <v>72</v>
      </c>
      <c r="O745" t="str">
        <f>VLOOKUP(N745,'Products (2)'!A:G,3,0)</f>
        <v>Dark</v>
      </c>
      <c r="P745">
        <f>VLOOKUP(N745,'Products (2)'!A:G,7,0)</f>
        <v>0.5373</v>
      </c>
      <c r="Q745">
        <v>3</v>
      </c>
      <c r="R745">
        <f>INDEX([1]products!$A$1:$G$49,MATCH([1]orders!$D745,[1]products!$A$1:$A$49,0),MATCH([1]orders!K$1,[1]products!$A$1:$G$1,0))</f>
        <v>0.5</v>
      </c>
      <c r="S745">
        <f>INDEX([1]products!$A$1:$G$49,MATCH([1]orders!$D745,[1]products!$A$1:$A$49,0),MATCH([1]orders!L$1,[1]products!$A$1:$G$1,0))</f>
        <v>5.97</v>
      </c>
      <c r="T745">
        <f t="shared" si="67"/>
        <v>17.91</v>
      </c>
      <c r="U745">
        <f t="shared" si="70"/>
        <v>1.6118999999999999</v>
      </c>
      <c r="V745">
        <f t="shared" si="71"/>
        <v>9</v>
      </c>
    </row>
    <row r="746" spans="1:22" x14ac:dyDescent="0.25">
      <c r="A746" t="s">
        <v>1446</v>
      </c>
      <c r="B746">
        <v>43539</v>
      </c>
      <c r="C746" t="str">
        <f t="shared" si="68"/>
        <v>15</v>
      </c>
      <c r="D746" t="str">
        <f t="shared" si="66"/>
        <v>March</v>
      </c>
      <c r="E746" t="str">
        <f t="shared" si="69"/>
        <v>2019</v>
      </c>
      <c r="F746" t="s">
        <v>1447</v>
      </c>
      <c r="G746" t="str">
        <f>VLOOKUP(F746,'Customers (2)'!A:I,2,0)</f>
        <v>Samuele Klaaassen</v>
      </c>
      <c r="H746">
        <f>VLOOKUP(F746,'Customers (2)'!A:I,3,0)</f>
        <v>0</v>
      </c>
      <c r="I746" t="str">
        <f>VLOOKUP(F746,'Customers (2)'!A:I,4,0)</f>
        <v>+1 (313) 436-2249</v>
      </c>
      <c r="J746" t="str">
        <f>VLOOKUP(F746,'Customers (2)'!A:I,6,0)</f>
        <v>Detroit</v>
      </c>
      <c r="K746" t="str">
        <f>VLOOKUP(F746,'Customers (2)'!A:I,7,0)</f>
        <v>United States</v>
      </c>
      <c r="L746" t="str">
        <f>VLOOKUP(F746,'Customers (2)'!A:I,9,0)</f>
        <v>Yes</v>
      </c>
      <c r="M746" t="str">
        <f>VLOOKUP(N746,'Products (2)'!A:G,2,0)</f>
        <v>Robusta</v>
      </c>
      <c r="N746" t="s">
        <v>162</v>
      </c>
      <c r="O746" t="str">
        <f>VLOOKUP(N746,'Products (2)'!A:G,3,0)</f>
        <v>Medium</v>
      </c>
      <c r="P746">
        <f>VLOOKUP(N746,'Products (2)'!A:G,7,0)</f>
        <v>0.17909999999999998</v>
      </c>
      <c r="Q746">
        <v>6</v>
      </c>
      <c r="R746">
        <f>INDEX([1]products!$A$1:$G$49,MATCH([1]orders!$D746,[1]products!$A$1:$A$49,0),MATCH([1]orders!K$1,[1]products!$A$1:$G$1,0))</f>
        <v>0.2</v>
      </c>
      <c r="S746">
        <f>INDEX([1]products!$A$1:$G$49,MATCH([1]orders!$D746,[1]products!$A$1:$A$49,0),MATCH([1]orders!L$1,[1]products!$A$1:$G$1,0))</f>
        <v>2.9849999999999999</v>
      </c>
      <c r="T746">
        <f t="shared" si="67"/>
        <v>17.91</v>
      </c>
      <c r="U746">
        <f t="shared" si="70"/>
        <v>1.0745999999999998</v>
      </c>
      <c r="V746">
        <f t="shared" si="71"/>
        <v>5.9999999999999982</v>
      </c>
    </row>
    <row r="747" spans="1:22" x14ac:dyDescent="0.25">
      <c r="A747" t="s">
        <v>1448</v>
      </c>
      <c r="B747">
        <v>44557</v>
      </c>
      <c r="C747" t="str">
        <f t="shared" si="68"/>
        <v>27</v>
      </c>
      <c r="D747" t="str">
        <f t="shared" si="66"/>
        <v>December</v>
      </c>
      <c r="E747" t="str">
        <f t="shared" si="69"/>
        <v>2021</v>
      </c>
      <c r="F747" t="s">
        <v>1449</v>
      </c>
      <c r="G747" t="str">
        <f>VLOOKUP(F747,'Customers (2)'!A:I,2,0)</f>
        <v>Jordana Halden</v>
      </c>
      <c r="H747" t="str">
        <f>VLOOKUP(F747,'Customers (2)'!A:I,3,0)</f>
        <v>jhaldenkp@comcast.net</v>
      </c>
      <c r="I747" t="str">
        <f>VLOOKUP(F747,'Customers (2)'!A:I,4,0)</f>
        <v>+353 (278) 873-4395</v>
      </c>
      <c r="J747" t="str">
        <f>VLOOKUP(F747,'Customers (2)'!A:I,6,0)</f>
        <v>Clones</v>
      </c>
      <c r="K747" t="str">
        <f>VLOOKUP(F747,'Customers (2)'!A:I,7,0)</f>
        <v>Ireland</v>
      </c>
      <c r="L747" t="str">
        <f>VLOOKUP(F747,'Customers (2)'!A:I,9,0)</f>
        <v>No</v>
      </c>
      <c r="M747" t="str">
        <f>VLOOKUP(N747,'Products (2)'!A:G,2,0)</f>
        <v>Excelsa</v>
      </c>
      <c r="N747" t="s">
        <v>16</v>
      </c>
      <c r="O747" t="str">
        <f>VLOOKUP(N747,'Products (2)'!A:G,3,0)</f>
        <v>Dark</v>
      </c>
      <c r="P747">
        <f>VLOOKUP(N747,'Products (2)'!A:G,7,0)</f>
        <v>0.80190000000000006</v>
      </c>
      <c r="Q747">
        <v>2</v>
      </c>
      <c r="R747">
        <f>INDEX([1]products!$A$1:$G$49,MATCH([1]orders!$D747,[1]products!$A$1:$A$49,0),MATCH([1]orders!K$1,[1]products!$A$1:$G$1,0))</f>
        <v>0.5</v>
      </c>
      <c r="S747">
        <f>INDEX([1]products!$A$1:$G$49,MATCH([1]orders!$D747,[1]products!$A$1:$A$49,0),MATCH([1]orders!L$1,[1]products!$A$1:$G$1,0))</f>
        <v>7.29</v>
      </c>
      <c r="T747">
        <f t="shared" si="67"/>
        <v>14.58</v>
      </c>
      <c r="U747">
        <f t="shared" si="70"/>
        <v>1.6038000000000001</v>
      </c>
      <c r="V747">
        <f t="shared" si="71"/>
        <v>11</v>
      </c>
    </row>
    <row r="748" spans="1:22" x14ac:dyDescent="0.25">
      <c r="A748" t="s">
        <v>1450</v>
      </c>
      <c r="B748">
        <v>43741</v>
      </c>
      <c r="C748" t="str">
        <f t="shared" si="68"/>
        <v>03</v>
      </c>
      <c r="D748" t="str">
        <f t="shared" si="66"/>
        <v>October</v>
      </c>
      <c r="E748" t="str">
        <f t="shared" si="69"/>
        <v>2019</v>
      </c>
      <c r="F748" t="s">
        <v>1451</v>
      </c>
      <c r="G748" t="str">
        <f>VLOOKUP(F748,'Customers (2)'!A:I,2,0)</f>
        <v>Hussein Olliff</v>
      </c>
      <c r="H748" t="str">
        <f>VLOOKUP(F748,'Customers (2)'!A:I,3,0)</f>
        <v>holliffkq@sciencedirect.com</v>
      </c>
      <c r="I748" t="str">
        <f>VLOOKUP(F748,'Customers (2)'!A:I,4,0)</f>
        <v>+353 (203) 716-7239</v>
      </c>
      <c r="J748" t="str">
        <f>VLOOKUP(F748,'Customers (2)'!A:I,6,0)</f>
        <v>Stradbally</v>
      </c>
      <c r="K748" t="str">
        <f>VLOOKUP(F748,'Customers (2)'!A:I,7,0)</f>
        <v>Ireland</v>
      </c>
      <c r="L748" t="str">
        <f>VLOOKUP(F748,'Customers (2)'!A:I,9,0)</f>
        <v>No</v>
      </c>
      <c r="M748" t="str">
        <f>VLOOKUP(N748,'Products (2)'!A:G,2,0)</f>
        <v>Arabica</v>
      </c>
      <c r="N748" t="s">
        <v>61</v>
      </c>
      <c r="O748" t="str">
        <f>VLOOKUP(N748,'Products (2)'!A:G,3,0)</f>
        <v>Medium</v>
      </c>
      <c r="P748">
        <f>VLOOKUP(N748,'Products (2)'!A:G,7,0)</f>
        <v>1.0125</v>
      </c>
      <c r="Q748">
        <v>3</v>
      </c>
      <c r="R748">
        <f>INDEX([1]products!$A$1:$G$49,MATCH([1]orders!$D748,[1]products!$A$1:$A$49,0),MATCH([1]orders!K$1,[1]products!$A$1:$G$1,0))</f>
        <v>1</v>
      </c>
      <c r="S748">
        <f>INDEX([1]products!$A$1:$G$49,MATCH([1]orders!$D748,[1]products!$A$1:$A$49,0),MATCH([1]orders!L$1,[1]products!$A$1:$G$1,0))</f>
        <v>11.25</v>
      </c>
      <c r="T748">
        <f t="shared" si="67"/>
        <v>33.75</v>
      </c>
      <c r="U748">
        <f t="shared" si="70"/>
        <v>3.0374999999999996</v>
      </c>
      <c r="V748">
        <f t="shared" si="71"/>
        <v>8.9999999999999982</v>
      </c>
    </row>
    <row r="749" spans="1:22" x14ac:dyDescent="0.25">
      <c r="A749" t="s">
        <v>1452</v>
      </c>
      <c r="B749">
        <v>43501</v>
      </c>
      <c r="C749" t="str">
        <f t="shared" si="68"/>
        <v>05</v>
      </c>
      <c r="D749" t="str">
        <f t="shared" si="66"/>
        <v>February</v>
      </c>
      <c r="E749" t="str">
        <f t="shared" si="69"/>
        <v>2019</v>
      </c>
      <c r="F749" t="s">
        <v>1453</v>
      </c>
      <c r="G749" t="str">
        <f>VLOOKUP(F749,'Customers (2)'!A:I,2,0)</f>
        <v>Teddi Quadri</v>
      </c>
      <c r="H749" t="str">
        <f>VLOOKUP(F749,'Customers (2)'!A:I,3,0)</f>
        <v>tquadrikr@opensource.org</v>
      </c>
      <c r="I749" t="str">
        <f>VLOOKUP(F749,'Customers (2)'!A:I,4,0)</f>
        <v>+353 (789) 442-3189</v>
      </c>
      <c r="J749" t="str">
        <f>VLOOKUP(F749,'Customers (2)'!A:I,6,0)</f>
        <v>Ballina</v>
      </c>
      <c r="K749" t="str">
        <f>VLOOKUP(F749,'Customers (2)'!A:I,7,0)</f>
        <v>Ireland</v>
      </c>
      <c r="L749" t="str">
        <f>VLOOKUP(F749,'Customers (2)'!A:I,9,0)</f>
        <v>Yes</v>
      </c>
      <c r="M749" t="str">
        <f>VLOOKUP(N749,'Products (2)'!A:G,2,0)</f>
        <v>Liberica</v>
      </c>
      <c r="N749" t="s">
        <v>78</v>
      </c>
      <c r="O749" t="str">
        <f>VLOOKUP(N749,'Products (2)'!A:G,3,0)</f>
        <v>Medium</v>
      </c>
      <c r="P749">
        <f>VLOOKUP(N749,'Products (2)'!A:G,7,0)</f>
        <v>1.1349</v>
      </c>
      <c r="Q749">
        <v>4</v>
      </c>
      <c r="R749">
        <f>INDEX([1]products!$A$1:$G$49,MATCH([1]orders!$D749,[1]products!$A$1:$A$49,0),MATCH([1]orders!K$1,[1]products!$A$1:$G$1,0))</f>
        <v>0.5</v>
      </c>
      <c r="S749">
        <f>INDEX([1]products!$A$1:$G$49,MATCH([1]orders!$D749,[1]products!$A$1:$A$49,0),MATCH([1]orders!L$1,[1]products!$A$1:$G$1,0))</f>
        <v>8.73</v>
      </c>
      <c r="T749">
        <f t="shared" si="67"/>
        <v>34.92</v>
      </c>
      <c r="U749">
        <f t="shared" si="70"/>
        <v>4.5396000000000001</v>
      </c>
      <c r="V749">
        <f t="shared" si="71"/>
        <v>13</v>
      </c>
    </row>
    <row r="750" spans="1:22" x14ac:dyDescent="0.25">
      <c r="A750" t="s">
        <v>1454</v>
      </c>
      <c r="B750">
        <v>44074</v>
      </c>
      <c r="C750" t="str">
        <f t="shared" si="68"/>
        <v>31</v>
      </c>
      <c r="D750" t="str">
        <f t="shared" si="66"/>
        <v>August</v>
      </c>
      <c r="E750" t="str">
        <f t="shared" si="69"/>
        <v>2020</v>
      </c>
      <c r="F750" t="s">
        <v>1455</v>
      </c>
      <c r="G750" t="str">
        <f>VLOOKUP(F750,'Customers (2)'!A:I,2,0)</f>
        <v>Felita Eshmade</v>
      </c>
      <c r="H750" t="str">
        <f>VLOOKUP(F750,'Customers (2)'!A:I,3,0)</f>
        <v>feshmadeks@umn.edu</v>
      </c>
      <c r="I750" t="str">
        <f>VLOOKUP(F750,'Customers (2)'!A:I,4,0)</f>
        <v>+1 (804) 531-4136</v>
      </c>
      <c r="J750" t="str">
        <f>VLOOKUP(F750,'Customers (2)'!A:I,6,0)</f>
        <v>Richmond</v>
      </c>
      <c r="K750" t="str">
        <f>VLOOKUP(F750,'Customers (2)'!A:I,7,0)</f>
        <v>United States</v>
      </c>
      <c r="L750" t="str">
        <f>VLOOKUP(F750,'Customers (2)'!A:I,9,0)</f>
        <v>No</v>
      </c>
      <c r="M750" t="str">
        <f>VLOOKUP(N750,'Products (2)'!A:G,2,0)</f>
        <v>Excelsa</v>
      </c>
      <c r="N750" t="s">
        <v>16</v>
      </c>
      <c r="O750" t="str">
        <f>VLOOKUP(N750,'Products (2)'!A:G,3,0)</f>
        <v>Dark</v>
      </c>
      <c r="P750">
        <f>VLOOKUP(N750,'Products (2)'!A:G,7,0)</f>
        <v>0.80190000000000006</v>
      </c>
      <c r="Q750">
        <v>2</v>
      </c>
      <c r="R750">
        <f>INDEX([1]products!$A$1:$G$49,MATCH([1]orders!$D750,[1]products!$A$1:$A$49,0),MATCH([1]orders!K$1,[1]products!$A$1:$G$1,0))</f>
        <v>0.5</v>
      </c>
      <c r="S750">
        <f>INDEX([1]products!$A$1:$G$49,MATCH([1]orders!$D750,[1]products!$A$1:$A$49,0),MATCH([1]orders!L$1,[1]products!$A$1:$G$1,0))</f>
        <v>7.29</v>
      </c>
      <c r="T750">
        <f t="shared" si="67"/>
        <v>14.58</v>
      </c>
      <c r="U750">
        <f t="shared" si="70"/>
        <v>1.6038000000000001</v>
      </c>
      <c r="V750">
        <f t="shared" si="71"/>
        <v>11</v>
      </c>
    </row>
    <row r="751" spans="1:22" x14ac:dyDescent="0.25">
      <c r="A751" t="s">
        <v>1456</v>
      </c>
      <c r="B751">
        <v>44209</v>
      </c>
      <c r="C751" t="str">
        <f t="shared" si="68"/>
        <v>13</v>
      </c>
      <c r="D751" t="str">
        <f t="shared" si="66"/>
        <v>January</v>
      </c>
      <c r="E751" t="str">
        <f t="shared" si="69"/>
        <v>2021</v>
      </c>
      <c r="F751" t="s">
        <v>1457</v>
      </c>
      <c r="G751" t="str">
        <f>VLOOKUP(F751,'Customers (2)'!A:I,2,0)</f>
        <v>Melodie OIlier</v>
      </c>
      <c r="H751" t="str">
        <f>VLOOKUP(F751,'Customers (2)'!A:I,3,0)</f>
        <v>moilierkt@paginegialle.it</v>
      </c>
      <c r="I751" t="str">
        <f>VLOOKUP(F751,'Customers (2)'!A:I,4,0)</f>
        <v>+353 (675) 503-7567</v>
      </c>
      <c r="J751" t="str">
        <f>VLOOKUP(F751,'Customers (2)'!A:I,6,0)</f>
        <v>Glasnevin</v>
      </c>
      <c r="K751" t="str">
        <f>VLOOKUP(F751,'Customers (2)'!A:I,7,0)</f>
        <v>Ireland</v>
      </c>
      <c r="L751" t="str">
        <f>VLOOKUP(F751,'Customers (2)'!A:I,9,0)</f>
        <v>Yes</v>
      </c>
      <c r="M751" t="str">
        <f>VLOOKUP(N751,'Products (2)'!A:G,2,0)</f>
        <v>Robusta</v>
      </c>
      <c r="N751" t="s">
        <v>101</v>
      </c>
      <c r="O751" t="str">
        <f>VLOOKUP(N751,'Products (2)'!A:G,3,0)</f>
        <v>Dark</v>
      </c>
      <c r="P751">
        <f>VLOOKUP(N751,'Products (2)'!A:G,7,0)</f>
        <v>0.16109999999999997</v>
      </c>
      <c r="Q751">
        <v>2</v>
      </c>
      <c r="R751">
        <f>INDEX([1]products!$A$1:$G$49,MATCH([1]orders!$D751,[1]products!$A$1:$A$49,0),MATCH([1]orders!K$1,[1]products!$A$1:$G$1,0))</f>
        <v>0.2</v>
      </c>
      <c r="S751">
        <f>INDEX([1]products!$A$1:$G$49,MATCH([1]orders!$D751,[1]products!$A$1:$A$49,0),MATCH([1]orders!L$1,[1]products!$A$1:$G$1,0))</f>
        <v>2.6849999999999996</v>
      </c>
      <c r="T751">
        <f t="shared" si="67"/>
        <v>5.3699999999999992</v>
      </c>
      <c r="U751">
        <f t="shared" si="70"/>
        <v>0.32219999999999993</v>
      </c>
      <c r="V751">
        <f t="shared" si="71"/>
        <v>6</v>
      </c>
    </row>
    <row r="752" spans="1:22" x14ac:dyDescent="0.25">
      <c r="A752" t="s">
        <v>1458</v>
      </c>
      <c r="B752">
        <v>44277</v>
      </c>
      <c r="C752" t="str">
        <f t="shared" si="68"/>
        <v>22</v>
      </c>
      <c r="D752" t="str">
        <f t="shared" si="66"/>
        <v>March</v>
      </c>
      <c r="E752" t="str">
        <f t="shared" si="69"/>
        <v>2021</v>
      </c>
      <c r="F752" t="s">
        <v>1459</v>
      </c>
      <c r="G752" t="str">
        <f>VLOOKUP(F752,'Customers (2)'!A:I,2,0)</f>
        <v>Hazel Iacopini</v>
      </c>
      <c r="H752">
        <f>VLOOKUP(F752,'Customers (2)'!A:I,3,0)</f>
        <v>0</v>
      </c>
      <c r="I752" t="str">
        <f>VLOOKUP(F752,'Customers (2)'!A:I,4,0)</f>
        <v>+1 (682) 246-6139</v>
      </c>
      <c r="J752" t="str">
        <f>VLOOKUP(F752,'Customers (2)'!A:I,6,0)</f>
        <v>Fort Worth</v>
      </c>
      <c r="K752" t="str">
        <f>VLOOKUP(F752,'Customers (2)'!A:I,7,0)</f>
        <v>United States</v>
      </c>
      <c r="L752" t="str">
        <f>VLOOKUP(F752,'Customers (2)'!A:I,9,0)</f>
        <v>Yes</v>
      </c>
      <c r="M752" t="str">
        <f>VLOOKUP(N752,'Products (2)'!A:G,2,0)</f>
        <v>Robusta</v>
      </c>
      <c r="N752" t="s">
        <v>22</v>
      </c>
      <c r="O752" t="str">
        <f>VLOOKUP(N752,'Products (2)'!A:G,3,0)</f>
        <v>Medium</v>
      </c>
      <c r="P752">
        <f>VLOOKUP(N752,'Products (2)'!A:G,7,0)</f>
        <v>0.35819999999999996</v>
      </c>
      <c r="Q752">
        <v>1</v>
      </c>
      <c r="R752">
        <f>INDEX([1]products!$A$1:$G$49,MATCH([1]orders!$D752,[1]products!$A$1:$A$49,0),MATCH([1]orders!K$1,[1]products!$A$1:$G$1,0))</f>
        <v>0.5</v>
      </c>
      <c r="S752">
        <f>INDEX([1]products!$A$1:$G$49,MATCH([1]orders!$D752,[1]products!$A$1:$A$49,0),MATCH([1]orders!L$1,[1]products!$A$1:$G$1,0))</f>
        <v>5.97</v>
      </c>
      <c r="T752">
        <f t="shared" si="67"/>
        <v>5.97</v>
      </c>
      <c r="U752">
        <f t="shared" si="70"/>
        <v>0.35819999999999996</v>
      </c>
      <c r="V752">
        <f t="shared" si="71"/>
        <v>6</v>
      </c>
    </row>
    <row r="753" spans="1:22" x14ac:dyDescent="0.25">
      <c r="A753" t="s">
        <v>1460</v>
      </c>
      <c r="B753">
        <v>43847</v>
      </c>
      <c r="C753" t="str">
        <f t="shared" si="68"/>
        <v>17</v>
      </c>
      <c r="D753" t="str">
        <f t="shared" si="66"/>
        <v>January</v>
      </c>
      <c r="E753" t="str">
        <f t="shared" si="69"/>
        <v>2020</v>
      </c>
      <c r="F753" t="s">
        <v>1461</v>
      </c>
      <c r="G753" t="str">
        <f>VLOOKUP(F753,'Customers (2)'!A:I,2,0)</f>
        <v>Vinny Shoebotham</v>
      </c>
      <c r="H753" t="str">
        <f>VLOOKUP(F753,'Customers (2)'!A:I,3,0)</f>
        <v>vshoebothamkv@redcross.org</v>
      </c>
      <c r="I753" t="str">
        <f>VLOOKUP(F753,'Customers (2)'!A:I,4,0)</f>
        <v>+1 (212) 998-0802</v>
      </c>
      <c r="J753" t="str">
        <f>VLOOKUP(F753,'Customers (2)'!A:I,6,0)</f>
        <v>Brooklyn</v>
      </c>
      <c r="K753" t="str">
        <f>VLOOKUP(F753,'Customers (2)'!A:I,7,0)</f>
        <v>United States</v>
      </c>
      <c r="L753" t="str">
        <f>VLOOKUP(F753,'Customers (2)'!A:I,9,0)</f>
        <v>No</v>
      </c>
      <c r="M753" t="str">
        <f>VLOOKUP(N753,'Products (2)'!A:G,2,0)</f>
        <v>Liberica</v>
      </c>
      <c r="N753" t="s">
        <v>83</v>
      </c>
      <c r="O753" t="str">
        <f>VLOOKUP(N753,'Products (2)'!A:G,3,0)</f>
        <v>Light</v>
      </c>
      <c r="P753">
        <f>VLOOKUP(N753,'Products (2)'!A:G,7,0)</f>
        <v>1.2363</v>
      </c>
      <c r="Q753">
        <v>2</v>
      </c>
      <c r="R753">
        <f>INDEX([1]products!$A$1:$G$49,MATCH([1]orders!$D753,[1]products!$A$1:$A$49,0),MATCH([1]orders!K$1,[1]products!$A$1:$G$1,0))</f>
        <v>0.5</v>
      </c>
      <c r="S753">
        <f>INDEX([1]products!$A$1:$G$49,MATCH([1]orders!$D753,[1]products!$A$1:$A$49,0),MATCH([1]orders!L$1,[1]products!$A$1:$G$1,0))</f>
        <v>9.51</v>
      </c>
      <c r="T753">
        <f t="shared" si="67"/>
        <v>19.02</v>
      </c>
      <c r="U753">
        <f t="shared" si="70"/>
        <v>2.4725999999999999</v>
      </c>
      <c r="V753">
        <f t="shared" si="71"/>
        <v>13</v>
      </c>
    </row>
    <row r="754" spans="1:22" x14ac:dyDescent="0.25">
      <c r="A754" t="s">
        <v>1462</v>
      </c>
      <c r="B754">
        <v>43648</v>
      </c>
      <c r="C754" t="str">
        <f t="shared" si="68"/>
        <v>02</v>
      </c>
      <c r="D754" t="str">
        <f t="shared" si="66"/>
        <v>July</v>
      </c>
      <c r="E754" t="str">
        <f t="shared" si="69"/>
        <v>2019</v>
      </c>
      <c r="F754" t="s">
        <v>1463</v>
      </c>
      <c r="G754" t="str">
        <f>VLOOKUP(F754,'Customers (2)'!A:I,2,0)</f>
        <v>Bran Sterke</v>
      </c>
      <c r="H754" t="str">
        <f>VLOOKUP(F754,'Customers (2)'!A:I,3,0)</f>
        <v>bsterkekw@biblegateway.com</v>
      </c>
      <c r="I754" t="str">
        <f>VLOOKUP(F754,'Customers (2)'!A:I,4,0)</f>
        <v>+1 (682) 617-0470</v>
      </c>
      <c r="J754" t="str">
        <f>VLOOKUP(F754,'Customers (2)'!A:I,6,0)</f>
        <v>Fort Worth</v>
      </c>
      <c r="K754" t="str">
        <f>VLOOKUP(F754,'Customers (2)'!A:I,7,0)</f>
        <v>United States</v>
      </c>
      <c r="L754" t="str">
        <f>VLOOKUP(F754,'Customers (2)'!A:I,9,0)</f>
        <v>Yes</v>
      </c>
      <c r="M754" t="str">
        <f>VLOOKUP(N754,'Products (2)'!A:G,2,0)</f>
        <v>Excelsa</v>
      </c>
      <c r="N754" t="s">
        <v>9</v>
      </c>
      <c r="O754" t="str">
        <f>VLOOKUP(N754,'Products (2)'!A:G,3,0)</f>
        <v>Medium</v>
      </c>
      <c r="P754">
        <f>VLOOKUP(N754,'Products (2)'!A:G,7,0)</f>
        <v>1.5125</v>
      </c>
      <c r="Q754">
        <v>2</v>
      </c>
      <c r="R754">
        <f>INDEX([1]products!$A$1:$G$49,MATCH([1]orders!$D754,[1]products!$A$1:$A$49,0),MATCH([1]orders!K$1,[1]products!$A$1:$G$1,0))</f>
        <v>1</v>
      </c>
      <c r="S754">
        <f>INDEX([1]products!$A$1:$G$49,MATCH([1]orders!$D754,[1]products!$A$1:$A$49,0),MATCH([1]orders!L$1,[1]products!$A$1:$G$1,0))</f>
        <v>13.75</v>
      </c>
      <c r="T754">
        <f t="shared" si="67"/>
        <v>27.5</v>
      </c>
      <c r="U754">
        <f t="shared" si="70"/>
        <v>3.0249999999999999</v>
      </c>
      <c r="V754">
        <f t="shared" si="71"/>
        <v>11</v>
      </c>
    </row>
    <row r="755" spans="1:22" x14ac:dyDescent="0.25">
      <c r="A755" t="s">
        <v>1464</v>
      </c>
      <c r="B755">
        <v>44704</v>
      </c>
      <c r="C755" t="str">
        <f t="shared" si="68"/>
        <v>23</v>
      </c>
      <c r="D755" t="str">
        <f t="shared" si="66"/>
        <v>May</v>
      </c>
      <c r="E755" t="str">
        <f t="shared" si="69"/>
        <v>2022</v>
      </c>
      <c r="F755" t="s">
        <v>1465</v>
      </c>
      <c r="G755" t="str">
        <f>VLOOKUP(F755,'Customers (2)'!A:I,2,0)</f>
        <v>Simone Capon</v>
      </c>
      <c r="H755" t="str">
        <f>VLOOKUP(F755,'Customers (2)'!A:I,3,0)</f>
        <v>scaponkx@craigslist.org</v>
      </c>
      <c r="I755" t="str">
        <f>VLOOKUP(F755,'Customers (2)'!A:I,4,0)</f>
        <v>+1 (602) 619-0168</v>
      </c>
      <c r="J755" t="str">
        <f>VLOOKUP(F755,'Customers (2)'!A:I,6,0)</f>
        <v>Phoenix</v>
      </c>
      <c r="K755" t="str">
        <f>VLOOKUP(F755,'Customers (2)'!A:I,7,0)</f>
        <v>United States</v>
      </c>
      <c r="L755" t="str">
        <f>VLOOKUP(F755,'Customers (2)'!A:I,9,0)</f>
        <v>No</v>
      </c>
      <c r="M755" t="str">
        <f>VLOOKUP(N755,'Products (2)'!A:G,2,0)</f>
        <v>Arabica</v>
      </c>
      <c r="N755" t="s">
        <v>72</v>
      </c>
      <c r="O755" t="str">
        <f>VLOOKUP(N755,'Products (2)'!A:G,3,0)</f>
        <v>Dark</v>
      </c>
      <c r="P755">
        <f>VLOOKUP(N755,'Products (2)'!A:G,7,0)</f>
        <v>0.5373</v>
      </c>
      <c r="Q755">
        <v>5</v>
      </c>
      <c r="R755">
        <f>INDEX([1]products!$A$1:$G$49,MATCH([1]orders!$D755,[1]products!$A$1:$A$49,0),MATCH([1]orders!K$1,[1]products!$A$1:$G$1,0))</f>
        <v>0.5</v>
      </c>
      <c r="S755">
        <f>INDEX([1]products!$A$1:$G$49,MATCH([1]orders!$D755,[1]products!$A$1:$A$49,0),MATCH([1]orders!L$1,[1]products!$A$1:$G$1,0))</f>
        <v>5.97</v>
      </c>
      <c r="T755">
        <f t="shared" si="67"/>
        <v>29.849999999999998</v>
      </c>
      <c r="U755">
        <f t="shared" si="70"/>
        <v>2.6865000000000001</v>
      </c>
      <c r="V755">
        <f t="shared" si="71"/>
        <v>9.0000000000000018</v>
      </c>
    </row>
    <row r="756" spans="1:22" x14ac:dyDescent="0.25">
      <c r="A756" t="s">
        <v>1466</v>
      </c>
      <c r="B756">
        <v>44726</v>
      </c>
      <c r="C756" t="str">
        <f t="shared" si="68"/>
        <v>14</v>
      </c>
      <c r="D756" t="str">
        <f t="shared" si="66"/>
        <v>June</v>
      </c>
      <c r="E756" t="str">
        <f t="shared" si="69"/>
        <v>2022</v>
      </c>
      <c r="F756" t="s">
        <v>1344</v>
      </c>
      <c r="G756" t="str">
        <f>VLOOKUP(F756,'Customers (2)'!A:I,2,0)</f>
        <v>Jimmy Dymoke</v>
      </c>
      <c r="H756" t="str">
        <f>VLOOKUP(F756,'Customers (2)'!A:I,3,0)</f>
        <v>jdymokeje@prnewswire.com</v>
      </c>
      <c r="I756" t="str">
        <f>VLOOKUP(F756,'Customers (2)'!A:I,4,0)</f>
        <v>+353 (390) 459-9269</v>
      </c>
      <c r="J756" t="str">
        <f>VLOOKUP(F756,'Customers (2)'!A:I,6,0)</f>
        <v>Beaumont</v>
      </c>
      <c r="K756" t="str">
        <f>VLOOKUP(F756,'Customers (2)'!A:I,7,0)</f>
        <v>Ireland</v>
      </c>
      <c r="L756" t="str">
        <f>VLOOKUP(F756,'Customers (2)'!A:I,9,0)</f>
        <v>No</v>
      </c>
      <c r="M756" t="str">
        <f>VLOOKUP(N756,'Products (2)'!A:G,2,0)</f>
        <v>Arabica</v>
      </c>
      <c r="N756" t="s">
        <v>54</v>
      </c>
      <c r="O756" t="str">
        <f>VLOOKUP(N756,'Products (2)'!A:G,3,0)</f>
        <v>Dark</v>
      </c>
      <c r="P756">
        <f>VLOOKUP(N756,'Products (2)'!A:G,7,0)</f>
        <v>0.26865</v>
      </c>
      <c r="Q756">
        <v>6</v>
      </c>
      <c r="R756">
        <f>INDEX([1]products!$A$1:$G$49,MATCH([1]orders!$D756,[1]products!$A$1:$A$49,0),MATCH([1]orders!K$1,[1]products!$A$1:$G$1,0))</f>
        <v>0.2</v>
      </c>
      <c r="S756">
        <f>INDEX([1]products!$A$1:$G$49,MATCH([1]orders!$D756,[1]products!$A$1:$A$49,0),MATCH([1]orders!L$1,[1]products!$A$1:$G$1,0))</f>
        <v>2.9849999999999999</v>
      </c>
      <c r="T756">
        <f t="shared" si="67"/>
        <v>17.91</v>
      </c>
      <c r="U756">
        <f t="shared" si="70"/>
        <v>1.6118999999999999</v>
      </c>
      <c r="V756">
        <f t="shared" si="71"/>
        <v>9</v>
      </c>
    </row>
    <row r="757" spans="1:22" x14ac:dyDescent="0.25">
      <c r="A757" t="s">
        <v>1467</v>
      </c>
      <c r="B757">
        <v>44397</v>
      </c>
      <c r="C757" t="str">
        <f t="shared" si="68"/>
        <v>20</v>
      </c>
      <c r="D757" t="str">
        <f t="shared" si="66"/>
        <v>July</v>
      </c>
      <c r="E757" t="str">
        <f t="shared" si="69"/>
        <v>2021</v>
      </c>
      <c r="F757" t="s">
        <v>1468</v>
      </c>
      <c r="G757" t="str">
        <f>VLOOKUP(F757,'Customers (2)'!A:I,2,0)</f>
        <v>Foster Constance</v>
      </c>
      <c r="H757" t="str">
        <f>VLOOKUP(F757,'Customers (2)'!A:I,3,0)</f>
        <v>fconstancekz@ifeng.com</v>
      </c>
      <c r="I757" t="str">
        <f>VLOOKUP(F757,'Customers (2)'!A:I,4,0)</f>
        <v>+1 (214) 388-6754</v>
      </c>
      <c r="J757" t="str">
        <f>VLOOKUP(F757,'Customers (2)'!A:I,6,0)</f>
        <v>Dallas</v>
      </c>
      <c r="K757" t="str">
        <f>VLOOKUP(F757,'Customers (2)'!A:I,7,0)</f>
        <v>United States</v>
      </c>
      <c r="L757" t="str">
        <f>VLOOKUP(F757,'Customers (2)'!A:I,9,0)</f>
        <v>No</v>
      </c>
      <c r="M757" t="str">
        <f>VLOOKUP(N757,'Products (2)'!A:G,2,0)</f>
        <v>Liberica</v>
      </c>
      <c r="N757" t="s">
        <v>19</v>
      </c>
      <c r="O757" t="str">
        <f>VLOOKUP(N757,'Products (2)'!A:G,3,0)</f>
        <v>Light</v>
      </c>
      <c r="P757">
        <f>VLOOKUP(N757,'Products (2)'!A:G,7,0)</f>
        <v>0.61814999999999998</v>
      </c>
      <c r="Q757">
        <v>6</v>
      </c>
      <c r="R757">
        <f>INDEX([1]products!$A$1:$G$49,MATCH([1]orders!$D757,[1]products!$A$1:$A$49,0),MATCH([1]orders!K$1,[1]products!$A$1:$G$1,0))</f>
        <v>0.2</v>
      </c>
      <c r="S757">
        <f>INDEX([1]products!$A$1:$G$49,MATCH([1]orders!$D757,[1]products!$A$1:$A$49,0),MATCH([1]orders!L$1,[1]products!$A$1:$G$1,0))</f>
        <v>4.7549999999999999</v>
      </c>
      <c r="T757">
        <f t="shared" si="67"/>
        <v>28.53</v>
      </c>
      <c r="U757">
        <f t="shared" si="70"/>
        <v>3.7088999999999999</v>
      </c>
      <c r="V757">
        <f t="shared" si="71"/>
        <v>12.999999999999998</v>
      </c>
    </row>
    <row r="758" spans="1:22" x14ac:dyDescent="0.25">
      <c r="A758" t="s">
        <v>1469</v>
      </c>
      <c r="B758">
        <v>44715</v>
      </c>
      <c r="C758" t="str">
        <f t="shared" si="68"/>
        <v>03</v>
      </c>
      <c r="D758" t="str">
        <f t="shared" si="66"/>
        <v>June</v>
      </c>
      <c r="E758" t="str">
        <f t="shared" si="69"/>
        <v>2022</v>
      </c>
      <c r="F758" t="s">
        <v>1470</v>
      </c>
      <c r="G758" t="str">
        <f>VLOOKUP(F758,'Customers (2)'!A:I,2,0)</f>
        <v>Fernando Sulman</v>
      </c>
      <c r="H758" t="str">
        <f>VLOOKUP(F758,'Customers (2)'!A:I,3,0)</f>
        <v>fsulmanl0@washington.edu</v>
      </c>
      <c r="I758" t="str">
        <f>VLOOKUP(F758,'Customers (2)'!A:I,4,0)</f>
        <v>+1 (828) 464-2678</v>
      </c>
      <c r="J758" t="str">
        <f>VLOOKUP(F758,'Customers (2)'!A:I,6,0)</f>
        <v>Asheville</v>
      </c>
      <c r="K758" t="str">
        <f>VLOOKUP(F758,'Customers (2)'!A:I,7,0)</f>
        <v>United States</v>
      </c>
      <c r="L758" t="str">
        <f>VLOOKUP(F758,'Customers (2)'!A:I,9,0)</f>
        <v>Yes</v>
      </c>
      <c r="M758" t="str">
        <f>VLOOKUP(N758,'Products (2)'!A:G,2,0)</f>
        <v>Robusta</v>
      </c>
      <c r="N758" t="s">
        <v>179</v>
      </c>
      <c r="O758" t="str">
        <f>VLOOKUP(N758,'Products (2)'!A:G,3,0)</f>
        <v>Dark</v>
      </c>
      <c r="P758">
        <f>VLOOKUP(N758,'Products (2)'!A:G,7,0)</f>
        <v>0.53699999999999992</v>
      </c>
      <c r="Q758">
        <v>4</v>
      </c>
      <c r="R758">
        <f>INDEX([1]products!$A$1:$G$49,MATCH([1]orders!$D758,[1]products!$A$1:$A$49,0),MATCH([1]orders!K$1,[1]products!$A$1:$G$1,0))</f>
        <v>1</v>
      </c>
      <c r="S758">
        <f>INDEX([1]products!$A$1:$G$49,MATCH([1]orders!$D758,[1]products!$A$1:$A$49,0),MATCH([1]orders!L$1,[1]products!$A$1:$G$1,0))</f>
        <v>8.9499999999999993</v>
      </c>
      <c r="T758">
        <f t="shared" si="67"/>
        <v>35.799999999999997</v>
      </c>
      <c r="U758">
        <f t="shared" si="70"/>
        <v>2.1479999999999997</v>
      </c>
      <c r="V758">
        <f t="shared" si="71"/>
        <v>6</v>
      </c>
    </row>
    <row r="759" spans="1:22" x14ac:dyDescent="0.25">
      <c r="A759" t="s">
        <v>1471</v>
      </c>
      <c r="B759">
        <v>43977</v>
      </c>
      <c r="C759" t="str">
        <f t="shared" si="68"/>
        <v>26</v>
      </c>
      <c r="D759" t="str">
        <f t="shared" si="66"/>
        <v>May</v>
      </c>
      <c r="E759" t="str">
        <f t="shared" si="69"/>
        <v>2020</v>
      </c>
      <c r="F759" t="s">
        <v>1472</v>
      </c>
      <c r="G759" t="str">
        <f>VLOOKUP(F759,'Customers (2)'!A:I,2,0)</f>
        <v>Dorotea Hollyman</v>
      </c>
      <c r="H759" t="str">
        <f>VLOOKUP(F759,'Customers (2)'!A:I,3,0)</f>
        <v>dhollymanl1@ibm.com</v>
      </c>
      <c r="I759" t="str">
        <f>VLOOKUP(F759,'Customers (2)'!A:I,4,0)</f>
        <v>+1 (406) 851-1244</v>
      </c>
      <c r="J759" t="str">
        <f>VLOOKUP(F759,'Customers (2)'!A:I,6,0)</f>
        <v>Billings</v>
      </c>
      <c r="K759" t="str">
        <f>VLOOKUP(F759,'Customers (2)'!A:I,7,0)</f>
        <v>United States</v>
      </c>
      <c r="L759" t="str">
        <f>VLOOKUP(F759,'Customers (2)'!A:I,9,0)</f>
        <v>Yes</v>
      </c>
      <c r="M759" t="str">
        <f>VLOOKUP(N759,'Products (2)'!A:G,2,0)</f>
        <v>Arabica</v>
      </c>
      <c r="N759" t="s">
        <v>72</v>
      </c>
      <c r="O759" t="str">
        <f>VLOOKUP(N759,'Products (2)'!A:G,3,0)</f>
        <v>Dark</v>
      </c>
      <c r="P759">
        <f>VLOOKUP(N759,'Products (2)'!A:G,7,0)</f>
        <v>0.5373</v>
      </c>
      <c r="Q759">
        <v>3</v>
      </c>
      <c r="R759">
        <f>INDEX([1]products!$A$1:$G$49,MATCH([1]orders!$D759,[1]products!$A$1:$A$49,0),MATCH([1]orders!K$1,[1]products!$A$1:$G$1,0))</f>
        <v>0.5</v>
      </c>
      <c r="S759">
        <f>INDEX([1]products!$A$1:$G$49,MATCH([1]orders!$D759,[1]products!$A$1:$A$49,0),MATCH([1]orders!L$1,[1]products!$A$1:$G$1,0))</f>
        <v>5.97</v>
      </c>
      <c r="T759">
        <f t="shared" si="67"/>
        <v>17.91</v>
      </c>
      <c r="U759">
        <f t="shared" si="70"/>
        <v>1.6118999999999999</v>
      </c>
      <c r="V759">
        <f t="shared" si="71"/>
        <v>9</v>
      </c>
    </row>
    <row r="760" spans="1:22" x14ac:dyDescent="0.25">
      <c r="A760" t="s">
        <v>1473</v>
      </c>
      <c r="B760">
        <v>43672</v>
      </c>
      <c r="C760" t="str">
        <f t="shared" si="68"/>
        <v>26</v>
      </c>
      <c r="D760" t="str">
        <f t="shared" si="66"/>
        <v>July</v>
      </c>
      <c r="E760" t="str">
        <f t="shared" si="69"/>
        <v>2019</v>
      </c>
      <c r="F760" t="s">
        <v>1474</v>
      </c>
      <c r="G760" t="str">
        <f>VLOOKUP(F760,'Customers (2)'!A:I,2,0)</f>
        <v>Lorelei Nardoni</v>
      </c>
      <c r="H760" t="str">
        <f>VLOOKUP(F760,'Customers (2)'!A:I,3,0)</f>
        <v>lnardonil2@hao123.com</v>
      </c>
      <c r="I760">
        <f>VLOOKUP(F760,'Customers (2)'!A:I,4,0)</f>
        <v>0</v>
      </c>
      <c r="J760" t="str">
        <f>VLOOKUP(F760,'Customers (2)'!A:I,6,0)</f>
        <v>Saint Louis</v>
      </c>
      <c r="K760" t="str">
        <f>VLOOKUP(F760,'Customers (2)'!A:I,7,0)</f>
        <v>United States</v>
      </c>
      <c r="L760" t="str">
        <f>VLOOKUP(F760,'Customers (2)'!A:I,9,0)</f>
        <v>No</v>
      </c>
      <c r="M760" t="str">
        <f>VLOOKUP(N760,'Products (2)'!A:G,2,0)</f>
        <v>Robusta</v>
      </c>
      <c r="N760" t="s">
        <v>179</v>
      </c>
      <c r="O760" t="str">
        <f>VLOOKUP(N760,'Products (2)'!A:G,3,0)</f>
        <v>Dark</v>
      </c>
      <c r="P760">
        <f>VLOOKUP(N760,'Products (2)'!A:G,7,0)</f>
        <v>0.53699999999999992</v>
      </c>
      <c r="Q760">
        <v>1</v>
      </c>
      <c r="R760">
        <f>INDEX([1]products!$A$1:$G$49,MATCH([1]orders!$D760,[1]products!$A$1:$A$49,0),MATCH([1]orders!K$1,[1]products!$A$1:$G$1,0))</f>
        <v>1</v>
      </c>
      <c r="S760">
        <f>INDEX([1]products!$A$1:$G$49,MATCH([1]orders!$D760,[1]products!$A$1:$A$49,0),MATCH([1]orders!L$1,[1]products!$A$1:$G$1,0))</f>
        <v>8.9499999999999993</v>
      </c>
      <c r="T760">
        <f t="shared" si="67"/>
        <v>8.9499999999999993</v>
      </c>
      <c r="U760">
        <f t="shared" si="70"/>
        <v>0.53699999999999992</v>
      </c>
      <c r="V760">
        <f t="shared" si="71"/>
        <v>6</v>
      </c>
    </row>
    <row r="761" spans="1:22" x14ac:dyDescent="0.25">
      <c r="A761" t="s">
        <v>1475</v>
      </c>
      <c r="B761">
        <v>44126</v>
      </c>
      <c r="C761" t="str">
        <f t="shared" si="68"/>
        <v>22</v>
      </c>
      <c r="D761" t="str">
        <f t="shared" si="66"/>
        <v>October</v>
      </c>
      <c r="E761" t="str">
        <f t="shared" si="69"/>
        <v>2020</v>
      </c>
      <c r="F761" t="s">
        <v>1476</v>
      </c>
      <c r="G761" t="str">
        <f>VLOOKUP(F761,'Customers (2)'!A:I,2,0)</f>
        <v>Dallas Yarham</v>
      </c>
      <c r="H761" t="str">
        <f>VLOOKUP(F761,'Customers (2)'!A:I,3,0)</f>
        <v>dyarhaml3@moonfruit.com</v>
      </c>
      <c r="I761" t="str">
        <f>VLOOKUP(F761,'Customers (2)'!A:I,4,0)</f>
        <v>+1 (816) 213-5248</v>
      </c>
      <c r="J761" t="str">
        <f>VLOOKUP(F761,'Customers (2)'!A:I,6,0)</f>
        <v>Independence</v>
      </c>
      <c r="K761" t="str">
        <f>VLOOKUP(F761,'Customers (2)'!A:I,7,0)</f>
        <v>United States</v>
      </c>
      <c r="L761" t="str">
        <f>VLOOKUP(F761,'Customers (2)'!A:I,9,0)</f>
        <v>Yes</v>
      </c>
      <c r="M761" t="str">
        <f>VLOOKUP(N761,'Products (2)'!A:G,2,0)</f>
        <v>Liberica</v>
      </c>
      <c r="N761" t="s">
        <v>109</v>
      </c>
      <c r="O761" t="str">
        <f>VLOOKUP(N761,'Products (2)'!A:G,3,0)</f>
        <v>Dark</v>
      </c>
      <c r="P761">
        <f>VLOOKUP(N761,'Products (2)'!A:G,7,0)</f>
        <v>3.8720499999999998</v>
      </c>
      <c r="Q761">
        <v>1</v>
      </c>
      <c r="R761">
        <f>INDEX([1]products!$A$1:$G$49,MATCH([1]orders!$D761,[1]products!$A$1:$A$49,0),MATCH([1]orders!K$1,[1]products!$A$1:$G$1,0))</f>
        <v>2.5</v>
      </c>
      <c r="S761">
        <f>INDEX([1]products!$A$1:$G$49,MATCH([1]orders!$D761,[1]products!$A$1:$A$49,0),MATCH([1]orders!L$1,[1]products!$A$1:$G$1,0))</f>
        <v>29.784999999999997</v>
      </c>
      <c r="T761">
        <f t="shared" si="67"/>
        <v>29.784999999999997</v>
      </c>
      <c r="U761">
        <f t="shared" si="70"/>
        <v>3.8720499999999998</v>
      </c>
      <c r="V761">
        <f t="shared" si="71"/>
        <v>13</v>
      </c>
    </row>
    <row r="762" spans="1:22" x14ac:dyDescent="0.25">
      <c r="A762" t="s">
        <v>1477</v>
      </c>
      <c r="B762">
        <v>44189</v>
      </c>
      <c r="C762" t="str">
        <f t="shared" si="68"/>
        <v>24</v>
      </c>
      <c r="D762" t="str">
        <f t="shared" si="66"/>
        <v>December</v>
      </c>
      <c r="E762" t="str">
        <f t="shared" si="69"/>
        <v>2020</v>
      </c>
      <c r="F762" t="s">
        <v>1478</v>
      </c>
      <c r="G762" t="str">
        <f>VLOOKUP(F762,'Customers (2)'!A:I,2,0)</f>
        <v>Arlana Ferrea</v>
      </c>
      <c r="H762" t="str">
        <f>VLOOKUP(F762,'Customers (2)'!A:I,3,0)</f>
        <v>aferreal4@wikia.com</v>
      </c>
      <c r="I762">
        <f>VLOOKUP(F762,'Customers (2)'!A:I,4,0)</f>
        <v>0</v>
      </c>
      <c r="J762" t="str">
        <f>VLOOKUP(F762,'Customers (2)'!A:I,6,0)</f>
        <v>Greensboro</v>
      </c>
      <c r="K762" t="str">
        <f>VLOOKUP(F762,'Customers (2)'!A:I,7,0)</f>
        <v>United States</v>
      </c>
      <c r="L762" t="str">
        <f>VLOOKUP(F762,'Customers (2)'!A:I,9,0)</f>
        <v>No</v>
      </c>
      <c r="M762" t="str">
        <f>VLOOKUP(N762,'Products (2)'!A:G,2,0)</f>
        <v>Excelsa</v>
      </c>
      <c r="N762" t="s">
        <v>176</v>
      </c>
      <c r="O762" t="str">
        <f>VLOOKUP(N762,'Products (2)'!A:G,3,0)</f>
        <v>Light</v>
      </c>
      <c r="P762">
        <f>VLOOKUP(N762,'Products (2)'!A:G,7,0)</f>
        <v>0.98009999999999997</v>
      </c>
      <c r="Q762">
        <v>5</v>
      </c>
      <c r="R762">
        <f>INDEX([1]products!$A$1:$G$49,MATCH([1]orders!$D762,[1]products!$A$1:$A$49,0),MATCH([1]orders!K$1,[1]products!$A$1:$G$1,0))</f>
        <v>0.5</v>
      </c>
      <c r="S762">
        <f>INDEX([1]products!$A$1:$G$49,MATCH([1]orders!$D762,[1]products!$A$1:$A$49,0),MATCH([1]orders!L$1,[1]products!$A$1:$G$1,0))</f>
        <v>8.91</v>
      </c>
      <c r="T762">
        <f t="shared" si="67"/>
        <v>44.55</v>
      </c>
      <c r="U762">
        <f t="shared" si="70"/>
        <v>4.9005000000000001</v>
      </c>
      <c r="V762">
        <f t="shared" si="71"/>
        <v>11.000000000000002</v>
      </c>
    </row>
    <row r="763" spans="1:22" x14ac:dyDescent="0.25">
      <c r="A763" t="s">
        <v>1479</v>
      </c>
      <c r="B763">
        <v>43714</v>
      </c>
      <c r="C763" t="str">
        <f t="shared" si="68"/>
        <v>06</v>
      </c>
      <c r="D763" t="str">
        <f t="shared" si="66"/>
        <v>September</v>
      </c>
      <c r="E763" t="str">
        <f t="shared" si="69"/>
        <v>2019</v>
      </c>
      <c r="F763" t="s">
        <v>1480</v>
      </c>
      <c r="G763" t="str">
        <f>VLOOKUP(F763,'Customers (2)'!A:I,2,0)</f>
        <v>Chuck Kendrick</v>
      </c>
      <c r="H763" t="str">
        <f>VLOOKUP(F763,'Customers (2)'!A:I,3,0)</f>
        <v>ckendrickl5@webnode.com</v>
      </c>
      <c r="I763">
        <f>VLOOKUP(F763,'Customers (2)'!A:I,4,0)</f>
        <v>0</v>
      </c>
      <c r="J763" t="str">
        <f>VLOOKUP(F763,'Customers (2)'!A:I,6,0)</f>
        <v>Monroe</v>
      </c>
      <c r="K763" t="str">
        <f>VLOOKUP(F763,'Customers (2)'!A:I,7,0)</f>
        <v>United States</v>
      </c>
      <c r="L763" t="str">
        <f>VLOOKUP(F763,'Customers (2)'!A:I,9,0)</f>
        <v>Yes</v>
      </c>
      <c r="M763" t="str">
        <f>VLOOKUP(N763,'Products (2)'!A:G,2,0)</f>
        <v>Excelsa</v>
      </c>
      <c r="N763" t="s">
        <v>137</v>
      </c>
      <c r="O763" t="str">
        <f>VLOOKUP(N763,'Products (2)'!A:G,3,0)</f>
        <v>Light</v>
      </c>
      <c r="P763">
        <f>VLOOKUP(N763,'Products (2)'!A:G,7,0)</f>
        <v>1.6335</v>
      </c>
      <c r="Q763">
        <v>6</v>
      </c>
      <c r="R763">
        <f>INDEX([1]products!$A$1:$G$49,MATCH([1]orders!$D763,[1]products!$A$1:$A$49,0),MATCH([1]orders!K$1,[1]products!$A$1:$G$1,0))</f>
        <v>1</v>
      </c>
      <c r="S763">
        <f>INDEX([1]products!$A$1:$G$49,MATCH([1]orders!$D763,[1]products!$A$1:$A$49,0),MATCH([1]orders!L$1,[1]products!$A$1:$G$1,0))</f>
        <v>14.85</v>
      </c>
      <c r="T763">
        <f t="shared" si="67"/>
        <v>89.1</v>
      </c>
      <c r="U763">
        <f t="shared" si="70"/>
        <v>9.8010000000000002</v>
      </c>
      <c r="V763">
        <f t="shared" si="71"/>
        <v>11.000000000000002</v>
      </c>
    </row>
    <row r="764" spans="1:22" x14ac:dyDescent="0.25">
      <c r="A764" t="s">
        <v>1481</v>
      </c>
      <c r="B764">
        <v>43563</v>
      </c>
      <c r="C764" t="str">
        <f t="shared" si="68"/>
        <v>08</v>
      </c>
      <c r="D764" t="str">
        <f t="shared" si="66"/>
        <v>April</v>
      </c>
      <c r="E764" t="str">
        <f t="shared" si="69"/>
        <v>2019</v>
      </c>
      <c r="F764" t="s">
        <v>1482</v>
      </c>
      <c r="G764" t="str">
        <f>VLOOKUP(F764,'Customers (2)'!A:I,2,0)</f>
        <v>Sharona Danilchik</v>
      </c>
      <c r="H764" t="str">
        <f>VLOOKUP(F764,'Customers (2)'!A:I,3,0)</f>
        <v>sdanilchikl6@mit.edu</v>
      </c>
      <c r="I764" t="str">
        <f>VLOOKUP(F764,'Customers (2)'!A:I,4,0)</f>
        <v>+44 (292) 975-0144</v>
      </c>
      <c r="J764" t="str">
        <f>VLOOKUP(F764,'Customers (2)'!A:I,6,0)</f>
        <v>Halton</v>
      </c>
      <c r="K764" t="str">
        <f>VLOOKUP(F764,'Customers (2)'!A:I,7,0)</f>
        <v>United Kingdom</v>
      </c>
      <c r="L764" t="str">
        <f>VLOOKUP(F764,'Customers (2)'!A:I,9,0)</f>
        <v>No</v>
      </c>
      <c r="M764" t="str">
        <f>VLOOKUP(N764,'Products (2)'!A:G,2,0)</f>
        <v>Liberica</v>
      </c>
      <c r="N764" t="s">
        <v>78</v>
      </c>
      <c r="O764" t="str">
        <f>VLOOKUP(N764,'Products (2)'!A:G,3,0)</f>
        <v>Medium</v>
      </c>
      <c r="P764">
        <f>VLOOKUP(N764,'Products (2)'!A:G,7,0)</f>
        <v>1.1349</v>
      </c>
      <c r="Q764">
        <v>5</v>
      </c>
      <c r="R764">
        <f>INDEX([1]products!$A$1:$G$49,MATCH([1]orders!$D764,[1]products!$A$1:$A$49,0),MATCH([1]orders!K$1,[1]products!$A$1:$G$1,0))</f>
        <v>0.5</v>
      </c>
      <c r="S764">
        <f>INDEX([1]products!$A$1:$G$49,MATCH([1]orders!$D764,[1]products!$A$1:$A$49,0),MATCH([1]orders!L$1,[1]products!$A$1:$G$1,0))</f>
        <v>8.73</v>
      </c>
      <c r="T764">
        <f t="shared" si="67"/>
        <v>43.650000000000006</v>
      </c>
      <c r="U764">
        <f t="shared" si="70"/>
        <v>5.6745000000000001</v>
      </c>
      <c r="V764">
        <f t="shared" si="71"/>
        <v>12.999999999999998</v>
      </c>
    </row>
    <row r="765" spans="1:22" x14ac:dyDescent="0.25">
      <c r="A765" t="s">
        <v>1483</v>
      </c>
      <c r="B765">
        <v>44587</v>
      </c>
      <c r="C765" t="str">
        <f t="shared" si="68"/>
        <v>26</v>
      </c>
      <c r="D765" t="str">
        <f t="shared" si="66"/>
        <v>January</v>
      </c>
      <c r="E765" t="str">
        <f t="shared" si="69"/>
        <v>2022</v>
      </c>
      <c r="F765" t="s">
        <v>1484</v>
      </c>
      <c r="G765" t="str">
        <f>VLOOKUP(F765,'Customers (2)'!A:I,2,0)</f>
        <v>Sarajane Potter</v>
      </c>
      <c r="H765">
        <f>VLOOKUP(F765,'Customers (2)'!A:I,3,0)</f>
        <v>0</v>
      </c>
      <c r="I765" t="str">
        <f>VLOOKUP(F765,'Customers (2)'!A:I,4,0)</f>
        <v>+1 (817) 389-2294</v>
      </c>
      <c r="J765" t="str">
        <f>VLOOKUP(F765,'Customers (2)'!A:I,6,0)</f>
        <v>Fort Worth</v>
      </c>
      <c r="K765" t="str">
        <f>VLOOKUP(F765,'Customers (2)'!A:I,7,0)</f>
        <v>United States</v>
      </c>
      <c r="L765" t="str">
        <f>VLOOKUP(F765,'Customers (2)'!A:I,9,0)</f>
        <v>No</v>
      </c>
      <c r="M765" t="str">
        <f>VLOOKUP(N765,'Products (2)'!A:G,2,0)</f>
        <v>Arabica</v>
      </c>
      <c r="N765" t="s">
        <v>192</v>
      </c>
      <c r="O765" t="str">
        <f>VLOOKUP(N765,'Products (2)'!A:G,3,0)</f>
        <v>Light</v>
      </c>
      <c r="P765">
        <f>VLOOKUP(N765,'Products (2)'!A:G,7,0)</f>
        <v>0.69929999999999992</v>
      </c>
      <c r="Q765">
        <v>3</v>
      </c>
      <c r="R765">
        <f>INDEX([1]products!$A$1:$G$49,MATCH([1]orders!$D765,[1]products!$A$1:$A$49,0),MATCH([1]orders!K$1,[1]products!$A$1:$G$1,0))</f>
        <v>0.5</v>
      </c>
      <c r="S765">
        <f>INDEX([1]products!$A$1:$G$49,MATCH([1]orders!$D765,[1]products!$A$1:$A$49,0),MATCH([1]orders!L$1,[1]products!$A$1:$G$1,0))</f>
        <v>7.77</v>
      </c>
      <c r="T765">
        <f t="shared" si="67"/>
        <v>23.31</v>
      </c>
      <c r="U765">
        <f t="shared" si="70"/>
        <v>2.0978999999999997</v>
      </c>
      <c r="V765">
        <f t="shared" si="71"/>
        <v>9</v>
      </c>
    </row>
    <row r="766" spans="1:22" x14ac:dyDescent="0.25">
      <c r="A766" t="s">
        <v>1485</v>
      </c>
      <c r="B766">
        <v>43797</v>
      </c>
      <c r="C766" t="str">
        <f t="shared" si="68"/>
        <v>28</v>
      </c>
      <c r="D766" t="str">
        <f t="shared" si="66"/>
        <v>November</v>
      </c>
      <c r="E766" t="str">
        <f t="shared" si="69"/>
        <v>2019</v>
      </c>
      <c r="F766" t="s">
        <v>1486</v>
      </c>
      <c r="G766" t="str">
        <f>VLOOKUP(F766,'Customers (2)'!A:I,2,0)</f>
        <v>Bobby Folomkin</v>
      </c>
      <c r="H766" t="str">
        <f>VLOOKUP(F766,'Customers (2)'!A:I,3,0)</f>
        <v>bfolomkinl8@yolasite.com</v>
      </c>
      <c r="I766" t="str">
        <f>VLOOKUP(F766,'Customers (2)'!A:I,4,0)</f>
        <v>+1 (701) 278-8412</v>
      </c>
      <c r="J766" t="str">
        <f>VLOOKUP(F766,'Customers (2)'!A:I,6,0)</f>
        <v>Fargo</v>
      </c>
      <c r="K766" t="str">
        <f>VLOOKUP(F766,'Customers (2)'!A:I,7,0)</f>
        <v>United States</v>
      </c>
      <c r="L766" t="str">
        <f>VLOOKUP(F766,'Customers (2)'!A:I,9,0)</f>
        <v>Yes</v>
      </c>
      <c r="M766" t="str">
        <f>VLOOKUP(N766,'Products (2)'!A:G,2,0)</f>
        <v>Arabica</v>
      </c>
      <c r="N766" t="s">
        <v>204</v>
      </c>
      <c r="O766" t="str">
        <f>VLOOKUP(N766,'Products (2)'!A:G,3,0)</f>
        <v>Light</v>
      </c>
      <c r="P766">
        <f>VLOOKUP(N766,'Products (2)'!A:G,7,0)</f>
        <v>2.6806499999999995</v>
      </c>
      <c r="Q766">
        <v>6</v>
      </c>
      <c r="R766">
        <f>INDEX([1]products!$A$1:$G$49,MATCH([1]orders!$D766,[1]products!$A$1:$A$49,0),MATCH([1]orders!K$1,[1]products!$A$1:$G$1,0))</f>
        <v>2.5</v>
      </c>
      <c r="S766">
        <f>INDEX([1]products!$A$1:$G$49,MATCH([1]orders!$D766,[1]products!$A$1:$A$49,0),MATCH([1]orders!L$1,[1]products!$A$1:$G$1,0))</f>
        <v>29.784999999999997</v>
      </c>
      <c r="T766">
        <f t="shared" si="67"/>
        <v>178.70999999999998</v>
      </c>
      <c r="U766">
        <f t="shared" si="70"/>
        <v>16.083899999999996</v>
      </c>
      <c r="V766">
        <f t="shared" si="71"/>
        <v>8.9999999999999982</v>
      </c>
    </row>
    <row r="767" spans="1:22" x14ac:dyDescent="0.25">
      <c r="A767" t="s">
        <v>1487</v>
      </c>
      <c r="B767">
        <v>43667</v>
      </c>
      <c r="C767" t="str">
        <f t="shared" si="68"/>
        <v>21</v>
      </c>
      <c r="D767" t="str">
        <f t="shared" si="66"/>
        <v>July</v>
      </c>
      <c r="E767" t="str">
        <f t="shared" si="69"/>
        <v>2019</v>
      </c>
      <c r="F767" t="s">
        <v>1488</v>
      </c>
      <c r="G767" t="str">
        <f>VLOOKUP(F767,'Customers (2)'!A:I,2,0)</f>
        <v>Rafferty Pursglove</v>
      </c>
      <c r="H767" t="str">
        <f>VLOOKUP(F767,'Customers (2)'!A:I,3,0)</f>
        <v>rpursglovel9@biblegateway.com</v>
      </c>
      <c r="I767" t="str">
        <f>VLOOKUP(F767,'Customers (2)'!A:I,4,0)</f>
        <v>+1 (214) 813-8745</v>
      </c>
      <c r="J767" t="str">
        <f>VLOOKUP(F767,'Customers (2)'!A:I,6,0)</f>
        <v>Garland</v>
      </c>
      <c r="K767" t="str">
        <f>VLOOKUP(F767,'Customers (2)'!A:I,7,0)</f>
        <v>United States</v>
      </c>
      <c r="L767" t="str">
        <f>VLOOKUP(F767,'Customers (2)'!A:I,9,0)</f>
        <v>Yes</v>
      </c>
      <c r="M767" t="str">
        <f>VLOOKUP(N767,'Products (2)'!A:G,2,0)</f>
        <v>Robusta</v>
      </c>
      <c r="N767" t="s">
        <v>2</v>
      </c>
      <c r="O767" t="str">
        <f>VLOOKUP(N767,'Products (2)'!A:G,3,0)</f>
        <v>Medium</v>
      </c>
      <c r="P767">
        <f>VLOOKUP(N767,'Products (2)'!A:G,7,0)</f>
        <v>0.59699999999999998</v>
      </c>
      <c r="Q767">
        <v>6</v>
      </c>
      <c r="R767">
        <f>INDEX([1]products!$A$1:$G$49,MATCH([1]orders!$D767,[1]products!$A$1:$A$49,0),MATCH([1]orders!K$1,[1]products!$A$1:$G$1,0))</f>
        <v>1</v>
      </c>
      <c r="S767">
        <f>INDEX([1]products!$A$1:$G$49,MATCH([1]orders!$D767,[1]products!$A$1:$A$49,0),MATCH([1]orders!L$1,[1]products!$A$1:$G$1,0))</f>
        <v>9.9499999999999993</v>
      </c>
      <c r="T767">
        <f t="shared" si="67"/>
        <v>59.699999999999996</v>
      </c>
      <c r="U767">
        <f t="shared" si="70"/>
        <v>3.5819999999999999</v>
      </c>
      <c r="V767">
        <f t="shared" si="71"/>
        <v>6.0000000000000009</v>
      </c>
    </row>
    <row r="768" spans="1:22" x14ac:dyDescent="0.25">
      <c r="A768" t="s">
        <v>1487</v>
      </c>
      <c r="B768">
        <v>43667</v>
      </c>
      <c r="C768" t="str">
        <f t="shared" si="68"/>
        <v>21</v>
      </c>
      <c r="D768" t="str">
        <f t="shared" si="66"/>
        <v>July</v>
      </c>
      <c r="E768" t="str">
        <f t="shared" si="69"/>
        <v>2019</v>
      </c>
      <c r="F768" t="s">
        <v>1488</v>
      </c>
      <c r="G768" t="str">
        <f>VLOOKUP(F768,'Customers (2)'!A:I,2,0)</f>
        <v>Rafferty Pursglove</v>
      </c>
      <c r="H768" t="str">
        <f>VLOOKUP(F768,'Customers (2)'!A:I,3,0)</f>
        <v>rpursglovel9@biblegateway.com</v>
      </c>
      <c r="I768" t="str">
        <f>VLOOKUP(F768,'Customers (2)'!A:I,4,0)</f>
        <v>+1 (214) 813-8745</v>
      </c>
      <c r="J768" t="str">
        <f>VLOOKUP(F768,'Customers (2)'!A:I,6,0)</f>
        <v>Garland</v>
      </c>
      <c r="K768" t="str">
        <f>VLOOKUP(F768,'Customers (2)'!A:I,7,0)</f>
        <v>United States</v>
      </c>
      <c r="L768" t="str">
        <f>VLOOKUP(F768,'Customers (2)'!A:I,9,0)</f>
        <v>Yes</v>
      </c>
      <c r="M768" t="str">
        <f>VLOOKUP(N768,'Products (2)'!A:G,2,0)</f>
        <v>Arabica</v>
      </c>
      <c r="N768" t="s">
        <v>192</v>
      </c>
      <c r="O768" t="str">
        <f>VLOOKUP(N768,'Products (2)'!A:G,3,0)</f>
        <v>Light</v>
      </c>
      <c r="P768">
        <f>VLOOKUP(N768,'Products (2)'!A:G,7,0)</f>
        <v>0.69929999999999992</v>
      </c>
      <c r="Q768">
        <v>2</v>
      </c>
      <c r="R768">
        <f>INDEX([1]products!$A$1:$G$49,MATCH([1]orders!$D768,[1]products!$A$1:$A$49,0),MATCH([1]orders!K$1,[1]products!$A$1:$G$1,0))</f>
        <v>0.5</v>
      </c>
      <c r="S768">
        <f>INDEX([1]products!$A$1:$G$49,MATCH([1]orders!$D768,[1]products!$A$1:$A$49,0),MATCH([1]orders!L$1,[1]products!$A$1:$G$1,0))</f>
        <v>7.77</v>
      </c>
      <c r="T768">
        <f t="shared" si="67"/>
        <v>15.54</v>
      </c>
      <c r="U768">
        <f t="shared" si="70"/>
        <v>1.3985999999999998</v>
      </c>
      <c r="V768">
        <f t="shared" si="71"/>
        <v>9</v>
      </c>
    </row>
    <row r="769" spans="1:22" x14ac:dyDescent="0.25">
      <c r="A769" t="s">
        <v>1489</v>
      </c>
      <c r="B769">
        <v>44267</v>
      </c>
      <c r="C769" t="str">
        <f t="shared" si="68"/>
        <v>12</v>
      </c>
      <c r="D769" t="str">
        <f t="shared" si="66"/>
        <v>March</v>
      </c>
      <c r="E769" t="str">
        <f t="shared" si="69"/>
        <v>2021</v>
      </c>
      <c r="F769" t="s">
        <v>1468</v>
      </c>
      <c r="G769" t="str">
        <f>VLOOKUP(F769,'Customers (2)'!A:I,2,0)</f>
        <v>Foster Constance</v>
      </c>
      <c r="H769" t="str">
        <f>VLOOKUP(F769,'Customers (2)'!A:I,3,0)</f>
        <v>fconstancekz@ifeng.com</v>
      </c>
      <c r="I769" t="str">
        <f>VLOOKUP(F769,'Customers (2)'!A:I,4,0)</f>
        <v>+1 (214) 388-6754</v>
      </c>
      <c r="J769" t="str">
        <f>VLOOKUP(F769,'Customers (2)'!A:I,6,0)</f>
        <v>Dallas</v>
      </c>
      <c r="K769" t="str">
        <f>VLOOKUP(F769,'Customers (2)'!A:I,7,0)</f>
        <v>United States</v>
      </c>
      <c r="L769" t="str">
        <f>VLOOKUP(F769,'Customers (2)'!A:I,9,0)</f>
        <v>No</v>
      </c>
      <c r="M769" t="str">
        <f>VLOOKUP(N769,'Products (2)'!A:G,2,0)</f>
        <v>Arabica</v>
      </c>
      <c r="N769" t="s">
        <v>204</v>
      </c>
      <c r="O769" t="str">
        <f>VLOOKUP(N769,'Products (2)'!A:G,3,0)</f>
        <v>Light</v>
      </c>
      <c r="P769">
        <f>VLOOKUP(N769,'Products (2)'!A:G,7,0)</f>
        <v>2.6806499999999995</v>
      </c>
      <c r="Q769">
        <v>3</v>
      </c>
      <c r="R769">
        <f>INDEX([1]products!$A$1:$G$49,MATCH([1]orders!$D769,[1]products!$A$1:$A$49,0),MATCH([1]orders!K$1,[1]products!$A$1:$G$1,0))</f>
        <v>2.5</v>
      </c>
      <c r="S769">
        <f>INDEX([1]products!$A$1:$G$49,MATCH([1]orders!$D769,[1]products!$A$1:$A$49,0),MATCH([1]orders!L$1,[1]products!$A$1:$G$1,0))</f>
        <v>29.784999999999997</v>
      </c>
      <c r="T769">
        <f t="shared" si="67"/>
        <v>89.35499999999999</v>
      </c>
      <c r="U769">
        <f t="shared" si="70"/>
        <v>8.0419499999999982</v>
      </c>
      <c r="V769">
        <f t="shared" si="71"/>
        <v>8.9999999999999982</v>
      </c>
    </row>
    <row r="770" spans="1:22" x14ac:dyDescent="0.25">
      <c r="A770" t="s">
        <v>1490</v>
      </c>
      <c r="B770">
        <v>44562</v>
      </c>
      <c r="C770" t="str">
        <f t="shared" si="68"/>
        <v>01</v>
      </c>
      <c r="D770" t="str">
        <f t="shared" ref="D770:D833" si="72">TEXT(B:B,"MMMM")</f>
        <v>January</v>
      </c>
      <c r="E770" t="str">
        <f t="shared" si="69"/>
        <v>2022</v>
      </c>
      <c r="F770" t="s">
        <v>1468</v>
      </c>
      <c r="G770" t="str">
        <f>VLOOKUP(F770,'Customers (2)'!A:I,2,0)</f>
        <v>Foster Constance</v>
      </c>
      <c r="H770" t="str">
        <f>VLOOKUP(F770,'Customers (2)'!A:I,3,0)</f>
        <v>fconstancekz@ifeng.com</v>
      </c>
      <c r="I770" t="str">
        <f>VLOOKUP(F770,'Customers (2)'!A:I,4,0)</f>
        <v>+1 (214) 388-6754</v>
      </c>
      <c r="J770" t="str">
        <f>VLOOKUP(F770,'Customers (2)'!A:I,6,0)</f>
        <v>Dallas</v>
      </c>
      <c r="K770" t="str">
        <f>VLOOKUP(F770,'Customers (2)'!A:I,7,0)</f>
        <v>United States</v>
      </c>
      <c r="L770" t="str">
        <f>VLOOKUP(F770,'Customers (2)'!A:I,9,0)</f>
        <v>No</v>
      </c>
      <c r="M770" t="str">
        <f>VLOOKUP(N770,'Products (2)'!A:G,2,0)</f>
        <v>Robusta</v>
      </c>
      <c r="N770" t="s">
        <v>189</v>
      </c>
      <c r="O770" t="str">
        <f>VLOOKUP(N770,'Products (2)'!A:G,3,0)</f>
        <v>Light</v>
      </c>
      <c r="P770">
        <f>VLOOKUP(N770,'Products (2)'!A:G,7,0)</f>
        <v>0.71699999999999997</v>
      </c>
      <c r="Q770">
        <v>2</v>
      </c>
      <c r="R770">
        <f>INDEX([1]products!$A$1:$G$49,MATCH([1]orders!$D770,[1]products!$A$1:$A$49,0),MATCH([1]orders!K$1,[1]products!$A$1:$G$1,0))</f>
        <v>1</v>
      </c>
      <c r="S770">
        <f>INDEX([1]products!$A$1:$G$49,MATCH([1]orders!$D770,[1]products!$A$1:$A$49,0),MATCH([1]orders!L$1,[1]products!$A$1:$G$1,0))</f>
        <v>11.95</v>
      </c>
      <c r="T770">
        <f t="shared" ref="T770:T833" si="73">Q770*S770</f>
        <v>23.9</v>
      </c>
      <c r="U770">
        <f t="shared" si="70"/>
        <v>1.4339999999999999</v>
      </c>
      <c r="V770">
        <f t="shared" si="71"/>
        <v>6</v>
      </c>
    </row>
    <row r="771" spans="1:22" x14ac:dyDescent="0.25">
      <c r="A771" t="s">
        <v>1491</v>
      </c>
      <c r="B771">
        <v>43912</v>
      </c>
      <c r="C771" t="str">
        <f t="shared" ref="C771:C834" si="74">TEXT(B:B,"DD")</f>
        <v>22</v>
      </c>
      <c r="D771" t="str">
        <f t="shared" si="72"/>
        <v>March</v>
      </c>
      <c r="E771" t="str">
        <f t="shared" ref="E771:E834" si="75">TEXT(B:B,"yyyy")</f>
        <v>2020</v>
      </c>
      <c r="F771" t="s">
        <v>1492</v>
      </c>
      <c r="G771" t="str">
        <f>VLOOKUP(F771,'Customers (2)'!A:I,2,0)</f>
        <v>Dalia Eburah</v>
      </c>
      <c r="H771" t="str">
        <f>VLOOKUP(F771,'Customers (2)'!A:I,3,0)</f>
        <v>deburahld@google.co.jp</v>
      </c>
      <c r="I771" t="str">
        <f>VLOOKUP(F771,'Customers (2)'!A:I,4,0)</f>
        <v>+44 (607) 596-3921</v>
      </c>
      <c r="J771" t="str">
        <f>VLOOKUP(F771,'Customers (2)'!A:I,6,0)</f>
        <v>Birmingham</v>
      </c>
      <c r="K771" t="str">
        <f>VLOOKUP(F771,'Customers (2)'!A:I,7,0)</f>
        <v>United Kingdom</v>
      </c>
      <c r="L771" t="str">
        <f>VLOOKUP(F771,'Customers (2)'!A:I,9,0)</f>
        <v>No</v>
      </c>
      <c r="M771" t="str">
        <f>VLOOKUP(N771,'Products (2)'!A:G,2,0)</f>
        <v>Robusta</v>
      </c>
      <c r="N771" t="s">
        <v>41</v>
      </c>
      <c r="O771" t="str">
        <f>VLOOKUP(N771,'Products (2)'!A:G,3,0)</f>
        <v>Medium</v>
      </c>
      <c r="P771">
        <f>VLOOKUP(N771,'Products (2)'!A:G,7,0)</f>
        <v>1.3730999999999998</v>
      </c>
      <c r="Q771">
        <v>6</v>
      </c>
      <c r="R771">
        <f>INDEX([1]products!$A$1:$G$49,MATCH([1]orders!$D771,[1]products!$A$1:$A$49,0),MATCH([1]orders!K$1,[1]products!$A$1:$G$1,0))</f>
        <v>2.5</v>
      </c>
      <c r="S771">
        <f>INDEX([1]products!$A$1:$G$49,MATCH([1]orders!$D771,[1]products!$A$1:$A$49,0),MATCH([1]orders!L$1,[1]products!$A$1:$G$1,0))</f>
        <v>22.884999999999998</v>
      </c>
      <c r="T771">
        <f t="shared" si="73"/>
        <v>137.31</v>
      </c>
      <c r="U771">
        <f t="shared" ref="U771:U834" si="76">Q771*P771</f>
        <v>8.2385999999999981</v>
      </c>
      <c r="V771">
        <f t="shared" ref="V771:V834" si="77">U771/T771*100</f>
        <v>5.9999999999999982</v>
      </c>
    </row>
    <row r="772" spans="1:22" x14ac:dyDescent="0.25">
      <c r="A772" t="s">
        <v>1493</v>
      </c>
      <c r="B772">
        <v>44092</v>
      </c>
      <c r="C772" t="str">
        <f t="shared" si="74"/>
        <v>18</v>
      </c>
      <c r="D772" t="str">
        <f t="shared" si="72"/>
        <v>September</v>
      </c>
      <c r="E772" t="str">
        <f t="shared" si="75"/>
        <v>2020</v>
      </c>
      <c r="F772" t="s">
        <v>1494</v>
      </c>
      <c r="G772" t="str">
        <f>VLOOKUP(F772,'Customers (2)'!A:I,2,0)</f>
        <v>Martie Brimilcombe</v>
      </c>
      <c r="H772" t="str">
        <f>VLOOKUP(F772,'Customers (2)'!A:I,3,0)</f>
        <v>mbrimilcombele@cnn.com</v>
      </c>
      <c r="I772">
        <f>VLOOKUP(F772,'Customers (2)'!A:I,4,0)</f>
        <v>0</v>
      </c>
      <c r="J772" t="str">
        <f>VLOOKUP(F772,'Customers (2)'!A:I,6,0)</f>
        <v>Springfield</v>
      </c>
      <c r="K772" t="str">
        <f>VLOOKUP(F772,'Customers (2)'!A:I,7,0)</f>
        <v>United States</v>
      </c>
      <c r="L772" t="str">
        <f>VLOOKUP(F772,'Customers (2)'!A:I,9,0)</f>
        <v>No</v>
      </c>
      <c r="M772" t="str">
        <f>VLOOKUP(N772,'Products (2)'!A:G,2,0)</f>
        <v>Arabica</v>
      </c>
      <c r="N772" t="s">
        <v>27</v>
      </c>
      <c r="O772" t="str">
        <f>VLOOKUP(N772,'Products (2)'!A:G,3,0)</f>
        <v>Dark</v>
      </c>
      <c r="P772">
        <f>VLOOKUP(N772,'Products (2)'!A:G,7,0)</f>
        <v>0.89549999999999985</v>
      </c>
      <c r="Q772">
        <v>1</v>
      </c>
      <c r="R772">
        <f>INDEX([1]products!$A$1:$G$49,MATCH([1]orders!$D772,[1]products!$A$1:$A$49,0),MATCH([1]orders!K$1,[1]products!$A$1:$G$1,0))</f>
        <v>1</v>
      </c>
      <c r="S772">
        <f>INDEX([1]products!$A$1:$G$49,MATCH([1]orders!$D772,[1]products!$A$1:$A$49,0),MATCH([1]orders!L$1,[1]products!$A$1:$G$1,0))</f>
        <v>9.9499999999999993</v>
      </c>
      <c r="T772">
        <f t="shared" si="73"/>
        <v>9.9499999999999993</v>
      </c>
      <c r="U772">
        <f t="shared" si="76"/>
        <v>0.89549999999999985</v>
      </c>
      <c r="V772">
        <f t="shared" si="77"/>
        <v>9</v>
      </c>
    </row>
    <row r="773" spans="1:22" x14ac:dyDescent="0.25">
      <c r="A773" t="s">
        <v>1495</v>
      </c>
      <c r="B773">
        <v>43468</v>
      </c>
      <c r="C773" t="str">
        <f t="shared" si="74"/>
        <v>03</v>
      </c>
      <c r="D773" t="str">
        <f t="shared" si="72"/>
        <v>January</v>
      </c>
      <c r="E773" t="str">
        <f t="shared" si="75"/>
        <v>2019</v>
      </c>
      <c r="F773" t="s">
        <v>1496</v>
      </c>
      <c r="G773" t="str">
        <f>VLOOKUP(F773,'Customers (2)'!A:I,2,0)</f>
        <v>Suzanna Bollam</v>
      </c>
      <c r="H773" t="str">
        <f>VLOOKUP(F773,'Customers (2)'!A:I,3,0)</f>
        <v>sbollamlf@list-manage.com</v>
      </c>
      <c r="I773" t="str">
        <f>VLOOKUP(F773,'Customers (2)'!A:I,4,0)</f>
        <v>+1 (303) 746-0415</v>
      </c>
      <c r="J773" t="str">
        <f>VLOOKUP(F773,'Customers (2)'!A:I,6,0)</f>
        <v>Littleton</v>
      </c>
      <c r="K773" t="str">
        <f>VLOOKUP(F773,'Customers (2)'!A:I,7,0)</f>
        <v>United States</v>
      </c>
      <c r="L773" t="str">
        <f>VLOOKUP(F773,'Customers (2)'!A:I,9,0)</f>
        <v>No</v>
      </c>
      <c r="M773" t="str">
        <f>VLOOKUP(N773,'Products (2)'!A:G,2,0)</f>
        <v>Robusta</v>
      </c>
      <c r="N773" t="s">
        <v>157</v>
      </c>
      <c r="O773" t="str">
        <f>VLOOKUP(N773,'Products (2)'!A:G,3,0)</f>
        <v>Light</v>
      </c>
      <c r="P773">
        <f>VLOOKUP(N773,'Products (2)'!A:G,7,0)</f>
        <v>0.43019999999999992</v>
      </c>
      <c r="Q773">
        <v>3</v>
      </c>
      <c r="R773">
        <f>INDEX([1]products!$A$1:$G$49,MATCH([1]orders!$D773,[1]products!$A$1:$A$49,0),MATCH([1]orders!K$1,[1]products!$A$1:$G$1,0))</f>
        <v>0.5</v>
      </c>
      <c r="S773">
        <f>INDEX([1]products!$A$1:$G$49,MATCH([1]orders!$D773,[1]products!$A$1:$A$49,0),MATCH([1]orders!L$1,[1]products!$A$1:$G$1,0))</f>
        <v>7.169999999999999</v>
      </c>
      <c r="T773">
        <f t="shared" si="73"/>
        <v>21.509999999999998</v>
      </c>
      <c r="U773">
        <f t="shared" si="76"/>
        <v>1.2905999999999997</v>
      </c>
      <c r="V773">
        <f t="shared" si="77"/>
        <v>5.9999999999999991</v>
      </c>
    </row>
    <row r="774" spans="1:22" x14ac:dyDescent="0.25">
      <c r="A774" t="s">
        <v>1497</v>
      </c>
      <c r="B774">
        <v>44468</v>
      </c>
      <c r="C774" t="str">
        <f t="shared" si="74"/>
        <v>29</v>
      </c>
      <c r="D774" t="str">
        <f t="shared" si="72"/>
        <v>September</v>
      </c>
      <c r="E774" t="str">
        <f t="shared" si="75"/>
        <v>2021</v>
      </c>
      <c r="F774" t="s">
        <v>1498</v>
      </c>
      <c r="G774" t="str">
        <f>VLOOKUP(F774,'Customers (2)'!A:I,2,0)</f>
        <v>Mellisa Mebes</v>
      </c>
      <c r="H774">
        <f>VLOOKUP(F774,'Customers (2)'!A:I,3,0)</f>
        <v>0</v>
      </c>
      <c r="I774" t="str">
        <f>VLOOKUP(F774,'Customers (2)'!A:I,4,0)</f>
        <v>+1 (410) 273-2348</v>
      </c>
      <c r="J774" t="str">
        <f>VLOOKUP(F774,'Customers (2)'!A:I,6,0)</f>
        <v>Baltimore</v>
      </c>
      <c r="K774" t="str">
        <f>VLOOKUP(F774,'Customers (2)'!A:I,7,0)</f>
        <v>United States</v>
      </c>
      <c r="L774" t="str">
        <f>VLOOKUP(F774,'Customers (2)'!A:I,9,0)</f>
        <v>No</v>
      </c>
      <c r="M774" t="str">
        <f>VLOOKUP(N774,'Products (2)'!A:G,2,0)</f>
        <v>Excelsa</v>
      </c>
      <c r="N774" t="s">
        <v>9</v>
      </c>
      <c r="O774" t="str">
        <f>VLOOKUP(N774,'Products (2)'!A:G,3,0)</f>
        <v>Medium</v>
      </c>
      <c r="P774">
        <f>VLOOKUP(N774,'Products (2)'!A:G,7,0)</f>
        <v>1.5125</v>
      </c>
      <c r="Q774">
        <v>6</v>
      </c>
      <c r="R774">
        <f>INDEX([1]products!$A$1:$G$49,MATCH([1]orders!$D774,[1]products!$A$1:$A$49,0),MATCH([1]orders!K$1,[1]products!$A$1:$G$1,0))</f>
        <v>1</v>
      </c>
      <c r="S774">
        <f>INDEX([1]products!$A$1:$G$49,MATCH([1]orders!$D774,[1]products!$A$1:$A$49,0),MATCH([1]orders!L$1,[1]products!$A$1:$G$1,0))</f>
        <v>13.75</v>
      </c>
      <c r="T774">
        <f t="shared" si="73"/>
        <v>82.5</v>
      </c>
      <c r="U774">
        <f t="shared" si="76"/>
        <v>9.0749999999999993</v>
      </c>
      <c r="V774">
        <f t="shared" si="77"/>
        <v>10.999999999999998</v>
      </c>
    </row>
    <row r="775" spans="1:22" x14ac:dyDescent="0.25">
      <c r="A775" t="s">
        <v>1499</v>
      </c>
      <c r="B775">
        <v>44488</v>
      </c>
      <c r="C775" t="str">
        <f t="shared" si="74"/>
        <v>19</v>
      </c>
      <c r="D775" t="str">
        <f t="shared" si="72"/>
        <v>October</v>
      </c>
      <c r="E775" t="str">
        <f t="shared" si="75"/>
        <v>2021</v>
      </c>
      <c r="F775" t="s">
        <v>1500</v>
      </c>
      <c r="G775" t="str">
        <f>VLOOKUP(F775,'Customers (2)'!A:I,2,0)</f>
        <v>Alva Filipczak</v>
      </c>
      <c r="H775" t="str">
        <f>VLOOKUP(F775,'Customers (2)'!A:I,3,0)</f>
        <v>afilipczaklh@ning.com</v>
      </c>
      <c r="I775" t="str">
        <f>VLOOKUP(F775,'Customers (2)'!A:I,4,0)</f>
        <v>+353 (176) 447-3656</v>
      </c>
      <c r="J775" t="str">
        <f>VLOOKUP(F775,'Customers (2)'!A:I,6,0)</f>
        <v>Moycullen</v>
      </c>
      <c r="K775" t="str">
        <f>VLOOKUP(F775,'Customers (2)'!A:I,7,0)</f>
        <v>Ireland</v>
      </c>
      <c r="L775" t="str">
        <f>VLOOKUP(F775,'Customers (2)'!A:I,9,0)</f>
        <v>No</v>
      </c>
      <c r="M775" t="str">
        <f>VLOOKUP(N775,'Products (2)'!A:G,2,0)</f>
        <v>Liberica</v>
      </c>
      <c r="N775" t="s">
        <v>77</v>
      </c>
      <c r="O775" t="str">
        <f>VLOOKUP(N775,'Products (2)'!A:G,3,0)</f>
        <v>Medium</v>
      </c>
      <c r="P775">
        <f>VLOOKUP(N775,'Products (2)'!A:G,7,0)</f>
        <v>0.56745000000000001</v>
      </c>
      <c r="Q775">
        <v>2</v>
      </c>
      <c r="R775">
        <f>INDEX([1]products!$A$1:$G$49,MATCH([1]orders!$D775,[1]products!$A$1:$A$49,0),MATCH([1]orders!K$1,[1]products!$A$1:$G$1,0))</f>
        <v>0.2</v>
      </c>
      <c r="S775">
        <f>INDEX([1]products!$A$1:$G$49,MATCH([1]orders!$D775,[1]products!$A$1:$A$49,0),MATCH([1]orders!L$1,[1]products!$A$1:$G$1,0))</f>
        <v>4.3650000000000002</v>
      </c>
      <c r="T775">
        <f t="shared" si="73"/>
        <v>8.73</v>
      </c>
      <c r="U775">
        <f t="shared" si="76"/>
        <v>1.1349</v>
      </c>
      <c r="V775">
        <f t="shared" si="77"/>
        <v>13</v>
      </c>
    </row>
    <row r="776" spans="1:22" x14ac:dyDescent="0.25">
      <c r="A776" t="s">
        <v>1501</v>
      </c>
      <c r="B776">
        <v>44756</v>
      </c>
      <c r="C776" t="str">
        <f t="shared" si="74"/>
        <v>14</v>
      </c>
      <c r="D776" t="str">
        <f t="shared" si="72"/>
        <v>July</v>
      </c>
      <c r="E776" t="str">
        <f t="shared" si="75"/>
        <v>2022</v>
      </c>
      <c r="F776" t="s">
        <v>1502</v>
      </c>
      <c r="G776" t="str">
        <f>VLOOKUP(F776,'Customers (2)'!A:I,2,0)</f>
        <v>Dorette Hinemoor</v>
      </c>
      <c r="H776">
        <f>VLOOKUP(F776,'Customers (2)'!A:I,3,0)</f>
        <v>0</v>
      </c>
      <c r="I776" t="str">
        <f>VLOOKUP(F776,'Customers (2)'!A:I,4,0)</f>
        <v>+1 (754) 336-4224</v>
      </c>
      <c r="J776" t="str">
        <f>VLOOKUP(F776,'Customers (2)'!A:I,6,0)</f>
        <v>Fort Lauderdale</v>
      </c>
      <c r="K776" t="str">
        <f>VLOOKUP(F776,'Customers (2)'!A:I,7,0)</f>
        <v>United States</v>
      </c>
      <c r="L776" t="str">
        <f>VLOOKUP(F776,'Customers (2)'!A:I,9,0)</f>
        <v>Yes</v>
      </c>
      <c r="M776" t="str">
        <f>VLOOKUP(N776,'Products (2)'!A:G,2,0)</f>
        <v>Robusta</v>
      </c>
      <c r="N776" t="s">
        <v>2</v>
      </c>
      <c r="O776" t="str">
        <f>VLOOKUP(N776,'Products (2)'!A:G,3,0)</f>
        <v>Medium</v>
      </c>
      <c r="P776">
        <f>VLOOKUP(N776,'Products (2)'!A:G,7,0)</f>
        <v>0.59699999999999998</v>
      </c>
      <c r="Q776">
        <v>2</v>
      </c>
      <c r="R776">
        <f>INDEX([1]products!$A$1:$G$49,MATCH([1]orders!$D776,[1]products!$A$1:$A$49,0),MATCH([1]orders!K$1,[1]products!$A$1:$G$1,0))</f>
        <v>1</v>
      </c>
      <c r="S776">
        <f>INDEX([1]products!$A$1:$G$49,MATCH([1]orders!$D776,[1]products!$A$1:$A$49,0),MATCH([1]orders!L$1,[1]products!$A$1:$G$1,0))</f>
        <v>9.9499999999999993</v>
      </c>
      <c r="T776">
        <f t="shared" si="73"/>
        <v>19.899999999999999</v>
      </c>
      <c r="U776">
        <f t="shared" si="76"/>
        <v>1.194</v>
      </c>
      <c r="V776">
        <f t="shared" si="77"/>
        <v>6.0000000000000009</v>
      </c>
    </row>
    <row r="777" spans="1:22" x14ac:dyDescent="0.25">
      <c r="A777" t="s">
        <v>1503</v>
      </c>
      <c r="B777">
        <v>44396</v>
      </c>
      <c r="C777" t="str">
        <f t="shared" si="74"/>
        <v>19</v>
      </c>
      <c r="D777" t="str">
        <f t="shared" si="72"/>
        <v>July</v>
      </c>
      <c r="E777" t="str">
        <f t="shared" si="75"/>
        <v>2021</v>
      </c>
      <c r="F777" t="s">
        <v>1504</v>
      </c>
      <c r="G777" t="str">
        <f>VLOOKUP(F777,'Customers (2)'!A:I,2,0)</f>
        <v>Rhetta Elnaugh</v>
      </c>
      <c r="H777" t="str">
        <f>VLOOKUP(F777,'Customers (2)'!A:I,3,0)</f>
        <v>relnaughlj@comsenz.com</v>
      </c>
      <c r="I777" t="str">
        <f>VLOOKUP(F777,'Customers (2)'!A:I,4,0)</f>
        <v>+1 (619) 728-2474</v>
      </c>
      <c r="J777" t="str">
        <f>VLOOKUP(F777,'Customers (2)'!A:I,6,0)</f>
        <v>San Diego</v>
      </c>
      <c r="K777" t="str">
        <f>VLOOKUP(F777,'Customers (2)'!A:I,7,0)</f>
        <v>United States</v>
      </c>
      <c r="L777" t="str">
        <f>VLOOKUP(F777,'Customers (2)'!A:I,9,0)</f>
        <v>Yes</v>
      </c>
      <c r="M777" t="str">
        <f>VLOOKUP(N777,'Products (2)'!A:G,2,0)</f>
        <v>Excelsa</v>
      </c>
      <c r="N777" t="s">
        <v>176</v>
      </c>
      <c r="O777" t="str">
        <f>VLOOKUP(N777,'Products (2)'!A:G,3,0)</f>
        <v>Light</v>
      </c>
      <c r="P777">
        <f>VLOOKUP(N777,'Products (2)'!A:G,7,0)</f>
        <v>0.98009999999999997</v>
      </c>
      <c r="Q777">
        <v>2</v>
      </c>
      <c r="R777">
        <f>INDEX([1]products!$A$1:$G$49,MATCH([1]orders!$D777,[1]products!$A$1:$A$49,0),MATCH([1]orders!K$1,[1]products!$A$1:$G$1,0))</f>
        <v>0.5</v>
      </c>
      <c r="S777">
        <f>INDEX([1]products!$A$1:$G$49,MATCH([1]orders!$D777,[1]products!$A$1:$A$49,0),MATCH([1]orders!L$1,[1]products!$A$1:$G$1,0))</f>
        <v>8.91</v>
      </c>
      <c r="T777">
        <f t="shared" si="73"/>
        <v>17.82</v>
      </c>
      <c r="U777">
        <f t="shared" si="76"/>
        <v>1.9601999999999999</v>
      </c>
      <c r="V777">
        <f t="shared" si="77"/>
        <v>11</v>
      </c>
    </row>
    <row r="778" spans="1:22" x14ac:dyDescent="0.25">
      <c r="A778" t="s">
        <v>1505</v>
      </c>
      <c r="B778">
        <v>44540</v>
      </c>
      <c r="C778" t="str">
        <f t="shared" si="74"/>
        <v>10</v>
      </c>
      <c r="D778" t="str">
        <f t="shared" si="72"/>
        <v>December</v>
      </c>
      <c r="E778" t="str">
        <f t="shared" si="75"/>
        <v>2021</v>
      </c>
      <c r="F778" t="s">
        <v>1506</v>
      </c>
      <c r="G778" t="str">
        <f>VLOOKUP(F778,'Customers (2)'!A:I,2,0)</f>
        <v>Jule Deehan</v>
      </c>
      <c r="H778" t="str">
        <f>VLOOKUP(F778,'Customers (2)'!A:I,3,0)</f>
        <v>jdeehanlk@about.me</v>
      </c>
      <c r="I778" t="str">
        <f>VLOOKUP(F778,'Customers (2)'!A:I,4,0)</f>
        <v>+1 (972) 327-1194</v>
      </c>
      <c r="J778" t="str">
        <f>VLOOKUP(F778,'Customers (2)'!A:I,6,0)</f>
        <v>Dallas</v>
      </c>
      <c r="K778" t="str">
        <f>VLOOKUP(F778,'Customers (2)'!A:I,7,0)</f>
        <v>United States</v>
      </c>
      <c r="L778" t="str">
        <f>VLOOKUP(F778,'Customers (2)'!A:I,9,0)</f>
        <v>No</v>
      </c>
      <c r="M778" t="str">
        <f>VLOOKUP(N778,'Products (2)'!A:G,2,0)</f>
        <v>Arabica</v>
      </c>
      <c r="N778" t="s">
        <v>67</v>
      </c>
      <c r="O778" t="str">
        <f>VLOOKUP(N778,'Products (2)'!A:G,3,0)</f>
        <v>Medium</v>
      </c>
      <c r="P778">
        <f>VLOOKUP(N778,'Products (2)'!A:G,7,0)</f>
        <v>0.60749999999999993</v>
      </c>
      <c r="Q778">
        <v>3</v>
      </c>
      <c r="R778">
        <f>INDEX([1]products!$A$1:$G$49,MATCH([1]orders!$D778,[1]products!$A$1:$A$49,0),MATCH([1]orders!K$1,[1]products!$A$1:$G$1,0))</f>
        <v>0.5</v>
      </c>
      <c r="S778">
        <f>INDEX([1]products!$A$1:$G$49,MATCH([1]orders!$D778,[1]products!$A$1:$A$49,0),MATCH([1]orders!L$1,[1]products!$A$1:$G$1,0))</f>
        <v>6.75</v>
      </c>
      <c r="T778">
        <f t="shared" si="73"/>
        <v>20.25</v>
      </c>
      <c r="U778">
        <f t="shared" si="76"/>
        <v>1.8224999999999998</v>
      </c>
      <c r="V778">
        <f t="shared" si="77"/>
        <v>8.9999999999999982</v>
      </c>
    </row>
    <row r="779" spans="1:22" x14ac:dyDescent="0.25">
      <c r="A779" t="s">
        <v>1507</v>
      </c>
      <c r="B779">
        <v>43541</v>
      </c>
      <c r="C779" t="str">
        <f t="shared" si="74"/>
        <v>17</v>
      </c>
      <c r="D779" t="str">
        <f t="shared" si="72"/>
        <v>March</v>
      </c>
      <c r="E779" t="str">
        <f t="shared" si="75"/>
        <v>2019</v>
      </c>
      <c r="F779" t="s">
        <v>1508</v>
      </c>
      <c r="G779" t="str">
        <f>VLOOKUP(F779,'Customers (2)'!A:I,2,0)</f>
        <v>Janella Eden</v>
      </c>
      <c r="H779" t="str">
        <f>VLOOKUP(F779,'Customers (2)'!A:I,3,0)</f>
        <v>jedenll@e-recht24.de</v>
      </c>
      <c r="I779">
        <f>VLOOKUP(F779,'Customers (2)'!A:I,4,0)</f>
        <v>0</v>
      </c>
      <c r="J779" t="str">
        <f>VLOOKUP(F779,'Customers (2)'!A:I,6,0)</f>
        <v>Joliet</v>
      </c>
      <c r="K779" t="str">
        <f>VLOOKUP(F779,'Customers (2)'!A:I,7,0)</f>
        <v>United States</v>
      </c>
      <c r="L779" t="str">
        <f>VLOOKUP(F779,'Customers (2)'!A:I,9,0)</f>
        <v>No</v>
      </c>
      <c r="M779" t="str">
        <f>VLOOKUP(N779,'Products (2)'!A:G,2,0)</f>
        <v>Arabica</v>
      </c>
      <c r="N779" t="s">
        <v>204</v>
      </c>
      <c r="O779" t="str">
        <f>VLOOKUP(N779,'Products (2)'!A:G,3,0)</f>
        <v>Light</v>
      </c>
      <c r="P779">
        <f>VLOOKUP(N779,'Products (2)'!A:G,7,0)</f>
        <v>2.6806499999999995</v>
      </c>
      <c r="Q779">
        <v>2</v>
      </c>
      <c r="R779">
        <f>INDEX([1]products!$A$1:$G$49,MATCH([1]orders!$D779,[1]products!$A$1:$A$49,0),MATCH([1]orders!K$1,[1]products!$A$1:$G$1,0))</f>
        <v>2.5</v>
      </c>
      <c r="S779">
        <f>INDEX([1]products!$A$1:$G$49,MATCH([1]orders!$D779,[1]products!$A$1:$A$49,0),MATCH([1]orders!L$1,[1]products!$A$1:$G$1,0))</f>
        <v>29.784999999999997</v>
      </c>
      <c r="T779">
        <f t="shared" si="73"/>
        <v>59.569999999999993</v>
      </c>
      <c r="U779">
        <f t="shared" si="76"/>
        <v>5.3612999999999991</v>
      </c>
      <c r="V779">
        <f t="shared" si="77"/>
        <v>9</v>
      </c>
    </row>
    <row r="780" spans="1:22" x14ac:dyDescent="0.25">
      <c r="A780" t="s">
        <v>1509</v>
      </c>
      <c r="B780">
        <v>43889</v>
      </c>
      <c r="C780" t="str">
        <f t="shared" si="74"/>
        <v>28</v>
      </c>
      <c r="D780" t="str">
        <f t="shared" si="72"/>
        <v>February</v>
      </c>
      <c r="E780" t="str">
        <f t="shared" si="75"/>
        <v>2020</v>
      </c>
      <c r="F780" t="s">
        <v>1510</v>
      </c>
      <c r="G780" t="str">
        <f>VLOOKUP(F780,'Customers (2)'!A:I,2,0)</f>
        <v>Cam Jewster</v>
      </c>
      <c r="H780" t="str">
        <f>VLOOKUP(F780,'Customers (2)'!A:I,3,0)</f>
        <v>cjewsterlu@moonfruit.com</v>
      </c>
      <c r="I780" t="str">
        <f>VLOOKUP(F780,'Customers (2)'!A:I,4,0)</f>
        <v>+1 (937) 925-7390</v>
      </c>
      <c r="J780" t="str">
        <f>VLOOKUP(F780,'Customers (2)'!A:I,6,0)</f>
        <v>Dayton</v>
      </c>
      <c r="K780" t="str">
        <f>VLOOKUP(F780,'Customers (2)'!A:I,7,0)</f>
        <v>United States</v>
      </c>
      <c r="L780" t="str">
        <f>VLOOKUP(F780,'Customers (2)'!A:I,9,0)</f>
        <v>Yes</v>
      </c>
      <c r="M780" t="str">
        <f>VLOOKUP(N780,'Products (2)'!A:G,2,0)</f>
        <v>Liberica</v>
      </c>
      <c r="N780" t="s">
        <v>83</v>
      </c>
      <c r="O780" t="str">
        <f>VLOOKUP(N780,'Products (2)'!A:G,3,0)</f>
        <v>Light</v>
      </c>
      <c r="P780">
        <f>VLOOKUP(N780,'Products (2)'!A:G,7,0)</f>
        <v>1.2363</v>
      </c>
      <c r="Q780">
        <v>2</v>
      </c>
      <c r="R780">
        <f>INDEX([1]products!$A$1:$G$49,MATCH([1]orders!$D780,[1]products!$A$1:$A$49,0),MATCH([1]orders!K$1,[1]products!$A$1:$G$1,0))</f>
        <v>0.5</v>
      </c>
      <c r="S780">
        <f>INDEX([1]products!$A$1:$G$49,MATCH([1]orders!$D780,[1]products!$A$1:$A$49,0),MATCH([1]orders!L$1,[1]products!$A$1:$G$1,0))</f>
        <v>9.51</v>
      </c>
      <c r="T780">
        <f t="shared" si="73"/>
        <v>19.02</v>
      </c>
      <c r="U780">
        <f t="shared" si="76"/>
        <v>2.4725999999999999</v>
      </c>
      <c r="V780">
        <f t="shared" si="77"/>
        <v>13</v>
      </c>
    </row>
    <row r="781" spans="1:22" x14ac:dyDescent="0.25">
      <c r="A781" t="s">
        <v>1511</v>
      </c>
      <c r="B781">
        <v>43985</v>
      </c>
      <c r="C781" t="str">
        <f t="shared" si="74"/>
        <v>03</v>
      </c>
      <c r="D781" t="str">
        <f t="shared" si="72"/>
        <v>June</v>
      </c>
      <c r="E781" t="str">
        <f t="shared" si="75"/>
        <v>2020</v>
      </c>
      <c r="F781" t="s">
        <v>1512</v>
      </c>
      <c r="G781" t="str">
        <f>VLOOKUP(F781,'Customers (2)'!A:I,2,0)</f>
        <v>Ugo Southerden</v>
      </c>
      <c r="H781" t="str">
        <f>VLOOKUP(F781,'Customers (2)'!A:I,3,0)</f>
        <v>usoutherdenln@hao123.com</v>
      </c>
      <c r="I781" t="str">
        <f>VLOOKUP(F781,'Customers (2)'!A:I,4,0)</f>
        <v>+1 (786) 490-0037</v>
      </c>
      <c r="J781" t="str">
        <f>VLOOKUP(F781,'Customers (2)'!A:I,6,0)</f>
        <v>Clearwater</v>
      </c>
      <c r="K781" t="str">
        <f>VLOOKUP(F781,'Customers (2)'!A:I,7,0)</f>
        <v>United States</v>
      </c>
      <c r="L781" t="str">
        <f>VLOOKUP(F781,'Customers (2)'!A:I,9,0)</f>
        <v>Yes</v>
      </c>
      <c r="M781" t="str">
        <f>VLOOKUP(N781,'Products (2)'!A:G,2,0)</f>
        <v>Liberica</v>
      </c>
      <c r="N781" t="s">
        <v>13</v>
      </c>
      <c r="O781" t="str">
        <f>VLOOKUP(N781,'Products (2)'!A:G,3,0)</f>
        <v>Dark</v>
      </c>
      <c r="P781">
        <f>VLOOKUP(N781,'Products (2)'!A:G,7,0)</f>
        <v>1.6835</v>
      </c>
      <c r="Q781">
        <v>6</v>
      </c>
      <c r="R781">
        <f>INDEX([1]products!$A$1:$G$49,MATCH([1]orders!$D781,[1]products!$A$1:$A$49,0),MATCH([1]orders!K$1,[1]products!$A$1:$G$1,0))</f>
        <v>1</v>
      </c>
      <c r="S781">
        <f>INDEX([1]products!$A$1:$G$49,MATCH([1]orders!$D781,[1]products!$A$1:$A$49,0),MATCH([1]orders!L$1,[1]products!$A$1:$G$1,0))</f>
        <v>12.95</v>
      </c>
      <c r="T781">
        <f t="shared" si="73"/>
        <v>77.699999999999989</v>
      </c>
      <c r="U781">
        <f t="shared" si="76"/>
        <v>10.100999999999999</v>
      </c>
      <c r="V781">
        <f t="shared" si="77"/>
        <v>13</v>
      </c>
    </row>
    <row r="782" spans="1:22" x14ac:dyDescent="0.25">
      <c r="A782" t="s">
        <v>1513</v>
      </c>
      <c r="B782">
        <v>43883</v>
      </c>
      <c r="C782" t="str">
        <f t="shared" si="74"/>
        <v>22</v>
      </c>
      <c r="D782" t="str">
        <f t="shared" si="72"/>
        <v>February</v>
      </c>
      <c r="E782" t="str">
        <f t="shared" si="75"/>
        <v>2020</v>
      </c>
      <c r="F782" t="s">
        <v>1514</v>
      </c>
      <c r="G782" t="str">
        <f>VLOOKUP(F782,'Customers (2)'!A:I,2,0)</f>
        <v>Verne Dunkerley</v>
      </c>
      <c r="H782">
        <f>VLOOKUP(F782,'Customers (2)'!A:I,3,0)</f>
        <v>0</v>
      </c>
      <c r="I782" t="str">
        <f>VLOOKUP(F782,'Customers (2)'!A:I,4,0)</f>
        <v>+1 (763) 806-0186</v>
      </c>
      <c r="J782" t="str">
        <f>VLOOKUP(F782,'Customers (2)'!A:I,6,0)</f>
        <v>Minneapolis</v>
      </c>
      <c r="K782" t="str">
        <f>VLOOKUP(F782,'Customers (2)'!A:I,7,0)</f>
        <v>United States</v>
      </c>
      <c r="L782" t="str">
        <f>VLOOKUP(F782,'Customers (2)'!A:I,9,0)</f>
        <v>No</v>
      </c>
      <c r="M782" t="str">
        <f>VLOOKUP(N782,'Products (2)'!A:G,2,0)</f>
        <v>Excelsa</v>
      </c>
      <c r="N782" t="s">
        <v>9</v>
      </c>
      <c r="O782" t="str">
        <f>VLOOKUP(N782,'Products (2)'!A:G,3,0)</f>
        <v>Medium</v>
      </c>
      <c r="P782">
        <f>VLOOKUP(N782,'Products (2)'!A:G,7,0)</f>
        <v>1.5125</v>
      </c>
      <c r="Q782">
        <v>3</v>
      </c>
      <c r="R782">
        <f>INDEX([1]products!$A$1:$G$49,MATCH([1]orders!$D782,[1]products!$A$1:$A$49,0),MATCH([1]orders!K$1,[1]products!$A$1:$G$1,0))</f>
        <v>1</v>
      </c>
      <c r="S782">
        <f>INDEX([1]products!$A$1:$G$49,MATCH([1]orders!$D782,[1]products!$A$1:$A$49,0),MATCH([1]orders!L$1,[1]products!$A$1:$G$1,0))</f>
        <v>13.75</v>
      </c>
      <c r="T782">
        <f t="shared" si="73"/>
        <v>41.25</v>
      </c>
      <c r="U782">
        <f t="shared" si="76"/>
        <v>4.5374999999999996</v>
      </c>
      <c r="V782">
        <f t="shared" si="77"/>
        <v>10.999999999999998</v>
      </c>
    </row>
    <row r="783" spans="1:22" x14ac:dyDescent="0.25">
      <c r="A783" t="s">
        <v>1515</v>
      </c>
      <c r="B783">
        <v>43778</v>
      </c>
      <c r="C783" t="str">
        <f t="shared" si="74"/>
        <v>09</v>
      </c>
      <c r="D783" t="str">
        <f t="shared" si="72"/>
        <v>November</v>
      </c>
      <c r="E783" t="str">
        <f t="shared" si="75"/>
        <v>2019</v>
      </c>
      <c r="F783" t="s">
        <v>1516</v>
      </c>
      <c r="G783" t="str">
        <f>VLOOKUP(F783,'Customers (2)'!A:I,2,0)</f>
        <v>Lacee Burtenshaw</v>
      </c>
      <c r="H783" t="str">
        <f>VLOOKUP(F783,'Customers (2)'!A:I,3,0)</f>
        <v>lburtenshawlp@shinystat.com</v>
      </c>
      <c r="I783" t="str">
        <f>VLOOKUP(F783,'Customers (2)'!A:I,4,0)</f>
        <v>+1 (678) 536-4251</v>
      </c>
      <c r="J783" t="str">
        <f>VLOOKUP(F783,'Customers (2)'!A:I,6,0)</f>
        <v>Lawrenceville</v>
      </c>
      <c r="K783" t="str">
        <f>VLOOKUP(F783,'Customers (2)'!A:I,7,0)</f>
        <v>United States</v>
      </c>
      <c r="L783" t="str">
        <f>VLOOKUP(F783,'Customers (2)'!A:I,9,0)</f>
        <v>No</v>
      </c>
      <c r="M783" t="str">
        <f>VLOOKUP(N783,'Products (2)'!A:G,2,0)</f>
        <v>Liberica</v>
      </c>
      <c r="N783" t="s">
        <v>104</v>
      </c>
      <c r="O783" t="str">
        <f>VLOOKUP(N783,'Products (2)'!A:G,3,0)</f>
        <v>Light</v>
      </c>
      <c r="P783">
        <f>VLOOKUP(N783,'Products (2)'!A:G,7,0)</f>
        <v>4.7391499999999995</v>
      </c>
      <c r="Q783">
        <v>4</v>
      </c>
      <c r="R783">
        <f>INDEX([1]products!$A$1:$G$49,MATCH([1]orders!$D783,[1]products!$A$1:$A$49,0),MATCH([1]orders!K$1,[1]products!$A$1:$G$1,0))</f>
        <v>2.5</v>
      </c>
      <c r="S783">
        <f>INDEX([1]products!$A$1:$G$49,MATCH([1]orders!$D783,[1]products!$A$1:$A$49,0),MATCH([1]orders!L$1,[1]products!$A$1:$G$1,0))</f>
        <v>36.454999999999998</v>
      </c>
      <c r="T783">
        <f t="shared" si="73"/>
        <v>145.82</v>
      </c>
      <c r="U783">
        <f t="shared" si="76"/>
        <v>18.956599999999998</v>
      </c>
      <c r="V783">
        <f t="shared" si="77"/>
        <v>13</v>
      </c>
    </row>
    <row r="784" spans="1:22" x14ac:dyDescent="0.25">
      <c r="A784" t="s">
        <v>1517</v>
      </c>
      <c r="B784">
        <v>43897</v>
      </c>
      <c r="C784" t="str">
        <f t="shared" si="74"/>
        <v>07</v>
      </c>
      <c r="D784" t="str">
        <f t="shared" si="72"/>
        <v>March</v>
      </c>
      <c r="E784" t="str">
        <f t="shared" si="75"/>
        <v>2020</v>
      </c>
      <c r="F784" t="s">
        <v>1518</v>
      </c>
      <c r="G784" t="str">
        <f>VLOOKUP(F784,'Customers (2)'!A:I,2,0)</f>
        <v>Adorne Gregoratti</v>
      </c>
      <c r="H784" t="str">
        <f>VLOOKUP(F784,'Customers (2)'!A:I,3,0)</f>
        <v>agregorattilq@vistaprint.com</v>
      </c>
      <c r="I784" t="str">
        <f>VLOOKUP(F784,'Customers (2)'!A:I,4,0)</f>
        <v>+353 (773) 508-6581</v>
      </c>
      <c r="J784" t="str">
        <f>VLOOKUP(F784,'Customers (2)'!A:I,6,0)</f>
        <v>Malahide</v>
      </c>
      <c r="K784" t="str">
        <f>VLOOKUP(F784,'Customers (2)'!A:I,7,0)</f>
        <v>Ireland</v>
      </c>
      <c r="L784" t="str">
        <f>VLOOKUP(F784,'Customers (2)'!A:I,9,0)</f>
        <v>No</v>
      </c>
      <c r="M784" t="str">
        <f>VLOOKUP(N784,'Products (2)'!A:G,2,0)</f>
        <v>Excelsa</v>
      </c>
      <c r="N784" t="s">
        <v>254</v>
      </c>
      <c r="O784" t="str">
        <f>VLOOKUP(N784,'Products (2)'!A:G,3,0)</f>
        <v>Light</v>
      </c>
      <c r="P784">
        <f>VLOOKUP(N784,'Products (2)'!A:G,7,0)</f>
        <v>0.49004999999999999</v>
      </c>
      <c r="Q784">
        <v>6</v>
      </c>
      <c r="R784">
        <f>INDEX([1]products!$A$1:$G$49,MATCH([1]orders!$D784,[1]products!$A$1:$A$49,0),MATCH([1]orders!K$1,[1]products!$A$1:$G$1,0))</f>
        <v>0.2</v>
      </c>
      <c r="S784">
        <f>INDEX([1]products!$A$1:$G$49,MATCH([1]orders!$D784,[1]products!$A$1:$A$49,0),MATCH([1]orders!L$1,[1]products!$A$1:$G$1,0))</f>
        <v>4.4550000000000001</v>
      </c>
      <c r="T784">
        <f t="shared" si="73"/>
        <v>26.73</v>
      </c>
      <c r="U784">
        <f t="shared" si="76"/>
        <v>2.9402999999999997</v>
      </c>
      <c r="V784">
        <f t="shared" si="77"/>
        <v>10.999999999999998</v>
      </c>
    </row>
    <row r="785" spans="1:22" x14ac:dyDescent="0.25">
      <c r="A785" t="s">
        <v>1519</v>
      </c>
      <c r="B785">
        <v>44312</v>
      </c>
      <c r="C785" t="str">
        <f t="shared" si="74"/>
        <v>26</v>
      </c>
      <c r="D785" t="str">
        <f t="shared" si="72"/>
        <v>April</v>
      </c>
      <c r="E785" t="str">
        <f t="shared" si="75"/>
        <v>2021</v>
      </c>
      <c r="F785" t="s">
        <v>1520</v>
      </c>
      <c r="G785" t="str">
        <f>VLOOKUP(F785,'Customers (2)'!A:I,2,0)</f>
        <v>Chris Croster</v>
      </c>
      <c r="H785" t="str">
        <f>VLOOKUP(F785,'Customers (2)'!A:I,3,0)</f>
        <v>ccrosterlr@gov.uk</v>
      </c>
      <c r="I785" t="str">
        <f>VLOOKUP(F785,'Customers (2)'!A:I,4,0)</f>
        <v>+1 (813) 621-3097</v>
      </c>
      <c r="J785" t="str">
        <f>VLOOKUP(F785,'Customers (2)'!A:I,6,0)</f>
        <v>Tampa</v>
      </c>
      <c r="K785" t="str">
        <f>VLOOKUP(F785,'Customers (2)'!A:I,7,0)</f>
        <v>United States</v>
      </c>
      <c r="L785" t="str">
        <f>VLOOKUP(F785,'Customers (2)'!A:I,9,0)</f>
        <v>Yes</v>
      </c>
      <c r="M785" t="str">
        <f>VLOOKUP(N785,'Products (2)'!A:G,2,0)</f>
        <v>Liberica</v>
      </c>
      <c r="N785" t="s">
        <v>78</v>
      </c>
      <c r="O785" t="str">
        <f>VLOOKUP(N785,'Products (2)'!A:G,3,0)</f>
        <v>Medium</v>
      </c>
      <c r="P785">
        <f>VLOOKUP(N785,'Products (2)'!A:G,7,0)</f>
        <v>1.1349</v>
      </c>
      <c r="Q785">
        <v>5</v>
      </c>
      <c r="R785">
        <f>INDEX([1]products!$A$1:$G$49,MATCH([1]orders!$D785,[1]products!$A$1:$A$49,0),MATCH([1]orders!K$1,[1]products!$A$1:$G$1,0))</f>
        <v>0.5</v>
      </c>
      <c r="S785">
        <f>INDEX([1]products!$A$1:$G$49,MATCH([1]orders!$D785,[1]products!$A$1:$A$49,0),MATCH([1]orders!L$1,[1]products!$A$1:$G$1,0))</f>
        <v>8.73</v>
      </c>
      <c r="T785">
        <f t="shared" si="73"/>
        <v>43.650000000000006</v>
      </c>
      <c r="U785">
        <f t="shared" si="76"/>
        <v>5.6745000000000001</v>
      </c>
      <c r="V785">
        <f t="shared" si="77"/>
        <v>12.999999999999998</v>
      </c>
    </row>
    <row r="786" spans="1:22" x14ac:dyDescent="0.25">
      <c r="A786" t="s">
        <v>1521</v>
      </c>
      <c r="B786">
        <v>44511</v>
      </c>
      <c r="C786" t="str">
        <f t="shared" si="74"/>
        <v>11</v>
      </c>
      <c r="D786" t="str">
        <f t="shared" si="72"/>
        <v>November</v>
      </c>
      <c r="E786" t="str">
        <f t="shared" si="75"/>
        <v>2021</v>
      </c>
      <c r="F786" t="s">
        <v>1522</v>
      </c>
      <c r="G786" t="str">
        <f>VLOOKUP(F786,'Customers (2)'!A:I,2,0)</f>
        <v>Graeme Whitehead</v>
      </c>
      <c r="H786" t="str">
        <f>VLOOKUP(F786,'Customers (2)'!A:I,3,0)</f>
        <v>gwhiteheadls@hp.com</v>
      </c>
      <c r="I786">
        <f>VLOOKUP(F786,'Customers (2)'!A:I,4,0)</f>
        <v>0</v>
      </c>
      <c r="J786" t="str">
        <f>VLOOKUP(F786,'Customers (2)'!A:I,6,0)</f>
        <v>Nashville</v>
      </c>
      <c r="K786" t="str">
        <f>VLOOKUP(F786,'Customers (2)'!A:I,7,0)</f>
        <v>United States</v>
      </c>
      <c r="L786" t="str">
        <f>VLOOKUP(F786,'Customers (2)'!A:I,9,0)</f>
        <v>No</v>
      </c>
      <c r="M786" t="str">
        <f>VLOOKUP(N786,'Products (2)'!A:G,2,0)</f>
        <v>Liberica</v>
      </c>
      <c r="N786" t="s">
        <v>132</v>
      </c>
      <c r="O786" t="str">
        <f>VLOOKUP(N786,'Products (2)'!A:G,3,0)</f>
        <v>Light</v>
      </c>
      <c r="P786">
        <f>VLOOKUP(N786,'Products (2)'!A:G,7,0)</f>
        <v>2.0605000000000002</v>
      </c>
      <c r="Q786">
        <v>2</v>
      </c>
      <c r="R786">
        <f>INDEX([1]products!$A$1:$G$49,MATCH([1]orders!$D786,[1]products!$A$1:$A$49,0),MATCH([1]orders!K$1,[1]products!$A$1:$G$1,0))</f>
        <v>1</v>
      </c>
      <c r="S786">
        <f>INDEX([1]products!$A$1:$G$49,MATCH([1]orders!$D786,[1]products!$A$1:$A$49,0),MATCH([1]orders!L$1,[1]products!$A$1:$G$1,0))</f>
        <v>15.85</v>
      </c>
      <c r="T786">
        <f t="shared" si="73"/>
        <v>31.7</v>
      </c>
      <c r="U786">
        <f t="shared" si="76"/>
        <v>4.1210000000000004</v>
      </c>
      <c r="V786">
        <f t="shared" si="77"/>
        <v>13</v>
      </c>
    </row>
    <row r="787" spans="1:22" x14ac:dyDescent="0.25">
      <c r="A787" t="s">
        <v>1523</v>
      </c>
      <c r="B787">
        <v>44362</v>
      </c>
      <c r="C787" t="str">
        <f t="shared" si="74"/>
        <v>15</v>
      </c>
      <c r="D787" t="str">
        <f t="shared" si="72"/>
        <v>June</v>
      </c>
      <c r="E787" t="str">
        <f t="shared" si="75"/>
        <v>2021</v>
      </c>
      <c r="F787" t="s">
        <v>1524</v>
      </c>
      <c r="G787" t="str">
        <f>VLOOKUP(F787,'Customers (2)'!A:I,2,0)</f>
        <v>Haslett Jodrelle</v>
      </c>
      <c r="H787" t="str">
        <f>VLOOKUP(F787,'Customers (2)'!A:I,3,0)</f>
        <v>hjodrellelt@samsung.com</v>
      </c>
      <c r="I787" t="str">
        <f>VLOOKUP(F787,'Customers (2)'!A:I,4,0)</f>
        <v>+1 (305) 334-0992</v>
      </c>
      <c r="J787" t="str">
        <f>VLOOKUP(F787,'Customers (2)'!A:I,6,0)</f>
        <v>Miami</v>
      </c>
      <c r="K787" t="str">
        <f>VLOOKUP(F787,'Customers (2)'!A:I,7,0)</f>
        <v>United States</v>
      </c>
      <c r="L787" t="str">
        <f>VLOOKUP(F787,'Customers (2)'!A:I,9,0)</f>
        <v>No</v>
      </c>
      <c r="M787" t="str">
        <f>VLOOKUP(N787,'Products (2)'!A:G,2,0)</f>
        <v>Arabica</v>
      </c>
      <c r="N787" t="s">
        <v>118</v>
      </c>
      <c r="O787" t="str">
        <f>VLOOKUP(N787,'Products (2)'!A:G,3,0)</f>
        <v>Dark</v>
      </c>
      <c r="P787">
        <f>VLOOKUP(N787,'Products (2)'!A:G,7,0)</f>
        <v>2.0596499999999995</v>
      </c>
      <c r="Q787">
        <v>1</v>
      </c>
      <c r="R787">
        <f>INDEX([1]products!$A$1:$G$49,MATCH([1]orders!$D787,[1]products!$A$1:$A$49,0),MATCH([1]orders!K$1,[1]products!$A$1:$G$1,0))</f>
        <v>2.5</v>
      </c>
      <c r="S787">
        <f>INDEX([1]products!$A$1:$G$49,MATCH([1]orders!$D787,[1]products!$A$1:$A$49,0),MATCH([1]orders!L$1,[1]products!$A$1:$G$1,0))</f>
        <v>22.884999999999998</v>
      </c>
      <c r="T787">
        <f t="shared" si="73"/>
        <v>22.884999999999998</v>
      </c>
      <c r="U787">
        <f t="shared" si="76"/>
        <v>2.0596499999999995</v>
      </c>
      <c r="V787">
        <f t="shared" si="77"/>
        <v>8.9999999999999982</v>
      </c>
    </row>
    <row r="788" spans="1:22" x14ac:dyDescent="0.25">
      <c r="A788" t="s">
        <v>1525</v>
      </c>
      <c r="B788">
        <v>43888</v>
      </c>
      <c r="C788" t="str">
        <f t="shared" si="74"/>
        <v>27</v>
      </c>
      <c r="D788" t="str">
        <f t="shared" si="72"/>
        <v>February</v>
      </c>
      <c r="E788" t="str">
        <f t="shared" si="75"/>
        <v>2020</v>
      </c>
      <c r="F788" t="s">
        <v>1510</v>
      </c>
      <c r="G788" t="str">
        <f>VLOOKUP(F788,'Customers (2)'!A:I,2,0)</f>
        <v>Cam Jewster</v>
      </c>
      <c r="H788" t="str">
        <f>VLOOKUP(F788,'Customers (2)'!A:I,3,0)</f>
        <v>cjewsterlu@moonfruit.com</v>
      </c>
      <c r="I788" t="str">
        <f>VLOOKUP(F788,'Customers (2)'!A:I,4,0)</f>
        <v>+1 (937) 925-7390</v>
      </c>
      <c r="J788" t="str">
        <f>VLOOKUP(F788,'Customers (2)'!A:I,6,0)</f>
        <v>Dayton</v>
      </c>
      <c r="K788" t="str">
        <f>VLOOKUP(F788,'Customers (2)'!A:I,7,0)</f>
        <v>United States</v>
      </c>
      <c r="L788" t="str">
        <f>VLOOKUP(F788,'Customers (2)'!A:I,9,0)</f>
        <v>Yes</v>
      </c>
      <c r="M788" t="str">
        <f>VLOOKUP(N788,'Products (2)'!A:G,2,0)</f>
        <v>Excelsa</v>
      </c>
      <c r="N788" t="s">
        <v>530</v>
      </c>
      <c r="O788" t="str">
        <f>VLOOKUP(N788,'Products (2)'!A:G,3,0)</f>
        <v>Dark</v>
      </c>
      <c r="P788">
        <f>VLOOKUP(N788,'Products (2)'!A:G,7,0)</f>
        <v>3.07395</v>
      </c>
      <c r="Q788">
        <v>1</v>
      </c>
      <c r="R788">
        <f>INDEX([1]products!$A$1:$G$49,MATCH([1]orders!$D788,[1]products!$A$1:$A$49,0),MATCH([1]orders!K$1,[1]products!$A$1:$G$1,0))</f>
        <v>2.5</v>
      </c>
      <c r="S788">
        <f>INDEX([1]products!$A$1:$G$49,MATCH([1]orders!$D788,[1]products!$A$1:$A$49,0),MATCH([1]orders!L$1,[1]products!$A$1:$G$1,0))</f>
        <v>27.945</v>
      </c>
      <c r="T788">
        <f t="shared" si="73"/>
        <v>27.945</v>
      </c>
      <c r="U788">
        <f t="shared" si="76"/>
        <v>3.07395</v>
      </c>
      <c r="V788">
        <f t="shared" si="77"/>
        <v>11</v>
      </c>
    </row>
    <row r="789" spans="1:22" x14ac:dyDescent="0.25">
      <c r="A789" t="s">
        <v>1526</v>
      </c>
      <c r="B789">
        <v>44305</v>
      </c>
      <c r="C789" t="str">
        <f t="shared" si="74"/>
        <v>19</v>
      </c>
      <c r="D789" t="str">
        <f t="shared" si="72"/>
        <v>April</v>
      </c>
      <c r="E789" t="str">
        <f t="shared" si="75"/>
        <v>2021</v>
      </c>
      <c r="F789" t="s">
        <v>1527</v>
      </c>
      <c r="G789" t="str">
        <f>VLOOKUP(F789,'Customers (2)'!A:I,2,0)</f>
        <v>Beryl Osborn</v>
      </c>
      <c r="H789">
        <f>VLOOKUP(F789,'Customers (2)'!A:I,3,0)</f>
        <v>0</v>
      </c>
      <c r="I789" t="str">
        <f>VLOOKUP(F789,'Customers (2)'!A:I,4,0)</f>
        <v>+1 (312) 648-4940</v>
      </c>
      <c r="J789" t="str">
        <f>VLOOKUP(F789,'Customers (2)'!A:I,6,0)</f>
        <v>Chicago</v>
      </c>
      <c r="K789" t="str">
        <f>VLOOKUP(F789,'Customers (2)'!A:I,7,0)</f>
        <v>United States</v>
      </c>
      <c r="L789" t="str">
        <f>VLOOKUP(F789,'Customers (2)'!A:I,9,0)</f>
        <v>Yes</v>
      </c>
      <c r="M789" t="str">
        <f>VLOOKUP(N789,'Products (2)'!A:G,2,0)</f>
        <v>Excelsa</v>
      </c>
      <c r="N789" t="s">
        <v>9</v>
      </c>
      <c r="O789" t="str">
        <f>VLOOKUP(N789,'Products (2)'!A:G,3,0)</f>
        <v>Medium</v>
      </c>
      <c r="P789">
        <f>VLOOKUP(N789,'Products (2)'!A:G,7,0)</f>
        <v>1.5125</v>
      </c>
      <c r="Q789">
        <v>6</v>
      </c>
      <c r="R789">
        <f>INDEX([1]products!$A$1:$G$49,MATCH([1]orders!$D789,[1]products!$A$1:$A$49,0),MATCH([1]orders!K$1,[1]products!$A$1:$G$1,0))</f>
        <v>1</v>
      </c>
      <c r="S789">
        <f>INDEX([1]products!$A$1:$G$49,MATCH([1]orders!$D789,[1]products!$A$1:$A$49,0),MATCH([1]orders!L$1,[1]products!$A$1:$G$1,0))</f>
        <v>13.75</v>
      </c>
      <c r="T789">
        <f t="shared" si="73"/>
        <v>82.5</v>
      </c>
      <c r="U789">
        <f t="shared" si="76"/>
        <v>9.0749999999999993</v>
      </c>
      <c r="V789">
        <f t="shared" si="77"/>
        <v>10.999999999999998</v>
      </c>
    </row>
    <row r="790" spans="1:22" x14ac:dyDescent="0.25">
      <c r="A790" t="s">
        <v>1528</v>
      </c>
      <c r="B790">
        <v>44771</v>
      </c>
      <c r="C790" t="str">
        <f t="shared" si="74"/>
        <v>29</v>
      </c>
      <c r="D790" t="str">
        <f t="shared" si="72"/>
        <v>July</v>
      </c>
      <c r="E790" t="str">
        <f t="shared" si="75"/>
        <v>2022</v>
      </c>
      <c r="F790" t="s">
        <v>1529</v>
      </c>
      <c r="G790" t="str">
        <f>VLOOKUP(F790,'Customers (2)'!A:I,2,0)</f>
        <v>Kaela Nottram</v>
      </c>
      <c r="H790" t="str">
        <f>VLOOKUP(F790,'Customers (2)'!A:I,3,0)</f>
        <v>knottramlw@odnoklassniki.ru</v>
      </c>
      <c r="I790" t="str">
        <f>VLOOKUP(F790,'Customers (2)'!A:I,4,0)</f>
        <v>+353 (549) 358-7019</v>
      </c>
      <c r="J790" t="str">
        <f>VLOOKUP(F790,'Customers (2)'!A:I,6,0)</f>
        <v>Arklow</v>
      </c>
      <c r="K790" t="str">
        <f>VLOOKUP(F790,'Customers (2)'!A:I,7,0)</f>
        <v>Ireland</v>
      </c>
      <c r="L790" t="str">
        <f>VLOOKUP(F790,'Customers (2)'!A:I,9,0)</f>
        <v>Yes</v>
      </c>
      <c r="M790" t="str">
        <f>VLOOKUP(N790,'Products (2)'!A:G,2,0)</f>
        <v>Robusta</v>
      </c>
      <c r="N790" t="s">
        <v>41</v>
      </c>
      <c r="O790" t="str">
        <f>VLOOKUP(N790,'Products (2)'!A:G,3,0)</f>
        <v>Medium</v>
      </c>
      <c r="P790">
        <f>VLOOKUP(N790,'Products (2)'!A:G,7,0)</f>
        <v>1.3730999999999998</v>
      </c>
      <c r="Q790">
        <v>2</v>
      </c>
      <c r="R790">
        <f>INDEX([1]products!$A$1:$G$49,MATCH([1]orders!$D790,[1]products!$A$1:$A$49,0),MATCH([1]orders!K$1,[1]products!$A$1:$G$1,0))</f>
        <v>2.5</v>
      </c>
      <c r="S790">
        <f>INDEX([1]products!$A$1:$G$49,MATCH([1]orders!$D790,[1]products!$A$1:$A$49,0),MATCH([1]orders!L$1,[1]products!$A$1:$G$1,0))</f>
        <v>22.884999999999998</v>
      </c>
      <c r="T790">
        <f t="shared" si="73"/>
        <v>45.769999999999996</v>
      </c>
      <c r="U790">
        <f t="shared" si="76"/>
        <v>2.7461999999999995</v>
      </c>
      <c r="V790">
        <f t="shared" si="77"/>
        <v>6</v>
      </c>
    </row>
    <row r="791" spans="1:22" x14ac:dyDescent="0.25">
      <c r="A791" t="s">
        <v>1530</v>
      </c>
      <c r="B791">
        <v>43485</v>
      </c>
      <c r="C791" t="str">
        <f t="shared" si="74"/>
        <v>20</v>
      </c>
      <c r="D791" t="str">
        <f t="shared" si="72"/>
        <v>January</v>
      </c>
      <c r="E791" t="str">
        <f t="shared" si="75"/>
        <v>2019</v>
      </c>
      <c r="F791" t="s">
        <v>1531</v>
      </c>
      <c r="G791" t="str">
        <f>VLOOKUP(F791,'Customers (2)'!A:I,2,0)</f>
        <v>Nobe Buney</v>
      </c>
      <c r="H791" t="str">
        <f>VLOOKUP(F791,'Customers (2)'!A:I,3,0)</f>
        <v>nbuneylx@jugem.jp</v>
      </c>
      <c r="I791" t="str">
        <f>VLOOKUP(F791,'Customers (2)'!A:I,4,0)</f>
        <v>+1 (510) 973-7084</v>
      </c>
      <c r="J791" t="str">
        <f>VLOOKUP(F791,'Customers (2)'!A:I,6,0)</f>
        <v>Richmond</v>
      </c>
      <c r="K791" t="str">
        <f>VLOOKUP(F791,'Customers (2)'!A:I,7,0)</f>
        <v>United States</v>
      </c>
      <c r="L791" t="str">
        <f>VLOOKUP(F791,'Customers (2)'!A:I,9,0)</f>
        <v>No</v>
      </c>
      <c r="M791" t="str">
        <f>VLOOKUP(N791,'Products (2)'!A:G,2,0)</f>
        <v>Arabica</v>
      </c>
      <c r="N791" t="s">
        <v>6</v>
      </c>
      <c r="O791" t="str">
        <f>VLOOKUP(N791,'Products (2)'!A:G,3,0)</f>
        <v>Light</v>
      </c>
      <c r="P791">
        <f>VLOOKUP(N791,'Products (2)'!A:G,7,0)</f>
        <v>1.1655</v>
      </c>
      <c r="Q791">
        <v>6</v>
      </c>
      <c r="R791">
        <f>INDEX([1]products!$A$1:$G$49,MATCH([1]orders!$D791,[1]products!$A$1:$A$49,0),MATCH([1]orders!K$1,[1]products!$A$1:$G$1,0))</f>
        <v>1</v>
      </c>
      <c r="S791">
        <f>INDEX([1]products!$A$1:$G$49,MATCH([1]orders!$D791,[1]products!$A$1:$A$49,0),MATCH([1]orders!L$1,[1]products!$A$1:$G$1,0))</f>
        <v>12.95</v>
      </c>
      <c r="T791">
        <f t="shared" si="73"/>
        <v>77.699999999999989</v>
      </c>
      <c r="U791">
        <f t="shared" si="76"/>
        <v>6.9930000000000003</v>
      </c>
      <c r="V791">
        <f t="shared" si="77"/>
        <v>9.0000000000000018</v>
      </c>
    </row>
    <row r="792" spans="1:22" x14ac:dyDescent="0.25">
      <c r="A792" t="s">
        <v>1532</v>
      </c>
      <c r="B792">
        <v>44613</v>
      </c>
      <c r="C792" t="str">
        <f t="shared" si="74"/>
        <v>21</v>
      </c>
      <c r="D792" t="str">
        <f t="shared" si="72"/>
        <v>February</v>
      </c>
      <c r="E792" t="str">
        <f t="shared" si="75"/>
        <v>2022</v>
      </c>
      <c r="F792" t="s">
        <v>1533</v>
      </c>
      <c r="G792" t="str">
        <f>VLOOKUP(F792,'Customers (2)'!A:I,2,0)</f>
        <v>Silvan McShea</v>
      </c>
      <c r="H792" t="str">
        <f>VLOOKUP(F792,'Customers (2)'!A:I,3,0)</f>
        <v>smcshealy@photobucket.com</v>
      </c>
      <c r="I792" t="str">
        <f>VLOOKUP(F792,'Customers (2)'!A:I,4,0)</f>
        <v>+1 (360) 578-2262</v>
      </c>
      <c r="J792" t="str">
        <f>VLOOKUP(F792,'Customers (2)'!A:I,6,0)</f>
        <v>Olympia</v>
      </c>
      <c r="K792" t="str">
        <f>VLOOKUP(F792,'Customers (2)'!A:I,7,0)</f>
        <v>United States</v>
      </c>
      <c r="L792" t="str">
        <f>VLOOKUP(F792,'Customers (2)'!A:I,9,0)</f>
        <v>No</v>
      </c>
      <c r="M792" t="str">
        <f>VLOOKUP(N792,'Products (2)'!A:G,2,0)</f>
        <v>Arabica</v>
      </c>
      <c r="N792" t="s">
        <v>192</v>
      </c>
      <c r="O792" t="str">
        <f>VLOOKUP(N792,'Products (2)'!A:G,3,0)</f>
        <v>Light</v>
      </c>
      <c r="P792">
        <f>VLOOKUP(N792,'Products (2)'!A:G,7,0)</f>
        <v>0.69929999999999992</v>
      </c>
      <c r="Q792">
        <v>3</v>
      </c>
      <c r="R792">
        <f>INDEX([1]products!$A$1:$G$49,MATCH([1]orders!$D792,[1]products!$A$1:$A$49,0),MATCH([1]orders!K$1,[1]products!$A$1:$G$1,0))</f>
        <v>0.5</v>
      </c>
      <c r="S792">
        <f>INDEX([1]products!$A$1:$G$49,MATCH([1]orders!$D792,[1]products!$A$1:$A$49,0),MATCH([1]orders!L$1,[1]products!$A$1:$G$1,0))</f>
        <v>7.77</v>
      </c>
      <c r="T792">
        <f t="shared" si="73"/>
        <v>23.31</v>
      </c>
      <c r="U792">
        <f t="shared" si="76"/>
        <v>2.0978999999999997</v>
      </c>
      <c r="V792">
        <f t="shared" si="77"/>
        <v>9</v>
      </c>
    </row>
    <row r="793" spans="1:22" x14ac:dyDescent="0.25">
      <c r="A793" t="s">
        <v>1534</v>
      </c>
      <c r="B793">
        <v>43954</v>
      </c>
      <c r="C793" t="str">
        <f t="shared" si="74"/>
        <v>03</v>
      </c>
      <c r="D793" t="str">
        <f t="shared" si="72"/>
        <v>May</v>
      </c>
      <c r="E793" t="str">
        <f t="shared" si="75"/>
        <v>2020</v>
      </c>
      <c r="F793" t="s">
        <v>1535</v>
      </c>
      <c r="G793" t="str">
        <f>VLOOKUP(F793,'Customers (2)'!A:I,2,0)</f>
        <v>Karylin Huddart</v>
      </c>
      <c r="H793" t="str">
        <f>VLOOKUP(F793,'Customers (2)'!A:I,3,0)</f>
        <v>khuddartlz@about.com</v>
      </c>
      <c r="I793" t="str">
        <f>VLOOKUP(F793,'Customers (2)'!A:I,4,0)</f>
        <v>+1 (214) 931-4518</v>
      </c>
      <c r="J793" t="str">
        <f>VLOOKUP(F793,'Customers (2)'!A:I,6,0)</f>
        <v>Arlington</v>
      </c>
      <c r="K793" t="str">
        <f>VLOOKUP(F793,'Customers (2)'!A:I,7,0)</f>
        <v>United States</v>
      </c>
      <c r="L793" t="str">
        <f>VLOOKUP(F793,'Customers (2)'!A:I,9,0)</f>
        <v>Yes</v>
      </c>
      <c r="M793" t="str">
        <f>VLOOKUP(N793,'Products (2)'!A:G,2,0)</f>
        <v>Liberica</v>
      </c>
      <c r="N793" t="s">
        <v>19</v>
      </c>
      <c r="O793" t="str">
        <f>VLOOKUP(N793,'Products (2)'!A:G,3,0)</f>
        <v>Light</v>
      </c>
      <c r="P793">
        <f>VLOOKUP(N793,'Products (2)'!A:G,7,0)</f>
        <v>0.61814999999999998</v>
      </c>
      <c r="Q793">
        <v>5</v>
      </c>
      <c r="R793">
        <f>INDEX([1]products!$A$1:$G$49,MATCH([1]orders!$D793,[1]products!$A$1:$A$49,0),MATCH([1]orders!K$1,[1]products!$A$1:$G$1,0))</f>
        <v>0.2</v>
      </c>
      <c r="S793">
        <f>INDEX([1]products!$A$1:$G$49,MATCH([1]orders!$D793,[1]products!$A$1:$A$49,0),MATCH([1]orders!L$1,[1]products!$A$1:$G$1,0))</f>
        <v>4.7549999999999999</v>
      </c>
      <c r="T793">
        <f t="shared" si="73"/>
        <v>23.774999999999999</v>
      </c>
      <c r="U793">
        <f t="shared" si="76"/>
        <v>3.0907499999999999</v>
      </c>
      <c r="V793">
        <f t="shared" si="77"/>
        <v>13</v>
      </c>
    </row>
    <row r="794" spans="1:22" x14ac:dyDescent="0.25">
      <c r="A794" t="s">
        <v>1536</v>
      </c>
      <c r="B794">
        <v>43545</v>
      </c>
      <c r="C794" t="str">
        <f t="shared" si="74"/>
        <v>21</v>
      </c>
      <c r="D794" t="str">
        <f t="shared" si="72"/>
        <v>March</v>
      </c>
      <c r="E794" t="str">
        <f t="shared" si="75"/>
        <v>2019</v>
      </c>
      <c r="F794" t="s">
        <v>1537</v>
      </c>
      <c r="G794" t="str">
        <f>VLOOKUP(F794,'Customers (2)'!A:I,2,0)</f>
        <v>Jereme Gippes</v>
      </c>
      <c r="H794" t="str">
        <f>VLOOKUP(F794,'Customers (2)'!A:I,3,0)</f>
        <v>jgippesm0@cloudflare.com</v>
      </c>
      <c r="I794" t="str">
        <f>VLOOKUP(F794,'Customers (2)'!A:I,4,0)</f>
        <v>+44 (185) 319-5850</v>
      </c>
      <c r="J794" t="str">
        <f>VLOOKUP(F794,'Customers (2)'!A:I,6,0)</f>
        <v>Twyford</v>
      </c>
      <c r="K794" t="str">
        <f>VLOOKUP(F794,'Customers (2)'!A:I,7,0)</f>
        <v>United Kingdom</v>
      </c>
      <c r="L794" t="str">
        <f>VLOOKUP(F794,'Customers (2)'!A:I,9,0)</f>
        <v>Yes</v>
      </c>
      <c r="M794" t="str">
        <f>VLOOKUP(N794,'Products (2)'!A:G,2,0)</f>
        <v>Liberica</v>
      </c>
      <c r="N794" t="s">
        <v>78</v>
      </c>
      <c r="O794" t="str">
        <f>VLOOKUP(N794,'Products (2)'!A:G,3,0)</f>
        <v>Medium</v>
      </c>
      <c r="P794">
        <f>VLOOKUP(N794,'Products (2)'!A:G,7,0)</f>
        <v>1.1349</v>
      </c>
      <c r="Q794">
        <v>6</v>
      </c>
      <c r="R794">
        <f>INDEX([1]products!$A$1:$G$49,MATCH([1]orders!$D794,[1]products!$A$1:$A$49,0),MATCH([1]orders!K$1,[1]products!$A$1:$G$1,0))</f>
        <v>0.5</v>
      </c>
      <c r="S794">
        <f>INDEX([1]products!$A$1:$G$49,MATCH([1]orders!$D794,[1]products!$A$1:$A$49,0),MATCH([1]orders!L$1,[1]products!$A$1:$G$1,0))</f>
        <v>8.73</v>
      </c>
      <c r="T794">
        <f t="shared" si="73"/>
        <v>52.38</v>
      </c>
      <c r="U794">
        <f t="shared" si="76"/>
        <v>6.8094000000000001</v>
      </c>
      <c r="V794">
        <f t="shared" si="77"/>
        <v>13</v>
      </c>
    </row>
    <row r="795" spans="1:22" x14ac:dyDescent="0.25">
      <c r="A795" t="s">
        <v>1538</v>
      </c>
      <c r="B795">
        <v>43629</v>
      </c>
      <c r="C795" t="str">
        <f t="shared" si="74"/>
        <v>13</v>
      </c>
      <c r="D795" t="str">
        <f t="shared" si="72"/>
        <v>June</v>
      </c>
      <c r="E795" t="str">
        <f t="shared" si="75"/>
        <v>2019</v>
      </c>
      <c r="F795" t="s">
        <v>1539</v>
      </c>
      <c r="G795" t="str">
        <f>VLOOKUP(F795,'Customers (2)'!A:I,2,0)</f>
        <v>Lukas Whittlesee</v>
      </c>
      <c r="H795" t="str">
        <f>VLOOKUP(F795,'Customers (2)'!A:I,3,0)</f>
        <v>lwhittleseem1@e-recht24.de</v>
      </c>
      <c r="I795" t="str">
        <f>VLOOKUP(F795,'Customers (2)'!A:I,4,0)</f>
        <v>+1 (540) 413-9605</v>
      </c>
      <c r="J795" t="str">
        <f>VLOOKUP(F795,'Customers (2)'!A:I,6,0)</f>
        <v>Roanoke</v>
      </c>
      <c r="K795" t="str">
        <f>VLOOKUP(F795,'Customers (2)'!A:I,7,0)</f>
        <v>United States</v>
      </c>
      <c r="L795" t="str">
        <f>VLOOKUP(F795,'Customers (2)'!A:I,9,0)</f>
        <v>No</v>
      </c>
      <c r="M795" t="str">
        <f>VLOOKUP(N795,'Products (2)'!A:G,2,0)</f>
        <v>Robusta</v>
      </c>
      <c r="N795" t="s">
        <v>182</v>
      </c>
      <c r="O795" t="str">
        <f>VLOOKUP(N795,'Products (2)'!A:G,3,0)</f>
        <v>Light</v>
      </c>
      <c r="P795">
        <f>VLOOKUP(N795,'Products (2)'!A:G,7,0)</f>
        <v>0.21509999999999996</v>
      </c>
      <c r="Q795">
        <v>5</v>
      </c>
      <c r="R795">
        <f>INDEX([1]products!$A$1:$G$49,MATCH([1]orders!$D795,[1]products!$A$1:$A$49,0),MATCH([1]orders!K$1,[1]products!$A$1:$G$1,0))</f>
        <v>0.2</v>
      </c>
      <c r="S795">
        <f>INDEX([1]products!$A$1:$G$49,MATCH([1]orders!$D795,[1]products!$A$1:$A$49,0),MATCH([1]orders!L$1,[1]products!$A$1:$G$1,0))</f>
        <v>3.5849999999999995</v>
      </c>
      <c r="T795">
        <f t="shared" si="73"/>
        <v>17.924999999999997</v>
      </c>
      <c r="U795">
        <f t="shared" si="76"/>
        <v>1.0754999999999999</v>
      </c>
      <c r="V795">
        <f t="shared" si="77"/>
        <v>6.0000000000000009</v>
      </c>
    </row>
    <row r="796" spans="1:22" x14ac:dyDescent="0.25">
      <c r="A796" t="s">
        <v>1540</v>
      </c>
      <c r="B796">
        <v>43987</v>
      </c>
      <c r="C796" t="str">
        <f t="shared" si="74"/>
        <v>05</v>
      </c>
      <c r="D796" t="str">
        <f t="shared" si="72"/>
        <v>June</v>
      </c>
      <c r="E796" t="str">
        <f t="shared" si="75"/>
        <v>2020</v>
      </c>
      <c r="F796" t="s">
        <v>1541</v>
      </c>
      <c r="G796" t="str">
        <f>VLOOKUP(F796,'Customers (2)'!A:I,2,0)</f>
        <v>Gregorius Trengrove</v>
      </c>
      <c r="H796" t="str">
        <f>VLOOKUP(F796,'Customers (2)'!A:I,3,0)</f>
        <v>gtrengrovem2@elpais.com</v>
      </c>
      <c r="I796" t="str">
        <f>VLOOKUP(F796,'Customers (2)'!A:I,4,0)</f>
        <v>+1 (516) 513-7620</v>
      </c>
      <c r="J796" t="str">
        <f>VLOOKUP(F796,'Customers (2)'!A:I,6,0)</f>
        <v>New Hyde Park</v>
      </c>
      <c r="K796" t="str">
        <f>VLOOKUP(F796,'Customers (2)'!A:I,7,0)</f>
        <v>United States</v>
      </c>
      <c r="L796" t="str">
        <f>VLOOKUP(F796,'Customers (2)'!A:I,9,0)</f>
        <v>No</v>
      </c>
      <c r="M796" t="str">
        <f>VLOOKUP(N796,'Products (2)'!A:G,2,0)</f>
        <v>Arabica</v>
      </c>
      <c r="N796" t="s">
        <v>204</v>
      </c>
      <c r="O796" t="str">
        <f>VLOOKUP(N796,'Products (2)'!A:G,3,0)</f>
        <v>Light</v>
      </c>
      <c r="P796">
        <f>VLOOKUP(N796,'Products (2)'!A:G,7,0)</f>
        <v>2.6806499999999995</v>
      </c>
      <c r="Q796">
        <v>5</v>
      </c>
      <c r="R796">
        <f>INDEX([1]products!$A$1:$G$49,MATCH([1]orders!$D796,[1]products!$A$1:$A$49,0),MATCH([1]orders!K$1,[1]products!$A$1:$G$1,0))</f>
        <v>2.5</v>
      </c>
      <c r="S796">
        <f>INDEX([1]products!$A$1:$G$49,MATCH([1]orders!$D796,[1]products!$A$1:$A$49,0),MATCH([1]orders!L$1,[1]products!$A$1:$G$1,0))</f>
        <v>29.784999999999997</v>
      </c>
      <c r="T796">
        <f t="shared" si="73"/>
        <v>148.92499999999998</v>
      </c>
      <c r="U796">
        <f t="shared" si="76"/>
        <v>13.403249999999998</v>
      </c>
      <c r="V796">
        <f t="shared" si="77"/>
        <v>9</v>
      </c>
    </row>
    <row r="797" spans="1:22" x14ac:dyDescent="0.25">
      <c r="A797" t="s">
        <v>1542</v>
      </c>
      <c r="B797">
        <v>43540</v>
      </c>
      <c r="C797" t="str">
        <f t="shared" si="74"/>
        <v>16</v>
      </c>
      <c r="D797" t="str">
        <f t="shared" si="72"/>
        <v>March</v>
      </c>
      <c r="E797" t="str">
        <f t="shared" si="75"/>
        <v>2019</v>
      </c>
      <c r="F797" t="s">
        <v>1543</v>
      </c>
      <c r="G797" t="str">
        <f>VLOOKUP(F797,'Customers (2)'!A:I,2,0)</f>
        <v>Wright Caldero</v>
      </c>
      <c r="H797" t="str">
        <f>VLOOKUP(F797,'Customers (2)'!A:I,3,0)</f>
        <v>wcalderom3@stumbleupon.com</v>
      </c>
      <c r="I797" t="str">
        <f>VLOOKUP(F797,'Customers (2)'!A:I,4,0)</f>
        <v>+1 (714) 117-5483</v>
      </c>
      <c r="J797" t="str">
        <f>VLOOKUP(F797,'Customers (2)'!A:I,6,0)</f>
        <v>Anaheim</v>
      </c>
      <c r="K797" t="str">
        <f>VLOOKUP(F797,'Customers (2)'!A:I,7,0)</f>
        <v>United States</v>
      </c>
      <c r="L797" t="str">
        <f>VLOOKUP(F797,'Customers (2)'!A:I,9,0)</f>
        <v>No</v>
      </c>
      <c r="M797" t="str">
        <f>VLOOKUP(N797,'Products (2)'!A:G,2,0)</f>
        <v>Robusta</v>
      </c>
      <c r="N797" t="s">
        <v>157</v>
      </c>
      <c r="O797" t="str">
        <f>VLOOKUP(N797,'Products (2)'!A:G,3,0)</f>
        <v>Light</v>
      </c>
      <c r="P797">
        <f>VLOOKUP(N797,'Products (2)'!A:G,7,0)</f>
        <v>0.43019999999999992</v>
      </c>
      <c r="Q797">
        <v>4</v>
      </c>
      <c r="R797">
        <f>INDEX([1]products!$A$1:$G$49,MATCH([1]orders!$D797,[1]products!$A$1:$A$49,0),MATCH([1]orders!K$1,[1]products!$A$1:$G$1,0))</f>
        <v>0.5</v>
      </c>
      <c r="S797">
        <f>INDEX([1]products!$A$1:$G$49,MATCH([1]orders!$D797,[1]products!$A$1:$A$49,0),MATCH([1]orders!L$1,[1]products!$A$1:$G$1,0))</f>
        <v>7.169999999999999</v>
      </c>
      <c r="T797">
        <f t="shared" si="73"/>
        <v>28.679999999999996</v>
      </c>
      <c r="U797">
        <f t="shared" si="76"/>
        <v>1.7207999999999997</v>
      </c>
      <c r="V797">
        <f t="shared" si="77"/>
        <v>6</v>
      </c>
    </row>
    <row r="798" spans="1:22" x14ac:dyDescent="0.25">
      <c r="A798" t="s">
        <v>1544</v>
      </c>
      <c r="B798">
        <v>44533</v>
      </c>
      <c r="C798" t="str">
        <f t="shared" si="74"/>
        <v>03</v>
      </c>
      <c r="D798" t="str">
        <f t="shared" si="72"/>
        <v>December</v>
      </c>
      <c r="E798" t="str">
        <f t="shared" si="75"/>
        <v>2021</v>
      </c>
      <c r="F798" t="s">
        <v>1545</v>
      </c>
      <c r="G798" t="str">
        <f>VLOOKUP(F798,'Customers (2)'!A:I,2,0)</f>
        <v>Merell Zanazzi</v>
      </c>
      <c r="H798">
        <f>VLOOKUP(F798,'Customers (2)'!A:I,3,0)</f>
        <v>0</v>
      </c>
      <c r="I798" t="str">
        <f>VLOOKUP(F798,'Customers (2)'!A:I,4,0)</f>
        <v>+1 (606) 824-3445</v>
      </c>
      <c r="J798" t="str">
        <f>VLOOKUP(F798,'Customers (2)'!A:I,6,0)</f>
        <v>Lexington</v>
      </c>
      <c r="K798" t="str">
        <f>VLOOKUP(F798,'Customers (2)'!A:I,7,0)</f>
        <v>United States</v>
      </c>
      <c r="L798" t="str">
        <f>VLOOKUP(F798,'Customers (2)'!A:I,9,0)</f>
        <v>No</v>
      </c>
      <c r="M798" t="str">
        <f>VLOOKUP(N798,'Products (2)'!A:G,2,0)</f>
        <v>Liberica</v>
      </c>
      <c r="N798" t="s">
        <v>83</v>
      </c>
      <c r="O798" t="str">
        <f>VLOOKUP(N798,'Products (2)'!A:G,3,0)</f>
        <v>Light</v>
      </c>
      <c r="P798">
        <f>VLOOKUP(N798,'Products (2)'!A:G,7,0)</f>
        <v>1.2363</v>
      </c>
      <c r="Q798">
        <v>1</v>
      </c>
      <c r="R798">
        <f>INDEX([1]products!$A$1:$G$49,MATCH([1]orders!$D798,[1]products!$A$1:$A$49,0),MATCH([1]orders!K$1,[1]products!$A$1:$G$1,0))</f>
        <v>0.5</v>
      </c>
      <c r="S798">
        <f>INDEX([1]products!$A$1:$G$49,MATCH([1]orders!$D798,[1]products!$A$1:$A$49,0),MATCH([1]orders!L$1,[1]products!$A$1:$G$1,0))</f>
        <v>9.51</v>
      </c>
      <c r="T798">
        <f t="shared" si="73"/>
        <v>9.51</v>
      </c>
      <c r="U798">
        <f t="shared" si="76"/>
        <v>1.2363</v>
      </c>
      <c r="V798">
        <f t="shared" si="77"/>
        <v>13</v>
      </c>
    </row>
    <row r="799" spans="1:22" x14ac:dyDescent="0.25">
      <c r="A799" t="s">
        <v>1546</v>
      </c>
      <c r="B799">
        <v>44751</v>
      </c>
      <c r="C799" t="str">
        <f t="shared" si="74"/>
        <v>09</v>
      </c>
      <c r="D799" t="str">
        <f t="shared" si="72"/>
        <v>July</v>
      </c>
      <c r="E799" t="str">
        <f t="shared" si="75"/>
        <v>2022</v>
      </c>
      <c r="F799" t="s">
        <v>1547</v>
      </c>
      <c r="G799" t="str">
        <f>VLOOKUP(F799,'Customers (2)'!A:I,2,0)</f>
        <v>Jed Kennicott</v>
      </c>
      <c r="H799" t="str">
        <f>VLOOKUP(F799,'Customers (2)'!A:I,3,0)</f>
        <v>jkennicottm5@yahoo.co.jp</v>
      </c>
      <c r="I799" t="str">
        <f>VLOOKUP(F799,'Customers (2)'!A:I,4,0)</f>
        <v>+1 (813) 579-8389</v>
      </c>
      <c r="J799" t="str">
        <f>VLOOKUP(F799,'Customers (2)'!A:I,6,0)</f>
        <v>Tampa</v>
      </c>
      <c r="K799" t="str">
        <f>VLOOKUP(F799,'Customers (2)'!A:I,7,0)</f>
        <v>United States</v>
      </c>
      <c r="L799" t="str">
        <f>VLOOKUP(F799,'Customers (2)'!A:I,9,0)</f>
        <v>No</v>
      </c>
      <c r="M799" t="str">
        <f>VLOOKUP(N799,'Products (2)'!A:G,2,0)</f>
        <v>Arabica</v>
      </c>
      <c r="N799" t="s">
        <v>192</v>
      </c>
      <c r="O799" t="str">
        <f>VLOOKUP(N799,'Products (2)'!A:G,3,0)</f>
        <v>Light</v>
      </c>
      <c r="P799">
        <f>VLOOKUP(N799,'Products (2)'!A:G,7,0)</f>
        <v>0.69929999999999992</v>
      </c>
      <c r="Q799">
        <v>4</v>
      </c>
      <c r="R799">
        <f>INDEX([1]products!$A$1:$G$49,MATCH([1]orders!$D799,[1]products!$A$1:$A$49,0),MATCH([1]orders!K$1,[1]products!$A$1:$G$1,0))</f>
        <v>0.5</v>
      </c>
      <c r="S799">
        <f>INDEX([1]products!$A$1:$G$49,MATCH([1]orders!$D799,[1]products!$A$1:$A$49,0),MATCH([1]orders!L$1,[1]products!$A$1:$G$1,0))</f>
        <v>7.77</v>
      </c>
      <c r="T799">
        <f t="shared" si="73"/>
        <v>31.08</v>
      </c>
      <c r="U799">
        <f t="shared" si="76"/>
        <v>2.7971999999999997</v>
      </c>
      <c r="V799">
        <f t="shared" si="77"/>
        <v>9</v>
      </c>
    </row>
    <row r="800" spans="1:22" x14ac:dyDescent="0.25">
      <c r="A800" t="s">
        <v>1548</v>
      </c>
      <c r="B800">
        <v>43950</v>
      </c>
      <c r="C800" t="str">
        <f t="shared" si="74"/>
        <v>29</v>
      </c>
      <c r="D800" t="str">
        <f t="shared" si="72"/>
        <v>April</v>
      </c>
      <c r="E800" t="str">
        <f t="shared" si="75"/>
        <v>2020</v>
      </c>
      <c r="F800" t="s">
        <v>1549</v>
      </c>
      <c r="G800" t="str">
        <f>VLOOKUP(F800,'Customers (2)'!A:I,2,0)</f>
        <v>Guenevere Ruggen</v>
      </c>
      <c r="H800" t="str">
        <f>VLOOKUP(F800,'Customers (2)'!A:I,3,0)</f>
        <v>gruggenm6@nymag.com</v>
      </c>
      <c r="I800" t="str">
        <f>VLOOKUP(F800,'Customers (2)'!A:I,4,0)</f>
        <v>+1 (408) 211-2306</v>
      </c>
      <c r="J800" t="str">
        <f>VLOOKUP(F800,'Customers (2)'!A:I,6,0)</f>
        <v>San Jose</v>
      </c>
      <c r="K800" t="str">
        <f>VLOOKUP(F800,'Customers (2)'!A:I,7,0)</f>
        <v>United States</v>
      </c>
      <c r="L800" t="str">
        <f>VLOOKUP(F800,'Customers (2)'!A:I,9,0)</f>
        <v>Yes</v>
      </c>
      <c r="M800" t="str">
        <f>VLOOKUP(N800,'Products (2)'!A:G,2,0)</f>
        <v>Robusta</v>
      </c>
      <c r="N800" t="s">
        <v>101</v>
      </c>
      <c r="O800" t="str">
        <f>VLOOKUP(N800,'Products (2)'!A:G,3,0)</f>
        <v>Dark</v>
      </c>
      <c r="P800">
        <f>VLOOKUP(N800,'Products (2)'!A:G,7,0)</f>
        <v>0.16109999999999997</v>
      </c>
      <c r="Q800">
        <v>3</v>
      </c>
      <c r="R800">
        <f>INDEX([1]products!$A$1:$G$49,MATCH([1]orders!$D800,[1]products!$A$1:$A$49,0),MATCH([1]orders!K$1,[1]products!$A$1:$G$1,0))</f>
        <v>0.2</v>
      </c>
      <c r="S800">
        <f>INDEX([1]products!$A$1:$G$49,MATCH([1]orders!$D800,[1]products!$A$1:$A$49,0),MATCH([1]orders!L$1,[1]products!$A$1:$G$1,0))</f>
        <v>2.6849999999999996</v>
      </c>
      <c r="T800">
        <f t="shared" si="73"/>
        <v>8.0549999999999997</v>
      </c>
      <c r="U800">
        <f t="shared" si="76"/>
        <v>0.4832999999999999</v>
      </c>
      <c r="V800">
        <f t="shared" si="77"/>
        <v>5.9999999999999991</v>
      </c>
    </row>
    <row r="801" spans="1:22" x14ac:dyDescent="0.25">
      <c r="A801" t="s">
        <v>1550</v>
      </c>
      <c r="B801">
        <v>44588</v>
      </c>
      <c r="C801" t="str">
        <f t="shared" si="74"/>
        <v>27</v>
      </c>
      <c r="D801" t="str">
        <f t="shared" si="72"/>
        <v>January</v>
      </c>
      <c r="E801" t="str">
        <f t="shared" si="75"/>
        <v>2022</v>
      </c>
      <c r="F801" t="s">
        <v>1551</v>
      </c>
      <c r="G801" t="str">
        <f>VLOOKUP(F801,'Customers (2)'!A:I,2,0)</f>
        <v>Gonzales Cicculi</v>
      </c>
      <c r="H801">
        <f>VLOOKUP(F801,'Customers (2)'!A:I,3,0)</f>
        <v>0</v>
      </c>
      <c r="I801">
        <f>VLOOKUP(F801,'Customers (2)'!A:I,4,0)</f>
        <v>0</v>
      </c>
      <c r="J801" t="str">
        <f>VLOOKUP(F801,'Customers (2)'!A:I,6,0)</f>
        <v>Washington</v>
      </c>
      <c r="K801" t="str">
        <f>VLOOKUP(F801,'Customers (2)'!A:I,7,0)</f>
        <v>United States</v>
      </c>
      <c r="L801" t="str">
        <f>VLOOKUP(F801,'Customers (2)'!A:I,9,0)</f>
        <v>Yes</v>
      </c>
      <c r="M801" t="str">
        <f>VLOOKUP(N801,'Products (2)'!A:G,2,0)</f>
        <v>Excelsa</v>
      </c>
      <c r="N801" t="s">
        <v>245</v>
      </c>
      <c r="O801" t="str">
        <f>VLOOKUP(N801,'Products (2)'!A:G,3,0)</f>
        <v>Dark</v>
      </c>
      <c r="P801">
        <f>VLOOKUP(N801,'Products (2)'!A:G,7,0)</f>
        <v>1.3365</v>
      </c>
      <c r="Q801">
        <v>3</v>
      </c>
      <c r="R801">
        <f>INDEX([1]products!$A$1:$G$49,MATCH([1]orders!$D801,[1]products!$A$1:$A$49,0),MATCH([1]orders!K$1,[1]products!$A$1:$G$1,0))</f>
        <v>1</v>
      </c>
      <c r="S801">
        <f>INDEX([1]products!$A$1:$G$49,MATCH([1]orders!$D801,[1]products!$A$1:$A$49,0),MATCH([1]orders!L$1,[1]products!$A$1:$G$1,0))</f>
        <v>12.15</v>
      </c>
      <c r="T801">
        <f t="shared" si="73"/>
        <v>36.450000000000003</v>
      </c>
      <c r="U801">
        <f t="shared" si="76"/>
        <v>4.0095000000000001</v>
      </c>
      <c r="V801">
        <f t="shared" si="77"/>
        <v>10.999999999999998</v>
      </c>
    </row>
    <row r="802" spans="1:22" x14ac:dyDescent="0.25">
      <c r="A802" t="s">
        <v>1552</v>
      </c>
      <c r="B802">
        <v>44240</v>
      </c>
      <c r="C802" t="str">
        <f t="shared" si="74"/>
        <v>13</v>
      </c>
      <c r="D802" t="str">
        <f t="shared" si="72"/>
        <v>February</v>
      </c>
      <c r="E802" t="str">
        <f t="shared" si="75"/>
        <v>2021</v>
      </c>
      <c r="F802" t="s">
        <v>1553</v>
      </c>
      <c r="G802" t="str">
        <f>VLOOKUP(F802,'Customers (2)'!A:I,2,0)</f>
        <v>Man Fright</v>
      </c>
      <c r="H802" t="str">
        <f>VLOOKUP(F802,'Customers (2)'!A:I,3,0)</f>
        <v>mfrightm8@harvard.edu</v>
      </c>
      <c r="I802" t="str">
        <f>VLOOKUP(F802,'Customers (2)'!A:I,4,0)</f>
        <v>+353 (955) 108-0675</v>
      </c>
      <c r="J802" t="str">
        <f>VLOOKUP(F802,'Customers (2)'!A:I,6,0)</f>
        <v>Daingean</v>
      </c>
      <c r="K802" t="str">
        <f>VLOOKUP(F802,'Customers (2)'!A:I,7,0)</f>
        <v>Ireland</v>
      </c>
      <c r="L802" t="str">
        <f>VLOOKUP(F802,'Customers (2)'!A:I,9,0)</f>
        <v>No</v>
      </c>
      <c r="M802" t="str">
        <f>VLOOKUP(N802,'Products (2)'!A:G,2,0)</f>
        <v>Robusta</v>
      </c>
      <c r="N802" t="s">
        <v>101</v>
      </c>
      <c r="O802" t="str">
        <f>VLOOKUP(N802,'Products (2)'!A:G,3,0)</f>
        <v>Dark</v>
      </c>
      <c r="P802">
        <f>VLOOKUP(N802,'Products (2)'!A:G,7,0)</f>
        <v>0.16109999999999997</v>
      </c>
      <c r="Q802">
        <v>6</v>
      </c>
      <c r="R802">
        <f>INDEX([1]products!$A$1:$G$49,MATCH([1]orders!$D802,[1]products!$A$1:$A$49,0),MATCH([1]orders!K$1,[1]products!$A$1:$G$1,0))</f>
        <v>0.2</v>
      </c>
      <c r="S802">
        <f>INDEX([1]products!$A$1:$G$49,MATCH([1]orders!$D802,[1]products!$A$1:$A$49,0),MATCH([1]orders!L$1,[1]products!$A$1:$G$1,0))</f>
        <v>2.6849999999999996</v>
      </c>
      <c r="T802">
        <f t="shared" si="73"/>
        <v>16.11</v>
      </c>
      <c r="U802">
        <f t="shared" si="76"/>
        <v>0.96659999999999979</v>
      </c>
      <c r="V802">
        <f t="shared" si="77"/>
        <v>5.9999999999999991</v>
      </c>
    </row>
    <row r="803" spans="1:22" x14ac:dyDescent="0.25">
      <c r="A803" t="s">
        <v>1554</v>
      </c>
      <c r="B803">
        <v>44025</v>
      </c>
      <c r="C803" t="str">
        <f t="shared" si="74"/>
        <v>13</v>
      </c>
      <c r="D803" t="str">
        <f t="shared" si="72"/>
        <v>July</v>
      </c>
      <c r="E803" t="str">
        <f t="shared" si="75"/>
        <v>2020</v>
      </c>
      <c r="F803" t="s">
        <v>1555</v>
      </c>
      <c r="G803" t="str">
        <f>VLOOKUP(F803,'Customers (2)'!A:I,2,0)</f>
        <v>Boyce Tarte</v>
      </c>
      <c r="H803" t="str">
        <f>VLOOKUP(F803,'Customers (2)'!A:I,3,0)</f>
        <v>btartem9@aol.com</v>
      </c>
      <c r="I803" t="str">
        <f>VLOOKUP(F803,'Customers (2)'!A:I,4,0)</f>
        <v>+1 (360) 927-6561</v>
      </c>
      <c r="J803" t="str">
        <f>VLOOKUP(F803,'Customers (2)'!A:I,6,0)</f>
        <v>Olympia</v>
      </c>
      <c r="K803" t="str">
        <f>VLOOKUP(F803,'Customers (2)'!A:I,7,0)</f>
        <v>United States</v>
      </c>
      <c r="L803" t="str">
        <f>VLOOKUP(F803,'Customers (2)'!A:I,9,0)</f>
        <v>Yes</v>
      </c>
      <c r="M803" t="str">
        <f>VLOOKUP(N803,'Products (2)'!A:G,2,0)</f>
        <v>Robusta</v>
      </c>
      <c r="N803" t="s">
        <v>35</v>
      </c>
      <c r="O803" t="str">
        <f>VLOOKUP(N803,'Products (2)'!A:G,3,0)</f>
        <v>Dark</v>
      </c>
      <c r="P803">
        <f>VLOOKUP(N803,'Products (2)'!A:G,7,0)</f>
        <v>1.2350999999999999</v>
      </c>
      <c r="Q803">
        <v>2</v>
      </c>
      <c r="R803">
        <f>INDEX([1]products!$A$1:$G$49,MATCH([1]orders!$D803,[1]products!$A$1:$A$49,0),MATCH([1]orders!K$1,[1]products!$A$1:$G$1,0))</f>
        <v>2.5</v>
      </c>
      <c r="S803">
        <f>INDEX([1]products!$A$1:$G$49,MATCH([1]orders!$D803,[1]products!$A$1:$A$49,0),MATCH([1]orders!L$1,[1]products!$A$1:$G$1,0))</f>
        <v>20.584999999999997</v>
      </c>
      <c r="T803">
        <f t="shared" si="73"/>
        <v>41.169999999999995</v>
      </c>
      <c r="U803">
        <f t="shared" si="76"/>
        <v>2.4701999999999997</v>
      </c>
      <c r="V803">
        <f t="shared" si="77"/>
        <v>6.0000000000000009</v>
      </c>
    </row>
    <row r="804" spans="1:22" x14ac:dyDescent="0.25">
      <c r="A804" t="s">
        <v>1556</v>
      </c>
      <c r="B804">
        <v>43902</v>
      </c>
      <c r="C804" t="str">
        <f t="shared" si="74"/>
        <v>12</v>
      </c>
      <c r="D804" t="str">
        <f t="shared" si="72"/>
        <v>March</v>
      </c>
      <c r="E804" t="str">
        <f t="shared" si="75"/>
        <v>2020</v>
      </c>
      <c r="F804" t="s">
        <v>1557</v>
      </c>
      <c r="G804" t="str">
        <f>VLOOKUP(F804,'Customers (2)'!A:I,2,0)</f>
        <v>Caddric Krzysztofiak</v>
      </c>
      <c r="H804" t="str">
        <f>VLOOKUP(F804,'Customers (2)'!A:I,3,0)</f>
        <v>ckrzysztofiakma@skyrock.com</v>
      </c>
      <c r="I804" t="str">
        <f>VLOOKUP(F804,'Customers (2)'!A:I,4,0)</f>
        <v>+1 (972) 782-4187</v>
      </c>
      <c r="J804" t="str">
        <f>VLOOKUP(F804,'Customers (2)'!A:I,6,0)</f>
        <v>Mesquite</v>
      </c>
      <c r="K804" t="str">
        <f>VLOOKUP(F804,'Customers (2)'!A:I,7,0)</f>
        <v>United States</v>
      </c>
      <c r="L804" t="str">
        <f>VLOOKUP(F804,'Customers (2)'!A:I,9,0)</f>
        <v>No</v>
      </c>
      <c r="M804" t="str">
        <f>VLOOKUP(N804,'Products (2)'!A:G,2,0)</f>
        <v>Robusta</v>
      </c>
      <c r="N804" t="s">
        <v>101</v>
      </c>
      <c r="O804" t="str">
        <f>VLOOKUP(N804,'Products (2)'!A:G,3,0)</f>
        <v>Dark</v>
      </c>
      <c r="P804">
        <f>VLOOKUP(N804,'Products (2)'!A:G,7,0)</f>
        <v>0.16109999999999997</v>
      </c>
      <c r="Q804">
        <v>4</v>
      </c>
      <c r="R804">
        <f>INDEX([1]products!$A$1:$G$49,MATCH([1]orders!$D804,[1]products!$A$1:$A$49,0),MATCH([1]orders!K$1,[1]products!$A$1:$G$1,0))</f>
        <v>0.2</v>
      </c>
      <c r="S804">
        <f>INDEX([1]products!$A$1:$G$49,MATCH([1]orders!$D804,[1]products!$A$1:$A$49,0),MATCH([1]orders!L$1,[1]products!$A$1:$G$1,0))</f>
        <v>2.6849999999999996</v>
      </c>
      <c r="T804">
        <f t="shared" si="73"/>
        <v>10.739999999999998</v>
      </c>
      <c r="U804">
        <f t="shared" si="76"/>
        <v>0.64439999999999986</v>
      </c>
      <c r="V804">
        <f t="shared" si="77"/>
        <v>6</v>
      </c>
    </row>
    <row r="805" spans="1:22" x14ac:dyDescent="0.25">
      <c r="A805" t="s">
        <v>1558</v>
      </c>
      <c r="B805">
        <v>43955</v>
      </c>
      <c r="C805" t="str">
        <f t="shared" si="74"/>
        <v>04</v>
      </c>
      <c r="D805" t="str">
        <f t="shared" si="72"/>
        <v>May</v>
      </c>
      <c r="E805" t="str">
        <f t="shared" si="75"/>
        <v>2020</v>
      </c>
      <c r="F805" t="s">
        <v>1559</v>
      </c>
      <c r="G805" t="str">
        <f>VLOOKUP(F805,'Customers (2)'!A:I,2,0)</f>
        <v>Darn Penquet</v>
      </c>
      <c r="H805" t="str">
        <f>VLOOKUP(F805,'Customers (2)'!A:I,3,0)</f>
        <v>dpenquetmb@diigo.com</v>
      </c>
      <c r="I805">
        <f>VLOOKUP(F805,'Customers (2)'!A:I,4,0)</f>
        <v>0</v>
      </c>
      <c r="J805" t="str">
        <f>VLOOKUP(F805,'Customers (2)'!A:I,6,0)</f>
        <v>Sacramento</v>
      </c>
      <c r="K805" t="str">
        <f>VLOOKUP(F805,'Customers (2)'!A:I,7,0)</f>
        <v>United States</v>
      </c>
      <c r="L805" t="str">
        <f>VLOOKUP(F805,'Customers (2)'!A:I,9,0)</f>
        <v>No</v>
      </c>
      <c r="M805" t="str">
        <f>VLOOKUP(N805,'Products (2)'!A:G,2,0)</f>
        <v>Excelsa</v>
      </c>
      <c r="N805" t="s">
        <v>112</v>
      </c>
      <c r="O805" t="str">
        <f>VLOOKUP(N805,'Products (2)'!A:G,3,0)</f>
        <v>Medium</v>
      </c>
      <c r="P805">
        <f>VLOOKUP(N805,'Products (2)'!A:G,7,0)</f>
        <v>3.4787499999999998</v>
      </c>
      <c r="Q805">
        <v>4</v>
      </c>
      <c r="R805">
        <f>INDEX([1]products!$A$1:$G$49,MATCH([1]orders!$D805,[1]products!$A$1:$A$49,0),MATCH([1]orders!K$1,[1]products!$A$1:$G$1,0))</f>
        <v>2.5</v>
      </c>
      <c r="S805">
        <f>INDEX([1]products!$A$1:$G$49,MATCH([1]orders!$D805,[1]products!$A$1:$A$49,0),MATCH([1]orders!L$1,[1]products!$A$1:$G$1,0))</f>
        <v>31.624999999999996</v>
      </c>
      <c r="T805">
        <f t="shared" si="73"/>
        <v>126.49999999999999</v>
      </c>
      <c r="U805">
        <f t="shared" si="76"/>
        <v>13.914999999999999</v>
      </c>
      <c r="V805">
        <f t="shared" si="77"/>
        <v>11</v>
      </c>
    </row>
    <row r="806" spans="1:22" x14ac:dyDescent="0.25">
      <c r="A806" t="s">
        <v>1560</v>
      </c>
      <c r="B806">
        <v>44289</v>
      </c>
      <c r="C806" t="str">
        <f t="shared" si="74"/>
        <v>03</v>
      </c>
      <c r="D806" t="str">
        <f t="shared" si="72"/>
        <v>April</v>
      </c>
      <c r="E806" t="str">
        <f t="shared" si="75"/>
        <v>2021</v>
      </c>
      <c r="F806" t="s">
        <v>1561</v>
      </c>
      <c r="G806" t="str">
        <f>VLOOKUP(F806,'Customers (2)'!A:I,2,0)</f>
        <v>Jammie Cloke</v>
      </c>
      <c r="H806">
        <f>VLOOKUP(F806,'Customers (2)'!A:I,3,0)</f>
        <v>0</v>
      </c>
      <c r="I806" t="str">
        <f>VLOOKUP(F806,'Customers (2)'!A:I,4,0)</f>
        <v>+44 (540) 353-5754</v>
      </c>
      <c r="J806" t="str">
        <f>VLOOKUP(F806,'Customers (2)'!A:I,6,0)</f>
        <v>Newton</v>
      </c>
      <c r="K806" t="str">
        <f>VLOOKUP(F806,'Customers (2)'!A:I,7,0)</f>
        <v>United Kingdom</v>
      </c>
      <c r="L806" t="str">
        <f>VLOOKUP(F806,'Customers (2)'!A:I,9,0)</f>
        <v>No</v>
      </c>
      <c r="M806" t="str">
        <f>VLOOKUP(N806,'Products (2)'!A:G,2,0)</f>
        <v>Robusta</v>
      </c>
      <c r="N806" t="s">
        <v>189</v>
      </c>
      <c r="O806" t="str">
        <f>VLOOKUP(N806,'Products (2)'!A:G,3,0)</f>
        <v>Light</v>
      </c>
      <c r="P806">
        <f>VLOOKUP(N806,'Products (2)'!A:G,7,0)</f>
        <v>0.71699999999999997</v>
      </c>
      <c r="Q806">
        <v>2</v>
      </c>
      <c r="R806">
        <f>INDEX([1]products!$A$1:$G$49,MATCH([1]orders!$D806,[1]products!$A$1:$A$49,0),MATCH([1]orders!K$1,[1]products!$A$1:$G$1,0))</f>
        <v>1</v>
      </c>
      <c r="S806">
        <f>INDEX([1]products!$A$1:$G$49,MATCH([1]orders!$D806,[1]products!$A$1:$A$49,0),MATCH([1]orders!L$1,[1]products!$A$1:$G$1,0))</f>
        <v>11.95</v>
      </c>
      <c r="T806">
        <f t="shared" si="73"/>
        <v>23.9</v>
      </c>
      <c r="U806">
        <f t="shared" si="76"/>
        <v>1.4339999999999999</v>
      </c>
      <c r="V806">
        <f t="shared" si="77"/>
        <v>6</v>
      </c>
    </row>
    <row r="807" spans="1:22" x14ac:dyDescent="0.25">
      <c r="A807" t="s">
        <v>1562</v>
      </c>
      <c r="B807">
        <v>44713</v>
      </c>
      <c r="C807" t="str">
        <f t="shared" si="74"/>
        <v>01</v>
      </c>
      <c r="D807" t="str">
        <f t="shared" si="72"/>
        <v>June</v>
      </c>
      <c r="E807" t="str">
        <f t="shared" si="75"/>
        <v>2022</v>
      </c>
      <c r="F807" t="s">
        <v>1563</v>
      </c>
      <c r="G807" t="str">
        <f>VLOOKUP(F807,'Customers (2)'!A:I,2,0)</f>
        <v>Chester Clowton</v>
      </c>
      <c r="H807">
        <f>VLOOKUP(F807,'Customers (2)'!A:I,3,0)</f>
        <v>0</v>
      </c>
      <c r="I807" t="str">
        <f>VLOOKUP(F807,'Customers (2)'!A:I,4,0)</f>
        <v>+1 (763) 691-6777</v>
      </c>
      <c r="J807" t="str">
        <f>VLOOKUP(F807,'Customers (2)'!A:I,6,0)</f>
        <v>Monticello</v>
      </c>
      <c r="K807" t="str">
        <f>VLOOKUP(F807,'Customers (2)'!A:I,7,0)</f>
        <v>United States</v>
      </c>
      <c r="L807" t="str">
        <f>VLOOKUP(F807,'Customers (2)'!A:I,9,0)</f>
        <v>No</v>
      </c>
      <c r="M807" t="str">
        <f>VLOOKUP(N807,'Products (2)'!A:G,2,0)</f>
        <v>Robusta</v>
      </c>
      <c r="N807" t="s">
        <v>22</v>
      </c>
      <c r="O807" t="str">
        <f>VLOOKUP(N807,'Products (2)'!A:G,3,0)</f>
        <v>Medium</v>
      </c>
      <c r="P807">
        <f>VLOOKUP(N807,'Products (2)'!A:G,7,0)</f>
        <v>0.35819999999999996</v>
      </c>
      <c r="Q807">
        <v>1</v>
      </c>
      <c r="R807">
        <f>INDEX([1]products!$A$1:$G$49,MATCH([1]orders!$D807,[1]products!$A$1:$A$49,0),MATCH([1]orders!K$1,[1]products!$A$1:$G$1,0))</f>
        <v>0.5</v>
      </c>
      <c r="S807">
        <f>INDEX([1]products!$A$1:$G$49,MATCH([1]orders!$D807,[1]products!$A$1:$A$49,0),MATCH([1]orders!L$1,[1]products!$A$1:$G$1,0))</f>
        <v>5.97</v>
      </c>
      <c r="T807">
        <f t="shared" si="73"/>
        <v>5.97</v>
      </c>
      <c r="U807">
        <f t="shared" si="76"/>
        <v>0.35819999999999996</v>
      </c>
      <c r="V807">
        <f t="shared" si="77"/>
        <v>6</v>
      </c>
    </row>
    <row r="808" spans="1:22" x14ac:dyDescent="0.25">
      <c r="A808" t="s">
        <v>1564</v>
      </c>
      <c r="B808">
        <v>44241</v>
      </c>
      <c r="C808" t="str">
        <f t="shared" si="74"/>
        <v>14</v>
      </c>
      <c r="D808" t="str">
        <f t="shared" si="72"/>
        <v>February</v>
      </c>
      <c r="E808" t="str">
        <f t="shared" si="75"/>
        <v>2021</v>
      </c>
      <c r="F808" t="s">
        <v>1565</v>
      </c>
      <c r="G808" t="str">
        <f>VLOOKUP(F808,'Customers (2)'!A:I,2,0)</f>
        <v>Kathleen Diable</v>
      </c>
      <c r="H808">
        <f>VLOOKUP(F808,'Customers (2)'!A:I,3,0)</f>
        <v>0</v>
      </c>
      <c r="I808">
        <f>VLOOKUP(F808,'Customers (2)'!A:I,4,0)</f>
        <v>0</v>
      </c>
      <c r="J808" t="str">
        <f>VLOOKUP(F808,'Customers (2)'!A:I,6,0)</f>
        <v>Kinloch</v>
      </c>
      <c r="K808" t="str">
        <f>VLOOKUP(F808,'Customers (2)'!A:I,7,0)</f>
        <v>United Kingdom</v>
      </c>
      <c r="L808" t="str">
        <f>VLOOKUP(F808,'Customers (2)'!A:I,9,0)</f>
        <v>Yes</v>
      </c>
      <c r="M808" t="str">
        <f>VLOOKUP(N808,'Products (2)'!A:G,2,0)</f>
        <v>Liberica</v>
      </c>
      <c r="N808" t="s">
        <v>38</v>
      </c>
      <c r="O808" t="str">
        <f>VLOOKUP(N808,'Products (2)'!A:G,3,0)</f>
        <v>Dark</v>
      </c>
      <c r="P808">
        <f>VLOOKUP(N808,'Products (2)'!A:G,7,0)</f>
        <v>0.50505</v>
      </c>
      <c r="Q808">
        <v>2</v>
      </c>
      <c r="R808">
        <f>INDEX([1]products!$A$1:$G$49,MATCH([1]orders!$D808,[1]products!$A$1:$A$49,0),MATCH([1]orders!K$1,[1]products!$A$1:$G$1,0))</f>
        <v>0.2</v>
      </c>
      <c r="S808">
        <f>INDEX([1]products!$A$1:$G$49,MATCH([1]orders!$D808,[1]products!$A$1:$A$49,0),MATCH([1]orders!L$1,[1]products!$A$1:$G$1,0))</f>
        <v>3.8849999999999998</v>
      </c>
      <c r="T808">
        <f t="shared" si="73"/>
        <v>7.77</v>
      </c>
      <c r="U808">
        <f t="shared" si="76"/>
        <v>1.0101</v>
      </c>
      <c r="V808">
        <f t="shared" si="77"/>
        <v>13</v>
      </c>
    </row>
    <row r="809" spans="1:22" x14ac:dyDescent="0.25">
      <c r="A809" t="s">
        <v>1566</v>
      </c>
      <c r="B809">
        <v>44543</v>
      </c>
      <c r="C809" t="str">
        <f t="shared" si="74"/>
        <v>13</v>
      </c>
      <c r="D809" t="str">
        <f t="shared" si="72"/>
        <v>December</v>
      </c>
      <c r="E809" t="str">
        <f t="shared" si="75"/>
        <v>2021</v>
      </c>
      <c r="F809" t="s">
        <v>1567</v>
      </c>
      <c r="G809" t="str">
        <f>VLOOKUP(F809,'Customers (2)'!A:I,2,0)</f>
        <v>Koren Ferretti</v>
      </c>
      <c r="H809" t="str">
        <f>VLOOKUP(F809,'Customers (2)'!A:I,3,0)</f>
        <v>kferrettimf@huffingtonpost.com</v>
      </c>
      <c r="I809" t="str">
        <f>VLOOKUP(F809,'Customers (2)'!A:I,4,0)</f>
        <v>+353 (526) 215-2582</v>
      </c>
      <c r="J809" t="str">
        <f>VLOOKUP(F809,'Customers (2)'!A:I,6,0)</f>
        <v>Balrothery</v>
      </c>
      <c r="K809" t="str">
        <f>VLOOKUP(F809,'Customers (2)'!A:I,7,0)</f>
        <v>Ireland</v>
      </c>
      <c r="L809" t="str">
        <f>VLOOKUP(F809,'Customers (2)'!A:I,9,0)</f>
        <v>No</v>
      </c>
      <c r="M809" t="str">
        <f>VLOOKUP(N809,'Products (2)'!A:G,2,0)</f>
        <v>Liberica</v>
      </c>
      <c r="N809" t="s">
        <v>123</v>
      </c>
      <c r="O809" t="str">
        <f>VLOOKUP(N809,'Products (2)'!A:G,3,0)</f>
        <v>Dark</v>
      </c>
      <c r="P809">
        <f>VLOOKUP(N809,'Products (2)'!A:G,7,0)</f>
        <v>1.0101</v>
      </c>
      <c r="Q809">
        <v>3</v>
      </c>
      <c r="R809">
        <f>INDEX([1]products!$A$1:$G$49,MATCH([1]orders!$D809,[1]products!$A$1:$A$49,0),MATCH([1]orders!K$1,[1]products!$A$1:$G$1,0))</f>
        <v>0.5</v>
      </c>
      <c r="S809">
        <f>INDEX([1]products!$A$1:$G$49,MATCH([1]orders!$D809,[1]products!$A$1:$A$49,0),MATCH([1]orders!L$1,[1]products!$A$1:$G$1,0))</f>
        <v>7.77</v>
      </c>
      <c r="T809">
        <f t="shared" si="73"/>
        <v>23.31</v>
      </c>
      <c r="U809">
        <f t="shared" si="76"/>
        <v>3.0303</v>
      </c>
      <c r="V809">
        <f t="shared" si="77"/>
        <v>13</v>
      </c>
    </row>
    <row r="810" spans="1:22" x14ac:dyDescent="0.25">
      <c r="A810" t="s">
        <v>1568</v>
      </c>
      <c r="B810">
        <v>43868</v>
      </c>
      <c r="C810" t="str">
        <f t="shared" si="74"/>
        <v>07</v>
      </c>
      <c r="D810" t="str">
        <f t="shared" si="72"/>
        <v>February</v>
      </c>
      <c r="E810" t="str">
        <f t="shared" si="75"/>
        <v>2020</v>
      </c>
      <c r="F810" t="s">
        <v>1569</v>
      </c>
      <c r="G810" t="str">
        <f>VLOOKUP(F810,'Customers (2)'!A:I,2,0)</f>
        <v>Allis Wilmore</v>
      </c>
      <c r="H810">
        <f>VLOOKUP(F810,'Customers (2)'!A:I,3,0)</f>
        <v>0</v>
      </c>
      <c r="I810" t="str">
        <f>VLOOKUP(F810,'Customers (2)'!A:I,4,0)</f>
        <v>+1 (713) 984-5207</v>
      </c>
      <c r="J810" t="str">
        <f>VLOOKUP(F810,'Customers (2)'!A:I,6,0)</f>
        <v>Houston</v>
      </c>
      <c r="K810" t="str">
        <f>VLOOKUP(F810,'Customers (2)'!A:I,7,0)</f>
        <v>United States</v>
      </c>
      <c r="L810" t="str">
        <f>VLOOKUP(F810,'Customers (2)'!A:I,9,0)</f>
        <v>No</v>
      </c>
      <c r="M810" t="str">
        <f>VLOOKUP(N810,'Products (2)'!A:G,2,0)</f>
        <v>Robusta</v>
      </c>
      <c r="N810" t="s">
        <v>10</v>
      </c>
      <c r="O810" t="str">
        <f>VLOOKUP(N810,'Products (2)'!A:G,3,0)</f>
        <v>Light</v>
      </c>
      <c r="P810">
        <f>VLOOKUP(N810,'Products (2)'!A:G,7,0)</f>
        <v>1.6490999999999998</v>
      </c>
      <c r="Q810">
        <v>5</v>
      </c>
      <c r="R810">
        <f>INDEX([1]products!$A$1:$G$49,MATCH([1]orders!$D810,[1]products!$A$1:$A$49,0),MATCH([1]orders!K$1,[1]products!$A$1:$G$1,0))</f>
        <v>2.5</v>
      </c>
      <c r="S810">
        <f>INDEX([1]products!$A$1:$G$49,MATCH([1]orders!$D810,[1]products!$A$1:$A$49,0),MATCH([1]orders!L$1,[1]products!$A$1:$G$1,0))</f>
        <v>27.484999999999996</v>
      </c>
      <c r="T810">
        <f t="shared" si="73"/>
        <v>137.42499999999998</v>
      </c>
      <c r="U810">
        <f t="shared" si="76"/>
        <v>8.2454999999999998</v>
      </c>
      <c r="V810">
        <f t="shared" si="77"/>
        <v>6.0000000000000009</v>
      </c>
    </row>
    <row r="811" spans="1:22" x14ac:dyDescent="0.25">
      <c r="A811" t="s">
        <v>1570</v>
      </c>
      <c r="B811">
        <v>44235</v>
      </c>
      <c r="C811" t="str">
        <f t="shared" si="74"/>
        <v>08</v>
      </c>
      <c r="D811" t="str">
        <f t="shared" si="72"/>
        <v>February</v>
      </c>
      <c r="E811" t="str">
        <f t="shared" si="75"/>
        <v>2021</v>
      </c>
      <c r="F811" t="s">
        <v>1571</v>
      </c>
      <c r="G811" t="str">
        <f>VLOOKUP(F811,'Customers (2)'!A:I,2,0)</f>
        <v>Chaddie Bennie</v>
      </c>
      <c r="H811">
        <f>VLOOKUP(F811,'Customers (2)'!A:I,3,0)</f>
        <v>0</v>
      </c>
      <c r="I811" t="str">
        <f>VLOOKUP(F811,'Customers (2)'!A:I,4,0)</f>
        <v>+1 (915) 204-2588</v>
      </c>
      <c r="J811" t="str">
        <f>VLOOKUP(F811,'Customers (2)'!A:I,6,0)</f>
        <v>El Paso</v>
      </c>
      <c r="K811" t="str">
        <f>VLOOKUP(F811,'Customers (2)'!A:I,7,0)</f>
        <v>United States</v>
      </c>
      <c r="L811" t="str">
        <f>VLOOKUP(F811,'Customers (2)'!A:I,9,0)</f>
        <v>Yes</v>
      </c>
      <c r="M811" t="str">
        <f>VLOOKUP(N811,'Products (2)'!A:G,2,0)</f>
        <v>Robusta</v>
      </c>
      <c r="N811" t="s">
        <v>101</v>
      </c>
      <c r="O811" t="str">
        <f>VLOOKUP(N811,'Products (2)'!A:G,3,0)</f>
        <v>Dark</v>
      </c>
      <c r="P811">
        <f>VLOOKUP(N811,'Products (2)'!A:G,7,0)</f>
        <v>0.16109999999999997</v>
      </c>
      <c r="Q811">
        <v>3</v>
      </c>
      <c r="R811">
        <f>INDEX([1]products!$A$1:$G$49,MATCH([1]orders!$D811,[1]products!$A$1:$A$49,0),MATCH([1]orders!K$1,[1]products!$A$1:$G$1,0))</f>
        <v>0.2</v>
      </c>
      <c r="S811">
        <f>INDEX([1]products!$A$1:$G$49,MATCH([1]orders!$D811,[1]products!$A$1:$A$49,0),MATCH([1]orders!L$1,[1]products!$A$1:$G$1,0))</f>
        <v>2.6849999999999996</v>
      </c>
      <c r="T811">
        <f t="shared" si="73"/>
        <v>8.0549999999999997</v>
      </c>
      <c r="U811">
        <f t="shared" si="76"/>
        <v>0.4832999999999999</v>
      </c>
      <c r="V811">
        <f t="shared" si="77"/>
        <v>5.9999999999999991</v>
      </c>
    </row>
    <row r="812" spans="1:22" x14ac:dyDescent="0.25">
      <c r="A812" t="s">
        <v>1572</v>
      </c>
      <c r="B812">
        <v>44054</v>
      </c>
      <c r="C812" t="str">
        <f t="shared" si="74"/>
        <v>11</v>
      </c>
      <c r="D812" t="str">
        <f t="shared" si="72"/>
        <v>August</v>
      </c>
      <c r="E812" t="str">
        <f t="shared" si="75"/>
        <v>2020</v>
      </c>
      <c r="F812" t="s">
        <v>1573</v>
      </c>
      <c r="G812" t="str">
        <f>VLOOKUP(F812,'Customers (2)'!A:I,2,0)</f>
        <v>Alberta Balsdone</v>
      </c>
      <c r="H812" t="str">
        <f>VLOOKUP(F812,'Customers (2)'!A:I,3,0)</f>
        <v>abalsdonemi@toplist.cz</v>
      </c>
      <c r="I812" t="str">
        <f>VLOOKUP(F812,'Customers (2)'!A:I,4,0)</f>
        <v>+1 (863) 490-5370</v>
      </c>
      <c r="J812" t="str">
        <f>VLOOKUP(F812,'Customers (2)'!A:I,6,0)</f>
        <v>Largo</v>
      </c>
      <c r="K812" t="str">
        <f>VLOOKUP(F812,'Customers (2)'!A:I,7,0)</f>
        <v>United States</v>
      </c>
      <c r="L812" t="str">
        <f>VLOOKUP(F812,'Customers (2)'!A:I,9,0)</f>
        <v>No</v>
      </c>
      <c r="M812" t="str">
        <f>VLOOKUP(N812,'Products (2)'!A:G,2,0)</f>
        <v>Liberica</v>
      </c>
      <c r="N812" t="s">
        <v>83</v>
      </c>
      <c r="O812" t="str">
        <f>VLOOKUP(N812,'Products (2)'!A:G,3,0)</f>
        <v>Light</v>
      </c>
      <c r="P812">
        <f>VLOOKUP(N812,'Products (2)'!A:G,7,0)</f>
        <v>1.2363</v>
      </c>
      <c r="Q812">
        <v>3</v>
      </c>
      <c r="R812">
        <f>INDEX([1]products!$A$1:$G$49,MATCH([1]orders!$D812,[1]products!$A$1:$A$49,0),MATCH([1]orders!K$1,[1]products!$A$1:$G$1,0))</f>
        <v>0.5</v>
      </c>
      <c r="S812">
        <f>INDEX([1]products!$A$1:$G$49,MATCH([1]orders!$D812,[1]products!$A$1:$A$49,0),MATCH([1]orders!L$1,[1]products!$A$1:$G$1,0))</f>
        <v>9.51</v>
      </c>
      <c r="T812">
        <f t="shared" si="73"/>
        <v>28.53</v>
      </c>
      <c r="U812">
        <f t="shared" si="76"/>
        <v>3.7088999999999999</v>
      </c>
      <c r="V812">
        <f t="shared" si="77"/>
        <v>12.999999999999998</v>
      </c>
    </row>
    <row r="813" spans="1:22" x14ac:dyDescent="0.25">
      <c r="A813" t="s">
        <v>1574</v>
      </c>
      <c r="B813">
        <v>44114</v>
      </c>
      <c r="C813" t="str">
        <f t="shared" si="74"/>
        <v>10</v>
      </c>
      <c r="D813" t="str">
        <f t="shared" si="72"/>
        <v>October</v>
      </c>
      <c r="E813" t="str">
        <f t="shared" si="75"/>
        <v>2020</v>
      </c>
      <c r="F813" t="s">
        <v>1575</v>
      </c>
      <c r="G813" t="str">
        <f>VLOOKUP(F813,'Customers (2)'!A:I,2,0)</f>
        <v>Brice Romera</v>
      </c>
      <c r="H813" t="str">
        <f>VLOOKUP(F813,'Customers (2)'!A:I,3,0)</f>
        <v>bromeramj@list-manage.com</v>
      </c>
      <c r="I813" t="str">
        <f>VLOOKUP(F813,'Customers (2)'!A:I,4,0)</f>
        <v>+353 (640) 110-9801</v>
      </c>
      <c r="J813" t="str">
        <f>VLOOKUP(F813,'Customers (2)'!A:I,6,0)</f>
        <v>Foxrock</v>
      </c>
      <c r="K813" t="str">
        <f>VLOOKUP(F813,'Customers (2)'!A:I,7,0)</f>
        <v>Ireland</v>
      </c>
      <c r="L813" t="str">
        <f>VLOOKUP(F813,'Customers (2)'!A:I,9,0)</f>
        <v>Yes</v>
      </c>
      <c r="M813" t="str">
        <f>VLOOKUP(N813,'Products (2)'!A:G,2,0)</f>
        <v>Arabica</v>
      </c>
      <c r="N813" t="s">
        <v>61</v>
      </c>
      <c r="O813" t="str">
        <f>VLOOKUP(N813,'Products (2)'!A:G,3,0)</f>
        <v>Medium</v>
      </c>
      <c r="P813">
        <f>VLOOKUP(N813,'Products (2)'!A:G,7,0)</f>
        <v>1.0125</v>
      </c>
      <c r="Q813">
        <v>6</v>
      </c>
      <c r="R813">
        <f>INDEX([1]products!$A$1:$G$49,MATCH([1]orders!$D813,[1]products!$A$1:$A$49,0),MATCH([1]orders!K$1,[1]products!$A$1:$G$1,0))</f>
        <v>1</v>
      </c>
      <c r="S813">
        <f>INDEX([1]products!$A$1:$G$49,MATCH([1]orders!$D813,[1]products!$A$1:$A$49,0),MATCH([1]orders!L$1,[1]products!$A$1:$G$1,0))</f>
        <v>11.25</v>
      </c>
      <c r="T813">
        <f t="shared" si="73"/>
        <v>67.5</v>
      </c>
      <c r="U813">
        <f t="shared" si="76"/>
        <v>6.0749999999999993</v>
      </c>
      <c r="V813">
        <f t="shared" si="77"/>
        <v>8.9999999999999982</v>
      </c>
    </row>
    <row r="814" spans="1:22" x14ac:dyDescent="0.25">
      <c r="A814" t="s">
        <v>1574</v>
      </c>
      <c r="B814">
        <v>44114</v>
      </c>
      <c r="C814" t="str">
        <f t="shared" si="74"/>
        <v>10</v>
      </c>
      <c r="D814" t="str">
        <f t="shared" si="72"/>
        <v>October</v>
      </c>
      <c r="E814" t="str">
        <f t="shared" si="75"/>
        <v>2020</v>
      </c>
      <c r="F814" t="s">
        <v>1575</v>
      </c>
      <c r="G814" t="str">
        <f>VLOOKUP(F814,'Customers (2)'!A:I,2,0)</f>
        <v>Brice Romera</v>
      </c>
      <c r="H814" t="str">
        <f>VLOOKUP(F814,'Customers (2)'!A:I,3,0)</f>
        <v>bromeramj@list-manage.com</v>
      </c>
      <c r="I814" t="str">
        <f>VLOOKUP(F814,'Customers (2)'!A:I,4,0)</f>
        <v>+353 (640) 110-9801</v>
      </c>
      <c r="J814" t="str">
        <f>VLOOKUP(F814,'Customers (2)'!A:I,6,0)</f>
        <v>Foxrock</v>
      </c>
      <c r="K814" t="str">
        <f>VLOOKUP(F814,'Customers (2)'!A:I,7,0)</f>
        <v>Ireland</v>
      </c>
      <c r="L814" t="str">
        <f>VLOOKUP(F814,'Customers (2)'!A:I,9,0)</f>
        <v>Yes</v>
      </c>
      <c r="M814" t="str">
        <f>VLOOKUP(N814,'Products (2)'!A:G,2,0)</f>
        <v>Liberica</v>
      </c>
      <c r="N814" t="s">
        <v>109</v>
      </c>
      <c r="O814" t="str">
        <f>VLOOKUP(N814,'Products (2)'!A:G,3,0)</f>
        <v>Dark</v>
      </c>
      <c r="P814">
        <f>VLOOKUP(N814,'Products (2)'!A:G,7,0)</f>
        <v>3.8720499999999998</v>
      </c>
      <c r="Q814">
        <v>6</v>
      </c>
      <c r="R814">
        <f>INDEX([1]products!$A$1:$G$49,MATCH([1]orders!$D814,[1]products!$A$1:$A$49,0),MATCH([1]orders!K$1,[1]products!$A$1:$G$1,0))</f>
        <v>2.5</v>
      </c>
      <c r="S814">
        <f>INDEX([1]products!$A$1:$G$49,MATCH([1]orders!$D814,[1]products!$A$1:$A$49,0),MATCH([1]orders!L$1,[1]products!$A$1:$G$1,0))</f>
        <v>29.784999999999997</v>
      </c>
      <c r="T814">
        <f t="shared" si="73"/>
        <v>178.70999999999998</v>
      </c>
      <c r="U814">
        <f t="shared" si="76"/>
        <v>23.232299999999999</v>
      </c>
      <c r="V814">
        <f t="shared" si="77"/>
        <v>13</v>
      </c>
    </row>
    <row r="815" spans="1:22" x14ac:dyDescent="0.25">
      <c r="A815" t="s">
        <v>1576</v>
      </c>
      <c r="B815">
        <v>44173</v>
      </c>
      <c r="C815" t="str">
        <f t="shared" si="74"/>
        <v>08</v>
      </c>
      <c r="D815" t="str">
        <f t="shared" si="72"/>
        <v>December</v>
      </c>
      <c r="E815" t="str">
        <f t="shared" si="75"/>
        <v>2020</v>
      </c>
      <c r="F815" t="s">
        <v>1577</v>
      </c>
      <c r="G815" t="str">
        <f>VLOOKUP(F815,'Customers (2)'!A:I,2,0)</f>
        <v>Conchita Bryde</v>
      </c>
      <c r="H815" t="str">
        <f>VLOOKUP(F815,'Customers (2)'!A:I,3,0)</f>
        <v>cbrydeml@tuttocitta.it</v>
      </c>
      <c r="I815" t="str">
        <f>VLOOKUP(F815,'Customers (2)'!A:I,4,0)</f>
        <v>+1 (405) 497-2199</v>
      </c>
      <c r="J815" t="str">
        <f>VLOOKUP(F815,'Customers (2)'!A:I,6,0)</f>
        <v>Oklahoma City</v>
      </c>
      <c r="K815" t="str">
        <f>VLOOKUP(F815,'Customers (2)'!A:I,7,0)</f>
        <v>United States</v>
      </c>
      <c r="L815" t="str">
        <f>VLOOKUP(F815,'Customers (2)'!A:I,9,0)</f>
        <v>Yes</v>
      </c>
      <c r="M815" t="str">
        <f>VLOOKUP(N815,'Products (2)'!A:G,2,0)</f>
        <v>Excelsa</v>
      </c>
      <c r="N815" t="s">
        <v>112</v>
      </c>
      <c r="O815" t="str">
        <f>VLOOKUP(N815,'Products (2)'!A:G,3,0)</f>
        <v>Medium</v>
      </c>
      <c r="P815">
        <f>VLOOKUP(N815,'Products (2)'!A:G,7,0)</f>
        <v>3.4787499999999998</v>
      </c>
      <c r="Q815">
        <v>1</v>
      </c>
      <c r="R815">
        <f>INDEX([1]products!$A$1:$G$49,MATCH([1]orders!$D815,[1]products!$A$1:$A$49,0),MATCH([1]orders!K$1,[1]products!$A$1:$G$1,0))</f>
        <v>2.5</v>
      </c>
      <c r="S815">
        <f>INDEX([1]products!$A$1:$G$49,MATCH([1]orders!$D815,[1]products!$A$1:$A$49,0),MATCH([1]orders!L$1,[1]products!$A$1:$G$1,0))</f>
        <v>31.624999999999996</v>
      </c>
      <c r="T815">
        <f t="shared" si="73"/>
        <v>31.624999999999996</v>
      </c>
      <c r="U815">
        <f t="shared" si="76"/>
        <v>3.4787499999999998</v>
      </c>
      <c r="V815">
        <f t="shared" si="77"/>
        <v>11</v>
      </c>
    </row>
    <row r="816" spans="1:22" x14ac:dyDescent="0.25">
      <c r="A816" t="s">
        <v>1578</v>
      </c>
      <c r="B816">
        <v>43573</v>
      </c>
      <c r="C816" t="str">
        <f t="shared" si="74"/>
        <v>18</v>
      </c>
      <c r="D816" t="str">
        <f t="shared" si="72"/>
        <v>April</v>
      </c>
      <c r="E816" t="str">
        <f t="shared" si="75"/>
        <v>2019</v>
      </c>
      <c r="F816" t="s">
        <v>1579</v>
      </c>
      <c r="G816" t="str">
        <f>VLOOKUP(F816,'Customers (2)'!A:I,2,0)</f>
        <v>Silvanus Enefer</v>
      </c>
      <c r="H816" t="str">
        <f>VLOOKUP(F816,'Customers (2)'!A:I,3,0)</f>
        <v>senefermm@blog.com</v>
      </c>
      <c r="I816" t="str">
        <f>VLOOKUP(F816,'Customers (2)'!A:I,4,0)</f>
        <v>+1 (202) 877-3473</v>
      </c>
      <c r="J816" t="str">
        <f>VLOOKUP(F816,'Customers (2)'!A:I,6,0)</f>
        <v>Washington</v>
      </c>
      <c r="K816" t="str">
        <f>VLOOKUP(F816,'Customers (2)'!A:I,7,0)</f>
        <v>United States</v>
      </c>
      <c r="L816" t="str">
        <f>VLOOKUP(F816,'Customers (2)'!A:I,9,0)</f>
        <v>No</v>
      </c>
      <c r="M816" t="str">
        <f>VLOOKUP(N816,'Products (2)'!A:G,2,0)</f>
        <v>Excelsa</v>
      </c>
      <c r="N816" t="s">
        <v>254</v>
      </c>
      <c r="O816" t="str">
        <f>VLOOKUP(N816,'Products (2)'!A:G,3,0)</f>
        <v>Light</v>
      </c>
      <c r="P816">
        <f>VLOOKUP(N816,'Products (2)'!A:G,7,0)</f>
        <v>0.49004999999999999</v>
      </c>
      <c r="Q816">
        <v>2</v>
      </c>
      <c r="R816">
        <f>INDEX([1]products!$A$1:$G$49,MATCH([1]orders!$D816,[1]products!$A$1:$A$49,0),MATCH([1]orders!K$1,[1]products!$A$1:$G$1,0))</f>
        <v>0.2</v>
      </c>
      <c r="S816">
        <f>INDEX([1]products!$A$1:$G$49,MATCH([1]orders!$D816,[1]products!$A$1:$A$49,0),MATCH([1]orders!L$1,[1]products!$A$1:$G$1,0))</f>
        <v>4.4550000000000001</v>
      </c>
      <c r="T816">
        <f t="shared" si="73"/>
        <v>8.91</v>
      </c>
      <c r="U816">
        <f t="shared" si="76"/>
        <v>0.98009999999999997</v>
      </c>
      <c r="V816">
        <f t="shared" si="77"/>
        <v>11</v>
      </c>
    </row>
    <row r="817" spans="1:22" x14ac:dyDescent="0.25">
      <c r="A817" t="s">
        <v>1580</v>
      </c>
      <c r="B817">
        <v>44200</v>
      </c>
      <c r="C817" t="str">
        <f t="shared" si="74"/>
        <v>04</v>
      </c>
      <c r="D817" t="str">
        <f t="shared" si="72"/>
        <v>January</v>
      </c>
      <c r="E817" t="str">
        <f t="shared" si="75"/>
        <v>2021</v>
      </c>
      <c r="F817" t="s">
        <v>1581</v>
      </c>
      <c r="G817" t="str">
        <f>VLOOKUP(F817,'Customers (2)'!A:I,2,0)</f>
        <v>Lenci Haggerstone</v>
      </c>
      <c r="H817" t="str">
        <f>VLOOKUP(F817,'Customers (2)'!A:I,3,0)</f>
        <v>lhaggerstonemn@independent.co.uk</v>
      </c>
      <c r="I817" t="str">
        <f>VLOOKUP(F817,'Customers (2)'!A:I,4,0)</f>
        <v>+1 (770) 779-0007</v>
      </c>
      <c r="J817" t="str">
        <f>VLOOKUP(F817,'Customers (2)'!A:I,6,0)</f>
        <v>Atlanta</v>
      </c>
      <c r="K817" t="str">
        <f>VLOOKUP(F817,'Customers (2)'!A:I,7,0)</f>
        <v>United States</v>
      </c>
      <c r="L817" t="str">
        <f>VLOOKUP(F817,'Customers (2)'!A:I,9,0)</f>
        <v>No</v>
      </c>
      <c r="M817" t="str">
        <f>VLOOKUP(N817,'Products (2)'!A:G,2,0)</f>
        <v>Robusta</v>
      </c>
      <c r="N817" t="s">
        <v>22</v>
      </c>
      <c r="O817" t="str">
        <f>VLOOKUP(N817,'Products (2)'!A:G,3,0)</f>
        <v>Medium</v>
      </c>
      <c r="P817">
        <f>VLOOKUP(N817,'Products (2)'!A:G,7,0)</f>
        <v>0.35819999999999996</v>
      </c>
      <c r="Q817">
        <v>6</v>
      </c>
      <c r="R817">
        <f>INDEX([1]products!$A$1:$G$49,MATCH([1]orders!$D817,[1]products!$A$1:$A$49,0),MATCH([1]orders!K$1,[1]products!$A$1:$G$1,0))</f>
        <v>0.5</v>
      </c>
      <c r="S817">
        <f>INDEX([1]products!$A$1:$G$49,MATCH([1]orders!$D817,[1]products!$A$1:$A$49,0),MATCH([1]orders!L$1,[1]products!$A$1:$G$1,0))</f>
        <v>5.97</v>
      </c>
      <c r="T817">
        <f t="shared" si="73"/>
        <v>35.82</v>
      </c>
      <c r="U817">
        <f t="shared" si="76"/>
        <v>2.1491999999999996</v>
      </c>
      <c r="V817">
        <f t="shared" si="77"/>
        <v>5.9999999999999982</v>
      </c>
    </row>
    <row r="818" spans="1:22" x14ac:dyDescent="0.25">
      <c r="A818" t="s">
        <v>1582</v>
      </c>
      <c r="B818">
        <v>43534</v>
      </c>
      <c r="C818" t="str">
        <f t="shared" si="74"/>
        <v>10</v>
      </c>
      <c r="D818" t="str">
        <f t="shared" si="72"/>
        <v>March</v>
      </c>
      <c r="E818" t="str">
        <f t="shared" si="75"/>
        <v>2019</v>
      </c>
      <c r="F818" t="s">
        <v>1583</v>
      </c>
      <c r="G818" t="str">
        <f>VLOOKUP(F818,'Customers (2)'!A:I,2,0)</f>
        <v>Marvin Gundry</v>
      </c>
      <c r="H818" t="str">
        <f>VLOOKUP(F818,'Customers (2)'!A:I,3,0)</f>
        <v>mgundrymo@omniture.com</v>
      </c>
      <c r="I818" t="str">
        <f>VLOOKUP(F818,'Customers (2)'!A:I,4,0)</f>
        <v>+353 (500) 164-9392</v>
      </c>
      <c r="J818" t="str">
        <f>VLOOKUP(F818,'Customers (2)'!A:I,6,0)</f>
        <v>Castlebridge</v>
      </c>
      <c r="K818" t="str">
        <f>VLOOKUP(F818,'Customers (2)'!A:I,7,0)</f>
        <v>Ireland</v>
      </c>
      <c r="L818" t="str">
        <f>VLOOKUP(F818,'Customers (2)'!A:I,9,0)</f>
        <v>No</v>
      </c>
      <c r="M818" t="str">
        <f>VLOOKUP(N818,'Products (2)'!A:G,2,0)</f>
        <v>Liberica</v>
      </c>
      <c r="N818" t="s">
        <v>83</v>
      </c>
      <c r="O818" t="str">
        <f>VLOOKUP(N818,'Products (2)'!A:G,3,0)</f>
        <v>Light</v>
      </c>
      <c r="P818">
        <f>VLOOKUP(N818,'Products (2)'!A:G,7,0)</f>
        <v>1.2363</v>
      </c>
      <c r="Q818">
        <v>4</v>
      </c>
      <c r="R818">
        <f>INDEX([1]products!$A$1:$G$49,MATCH([1]orders!$D818,[1]products!$A$1:$A$49,0),MATCH([1]orders!K$1,[1]products!$A$1:$G$1,0))</f>
        <v>0.5</v>
      </c>
      <c r="S818">
        <f>INDEX([1]products!$A$1:$G$49,MATCH([1]orders!$D818,[1]products!$A$1:$A$49,0),MATCH([1]orders!L$1,[1]products!$A$1:$G$1,0))</f>
        <v>9.51</v>
      </c>
      <c r="T818">
        <f t="shared" si="73"/>
        <v>38.04</v>
      </c>
      <c r="U818">
        <f t="shared" si="76"/>
        <v>4.9451999999999998</v>
      </c>
      <c r="V818">
        <f t="shared" si="77"/>
        <v>13</v>
      </c>
    </row>
    <row r="819" spans="1:22" x14ac:dyDescent="0.25">
      <c r="A819" t="s">
        <v>1584</v>
      </c>
      <c r="B819">
        <v>43798</v>
      </c>
      <c r="C819" t="str">
        <f t="shared" si="74"/>
        <v>29</v>
      </c>
      <c r="D819" t="str">
        <f t="shared" si="72"/>
        <v>November</v>
      </c>
      <c r="E819" t="str">
        <f t="shared" si="75"/>
        <v>2019</v>
      </c>
      <c r="F819" t="s">
        <v>1585</v>
      </c>
      <c r="G819" t="str">
        <f>VLOOKUP(F819,'Customers (2)'!A:I,2,0)</f>
        <v>Bayard Wellan</v>
      </c>
      <c r="H819" t="str">
        <f>VLOOKUP(F819,'Customers (2)'!A:I,3,0)</f>
        <v>bwellanmp@cafepress.com</v>
      </c>
      <c r="I819">
        <f>VLOOKUP(F819,'Customers (2)'!A:I,4,0)</f>
        <v>0</v>
      </c>
      <c r="J819" t="str">
        <f>VLOOKUP(F819,'Customers (2)'!A:I,6,0)</f>
        <v>Buffalo</v>
      </c>
      <c r="K819" t="str">
        <f>VLOOKUP(F819,'Customers (2)'!A:I,7,0)</f>
        <v>United States</v>
      </c>
      <c r="L819" t="str">
        <f>VLOOKUP(F819,'Customers (2)'!A:I,9,0)</f>
        <v>No</v>
      </c>
      <c r="M819" t="str">
        <f>VLOOKUP(N819,'Products (2)'!A:G,2,0)</f>
        <v>Liberica</v>
      </c>
      <c r="N819" t="s">
        <v>123</v>
      </c>
      <c r="O819" t="str">
        <f>VLOOKUP(N819,'Products (2)'!A:G,3,0)</f>
        <v>Dark</v>
      </c>
      <c r="P819">
        <f>VLOOKUP(N819,'Products (2)'!A:G,7,0)</f>
        <v>1.0101</v>
      </c>
      <c r="Q819">
        <v>2</v>
      </c>
      <c r="R819">
        <f>INDEX([1]products!$A$1:$G$49,MATCH([1]orders!$D819,[1]products!$A$1:$A$49,0),MATCH([1]orders!K$1,[1]products!$A$1:$G$1,0))</f>
        <v>0.5</v>
      </c>
      <c r="S819">
        <f>INDEX([1]products!$A$1:$G$49,MATCH([1]orders!$D819,[1]products!$A$1:$A$49,0),MATCH([1]orders!L$1,[1]products!$A$1:$G$1,0))</f>
        <v>7.77</v>
      </c>
      <c r="T819">
        <f t="shared" si="73"/>
        <v>15.54</v>
      </c>
      <c r="U819">
        <f t="shared" si="76"/>
        <v>2.0202</v>
      </c>
      <c r="V819">
        <f t="shared" si="77"/>
        <v>13</v>
      </c>
    </row>
    <row r="820" spans="1:22" x14ac:dyDescent="0.25">
      <c r="A820" t="s">
        <v>1586</v>
      </c>
      <c r="B820">
        <v>44761</v>
      </c>
      <c r="C820" t="str">
        <f t="shared" si="74"/>
        <v>19</v>
      </c>
      <c r="D820" t="str">
        <f t="shared" si="72"/>
        <v>July</v>
      </c>
      <c r="E820" t="str">
        <f t="shared" si="75"/>
        <v>2022</v>
      </c>
      <c r="F820" t="s">
        <v>1569</v>
      </c>
      <c r="G820" t="str">
        <f>VLOOKUP(F820,'Customers (2)'!A:I,2,0)</f>
        <v>Allis Wilmore</v>
      </c>
      <c r="H820">
        <f>VLOOKUP(F820,'Customers (2)'!A:I,3,0)</f>
        <v>0</v>
      </c>
      <c r="I820" t="str">
        <f>VLOOKUP(F820,'Customers (2)'!A:I,4,0)</f>
        <v>+1 (713) 984-5207</v>
      </c>
      <c r="J820" t="str">
        <f>VLOOKUP(F820,'Customers (2)'!A:I,6,0)</f>
        <v>Houston</v>
      </c>
      <c r="K820" t="str">
        <f>VLOOKUP(F820,'Customers (2)'!A:I,7,0)</f>
        <v>United States</v>
      </c>
      <c r="L820" t="str">
        <f>VLOOKUP(F820,'Customers (2)'!A:I,9,0)</f>
        <v>No</v>
      </c>
      <c r="M820" t="str">
        <f>VLOOKUP(N820,'Products (2)'!A:G,2,0)</f>
        <v>Liberica</v>
      </c>
      <c r="N820" t="s">
        <v>132</v>
      </c>
      <c r="O820" t="str">
        <f>VLOOKUP(N820,'Products (2)'!A:G,3,0)</f>
        <v>Light</v>
      </c>
      <c r="P820">
        <f>VLOOKUP(N820,'Products (2)'!A:G,7,0)</f>
        <v>2.0605000000000002</v>
      </c>
      <c r="Q820">
        <v>5</v>
      </c>
      <c r="R820">
        <f>INDEX([1]products!$A$1:$G$49,MATCH([1]orders!$D820,[1]products!$A$1:$A$49,0),MATCH([1]orders!K$1,[1]products!$A$1:$G$1,0))</f>
        <v>1</v>
      </c>
      <c r="S820">
        <f>INDEX([1]products!$A$1:$G$49,MATCH([1]orders!$D820,[1]products!$A$1:$A$49,0),MATCH([1]orders!L$1,[1]products!$A$1:$G$1,0))</f>
        <v>15.85</v>
      </c>
      <c r="T820">
        <f t="shared" si="73"/>
        <v>79.25</v>
      </c>
      <c r="U820">
        <f t="shared" si="76"/>
        <v>10.302500000000002</v>
      </c>
      <c r="V820">
        <f t="shared" si="77"/>
        <v>13.000000000000004</v>
      </c>
    </row>
    <row r="821" spans="1:22" x14ac:dyDescent="0.25">
      <c r="A821" t="s">
        <v>1587</v>
      </c>
      <c r="B821">
        <v>44008</v>
      </c>
      <c r="C821" t="str">
        <f t="shared" si="74"/>
        <v>26</v>
      </c>
      <c r="D821" t="str">
        <f t="shared" si="72"/>
        <v>June</v>
      </c>
      <c r="E821" t="str">
        <f t="shared" si="75"/>
        <v>2020</v>
      </c>
      <c r="F821" t="s">
        <v>1588</v>
      </c>
      <c r="G821" t="str">
        <f>VLOOKUP(F821,'Customers (2)'!A:I,2,0)</f>
        <v>Caddric Atcheson</v>
      </c>
      <c r="H821" t="str">
        <f>VLOOKUP(F821,'Customers (2)'!A:I,3,0)</f>
        <v>catchesonmr@xinhuanet.com</v>
      </c>
      <c r="I821" t="str">
        <f>VLOOKUP(F821,'Customers (2)'!A:I,4,0)</f>
        <v>+1 (202) 975-7723</v>
      </c>
      <c r="J821" t="str">
        <f>VLOOKUP(F821,'Customers (2)'!A:I,6,0)</f>
        <v>Washington</v>
      </c>
      <c r="K821" t="str">
        <f>VLOOKUP(F821,'Customers (2)'!A:I,7,0)</f>
        <v>United States</v>
      </c>
      <c r="L821" t="str">
        <f>VLOOKUP(F821,'Customers (2)'!A:I,9,0)</f>
        <v>Yes</v>
      </c>
      <c r="M821" t="str">
        <f>VLOOKUP(N821,'Products (2)'!A:G,2,0)</f>
        <v>Liberica</v>
      </c>
      <c r="N821" t="s">
        <v>19</v>
      </c>
      <c r="O821" t="str">
        <f>VLOOKUP(N821,'Products (2)'!A:G,3,0)</f>
        <v>Light</v>
      </c>
      <c r="P821">
        <f>VLOOKUP(N821,'Products (2)'!A:G,7,0)</f>
        <v>0.61814999999999998</v>
      </c>
      <c r="Q821">
        <v>1</v>
      </c>
      <c r="R821">
        <f>INDEX([1]products!$A$1:$G$49,MATCH([1]orders!$D821,[1]products!$A$1:$A$49,0),MATCH([1]orders!K$1,[1]products!$A$1:$G$1,0))</f>
        <v>0.2</v>
      </c>
      <c r="S821">
        <f>INDEX([1]products!$A$1:$G$49,MATCH([1]orders!$D821,[1]products!$A$1:$A$49,0),MATCH([1]orders!L$1,[1]products!$A$1:$G$1,0))</f>
        <v>4.7549999999999999</v>
      </c>
      <c r="T821">
        <f t="shared" si="73"/>
        <v>4.7549999999999999</v>
      </c>
      <c r="U821">
        <f t="shared" si="76"/>
        <v>0.61814999999999998</v>
      </c>
      <c r="V821">
        <f t="shared" si="77"/>
        <v>13</v>
      </c>
    </row>
    <row r="822" spans="1:22" x14ac:dyDescent="0.25">
      <c r="A822" t="s">
        <v>1589</v>
      </c>
      <c r="B822">
        <v>43510</v>
      </c>
      <c r="C822" t="str">
        <f t="shared" si="74"/>
        <v>14</v>
      </c>
      <c r="D822" t="str">
        <f t="shared" si="72"/>
        <v>February</v>
      </c>
      <c r="E822" t="str">
        <f t="shared" si="75"/>
        <v>2019</v>
      </c>
      <c r="F822" t="s">
        <v>1590</v>
      </c>
      <c r="G822" t="str">
        <f>VLOOKUP(F822,'Customers (2)'!A:I,2,0)</f>
        <v>Eustace Stenton</v>
      </c>
      <c r="H822" t="str">
        <f>VLOOKUP(F822,'Customers (2)'!A:I,3,0)</f>
        <v>estentonms@google.it</v>
      </c>
      <c r="I822" t="str">
        <f>VLOOKUP(F822,'Customers (2)'!A:I,4,0)</f>
        <v>+1 (512) 819-1430</v>
      </c>
      <c r="J822" t="str">
        <f>VLOOKUP(F822,'Customers (2)'!A:I,6,0)</f>
        <v>Austin</v>
      </c>
      <c r="K822" t="str">
        <f>VLOOKUP(F822,'Customers (2)'!A:I,7,0)</f>
        <v>United States</v>
      </c>
      <c r="L822" t="str">
        <f>VLOOKUP(F822,'Customers (2)'!A:I,9,0)</f>
        <v>Yes</v>
      </c>
      <c r="M822" t="str">
        <f>VLOOKUP(N822,'Products (2)'!A:G,2,0)</f>
        <v>Excelsa</v>
      </c>
      <c r="N822" t="s">
        <v>9</v>
      </c>
      <c r="O822" t="str">
        <f>VLOOKUP(N822,'Products (2)'!A:G,3,0)</f>
        <v>Medium</v>
      </c>
      <c r="P822">
        <f>VLOOKUP(N822,'Products (2)'!A:G,7,0)</f>
        <v>1.5125</v>
      </c>
      <c r="Q822">
        <v>4</v>
      </c>
      <c r="R822">
        <f>INDEX([1]products!$A$1:$G$49,MATCH([1]orders!$D822,[1]products!$A$1:$A$49,0),MATCH([1]orders!K$1,[1]products!$A$1:$G$1,0))</f>
        <v>1</v>
      </c>
      <c r="S822">
        <f>INDEX([1]products!$A$1:$G$49,MATCH([1]orders!$D822,[1]products!$A$1:$A$49,0),MATCH([1]orders!L$1,[1]products!$A$1:$G$1,0))</f>
        <v>13.75</v>
      </c>
      <c r="T822">
        <f t="shared" si="73"/>
        <v>55</v>
      </c>
      <c r="U822">
        <f t="shared" si="76"/>
        <v>6.05</v>
      </c>
      <c r="V822">
        <f t="shared" si="77"/>
        <v>11</v>
      </c>
    </row>
    <row r="823" spans="1:22" x14ac:dyDescent="0.25">
      <c r="A823" t="s">
        <v>1591</v>
      </c>
      <c r="B823">
        <v>44144</v>
      </c>
      <c r="C823" t="str">
        <f t="shared" si="74"/>
        <v>09</v>
      </c>
      <c r="D823" t="str">
        <f t="shared" si="72"/>
        <v>November</v>
      </c>
      <c r="E823" t="str">
        <f t="shared" si="75"/>
        <v>2020</v>
      </c>
      <c r="F823" t="s">
        <v>1592</v>
      </c>
      <c r="G823" t="str">
        <f>VLOOKUP(F823,'Customers (2)'!A:I,2,0)</f>
        <v>Ericka Tripp</v>
      </c>
      <c r="H823" t="str">
        <f>VLOOKUP(F823,'Customers (2)'!A:I,3,0)</f>
        <v>etrippmt@wp.com</v>
      </c>
      <c r="I823" t="str">
        <f>VLOOKUP(F823,'Customers (2)'!A:I,4,0)</f>
        <v>+1 (602) 971-9708</v>
      </c>
      <c r="J823" t="str">
        <f>VLOOKUP(F823,'Customers (2)'!A:I,6,0)</f>
        <v>Mesa</v>
      </c>
      <c r="K823" t="str">
        <f>VLOOKUP(F823,'Customers (2)'!A:I,7,0)</f>
        <v>United States</v>
      </c>
      <c r="L823" t="str">
        <f>VLOOKUP(F823,'Customers (2)'!A:I,9,0)</f>
        <v>No</v>
      </c>
      <c r="M823" t="str">
        <f>VLOOKUP(N823,'Products (2)'!A:G,2,0)</f>
        <v>Robusta</v>
      </c>
      <c r="N823" t="s">
        <v>146</v>
      </c>
      <c r="O823" t="str">
        <f>VLOOKUP(N823,'Products (2)'!A:G,3,0)</f>
        <v>Dark</v>
      </c>
      <c r="P823">
        <f>VLOOKUP(N823,'Products (2)'!A:G,7,0)</f>
        <v>0.32219999999999993</v>
      </c>
      <c r="Q823">
        <v>5</v>
      </c>
      <c r="R823">
        <f>INDEX([1]products!$A$1:$G$49,MATCH([1]orders!$D823,[1]products!$A$1:$A$49,0),MATCH([1]orders!K$1,[1]products!$A$1:$G$1,0))</f>
        <v>0.5</v>
      </c>
      <c r="S823">
        <f>INDEX([1]products!$A$1:$G$49,MATCH([1]orders!$D823,[1]products!$A$1:$A$49,0),MATCH([1]orders!L$1,[1]products!$A$1:$G$1,0))</f>
        <v>5.3699999999999992</v>
      </c>
      <c r="T823">
        <f t="shared" si="73"/>
        <v>26.849999999999994</v>
      </c>
      <c r="U823">
        <f t="shared" si="76"/>
        <v>1.6109999999999998</v>
      </c>
      <c r="V823">
        <f t="shared" si="77"/>
        <v>6.0000000000000009</v>
      </c>
    </row>
    <row r="824" spans="1:22" x14ac:dyDescent="0.25">
      <c r="A824" t="s">
        <v>1593</v>
      </c>
      <c r="B824">
        <v>43585</v>
      </c>
      <c r="C824" t="str">
        <f t="shared" si="74"/>
        <v>30</v>
      </c>
      <c r="D824" t="str">
        <f t="shared" si="72"/>
        <v>April</v>
      </c>
      <c r="E824" t="str">
        <f t="shared" si="75"/>
        <v>2019</v>
      </c>
      <c r="F824" t="s">
        <v>1594</v>
      </c>
      <c r="G824" t="str">
        <f>VLOOKUP(F824,'Customers (2)'!A:I,2,0)</f>
        <v>Lyndsey MacManus</v>
      </c>
      <c r="H824" t="str">
        <f>VLOOKUP(F824,'Customers (2)'!A:I,3,0)</f>
        <v>lmacmanusmu@imdb.com</v>
      </c>
      <c r="I824" t="str">
        <f>VLOOKUP(F824,'Customers (2)'!A:I,4,0)</f>
        <v>+1 (912) 191-6620</v>
      </c>
      <c r="J824" t="str">
        <f>VLOOKUP(F824,'Customers (2)'!A:I,6,0)</f>
        <v>Savannah</v>
      </c>
      <c r="K824" t="str">
        <f>VLOOKUP(F824,'Customers (2)'!A:I,7,0)</f>
        <v>United States</v>
      </c>
      <c r="L824" t="str">
        <f>VLOOKUP(F824,'Customers (2)'!A:I,9,0)</f>
        <v>No</v>
      </c>
      <c r="M824" t="str">
        <f>VLOOKUP(N824,'Products (2)'!A:G,2,0)</f>
        <v>Excelsa</v>
      </c>
      <c r="N824" t="s">
        <v>30</v>
      </c>
      <c r="O824" t="str">
        <f>VLOOKUP(N824,'Products (2)'!A:G,3,0)</f>
        <v>Light</v>
      </c>
      <c r="P824">
        <f>VLOOKUP(N824,'Products (2)'!A:G,7,0)</f>
        <v>3.7570499999999996</v>
      </c>
      <c r="Q824">
        <v>4</v>
      </c>
      <c r="R824">
        <f>INDEX([1]products!$A$1:$G$49,MATCH([1]orders!$D824,[1]products!$A$1:$A$49,0),MATCH([1]orders!K$1,[1]products!$A$1:$G$1,0))</f>
        <v>2.5</v>
      </c>
      <c r="S824">
        <f>INDEX([1]products!$A$1:$G$49,MATCH([1]orders!$D824,[1]products!$A$1:$A$49,0),MATCH([1]orders!L$1,[1]products!$A$1:$G$1,0))</f>
        <v>34.154999999999994</v>
      </c>
      <c r="T824">
        <f t="shared" si="73"/>
        <v>136.61999999999998</v>
      </c>
      <c r="U824">
        <f t="shared" si="76"/>
        <v>15.028199999999998</v>
      </c>
      <c r="V824">
        <f t="shared" si="77"/>
        <v>11</v>
      </c>
    </row>
    <row r="825" spans="1:22" x14ac:dyDescent="0.25">
      <c r="A825" t="s">
        <v>1595</v>
      </c>
      <c r="B825">
        <v>44134</v>
      </c>
      <c r="C825" t="str">
        <f t="shared" si="74"/>
        <v>30</v>
      </c>
      <c r="D825" t="str">
        <f t="shared" si="72"/>
        <v>October</v>
      </c>
      <c r="E825" t="str">
        <f t="shared" si="75"/>
        <v>2020</v>
      </c>
      <c r="F825" t="s">
        <v>1596</v>
      </c>
      <c r="G825" t="str">
        <f>VLOOKUP(F825,'Customers (2)'!A:I,2,0)</f>
        <v>Tess Benediktovich</v>
      </c>
      <c r="H825" t="str">
        <f>VLOOKUP(F825,'Customers (2)'!A:I,3,0)</f>
        <v>tbenediktovichmv@ebay.com</v>
      </c>
      <c r="I825" t="str">
        <f>VLOOKUP(F825,'Customers (2)'!A:I,4,0)</f>
        <v>+1 (505) 523-8113</v>
      </c>
      <c r="J825" t="str">
        <f>VLOOKUP(F825,'Customers (2)'!A:I,6,0)</f>
        <v>Albuquerque</v>
      </c>
      <c r="K825" t="str">
        <f>VLOOKUP(F825,'Customers (2)'!A:I,7,0)</f>
        <v>United States</v>
      </c>
      <c r="L825" t="str">
        <f>VLOOKUP(F825,'Customers (2)'!A:I,9,0)</f>
        <v>Yes</v>
      </c>
      <c r="M825" t="str">
        <f>VLOOKUP(N825,'Products (2)'!A:G,2,0)</f>
        <v>Liberica</v>
      </c>
      <c r="N825" t="s">
        <v>132</v>
      </c>
      <c r="O825" t="str">
        <f>VLOOKUP(N825,'Products (2)'!A:G,3,0)</f>
        <v>Light</v>
      </c>
      <c r="P825">
        <f>VLOOKUP(N825,'Products (2)'!A:G,7,0)</f>
        <v>2.0605000000000002</v>
      </c>
      <c r="Q825">
        <v>3</v>
      </c>
      <c r="R825">
        <f>INDEX([1]products!$A$1:$G$49,MATCH([1]orders!$D825,[1]products!$A$1:$A$49,0),MATCH([1]orders!K$1,[1]products!$A$1:$G$1,0))</f>
        <v>1</v>
      </c>
      <c r="S825">
        <f>INDEX([1]products!$A$1:$G$49,MATCH([1]orders!$D825,[1]products!$A$1:$A$49,0),MATCH([1]orders!L$1,[1]products!$A$1:$G$1,0))</f>
        <v>15.85</v>
      </c>
      <c r="T825">
        <f t="shared" si="73"/>
        <v>47.55</v>
      </c>
      <c r="U825">
        <f t="shared" si="76"/>
        <v>6.1815000000000007</v>
      </c>
      <c r="V825">
        <f t="shared" si="77"/>
        <v>13.000000000000004</v>
      </c>
    </row>
    <row r="826" spans="1:22" x14ac:dyDescent="0.25">
      <c r="A826" t="s">
        <v>1597</v>
      </c>
      <c r="B826">
        <v>43781</v>
      </c>
      <c r="C826" t="str">
        <f t="shared" si="74"/>
        <v>12</v>
      </c>
      <c r="D826" t="str">
        <f t="shared" si="72"/>
        <v>November</v>
      </c>
      <c r="E826" t="str">
        <f t="shared" si="75"/>
        <v>2019</v>
      </c>
      <c r="F826" t="s">
        <v>1598</v>
      </c>
      <c r="G826" t="str">
        <f>VLOOKUP(F826,'Customers (2)'!A:I,2,0)</f>
        <v>Correy Bourner</v>
      </c>
      <c r="H826" t="str">
        <f>VLOOKUP(F826,'Customers (2)'!A:I,3,0)</f>
        <v>cbournermw@chronoengine.com</v>
      </c>
      <c r="I826">
        <f>VLOOKUP(F826,'Customers (2)'!A:I,4,0)</f>
        <v>0</v>
      </c>
      <c r="J826" t="str">
        <f>VLOOKUP(F826,'Customers (2)'!A:I,6,0)</f>
        <v>Charlotte</v>
      </c>
      <c r="K826" t="str">
        <f>VLOOKUP(F826,'Customers (2)'!A:I,7,0)</f>
        <v>United States</v>
      </c>
      <c r="L826" t="str">
        <f>VLOOKUP(F826,'Customers (2)'!A:I,9,0)</f>
        <v>Yes</v>
      </c>
      <c r="M826" t="str">
        <f>VLOOKUP(N826,'Products (2)'!A:G,2,0)</f>
        <v>Arabica</v>
      </c>
      <c r="N826" t="s">
        <v>44</v>
      </c>
      <c r="O826" t="str">
        <f>VLOOKUP(N826,'Products (2)'!A:G,3,0)</f>
        <v>Medium</v>
      </c>
      <c r="P826">
        <f>VLOOKUP(N826,'Products (2)'!A:G,7,0)</f>
        <v>0.30374999999999996</v>
      </c>
      <c r="Q826">
        <v>5</v>
      </c>
      <c r="R826">
        <f>INDEX([1]products!$A$1:$G$49,MATCH([1]orders!$D826,[1]products!$A$1:$A$49,0),MATCH([1]orders!K$1,[1]products!$A$1:$G$1,0))</f>
        <v>0.2</v>
      </c>
      <c r="S826">
        <f>INDEX([1]products!$A$1:$G$49,MATCH([1]orders!$D826,[1]products!$A$1:$A$49,0),MATCH([1]orders!L$1,[1]products!$A$1:$G$1,0))</f>
        <v>3.375</v>
      </c>
      <c r="T826">
        <f t="shared" si="73"/>
        <v>16.875</v>
      </c>
      <c r="U826">
        <f t="shared" si="76"/>
        <v>1.5187499999999998</v>
      </c>
      <c r="V826">
        <f t="shared" si="77"/>
        <v>8.9999999999999982</v>
      </c>
    </row>
    <row r="827" spans="1:22" x14ac:dyDescent="0.25">
      <c r="A827" t="s">
        <v>1599</v>
      </c>
      <c r="B827">
        <v>44603</v>
      </c>
      <c r="C827" t="str">
        <f t="shared" si="74"/>
        <v>11</v>
      </c>
      <c r="D827" t="str">
        <f t="shared" si="72"/>
        <v>February</v>
      </c>
      <c r="E827" t="str">
        <f t="shared" si="75"/>
        <v>2022</v>
      </c>
      <c r="F827" t="s">
        <v>1600</v>
      </c>
      <c r="G827" t="str">
        <f>VLOOKUP(F827,'Customers (2)'!A:I,2,0)</f>
        <v>Odelia Skerme</v>
      </c>
      <c r="H827" t="str">
        <f>VLOOKUP(F827,'Customers (2)'!A:I,3,0)</f>
        <v>oskermen3@hatena.ne.jp</v>
      </c>
      <c r="I827" t="str">
        <f>VLOOKUP(F827,'Customers (2)'!A:I,4,0)</f>
        <v>+1 (405) 615-0298</v>
      </c>
      <c r="J827" t="str">
        <f>VLOOKUP(F827,'Customers (2)'!A:I,6,0)</f>
        <v>Oklahoma City</v>
      </c>
      <c r="K827" t="str">
        <f>VLOOKUP(F827,'Customers (2)'!A:I,7,0)</f>
        <v>United States</v>
      </c>
      <c r="L827" t="str">
        <f>VLOOKUP(F827,'Customers (2)'!A:I,9,0)</f>
        <v>Yes</v>
      </c>
      <c r="M827" t="str">
        <f>VLOOKUP(N827,'Products (2)'!A:G,2,0)</f>
        <v>Arabica</v>
      </c>
      <c r="N827" t="s">
        <v>27</v>
      </c>
      <c r="O827" t="str">
        <f>VLOOKUP(N827,'Products (2)'!A:G,3,0)</f>
        <v>Dark</v>
      </c>
      <c r="P827">
        <f>VLOOKUP(N827,'Products (2)'!A:G,7,0)</f>
        <v>0.89549999999999985</v>
      </c>
      <c r="Q827">
        <v>3</v>
      </c>
      <c r="R827">
        <f>INDEX([1]products!$A$1:$G$49,MATCH([1]orders!$D827,[1]products!$A$1:$A$49,0),MATCH([1]orders!K$1,[1]products!$A$1:$G$1,0))</f>
        <v>1</v>
      </c>
      <c r="S827">
        <f>INDEX([1]products!$A$1:$G$49,MATCH([1]orders!$D827,[1]products!$A$1:$A$49,0),MATCH([1]orders!L$1,[1]products!$A$1:$G$1,0))</f>
        <v>9.9499999999999993</v>
      </c>
      <c r="T827">
        <f t="shared" si="73"/>
        <v>29.849999999999998</v>
      </c>
      <c r="U827">
        <f t="shared" si="76"/>
        <v>2.6864999999999997</v>
      </c>
      <c r="V827">
        <f t="shared" si="77"/>
        <v>9</v>
      </c>
    </row>
    <row r="828" spans="1:22" x14ac:dyDescent="0.25">
      <c r="A828" t="s">
        <v>1601</v>
      </c>
      <c r="B828">
        <v>44283</v>
      </c>
      <c r="C828" t="str">
        <f t="shared" si="74"/>
        <v>28</v>
      </c>
      <c r="D828" t="str">
        <f t="shared" si="72"/>
        <v>March</v>
      </c>
      <c r="E828" t="str">
        <f t="shared" si="75"/>
        <v>2021</v>
      </c>
      <c r="F828" t="s">
        <v>1602</v>
      </c>
      <c r="G828" t="str">
        <f>VLOOKUP(F828,'Customers (2)'!A:I,2,0)</f>
        <v>Kandy Heddan</v>
      </c>
      <c r="H828" t="str">
        <f>VLOOKUP(F828,'Customers (2)'!A:I,3,0)</f>
        <v>kheddanmy@icq.com</v>
      </c>
      <c r="I828" t="str">
        <f>VLOOKUP(F828,'Customers (2)'!A:I,4,0)</f>
        <v>+1 (850) 796-6812</v>
      </c>
      <c r="J828" t="str">
        <f>VLOOKUP(F828,'Customers (2)'!A:I,6,0)</f>
        <v>Pensacola</v>
      </c>
      <c r="K828" t="str">
        <f>VLOOKUP(F828,'Customers (2)'!A:I,7,0)</f>
        <v>United States</v>
      </c>
      <c r="L828" t="str">
        <f>VLOOKUP(F828,'Customers (2)'!A:I,9,0)</f>
        <v>Yes</v>
      </c>
      <c r="M828" t="str">
        <f>VLOOKUP(N828,'Products (2)'!A:G,2,0)</f>
        <v>Excelsa</v>
      </c>
      <c r="N828" t="s">
        <v>3</v>
      </c>
      <c r="O828" t="str">
        <f>VLOOKUP(N828,'Products (2)'!A:G,3,0)</f>
        <v>Medium</v>
      </c>
      <c r="P828">
        <f>VLOOKUP(N828,'Products (2)'!A:G,7,0)</f>
        <v>0.90749999999999997</v>
      </c>
      <c r="Q828">
        <v>5</v>
      </c>
      <c r="R828">
        <f>INDEX([1]products!$A$1:$G$49,MATCH([1]orders!$D828,[1]products!$A$1:$A$49,0),MATCH([1]orders!K$1,[1]products!$A$1:$G$1,0))</f>
        <v>0.5</v>
      </c>
      <c r="S828">
        <f>INDEX([1]products!$A$1:$G$49,MATCH([1]orders!$D828,[1]products!$A$1:$A$49,0),MATCH([1]orders!L$1,[1]products!$A$1:$G$1,0))</f>
        <v>8.25</v>
      </c>
      <c r="T828">
        <f t="shared" si="73"/>
        <v>41.25</v>
      </c>
      <c r="U828">
        <f t="shared" si="76"/>
        <v>4.5374999999999996</v>
      </c>
      <c r="V828">
        <f t="shared" si="77"/>
        <v>10.999999999999998</v>
      </c>
    </row>
    <row r="829" spans="1:22" x14ac:dyDescent="0.25">
      <c r="A829" t="s">
        <v>1603</v>
      </c>
      <c r="B829">
        <v>44540</v>
      </c>
      <c r="C829" t="str">
        <f t="shared" si="74"/>
        <v>10</v>
      </c>
      <c r="D829" t="str">
        <f t="shared" si="72"/>
        <v>December</v>
      </c>
      <c r="E829" t="str">
        <f t="shared" si="75"/>
        <v>2021</v>
      </c>
      <c r="F829" t="s">
        <v>1604</v>
      </c>
      <c r="G829" t="str">
        <f>VLOOKUP(F829,'Customers (2)'!A:I,2,0)</f>
        <v>Ibby Charters</v>
      </c>
      <c r="H829" t="str">
        <f>VLOOKUP(F829,'Customers (2)'!A:I,3,0)</f>
        <v>ichartersmz@abc.net.au</v>
      </c>
      <c r="I829" t="str">
        <f>VLOOKUP(F829,'Customers (2)'!A:I,4,0)</f>
        <v>+1 (202) 710-9776</v>
      </c>
      <c r="J829" t="str">
        <f>VLOOKUP(F829,'Customers (2)'!A:I,6,0)</f>
        <v>Washington</v>
      </c>
      <c r="K829" t="str">
        <f>VLOOKUP(F829,'Customers (2)'!A:I,7,0)</f>
        <v>United States</v>
      </c>
      <c r="L829" t="str">
        <f>VLOOKUP(F829,'Customers (2)'!A:I,9,0)</f>
        <v>No</v>
      </c>
      <c r="M829" t="str">
        <f>VLOOKUP(N829,'Products (2)'!A:G,2,0)</f>
        <v>Excelsa</v>
      </c>
      <c r="N829" t="s">
        <v>64</v>
      </c>
      <c r="O829" t="str">
        <f>VLOOKUP(N829,'Products (2)'!A:G,3,0)</f>
        <v>Medium</v>
      </c>
      <c r="P829">
        <f>VLOOKUP(N829,'Products (2)'!A:G,7,0)</f>
        <v>0.45374999999999999</v>
      </c>
      <c r="Q829">
        <v>5</v>
      </c>
      <c r="R829">
        <f>INDEX([1]products!$A$1:$G$49,MATCH([1]orders!$D829,[1]products!$A$1:$A$49,0),MATCH([1]orders!K$1,[1]products!$A$1:$G$1,0))</f>
        <v>0.2</v>
      </c>
      <c r="S829">
        <f>INDEX([1]products!$A$1:$G$49,MATCH([1]orders!$D829,[1]products!$A$1:$A$49,0),MATCH([1]orders!L$1,[1]products!$A$1:$G$1,0))</f>
        <v>4.125</v>
      </c>
      <c r="T829">
        <f t="shared" si="73"/>
        <v>20.625</v>
      </c>
      <c r="U829">
        <f t="shared" si="76"/>
        <v>2.2687499999999998</v>
      </c>
      <c r="V829">
        <f t="shared" si="77"/>
        <v>10.999999999999998</v>
      </c>
    </row>
    <row r="830" spans="1:22" x14ac:dyDescent="0.25">
      <c r="A830" t="s">
        <v>1605</v>
      </c>
      <c r="B830">
        <v>44505</v>
      </c>
      <c r="C830" t="str">
        <f t="shared" si="74"/>
        <v>05</v>
      </c>
      <c r="D830" t="str">
        <f t="shared" si="72"/>
        <v>November</v>
      </c>
      <c r="E830" t="str">
        <f t="shared" si="75"/>
        <v>2021</v>
      </c>
      <c r="F830" t="s">
        <v>1606</v>
      </c>
      <c r="G830" t="str">
        <f>VLOOKUP(F830,'Customers (2)'!A:I,2,0)</f>
        <v>Adora Roubert</v>
      </c>
      <c r="H830" t="str">
        <f>VLOOKUP(F830,'Customers (2)'!A:I,3,0)</f>
        <v>aroubertn0@tmall.com</v>
      </c>
      <c r="I830" t="str">
        <f>VLOOKUP(F830,'Customers (2)'!A:I,4,0)</f>
        <v>+1 (772) 366-6549</v>
      </c>
      <c r="J830" t="str">
        <f>VLOOKUP(F830,'Customers (2)'!A:I,6,0)</f>
        <v>Port Saint Lucie</v>
      </c>
      <c r="K830" t="str">
        <f>VLOOKUP(F830,'Customers (2)'!A:I,7,0)</f>
        <v>United States</v>
      </c>
      <c r="L830" t="str">
        <f>VLOOKUP(F830,'Customers (2)'!A:I,9,0)</f>
        <v>Yes</v>
      </c>
      <c r="M830" t="str">
        <f>VLOOKUP(N830,'Products (2)'!A:G,2,0)</f>
        <v>Arabica</v>
      </c>
      <c r="N830" t="s">
        <v>118</v>
      </c>
      <c r="O830" t="str">
        <f>VLOOKUP(N830,'Products (2)'!A:G,3,0)</f>
        <v>Dark</v>
      </c>
      <c r="P830">
        <f>VLOOKUP(N830,'Products (2)'!A:G,7,0)</f>
        <v>2.0596499999999995</v>
      </c>
      <c r="Q830">
        <v>6</v>
      </c>
      <c r="R830">
        <f>INDEX([1]products!$A$1:$G$49,MATCH([1]orders!$D830,[1]products!$A$1:$A$49,0),MATCH([1]orders!K$1,[1]products!$A$1:$G$1,0))</f>
        <v>2.5</v>
      </c>
      <c r="S830">
        <f>INDEX([1]products!$A$1:$G$49,MATCH([1]orders!$D830,[1]products!$A$1:$A$49,0),MATCH([1]orders!L$1,[1]products!$A$1:$G$1,0))</f>
        <v>22.884999999999998</v>
      </c>
      <c r="T830">
        <f t="shared" si="73"/>
        <v>137.31</v>
      </c>
      <c r="U830">
        <f t="shared" si="76"/>
        <v>12.357899999999997</v>
      </c>
      <c r="V830">
        <f t="shared" si="77"/>
        <v>8.9999999999999982</v>
      </c>
    </row>
    <row r="831" spans="1:22" x14ac:dyDescent="0.25">
      <c r="A831" t="s">
        <v>1607</v>
      </c>
      <c r="B831">
        <v>43890</v>
      </c>
      <c r="C831" t="str">
        <f t="shared" si="74"/>
        <v>29</v>
      </c>
      <c r="D831" t="str">
        <f t="shared" si="72"/>
        <v>February</v>
      </c>
      <c r="E831" t="str">
        <f t="shared" si="75"/>
        <v>2020</v>
      </c>
      <c r="F831" t="s">
        <v>1608</v>
      </c>
      <c r="G831" t="str">
        <f>VLOOKUP(F831,'Customers (2)'!A:I,2,0)</f>
        <v>Hillel Mairs</v>
      </c>
      <c r="H831" t="str">
        <f>VLOOKUP(F831,'Customers (2)'!A:I,3,0)</f>
        <v>hmairsn1@so-net.ne.jp</v>
      </c>
      <c r="I831" t="str">
        <f>VLOOKUP(F831,'Customers (2)'!A:I,4,0)</f>
        <v>+1 (304) 834-9665</v>
      </c>
      <c r="J831" t="str">
        <f>VLOOKUP(F831,'Customers (2)'!A:I,6,0)</f>
        <v>Huntington</v>
      </c>
      <c r="K831" t="str">
        <f>VLOOKUP(F831,'Customers (2)'!A:I,7,0)</f>
        <v>United States</v>
      </c>
      <c r="L831" t="str">
        <f>VLOOKUP(F831,'Customers (2)'!A:I,9,0)</f>
        <v>No</v>
      </c>
      <c r="M831" t="str">
        <f>VLOOKUP(N831,'Products (2)'!A:G,2,0)</f>
        <v>Arabica</v>
      </c>
      <c r="N831" t="s">
        <v>54</v>
      </c>
      <c r="O831" t="str">
        <f>VLOOKUP(N831,'Products (2)'!A:G,3,0)</f>
        <v>Dark</v>
      </c>
      <c r="P831">
        <f>VLOOKUP(N831,'Products (2)'!A:G,7,0)</f>
        <v>0.26865</v>
      </c>
      <c r="Q831">
        <v>1</v>
      </c>
      <c r="R831">
        <f>INDEX([1]products!$A$1:$G$49,MATCH([1]orders!$D831,[1]products!$A$1:$A$49,0),MATCH([1]orders!K$1,[1]products!$A$1:$G$1,0))</f>
        <v>0.2</v>
      </c>
      <c r="S831">
        <f>INDEX([1]products!$A$1:$G$49,MATCH([1]orders!$D831,[1]products!$A$1:$A$49,0),MATCH([1]orders!L$1,[1]products!$A$1:$G$1,0))</f>
        <v>2.9849999999999999</v>
      </c>
      <c r="T831">
        <f t="shared" si="73"/>
        <v>2.9849999999999999</v>
      </c>
      <c r="U831">
        <f t="shared" si="76"/>
        <v>0.26865</v>
      </c>
      <c r="V831">
        <f t="shared" si="77"/>
        <v>9.0000000000000018</v>
      </c>
    </row>
    <row r="832" spans="1:22" x14ac:dyDescent="0.25">
      <c r="A832" t="s">
        <v>1609</v>
      </c>
      <c r="B832">
        <v>44414</v>
      </c>
      <c r="C832" t="str">
        <f t="shared" si="74"/>
        <v>06</v>
      </c>
      <c r="D832" t="str">
        <f t="shared" si="72"/>
        <v>August</v>
      </c>
      <c r="E832" t="str">
        <f t="shared" si="75"/>
        <v>2021</v>
      </c>
      <c r="F832" t="s">
        <v>1610</v>
      </c>
      <c r="G832" t="str">
        <f>VLOOKUP(F832,'Customers (2)'!A:I,2,0)</f>
        <v>Helaina Rainforth</v>
      </c>
      <c r="H832" t="str">
        <f>VLOOKUP(F832,'Customers (2)'!A:I,3,0)</f>
        <v>hrainforthn2@blog.com</v>
      </c>
      <c r="I832" t="str">
        <f>VLOOKUP(F832,'Customers (2)'!A:I,4,0)</f>
        <v>+1 (215) 607-9440</v>
      </c>
      <c r="J832" t="str">
        <f>VLOOKUP(F832,'Customers (2)'!A:I,6,0)</f>
        <v>Philadelphia</v>
      </c>
      <c r="K832" t="str">
        <f>VLOOKUP(F832,'Customers (2)'!A:I,7,0)</f>
        <v>United States</v>
      </c>
      <c r="L832" t="str">
        <f>VLOOKUP(F832,'Customers (2)'!A:I,9,0)</f>
        <v>No</v>
      </c>
      <c r="M832" t="str">
        <f>VLOOKUP(N832,'Products (2)'!A:G,2,0)</f>
        <v>Excelsa</v>
      </c>
      <c r="N832" t="s">
        <v>9</v>
      </c>
      <c r="O832" t="str">
        <f>VLOOKUP(N832,'Products (2)'!A:G,3,0)</f>
        <v>Medium</v>
      </c>
      <c r="P832">
        <f>VLOOKUP(N832,'Products (2)'!A:G,7,0)</f>
        <v>1.5125</v>
      </c>
      <c r="Q832">
        <v>2</v>
      </c>
      <c r="R832">
        <f>INDEX([1]products!$A$1:$G$49,MATCH([1]orders!$D832,[1]products!$A$1:$A$49,0),MATCH([1]orders!K$1,[1]products!$A$1:$G$1,0))</f>
        <v>1</v>
      </c>
      <c r="S832">
        <f>INDEX([1]products!$A$1:$G$49,MATCH([1]orders!$D832,[1]products!$A$1:$A$49,0),MATCH([1]orders!L$1,[1]products!$A$1:$G$1,0))</f>
        <v>13.75</v>
      </c>
      <c r="T832">
        <f t="shared" si="73"/>
        <v>27.5</v>
      </c>
      <c r="U832">
        <f t="shared" si="76"/>
        <v>3.0249999999999999</v>
      </c>
      <c r="V832">
        <f t="shared" si="77"/>
        <v>11</v>
      </c>
    </row>
    <row r="833" spans="1:22" x14ac:dyDescent="0.25">
      <c r="A833" t="s">
        <v>1609</v>
      </c>
      <c r="B833">
        <v>44414</v>
      </c>
      <c r="C833" t="str">
        <f t="shared" si="74"/>
        <v>06</v>
      </c>
      <c r="D833" t="str">
        <f t="shared" si="72"/>
        <v>August</v>
      </c>
      <c r="E833" t="str">
        <f t="shared" si="75"/>
        <v>2021</v>
      </c>
      <c r="F833" t="s">
        <v>1610</v>
      </c>
      <c r="G833" t="str">
        <f>VLOOKUP(F833,'Customers (2)'!A:I,2,0)</f>
        <v>Helaina Rainforth</v>
      </c>
      <c r="H833" t="str">
        <f>VLOOKUP(F833,'Customers (2)'!A:I,3,0)</f>
        <v>hrainforthn2@blog.com</v>
      </c>
      <c r="I833" t="str">
        <f>VLOOKUP(F833,'Customers (2)'!A:I,4,0)</f>
        <v>+1 (215) 607-9440</v>
      </c>
      <c r="J833" t="str">
        <f>VLOOKUP(F833,'Customers (2)'!A:I,6,0)</f>
        <v>Philadelphia</v>
      </c>
      <c r="K833" t="str">
        <f>VLOOKUP(F833,'Customers (2)'!A:I,7,0)</f>
        <v>United States</v>
      </c>
      <c r="L833" t="str">
        <f>VLOOKUP(F833,'Customers (2)'!A:I,9,0)</f>
        <v>No</v>
      </c>
      <c r="M833" t="str">
        <f>VLOOKUP(N833,'Products (2)'!A:G,2,0)</f>
        <v>Arabica</v>
      </c>
      <c r="N833" t="s">
        <v>54</v>
      </c>
      <c r="O833" t="str">
        <f>VLOOKUP(N833,'Products (2)'!A:G,3,0)</f>
        <v>Dark</v>
      </c>
      <c r="P833">
        <f>VLOOKUP(N833,'Products (2)'!A:G,7,0)</f>
        <v>0.26865</v>
      </c>
      <c r="Q833">
        <v>2</v>
      </c>
      <c r="R833">
        <f>INDEX([1]products!$A$1:$G$49,MATCH([1]orders!$D833,[1]products!$A$1:$A$49,0),MATCH([1]orders!K$1,[1]products!$A$1:$G$1,0))</f>
        <v>0.2</v>
      </c>
      <c r="S833">
        <f>INDEX([1]products!$A$1:$G$49,MATCH([1]orders!$D833,[1]products!$A$1:$A$49,0),MATCH([1]orders!L$1,[1]products!$A$1:$G$1,0))</f>
        <v>2.9849999999999999</v>
      </c>
      <c r="T833">
        <f t="shared" si="73"/>
        <v>5.97</v>
      </c>
      <c r="U833">
        <f t="shared" si="76"/>
        <v>0.5373</v>
      </c>
      <c r="V833">
        <f t="shared" si="77"/>
        <v>9.0000000000000018</v>
      </c>
    </row>
    <row r="834" spans="1:22" x14ac:dyDescent="0.25">
      <c r="A834" t="s">
        <v>1611</v>
      </c>
      <c r="B834">
        <v>44274</v>
      </c>
      <c r="C834" t="str">
        <f t="shared" si="74"/>
        <v>19</v>
      </c>
      <c r="D834" t="str">
        <f t="shared" ref="D834:D897" si="78">TEXT(B:B,"MMMM")</f>
        <v>March</v>
      </c>
      <c r="E834" t="str">
        <f t="shared" si="75"/>
        <v>2021</v>
      </c>
      <c r="F834" t="s">
        <v>1612</v>
      </c>
      <c r="G834" t="str">
        <f>VLOOKUP(F834,'Customers (2)'!A:I,2,0)</f>
        <v>Isac Jesper</v>
      </c>
      <c r="H834" t="str">
        <f>VLOOKUP(F834,'Customers (2)'!A:I,3,0)</f>
        <v>ijespern4@theglobeandmail.com</v>
      </c>
      <c r="I834" t="str">
        <f>VLOOKUP(F834,'Customers (2)'!A:I,4,0)</f>
        <v>+1 (239) 918-0943</v>
      </c>
      <c r="J834" t="str">
        <f>VLOOKUP(F834,'Customers (2)'!A:I,6,0)</f>
        <v>Naples</v>
      </c>
      <c r="K834" t="str">
        <f>VLOOKUP(F834,'Customers (2)'!A:I,7,0)</f>
        <v>United States</v>
      </c>
      <c r="L834" t="str">
        <f>VLOOKUP(F834,'Customers (2)'!A:I,9,0)</f>
        <v>No</v>
      </c>
      <c r="M834" t="str">
        <f>VLOOKUP(N834,'Products (2)'!A:G,2,0)</f>
        <v>Robusta</v>
      </c>
      <c r="N834" t="s">
        <v>2</v>
      </c>
      <c r="O834" t="str">
        <f>VLOOKUP(N834,'Products (2)'!A:G,3,0)</f>
        <v>Medium</v>
      </c>
      <c r="P834">
        <f>VLOOKUP(N834,'Products (2)'!A:G,7,0)</f>
        <v>0.59699999999999998</v>
      </c>
      <c r="Q834">
        <v>6</v>
      </c>
      <c r="R834">
        <f>INDEX([1]products!$A$1:$G$49,MATCH([1]orders!$D834,[1]products!$A$1:$A$49,0),MATCH([1]orders!K$1,[1]products!$A$1:$G$1,0))</f>
        <v>1</v>
      </c>
      <c r="S834">
        <f>INDEX([1]products!$A$1:$G$49,MATCH([1]orders!$D834,[1]products!$A$1:$A$49,0),MATCH([1]orders!L$1,[1]products!$A$1:$G$1,0))</f>
        <v>9.9499999999999993</v>
      </c>
      <c r="T834">
        <f t="shared" ref="T834:T897" si="79">Q834*S834</f>
        <v>59.699999999999996</v>
      </c>
      <c r="U834">
        <f t="shared" si="76"/>
        <v>3.5819999999999999</v>
      </c>
      <c r="V834">
        <f t="shared" si="77"/>
        <v>6.0000000000000009</v>
      </c>
    </row>
    <row r="835" spans="1:22" x14ac:dyDescent="0.25">
      <c r="A835" t="s">
        <v>1613</v>
      </c>
      <c r="B835">
        <v>44302</v>
      </c>
      <c r="C835" t="str">
        <f t="shared" ref="C835:C898" si="80">TEXT(B:B,"DD")</f>
        <v>16</v>
      </c>
      <c r="D835" t="str">
        <f t="shared" si="78"/>
        <v>April</v>
      </c>
      <c r="E835" t="str">
        <f t="shared" ref="E835:E898" si="81">TEXT(B:B,"yyyy")</f>
        <v>2021</v>
      </c>
      <c r="F835" t="s">
        <v>1614</v>
      </c>
      <c r="G835" t="str">
        <f>VLOOKUP(F835,'Customers (2)'!A:I,2,0)</f>
        <v>Lenette Dwerryhouse</v>
      </c>
      <c r="H835" t="str">
        <f>VLOOKUP(F835,'Customers (2)'!A:I,3,0)</f>
        <v>ldwerryhousen5@gravatar.com</v>
      </c>
      <c r="I835" t="str">
        <f>VLOOKUP(F835,'Customers (2)'!A:I,4,0)</f>
        <v>+1 (682) 812-1698</v>
      </c>
      <c r="J835" t="str">
        <f>VLOOKUP(F835,'Customers (2)'!A:I,6,0)</f>
        <v>Fort Worth</v>
      </c>
      <c r="K835" t="str">
        <f>VLOOKUP(F835,'Customers (2)'!A:I,7,0)</f>
        <v>United States</v>
      </c>
      <c r="L835" t="str">
        <f>VLOOKUP(F835,'Customers (2)'!A:I,9,0)</f>
        <v>Yes</v>
      </c>
      <c r="M835" t="str">
        <f>VLOOKUP(N835,'Products (2)'!A:G,2,0)</f>
        <v>Robusta</v>
      </c>
      <c r="N835" t="s">
        <v>35</v>
      </c>
      <c r="O835" t="str">
        <f>VLOOKUP(N835,'Products (2)'!A:G,3,0)</f>
        <v>Dark</v>
      </c>
      <c r="P835">
        <f>VLOOKUP(N835,'Products (2)'!A:G,7,0)</f>
        <v>1.2350999999999999</v>
      </c>
      <c r="Q835">
        <v>4</v>
      </c>
      <c r="R835">
        <f>INDEX([1]products!$A$1:$G$49,MATCH([1]orders!$D835,[1]products!$A$1:$A$49,0),MATCH([1]orders!K$1,[1]products!$A$1:$G$1,0))</f>
        <v>2.5</v>
      </c>
      <c r="S835">
        <f>INDEX([1]products!$A$1:$G$49,MATCH([1]orders!$D835,[1]products!$A$1:$A$49,0),MATCH([1]orders!L$1,[1]products!$A$1:$G$1,0))</f>
        <v>20.584999999999997</v>
      </c>
      <c r="T835">
        <f t="shared" si="79"/>
        <v>82.339999999999989</v>
      </c>
      <c r="U835">
        <f t="shared" ref="U835:U898" si="82">Q835*P835</f>
        <v>4.9403999999999995</v>
      </c>
      <c r="V835">
        <f t="shared" ref="V835:V898" si="83">U835/T835*100</f>
        <v>6.0000000000000009</v>
      </c>
    </row>
    <row r="836" spans="1:22" x14ac:dyDescent="0.25">
      <c r="A836" t="s">
        <v>1615</v>
      </c>
      <c r="B836">
        <v>44141</v>
      </c>
      <c r="C836" t="str">
        <f t="shared" si="80"/>
        <v>06</v>
      </c>
      <c r="D836" t="str">
        <f t="shared" si="78"/>
        <v>November</v>
      </c>
      <c r="E836" t="str">
        <f t="shared" si="81"/>
        <v>2020</v>
      </c>
      <c r="F836" t="s">
        <v>1616</v>
      </c>
      <c r="G836" t="str">
        <f>VLOOKUP(F836,'Customers (2)'!A:I,2,0)</f>
        <v>Nadeen Broomer</v>
      </c>
      <c r="H836" t="str">
        <f>VLOOKUP(F836,'Customers (2)'!A:I,3,0)</f>
        <v>nbroomern6@examiner.com</v>
      </c>
      <c r="I836" t="str">
        <f>VLOOKUP(F836,'Customers (2)'!A:I,4,0)</f>
        <v>+1 (402) 219-2018</v>
      </c>
      <c r="J836" t="str">
        <f>VLOOKUP(F836,'Customers (2)'!A:I,6,0)</f>
        <v>Omaha</v>
      </c>
      <c r="K836" t="str">
        <f>VLOOKUP(F836,'Customers (2)'!A:I,7,0)</f>
        <v>United States</v>
      </c>
      <c r="L836" t="str">
        <f>VLOOKUP(F836,'Customers (2)'!A:I,9,0)</f>
        <v>No</v>
      </c>
      <c r="M836" t="str">
        <f>VLOOKUP(N836,'Products (2)'!A:G,2,0)</f>
        <v>Arabica</v>
      </c>
      <c r="N836" t="s">
        <v>118</v>
      </c>
      <c r="O836" t="str">
        <f>VLOOKUP(N836,'Products (2)'!A:G,3,0)</f>
        <v>Dark</v>
      </c>
      <c r="P836">
        <f>VLOOKUP(N836,'Products (2)'!A:G,7,0)</f>
        <v>2.0596499999999995</v>
      </c>
      <c r="Q836">
        <v>1</v>
      </c>
      <c r="R836">
        <f>INDEX([1]products!$A$1:$G$49,MATCH([1]orders!$D836,[1]products!$A$1:$A$49,0),MATCH([1]orders!K$1,[1]products!$A$1:$G$1,0))</f>
        <v>2.5</v>
      </c>
      <c r="S836">
        <f>INDEX([1]products!$A$1:$G$49,MATCH([1]orders!$D836,[1]products!$A$1:$A$49,0),MATCH([1]orders!L$1,[1]products!$A$1:$G$1,0))</f>
        <v>22.884999999999998</v>
      </c>
      <c r="T836">
        <f t="shared" si="79"/>
        <v>22.884999999999998</v>
      </c>
      <c r="U836">
        <f t="shared" si="82"/>
        <v>2.0596499999999995</v>
      </c>
      <c r="V836">
        <f t="shared" si="83"/>
        <v>8.9999999999999982</v>
      </c>
    </row>
    <row r="837" spans="1:22" x14ac:dyDescent="0.25">
      <c r="A837" t="s">
        <v>1617</v>
      </c>
      <c r="B837">
        <v>44270</v>
      </c>
      <c r="C837" t="str">
        <f t="shared" si="80"/>
        <v>15</v>
      </c>
      <c r="D837" t="str">
        <f t="shared" si="78"/>
        <v>March</v>
      </c>
      <c r="E837" t="str">
        <f t="shared" si="81"/>
        <v>2021</v>
      </c>
      <c r="F837" t="s">
        <v>1618</v>
      </c>
      <c r="G837" t="str">
        <f>VLOOKUP(F837,'Customers (2)'!A:I,2,0)</f>
        <v>Konstantine Thoumasson</v>
      </c>
      <c r="H837" t="str">
        <f>VLOOKUP(F837,'Customers (2)'!A:I,3,0)</f>
        <v>kthoumassonn7@bloglovin.com</v>
      </c>
      <c r="I837">
        <f>VLOOKUP(F837,'Customers (2)'!A:I,4,0)</f>
        <v>0</v>
      </c>
      <c r="J837" t="str">
        <f>VLOOKUP(F837,'Customers (2)'!A:I,6,0)</f>
        <v>Tucson</v>
      </c>
      <c r="K837" t="str">
        <f>VLOOKUP(F837,'Customers (2)'!A:I,7,0)</f>
        <v>United States</v>
      </c>
      <c r="L837" t="str">
        <f>VLOOKUP(F837,'Customers (2)'!A:I,9,0)</f>
        <v>Yes</v>
      </c>
      <c r="M837" t="str">
        <f>VLOOKUP(N837,'Products (2)'!A:G,2,0)</f>
        <v>Excelsa</v>
      </c>
      <c r="N837" t="s">
        <v>176</v>
      </c>
      <c r="O837" t="str">
        <f>VLOOKUP(N837,'Products (2)'!A:G,3,0)</f>
        <v>Light</v>
      </c>
      <c r="P837">
        <f>VLOOKUP(N837,'Products (2)'!A:G,7,0)</f>
        <v>0.98009999999999997</v>
      </c>
      <c r="Q837">
        <v>1</v>
      </c>
      <c r="R837">
        <f>INDEX([1]products!$A$1:$G$49,MATCH([1]orders!$D837,[1]products!$A$1:$A$49,0),MATCH([1]orders!K$1,[1]products!$A$1:$G$1,0))</f>
        <v>0.5</v>
      </c>
      <c r="S837">
        <f>INDEX([1]products!$A$1:$G$49,MATCH([1]orders!$D837,[1]products!$A$1:$A$49,0),MATCH([1]orders!L$1,[1]products!$A$1:$G$1,0))</f>
        <v>8.91</v>
      </c>
      <c r="T837">
        <f t="shared" si="79"/>
        <v>8.91</v>
      </c>
      <c r="U837">
        <f t="shared" si="82"/>
        <v>0.98009999999999997</v>
      </c>
      <c r="V837">
        <f t="shared" si="83"/>
        <v>11</v>
      </c>
    </row>
    <row r="838" spans="1:22" x14ac:dyDescent="0.25">
      <c r="A838" t="s">
        <v>1619</v>
      </c>
      <c r="B838">
        <v>44486</v>
      </c>
      <c r="C838" t="str">
        <f t="shared" si="80"/>
        <v>17</v>
      </c>
      <c r="D838" t="str">
        <f t="shared" si="78"/>
        <v>October</v>
      </c>
      <c r="E838" t="str">
        <f t="shared" si="81"/>
        <v>2021</v>
      </c>
      <c r="F838" t="s">
        <v>1620</v>
      </c>
      <c r="G838" t="str">
        <f>VLOOKUP(F838,'Customers (2)'!A:I,2,0)</f>
        <v>Frans Habbergham</v>
      </c>
      <c r="H838" t="str">
        <f>VLOOKUP(F838,'Customers (2)'!A:I,3,0)</f>
        <v>fhabberghamn8@discovery.com</v>
      </c>
      <c r="I838" t="str">
        <f>VLOOKUP(F838,'Customers (2)'!A:I,4,0)</f>
        <v>+1 (775) 814-9362</v>
      </c>
      <c r="J838" t="str">
        <f>VLOOKUP(F838,'Customers (2)'!A:I,6,0)</f>
        <v>Sparks</v>
      </c>
      <c r="K838" t="str">
        <f>VLOOKUP(F838,'Customers (2)'!A:I,7,0)</f>
        <v>United States</v>
      </c>
      <c r="L838" t="str">
        <f>VLOOKUP(F838,'Customers (2)'!A:I,9,0)</f>
        <v>No</v>
      </c>
      <c r="M838" t="str">
        <f>VLOOKUP(N838,'Products (2)'!A:G,2,0)</f>
        <v>Arabica</v>
      </c>
      <c r="N838" t="s">
        <v>54</v>
      </c>
      <c r="O838" t="str">
        <f>VLOOKUP(N838,'Products (2)'!A:G,3,0)</f>
        <v>Dark</v>
      </c>
      <c r="P838">
        <f>VLOOKUP(N838,'Products (2)'!A:G,7,0)</f>
        <v>0.26865</v>
      </c>
      <c r="Q838">
        <v>4</v>
      </c>
      <c r="R838">
        <f>INDEX([1]products!$A$1:$G$49,MATCH([1]orders!$D838,[1]products!$A$1:$A$49,0),MATCH([1]orders!K$1,[1]products!$A$1:$G$1,0))</f>
        <v>0.2</v>
      </c>
      <c r="S838">
        <f>INDEX([1]products!$A$1:$G$49,MATCH([1]orders!$D838,[1]products!$A$1:$A$49,0),MATCH([1]orders!L$1,[1]products!$A$1:$G$1,0))</f>
        <v>2.9849999999999999</v>
      </c>
      <c r="T838">
        <f t="shared" si="79"/>
        <v>11.94</v>
      </c>
      <c r="U838">
        <f t="shared" si="82"/>
        <v>1.0746</v>
      </c>
      <c r="V838">
        <f t="shared" si="83"/>
        <v>9.0000000000000018</v>
      </c>
    </row>
    <row r="839" spans="1:22" x14ac:dyDescent="0.25">
      <c r="A839" t="s">
        <v>1621</v>
      </c>
      <c r="B839">
        <v>43715</v>
      </c>
      <c r="C839" t="str">
        <f t="shared" si="80"/>
        <v>07</v>
      </c>
      <c r="D839" t="str">
        <f t="shared" si="78"/>
        <v>September</v>
      </c>
      <c r="E839" t="str">
        <f t="shared" si="81"/>
        <v>2019</v>
      </c>
      <c r="F839" t="s">
        <v>1569</v>
      </c>
      <c r="G839" t="str">
        <f>VLOOKUP(F839,'Customers (2)'!A:I,2,0)</f>
        <v>Allis Wilmore</v>
      </c>
      <c r="H839">
        <f>VLOOKUP(F839,'Customers (2)'!A:I,3,0)</f>
        <v>0</v>
      </c>
      <c r="I839" t="str">
        <f>VLOOKUP(F839,'Customers (2)'!A:I,4,0)</f>
        <v>+1 (713) 984-5207</v>
      </c>
      <c r="J839" t="str">
        <f>VLOOKUP(F839,'Customers (2)'!A:I,6,0)</f>
        <v>Houston</v>
      </c>
      <c r="K839" t="str">
        <f>VLOOKUP(F839,'Customers (2)'!A:I,7,0)</f>
        <v>United States</v>
      </c>
      <c r="L839" t="str">
        <f>VLOOKUP(F839,'Customers (2)'!A:I,9,0)</f>
        <v>No</v>
      </c>
      <c r="M839" t="str">
        <f>VLOOKUP(N839,'Products (2)'!A:G,2,0)</f>
        <v>Liberica</v>
      </c>
      <c r="N839" t="s">
        <v>197</v>
      </c>
      <c r="O839" t="str">
        <f>VLOOKUP(N839,'Products (2)'!A:G,3,0)</f>
        <v>Medium</v>
      </c>
      <c r="P839">
        <f>VLOOKUP(N839,'Products (2)'!A:G,7,0)</f>
        <v>4.3504499999999995</v>
      </c>
      <c r="Q839">
        <v>3</v>
      </c>
      <c r="R839">
        <f>INDEX([1]products!$A$1:$G$49,MATCH([1]orders!$D839,[1]products!$A$1:$A$49,0),MATCH([1]orders!K$1,[1]products!$A$1:$G$1,0))</f>
        <v>2.5</v>
      </c>
      <c r="S839">
        <f>INDEX([1]products!$A$1:$G$49,MATCH([1]orders!$D839,[1]products!$A$1:$A$49,0),MATCH([1]orders!L$1,[1]products!$A$1:$G$1,0))</f>
        <v>33.464999999999996</v>
      </c>
      <c r="T839">
        <f t="shared" si="79"/>
        <v>100.39499999999998</v>
      </c>
      <c r="U839">
        <f t="shared" si="82"/>
        <v>13.051349999999999</v>
      </c>
      <c r="V839">
        <f t="shared" si="83"/>
        <v>13</v>
      </c>
    </row>
    <row r="840" spans="1:22" x14ac:dyDescent="0.25">
      <c r="A840" t="s">
        <v>1622</v>
      </c>
      <c r="B840">
        <v>44755</v>
      </c>
      <c r="C840" t="str">
        <f t="shared" si="80"/>
        <v>13</v>
      </c>
      <c r="D840" t="str">
        <f t="shared" si="78"/>
        <v>July</v>
      </c>
      <c r="E840" t="str">
        <f t="shared" si="81"/>
        <v>2022</v>
      </c>
      <c r="F840" t="s">
        <v>1623</v>
      </c>
      <c r="G840" t="str">
        <f>VLOOKUP(F840,'Customers (2)'!A:I,2,0)</f>
        <v>Romain Avrashin</v>
      </c>
      <c r="H840" t="str">
        <f>VLOOKUP(F840,'Customers (2)'!A:I,3,0)</f>
        <v>ravrashinna@tamu.edu</v>
      </c>
      <c r="I840" t="str">
        <f>VLOOKUP(F840,'Customers (2)'!A:I,4,0)</f>
        <v>+1 (202) 973-9890</v>
      </c>
      <c r="J840" t="str">
        <f>VLOOKUP(F840,'Customers (2)'!A:I,6,0)</f>
        <v>Washington</v>
      </c>
      <c r="K840" t="str">
        <f>VLOOKUP(F840,'Customers (2)'!A:I,7,0)</f>
        <v>United States</v>
      </c>
      <c r="L840" t="str">
        <f>VLOOKUP(F840,'Customers (2)'!A:I,9,0)</f>
        <v>No</v>
      </c>
      <c r="M840" t="str">
        <f>VLOOKUP(N840,'Products (2)'!A:G,2,0)</f>
        <v>Arabica</v>
      </c>
      <c r="N840" t="s">
        <v>118</v>
      </c>
      <c r="O840" t="str">
        <f>VLOOKUP(N840,'Products (2)'!A:G,3,0)</f>
        <v>Dark</v>
      </c>
      <c r="P840">
        <f>VLOOKUP(N840,'Products (2)'!A:G,7,0)</f>
        <v>2.0596499999999995</v>
      </c>
      <c r="Q840">
        <v>5</v>
      </c>
      <c r="R840">
        <f>INDEX([1]products!$A$1:$G$49,MATCH([1]orders!$D840,[1]products!$A$1:$A$49,0),MATCH([1]orders!K$1,[1]products!$A$1:$G$1,0))</f>
        <v>2.5</v>
      </c>
      <c r="S840">
        <f>INDEX([1]products!$A$1:$G$49,MATCH([1]orders!$D840,[1]products!$A$1:$A$49,0),MATCH([1]orders!L$1,[1]products!$A$1:$G$1,0))</f>
        <v>22.884999999999998</v>
      </c>
      <c r="T840">
        <f t="shared" si="79"/>
        <v>114.42499999999998</v>
      </c>
      <c r="U840">
        <f t="shared" si="82"/>
        <v>10.298249999999998</v>
      </c>
      <c r="V840">
        <f t="shared" si="83"/>
        <v>9</v>
      </c>
    </row>
    <row r="841" spans="1:22" x14ac:dyDescent="0.25">
      <c r="A841" t="s">
        <v>1624</v>
      </c>
      <c r="B841">
        <v>44521</v>
      </c>
      <c r="C841" t="str">
        <f t="shared" si="80"/>
        <v>21</v>
      </c>
      <c r="D841" t="str">
        <f t="shared" si="78"/>
        <v>November</v>
      </c>
      <c r="E841" t="str">
        <f t="shared" si="81"/>
        <v>2021</v>
      </c>
      <c r="F841" t="s">
        <v>1625</v>
      </c>
      <c r="G841" t="str">
        <f>VLOOKUP(F841,'Customers (2)'!A:I,2,0)</f>
        <v>Miran Doidge</v>
      </c>
      <c r="H841" t="str">
        <f>VLOOKUP(F841,'Customers (2)'!A:I,3,0)</f>
        <v>mdoidgenb@etsy.com</v>
      </c>
      <c r="I841" t="str">
        <f>VLOOKUP(F841,'Customers (2)'!A:I,4,0)</f>
        <v>+1 (831) 955-4716</v>
      </c>
      <c r="J841" t="str">
        <f>VLOOKUP(F841,'Customers (2)'!A:I,6,0)</f>
        <v>Salinas</v>
      </c>
      <c r="K841" t="str">
        <f>VLOOKUP(F841,'Customers (2)'!A:I,7,0)</f>
        <v>United States</v>
      </c>
      <c r="L841" t="str">
        <f>VLOOKUP(F841,'Customers (2)'!A:I,9,0)</f>
        <v>No</v>
      </c>
      <c r="M841" t="str">
        <f>VLOOKUP(N841,'Products (2)'!A:G,2,0)</f>
        <v>Excelsa</v>
      </c>
      <c r="N841" t="s">
        <v>3</v>
      </c>
      <c r="O841" t="str">
        <f>VLOOKUP(N841,'Products (2)'!A:G,3,0)</f>
        <v>Medium</v>
      </c>
      <c r="P841">
        <f>VLOOKUP(N841,'Products (2)'!A:G,7,0)</f>
        <v>0.90749999999999997</v>
      </c>
      <c r="Q841">
        <v>5</v>
      </c>
      <c r="R841">
        <f>INDEX([1]products!$A$1:$G$49,MATCH([1]orders!$D841,[1]products!$A$1:$A$49,0),MATCH([1]orders!K$1,[1]products!$A$1:$G$1,0))</f>
        <v>0.5</v>
      </c>
      <c r="S841">
        <f>INDEX([1]products!$A$1:$G$49,MATCH([1]orders!$D841,[1]products!$A$1:$A$49,0),MATCH([1]orders!L$1,[1]products!$A$1:$G$1,0))</f>
        <v>8.25</v>
      </c>
      <c r="T841">
        <f t="shared" si="79"/>
        <v>41.25</v>
      </c>
      <c r="U841">
        <f t="shared" si="82"/>
        <v>4.5374999999999996</v>
      </c>
      <c r="V841">
        <f t="shared" si="83"/>
        <v>10.999999999999998</v>
      </c>
    </row>
    <row r="842" spans="1:22" x14ac:dyDescent="0.25">
      <c r="A842" t="s">
        <v>1626</v>
      </c>
      <c r="B842">
        <v>44574</v>
      </c>
      <c r="C842" t="str">
        <f t="shared" si="80"/>
        <v>13</v>
      </c>
      <c r="D842" t="str">
        <f t="shared" si="78"/>
        <v>January</v>
      </c>
      <c r="E842" t="str">
        <f t="shared" si="81"/>
        <v>2022</v>
      </c>
      <c r="F842" t="s">
        <v>1627</v>
      </c>
      <c r="G842" t="str">
        <f>VLOOKUP(F842,'Customers (2)'!A:I,2,0)</f>
        <v>Janeva Edinboro</v>
      </c>
      <c r="H842" t="str">
        <f>VLOOKUP(F842,'Customers (2)'!A:I,3,0)</f>
        <v>jedinboronc@reverbnation.com</v>
      </c>
      <c r="I842" t="str">
        <f>VLOOKUP(F842,'Customers (2)'!A:I,4,0)</f>
        <v>+1 (754) 219-4187</v>
      </c>
      <c r="J842" t="str">
        <f>VLOOKUP(F842,'Customers (2)'!A:I,6,0)</f>
        <v>Fort Lauderdale</v>
      </c>
      <c r="K842" t="str">
        <f>VLOOKUP(F842,'Customers (2)'!A:I,7,0)</f>
        <v>United States</v>
      </c>
      <c r="L842" t="str">
        <f>VLOOKUP(F842,'Customers (2)'!A:I,9,0)</f>
        <v>Yes</v>
      </c>
      <c r="M842" t="str">
        <f>VLOOKUP(N842,'Products (2)'!A:G,2,0)</f>
        <v>Robusta</v>
      </c>
      <c r="N842" t="s">
        <v>157</v>
      </c>
      <c r="O842" t="str">
        <f>VLOOKUP(N842,'Products (2)'!A:G,3,0)</f>
        <v>Light</v>
      </c>
      <c r="P842">
        <f>VLOOKUP(N842,'Products (2)'!A:G,7,0)</f>
        <v>0.43019999999999992</v>
      </c>
      <c r="Q842">
        <v>4</v>
      </c>
      <c r="R842">
        <f>INDEX([1]products!$A$1:$G$49,MATCH([1]orders!$D842,[1]products!$A$1:$A$49,0),MATCH([1]orders!K$1,[1]products!$A$1:$G$1,0))</f>
        <v>0.5</v>
      </c>
      <c r="S842">
        <f>INDEX([1]products!$A$1:$G$49,MATCH([1]orders!$D842,[1]products!$A$1:$A$49,0),MATCH([1]orders!L$1,[1]products!$A$1:$G$1,0))</f>
        <v>7.169999999999999</v>
      </c>
      <c r="T842">
        <f t="shared" si="79"/>
        <v>28.679999999999996</v>
      </c>
      <c r="U842">
        <f t="shared" si="82"/>
        <v>1.7207999999999997</v>
      </c>
      <c r="V842">
        <f t="shared" si="83"/>
        <v>6</v>
      </c>
    </row>
    <row r="843" spans="1:22" x14ac:dyDescent="0.25">
      <c r="A843" t="s">
        <v>1628</v>
      </c>
      <c r="B843">
        <v>44755</v>
      </c>
      <c r="C843" t="str">
        <f t="shared" si="80"/>
        <v>13</v>
      </c>
      <c r="D843" t="str">
        <f t="shared" si="78"/>
        <v>July</v>
      </c>
      <c r="E843" t="str">
        <f t="shared" si="81"/>
        <v>2022</v>
      </c>
      <c r="F843" t="s">
        <v>1629</v>
      </c>
      <c r="G843" t="str">
        <f>VLOOKUP(F843,'Customers (2)'!A:I,2,0)</f>
        <v>Trumaine Tewelson</v>
      </c>
      <c r="H843" t="str">
        <f>VLOOKUP(F843,'Customers (2)'!A:I,3,0)</f>
        <v>ttewelsonnd@cdbaby.com</v>
      </c>
      <c r="I843">
        <f>VLOOKUP(F843,'Customers (2)'!A:I,4,0)</f>
        <v>0</v>
      </c>
      <c r="J843" t="str">
        <f>VLOOKUP(F843,'Customers (2)'!A:I,6,0)</f>
        <v>El Paso</v>
      </c>
      <c r="K843" t="str">
        <f>VLOOKUP(F843,'Customers (2)'!A:I,7,0)</f>
        <v>United States</v>
      </c>
      <c r="L843" t="str">
        <f>VLOOKUP(F843,'Customers (2)'!A:I,9,0)</f>
        <v>No</v>
      </c>
      <c r="M843" t="str">
        <f>VLOOKUP(N843,'Products (2)'!A:G,2,0)</f>
        <v>Liberica</v>
      </c>
      <c r="N843" t="s">
        <v>77</v>
      </c>
      <c r="O843" t="str">
        <f>VLOOKUP(N843,'Products (2)'!A:G,3,0)</f>
        <v>Medium</v>
      </c>
      <c r="P843">
        <f>VLOOKUP(N843,'Products (2)'!A:G,7,0)</f>
        <v>0.56745000000000001</v>
      </c>
      <c r="Q843">
        <v>1</v>
      </c>
      <c r="R843">
        <f>INDEX([1]products!$A$1:$G$49,MATCH([1]orders!$D843,[1]products!$A$1:$A$49,0),MATCH([1]orders!K$1,[1]products!$A$1:$G$1,0))</f>
        <v>0.2</v>
      </c>
      <c r="S843">
        <f>INDEX([1]products!$A$1:$G$49,MATCH([1]orders!$D843,[1]products!$A$1:$A$49,0),MATCH([1]orders!L$1,[1]products!$A$1:$G$1,0))</f>
        <v>4.3650000000000002</v>
      </c>
      <c r="T843">
        <f t="shared" si="79"/>
        <v>4.3650000000000002</v>
      </c>
      <c r="U843">
        <f t="shared" si="82"/>
        <v>0.56745000000000001</v>
      </c>
      <c r="V843">
        <f t="shared" si="83"/>
        <v>13</v>
      </c>
    </row>
    <row r="844" spans="1:22" x14ac:dyDescent="0.25">
      <c r="A844" t="s">
        <v>1630</v>
      </c>
      <c r="B844">
        <v>44502</v>
      </c>
      <c r="C844" t="str">
        <f t="shared" si="80"/>
        <v>02</v>
      </c>
      <c r="D844" t="str">
        <f t="shared" si="78"/>
        <v>November</v>
      </c>
      <c r="E844" t="str">
        <f t="shared" si="81"/>
        <v>2021</v>
      </c>
      <c r="F844" t="s">
        <v>1600</v>
      </c>
      <c r="G844" t="str">
        <f>VLOOKUP(F844,'Customers (2)'!A:I,2,0)</f>
        <v>Odelia Skerme</v>
      </c>
      <c r="H844" t="str">
        <f>VLOOKUP(F844,'Customers (2)'!A:I,3,0)</f>
        <v>oskermen3@hatena.ne.jp</v>
      </c>
      <c r="I844" t="str">
        <f>VLOOKUP(F844,'Customers (2)'!A:I,4,0)</f>
        <v>+1 (405) 615-0298</v>
      </c>
      <c r="J844" t="str">
        <f>VLOOKUP(F844,'Customers (2)'!A:I,6,0)</f>
        <v>Oklahoma City</v>
      </c>
      <c r="K844" t="str">
        <f>VLOOKUP(F844,'Customers (2)'!A:I,7,0)</f>
        <v>United States</v>
      </c>
      <c r="L844" t="str">
        <f>VLOOKUP(F844,'Customers (2)'!A:I,9,0)</f>
        <v>Yes</v>
      </c>
      <c r="M844" t="str">
        <f>VLOOKUP(N844,'Products (2)'!A:G,2,0)</f>
        <v>Excelsa</v>
      </c>
      <c r="N844" t="s">
        <v>64</v>
      </c>
      <c r="O844" t="str">
        <f>VLOOKUP(N844,'Products (2)'!A:G,3,0)</f>
        <v>Medium</v>
      </c>
      <c r="P844">
        <f>VLOOKUP(N844,'Products (2)'!A:G,7,0)</f>
        <v>0.45374999999999999</v>
      </c>
      <c r="Q844">
        <v>2</v>
      </c>
      <c r="R844">
        <f>INDEX([1]products!$A$1:$G$49,MATCH([1]orders!$D844,[1]products!$A$1:$A$49,0),MATCH([1]orders!K$1,[1]products!$A$1:$G$1,0))</f>
        <v>0.2</v>
      </c>
      <c r="S844">
        <f>INDEX([1]products!$A$1:$G$49,MATCH([1]orders!$D844,[1]products!$A$1:$A$49,0),MATCH([1]orders!L$1,[1]products!$A$1:$G$1,0))</f>
        <v>4.125</v>
      </c>
      <c r="T844">
        <f t="shared" si="79"/>
        <v>8.25</v>
      </c>
      <c r="U844">
        <f t="shared" si="82"/>
        <v>0.90749999999999997</v>
      </c>
      <c r="V844">
        <f t="shared" si="83"/>
        <v>11</v>
      </c>
    </row>
    <row r="845" spans="1:22" x14ac:dyDescent="0.25">
      <c r="A845" t="s">
        <v>1631</v>
      </c>
      <c r="B845">
        <v>44387</v>
      </c>
      <c r="C845" t="str">
        <f t="shared" si="80"/>
        <v>10</v>
      </c>
      <c r="D845" t="str">
        <f t="shared" si="78"/>
        <v>July</v>
      </c>
      <c r="E845" t="str">
        <f t="shared" si="81"/>
        <v>2021</v>
      </c>
      <c r="F845" t="s">
        <v>1632</v>
      </c>
      <c r="G845" t="str">
        <f>VLOOKUP(F845,'Customers (2)'!A:I,2,0)</f>
        <v>De Drewitt</v>
      </c>
      <c r="H845" t="str">
        <f>VLOOKUP(F845,'Customers (2)'!A:I,3,0)</f>
        <v>ddrewittnf@mapquest.com</v>
      </c>
      <c r="I845" t="str">
        <f>VLOOKUP(F845,'Customers (2)'!A:I,4,0)</f>
        <v>+1 (571) 504-1175</v>
      </c>
      <c r="J845" t="str">
        <f>VLOOKUP(F845,'Customers (2)'!A:I,6,0)</f>
        <v>Alexandria</v>
      </c>
      <c r="K845" t="str">
        <f>VLOOKUP(F845,'Customers (2)'!A:I,7,0)</f>
        <v>United States</v>
      </c>
      <c r="L845" t="str">
        <f>VLOOKUP(F845,'Customers (2)'!A:I,9,0)</f>
        <v>Yes</v>
      </c>
      <c r="M845" t="str">
        <f>VLOOKUP(N845,'Products (2)'!A:G,2,0)</f>
        <v>Excelsa</v>
      </c>
      <c r="N845" t="s">
        <v>64</v>
      </c>
      <c r="O845" t="str">
        <f>VLOOKUP(N845,'Products (2)'!A:G,3,0)</f>
        <v>Medium</v>
      </c>
      <c r="P845">
        <f>VLOOKUP(N845,'Products (2)'!A:G,7,0)</f>
        <v>0.45374999999999999</v>
      </c>
      <c r="Q845">
        <v>2</v>
      </c>
      <c r="R845">
        <f>INDEX([1]products!$A$1:$G$49,MATCH([1]orders!$D845,[1]products!$A$1:$A$49,0),MATCH([1]orders!K$1,[1]products!$A$1:$G$1,0))</f>
        <v>0.2</v>
      </c>
      <c r="S845">
        <f>INDEX([1]products!$A$1:$G$49,MATCH([1]orders!$D845,[1]products!$A$1:$A$49,0),MATCH([1]orders!L$1,[1]products!$A$1:$G$1,0))</f>
        <v>4.125</v>
      </c>
      <c r="T845">
        <f t="shared" si="79"/>
        <v>8.25</v>
      </c>
      <c r="U845">
        <f t="shared" si="82"/>
        <v>0.90749999999999997</v>
      </c>
      <c r="V845">
        <f t="shared" si="83"/>
        <v>11</v>
      </c>
    </row>
    <row r="846" spans="1:22" x14ac:dyDescent="0.25">
      <c r="A846" t="s">
        <v>1633</v>
      </c>
      <c r="B846">
        <v>44476</v>
      </c>
      <c r="C846" t="str">
        <f t="shared" si="80"/>
        <v>07</v>
      </c>
      <c r="D846" t="str">
        <f t="shared" si="78"/>
        <v>October</v>
      </c>
      <c r="E846" t="str">
        <f t="shared" si="81"/>
        <v>2021</v>
      </c>
      <c r="F846" t="s">
        <v>1634</v>
      </c>
      <c r="G846" t="str">
        <f>VLOOKUP(F846,'Customers (2)'!A:I,2,0)</f>
        <v>Adelheid Gladhill</v>
      </c>
      <c r="H846" t="str">
        <f>VLOOKUP(F846,'Customers (2)'!A:I,3,0)</f>
        <v>agladhillng@stanford.edu</v>
      </c>
      <c r="I846" t="str">
        <f>VLOOKUP(F846,'Customers (2)'!A:I,4,0)</f>
        <v>+1 (410) 991-5601</v>
      </c>
      <c r="J846" t="str">
        <f>VLOOKUP(F846,'Customers (2)'!A:I,6,0)</f>
        <v>Baltimore</v>
      </c>
      <c r="K846" t="str">
        <f>VLOOKUP(F846,'Customers (2)'!A:I,7,0)</f>
        <v>United States</v>
      </c>
      <c r="L846" t="str">
        <f>VLOOKUP(F846,'Customers (2)'!A:I,9,0)</f>
        <v>Yes</v>
      </c>
      <c r="M846" t="str">
        <f>VLOOKUP(N846,'Products (2)'!A:G,2,0)</f>
        <v>Arabica</v>
      </c>
      <c r="N846" t="s">
        <v>72</v>
      </c>
      <c r="O846" t="str">
        <f>VLOOKUP(N846,'Products (2)'!A:G,3,0)</f>
        <v>Dark</v>
      </c>
      <c r="P846">
        <f>VLOOKUP(N846,'Products (2)'!A:G,7,0)</f>
        <v>0.5373</v>
      </c>
      <c r="Q846">
        <v>6</v>
      </c>
      <c r="R846">
        <f>INDEX([1]products!$A$1:$G$49,MATCH([1]orders!$D846,[1]products!$A$1:$A$49,0),MATCH([1]orders!K$1,[1]products!$A$1:$G$1,0))</f>
        <v>0.5</v>
      </c>
      <c r="S846">
        <f>INDEX([1]products!$A$1:$G$49,MATCH([1]orders!$D846,[1]products!$A$1:$A$49,0),MATCH([1]orders!L$1,[1]products!$A$1:$G$1,0))</f>
        <v>5.97</v>
      </c>
      <c r="T846">
        <f t="shared" si="79"/>
        <v>35.82</v>
      </c>
      <c r="U846">
        <f t="shared" si="82"/>
        <v>3.2237999999999998</v>
      </c>
      <c r="V846">
        <f t="shared" si="83"/>
        <v>9</v>
      </c>
    </row>
    <row r="847" spans="1:22" x14ac:dyDescent="0.25">
      <c r="A847" t="s">
        <v>1635</v>
      </c>
      <c r="B847">
        <v>43889</v>
      </c>
      <c r="C847" t="str">
        <f t="shared" si="80"/>
        <v>28</v>
      </c>
      <c r="D847" t="str">
        <f t="shared" si="78"/>
        <v>February</v>
      </c>
      <c r="E847" t="str">
        <f t="shared" si="81"/>
        <v>2020</v>
      </c>
      <c r="F847" t="s">
        <v>1636</v>
      </c>
      <c r="G847" t="str">
        <f>VLOOKUP(F847,'Customers (2)'!A:I,2,0)</f>
        <v>Murielle Lorinez</v>
      </c>
      <c r="H847" t="str">
        <f>VLOOKUP(F847,'Customers (2)'!A:I,3,0)</f>
        <v>mlorineznh@whitehouse.gov</v>
      </c>
      <c r="I847">
        <f>VLOOKUP(F847,'Customers (2)'!A:I,4,0)</f>
        <v>0</v>
      </c>
      <c r="J847" t="str">
        <f>VLOOKUP(F847,'Customers (2)'!A:I,6,0)</f>
        <v>Evansville</v>
      </c>
      <c r="K847" t="str">
        <f>VLOOKUP(F847,'Customers (2)'!A:I,7,0)</f>
        <v>United States</v>
      </c>
      <c r="L847" t="str">
        <f>VLOOKUP(F847,'Customers (2)'!A:I,9,0)</f>
        <v>No</v>
      </c>
      <c r="M847" t="str">
        <f>VLOOKUP(N847,'Products (2)'!A:G,2,0)</f>
        <v>Excelsa</v>
      </c>
      <c r="N847" t="s">
        <v>530</v>
      </c>
      <c r="O847" t="str">
        <f>VLOOKUP(N847,'Products (2)'!A:G,3,0)</f>
        <v>Dark</v>
      </c>
      <c r="P847">
        <f>VLOOKUP(N847,'Products (2)'!A:G,7,0)</f>
        <v>3.07395</v>
      </c>
      <c r="Q847">
        <v>6</v>
      </c>
      <c r="R847">
        <f>INDEX([1]products!$A$1:$G$49,MATCH([1]orders!$D847,[1]products!$A$1:$A$49,0),MATCH([1]orders!K$1,[1]products!$A$1:$G$1,0))</f>
        <v>2.5</v>
      </c>
      <c r="S847">
        <f>INDEX([1]products!$A$1:$G$49,MATCH([1]orders!$D847,[1]products!$A$1:$A$49,0),MATCH([1]orders!L$1,[1]products!$A$1:$G$1,0))</f>
        <v>27.945</v>
      </c>
      <c r="T847">
        <f t="shared" si="79"/>
        <v>167.67000000000002</v>
      </c>
      <c r="U847">
        <f t="shared" si="82"/>
        <v>18.4437</v>
      </c>
      <c r="V847">
        <f t="shared" si="83"/>
        <v>10.999999999999998</v>
      </c>
    </row>
    <row r="848" spans="1:22" x14ac:dyDescent="0.25">
      <c r="A848" t="s">
        <v>1637</v>
      </c>
      <c r="B848">
        <v>44747</v>
      </c>
      <c r="C848" t="str">
        <f t="shared" si="80"/>
        <v>05</v>
      </c>
      <c r="D848" t="str">
        <f t="shared" si="78"/>
        <v>July</v>
      </c>
      <c r="E848" t="str">
        <f t="shared" si="81"/>
        <v>2022</v>
      </c>
      <c r="F848" t="s">
        <v>1638</v>
      </c>
      <c r="G848" t="str">
        <f>VLOOKUP(F848,'Customers (2)'!A:I,2,0)</f>
        <v>Edin Mathe</v>
      </c>
      <c r="H848">
        <f>VLOOKUP(F848,'Customers (2)'!A:I,3,0)</f>
        <v>0</v>
      </c>
      <c r="I848" t="str">
        <f>VLOOKUP(F848,'Customers (2)'!A:I,4,0)</f>
        <v>+1 (404) 514-8311</v>
      </c>
      <c r="J848" t="str">
        <f>VLOOKUP(F848,'Customers (2)'!A:I,6,0)</f>
        <v>Lawrenceville</v>
      </c>
      <c r="K848" t="str">
        <f>VLOOKUP(F848,'Customers (2)'!A:I,7,0)</f>
        <v>United States</v>
      </c>
      <c r="L848" t="str">
        <f>VLOOKUP(F848,'Customers (2)'!A:I,9,0)</f>
        <v>Yes</v>
      </c>
      <c r="M848" t="str">
        <f>VLOOKUP(N848,'Products (2)'!A:G,2,0)</f>
        <v>Arabica</v>
      </c>
      <c r="N848" t="s">
        <v>171</v>
      </c>
      <c r="O848" t="str">
        <f>VLOOKUP(N848,'Products (2)'!A:G,3,0)</f>
        <v>Medium</v>
      </c>
      <c r="P848">
        <f>VLOOKUP(N848,'Products (2)'!A:G,7,0)</f>
        <v>2.3287499999999994</v>
      </c>
      <c r="Q848">
        <v>2</v>
      </c>
      <c r="R848">
        <f>INDEX([1]products!$A$1:$G$49,MATCH([1]orders!$D848,[1]products!$A$1:$A$49,0),MATCH([1]orders!K$1,[1]products!$A$1:$G$1,0))</f>
        <v>2.5</v>
      </c>
      <c r="S848">
        <f>INDEX([1]products!$A$1:$G$49,MATCH([1]orders!$D848,[1]products!$A$1:$A$49,0),MATCH([1]orders!L$1,[1]products!$A$1:$G$1,0))</f>
        <v>25.874999999999996</v>
      </c>
      <c r="T848">
        <f t="shared" si="79"/>
        <v>51.749999999999993</v>
      </c>
      <c r="U848">
        <f t="shared" si="82"/>
        <v>4.6574999999999989</v>
      </c>
      <c r="V848">
        <f t="shared" si="83"/>
        <v>9</v>
      </c>
    </row>
    <row r="849" spans="1:22" x14ac:dyDescent="0.25">
      <c r="A849" t="s">
        <v>1639</v>
      </c>
      <c r="B849">
        <v>44460</v>
      </c>
      <c r="C849" t="str">
        <f t="shared" si="80"/>
        <v>21</v>
      </c>
      <c r="D849" t="str">
        <f t="shared" si="78"/>
        <v>September</v>
      </c>
      <c r="E849" t="str">
        <f t="shared" si="81"/>
        <v>2021</v>
      </c>
      <c r="F849" t="s">
        <v>1640</v>
      </c>
      <c r="G849" t="str">
        <f>VLOOKUP(F849,'Customers (2)'!A:I,2,0)</f>
        <v>Mordy Van Der Vlies</v>
      </c>
      <c r="H849" t="str">
        <f>VLOOKUP(F849,'Customers (2)'!A:I,3,0)</f>
        <v>mvannj@wikipedia.org</v>
      </c>
      <c r="I849">
        <f>VLOOKUP(F849,'Customers (2)'!A:I,4,0)</f>
        <v>0</v>
      </c>
      <c r="J849" t="str">
        <f>VLOOKUP(F849,'Customers (2)'!A:I,6,0)</f>
        <v>Mobile</v>
      </c>
      <c r="K849" t="str">
        <f>VLOOKUP(F849,'Customers (2)'!A:I,7,0)</f>
        <v>United States</v>
      </c>
      <c r="L849" t="str">
        <f>VLOOKUP(F849,'Customers (2)'!A:I,9,0)</f>
        <v>Yes</v>
      </c>
      <c r="M849" t="str">
        <f>VLOOKUP(N849,'Products (2)'!A:G,2,0)</f>
        <v>Arabica</v>
      </c>
      <c r="N849" t="s">
        <v>54</v>
      </c>
      <c r="O849" t="str">
        <f>VLOOKUP(N849,'Products (2)'!A:G,3,0)</f>
        <v>Dark</v>
      </c>
      <c r="P849">
        <f>VLOOKUP(N849,'Products (2)'!A:G,7,0)</f>
        <v>0.26865</v>
      </c>
      <c r="Q849">
        <v>3</v>
      </c>
      <c r="R849">
        <f>INDEX([1]products!$A$1:$G$49,MATCH([1]orders!$D849,[1]products!$A$1:$A$49,0),MATCH([1]orders!K$1,[1]products!$A$1:$G$1,0))</f>
        <v>0.2</v>
      </c>
      <c r="S849">
        <f>INDEX([1]products!$A$1:$G$49,MATCH([1]orders!$D849,[1]products!$A$1:$A$49,0),MATCH([1]orders!L$1,[1]products!$A$1:$G$1,0))</f>
        <v>2.9849999999999999</v>
      </c>
      <c r="T849">
        <f t="shared" si="79"/>
        <v>8.9550000000000001</v>
      </c>
      <c r="U849">
        <f t="shared" si="82"/>
        <v>0.80594999999999994</v>
      </c>
      <c r="V849">
        <f t="shared" si="83"/>
        <v>9</v>
      </c>
    </row>
    <row r="850" spans="1:22" x14ac:dyDescent="0.25">
      <c r="A850" t="s">
        <v>1641</v>
      </c>
      <c r="B850">
        <v>43468</v>
      </c>
      <c r="C850" t="str">
        <f t="shared" si="80"/>
        <v>03</v>
      </c>
      <c r="D850" t="str">
        <f t="shared" si="78"/>
        <v>January</v>
      </c>
      <c r="E850" t="str">
        <f t="shared" si="81"/>
        <v>2019</v>
      </c>
      <c r="F850" t="s">
        <v>1642</v>
      </c>
      <c r="G850" t="str">
        <f>VLOOKUP(F850,'Customers (2)'!A:I,2,0)</f>
        <v>Spencer Wastell</v>
      </c>
      <c r="H850">
        <f>VLOOKUP(F850,'Customers (2)'!A:I,3,0)</f>
        <v>0</v>
      </c>
      <c r="I850" t="str">
        <f>VLOOKUP(F850,'Customers (2)'!A:I,4,0)</f>
        <v>+1 (432) 765-8747</v>
      </c>
      <c r="J850" t="str">
        <f>VLOOKUP(F850,'Customers (2)'!A:I,6,0)</f>
        <v>Midland</v>
      </c>
      <c r="K850" t="str">
        <f>VLOOKUP(F850,'Customers (2)'!A:I,7,0)</f>
        <v>United States</v>
      </c>
      <c r="L850" t="str">
        <f>VLOOKUP(F850,'Customers (2)'!A:I,9,0)</f>
        <v>No</v>
      </c>
      <c r="M850" t="str">
        <f>VLOOKUP(N850,'Products (2)'!A:G,2,0)</f>
        <v>Excelsa</v>
      </c>
      <c r="N850" t="s">
        <v>176</v>
      </c>
      <c r="O850" t="str">
        <f>VLOOKUP(N850,'Products (2)'!A:G,3,0)</f>
        <v>Light</v>
      </c>
      <c r="P850">
        <f>VLOOKUP(N850,'Products (2)'!A:G,7,0)</f>
        <v>0.98009999999999997</v>
      </c>
      <c r="Q850">
        <v>6</v>
      </c>
      <c r="R850">
        <f>INDEX([1]products!$A$1:$G$49,MATCH([1]orders!$D850,[1]products!$A$1:$A$49,0),MATCH([1]orders!K$1,[1]products!$A$1:$G$1,0))</f>
        <v>0.5</v>
      </c>
      <c r="S850">
        <f>INDEX([1]products!$A$1:$G$49,MATCH([1]orders!$D850,[1]products!$A$1:$A$49,0),MATCH([1]orders!L$1,[1]products!$A$1:$G$1,0))</f>
        <v>8.91</v>
      </c>
      <c r="T850">
        <f t="shared" si="79"/>
        <v>53.46</v>
      </c>
      <c r="U850">
        <f t="shared" si="82"/>
        <v>5.8805999999999994</v>
      </c>
      <c r="V850">
        <f t="shared" si="83"/>
        <v>10.999999999999998</v>
      </c>
    </row>
    <row r="851" spans="1:22" x14ac:dyDescent="0.25">
      <c r="A851" t="s">
        <v>1643</v>
      </c>
      <c r="B851">
        <v>44628</v>
      </c>
      <c r="C851" t="str">
        <f t="shared" si="80"/>
        <v>08</v>
      </c>
      <c r="D851" t="str">
        <f t="shared" si="78"/>
        <v>March</v>
      </c>
      <c r="E851" t="str">
        <f t="shared" si="81"/>
        <v>2022</v>
      </c>
      <c r="F851" t="s">
        <v>1644</v>
      </c>
      <c r="G851" t="str">
        <f>VLOOKUP(F851,'Customers (2)'!A:I,2,0)</f>
        <v>Jemimah Ethelston</v>
      </c>
      <c r="H851" t="str">
        <f>VLOOKUP(F851,'Customers (2)'!A:I,3,0)</f>
        <v>jethelstonnl@creativecommons.org</v>
      </c>
      <c r="I851" t="str">
        <f>VLOOKUP(F851,'Customers (2)'!A:I,4,0)</f>
        <v>+1 (954) 385-3551</v>
      </c>
      <c r="J851" t="str">
        <f>VLOOKUP(F851,'Customers (2)'!A:I,6,0)</f>
        <v>Hollywood</v>
      </c>
      <c r="K851" t="str">
        <f>VLOOKUP(F851,'Customers (2)'!A:I,7,0)</f>
        <v>United States</v>
      </c>
      <c r="L851" t="str">
        <f>VLOOKUP(F851,'Customers (2)'!A:I,9,0)</f>
        <v>Yes</v>
      </c>
      <c r="M851" t="str">
        <f>VLOOKUP(N851,'Products (2)'!A:G,2,0)</f>
        <v>Arabica</v>
      </c>
      <c r="N851" t="s">
        <v>115</v>
      </c>
      <c r="O851" t="str">
        <f>VLOOKUP(N851,'Products (2)'!A:G,3,0)</f>
        <v>Light</v>
      </c>
      <c r="P851">
        <f>VLOOKUP(N851,'Products (2)'!A:G,7,0)</f>
        <v>0.34964999999999996</v>
      </c>
      <c r="Q851">
        <v>6</v>
      </c>
      <c r="R851">
        <f>INDEX([1]products!$A$1:$G$49,MATCH([1]orders!$D851,[1]products!$A$1:$A$49,0),MATCH([1]orders!K$1,[1]products!$A$1:$G$1,0))</f>
        <v>0.2</v>
      </c>
      <c r="S851">
        <f>INDEX([1]products!$A$1:$G$49,MATCH([1]orders!$D851,[1]products!$A$1:$A$49,0),MATCH([1]orders!L$1,[1]products!$A$1:$G$1,0))</f>
        <v>3.8849999999999998</v>
      </c>
      <c r="T851">
        <f t="shared" si="79"/>
        <v>23.31</v>
      </c>
      <c r="U851">
        <f t="shared" si="82"/>
        <v>2.0978999999999997</v>
      </c>
      <c r="V851">
        <f t="shared" si="83"/>
        <v>9</v>
      </c>
    </row>
    <row r="852" spans="1:22" x14ac:dyDescent="0.25">
      <c r="A852" t="s">
        <v>1643</v>
      </c>
      <c r="B852">
        <v>44628</v>
      </c>
      <c r="C852" t="str">
        <f t="shared" si="80"/>
        <v>08</v>
      </c>
      <c r="D852" t="str">
        <f t="shared" si="78"/>
        <v>March</v>
      </c>
      <c r="E852" t="str">
        <f t="shared" si="81"/>
        <v>2022</v>
      </c>
      <c r="F852" t="s">
        <v>1644</v>
      </c>
      <c r="G852" t="str">
        <f>VLOOKUP(F852,'Customers (2)'!A:I,2,0)</f>
        <v>Jemimah Ethelston</v>
      </c>
      <c r="H852" t="str">
        <f>VLOOKUP(F852,'Customers (2)'!A:I,3,0)</f>
        <v>jethelstonnl@creativecommons.org</v>
      </c>
      <c r="I852" t="str">
        <f>VLOOKUP(F852,'Customers (2)'!A:I,4,0)</f>
        <v>+1 (954) 385-3551</v>
      </c>
      <c r="J852" t="str">
        <f>VLOOKUP(F852,'Customers (2)'!A:I,6,0)</f>
        <v>Hollywood</v>
      </c>
      <c r="K852" t="str">
        <f>VLOOKUP(F852,'Customers (2)'!A:I,7,0)</f>
        <v>United States</v>
      </c>
      <c r="L852" t="str">
        <f>VLOOKUP(F852,'Customers (2)'!A:I,9,0)</f>
        <v>Yes</v>
      </c>
      <c r="M852" t="str">
        <f>VLOOKUP(N852,'Products (2)'!A:G,2,0)</f>
        <v>Arabica</v>
      </c>
      <c r="N852" t="s">
        <v>44</v>
      </c>
      <c r="O852" t="str">
        <f>VLOOKUP(N852,'Products (2)'!A:G,3,0)</f>
        <v>Medium</v>
      </c>
      <c r="P852">
        <f>VLOOKUP(N852,'Products (2)'!A:G,7,0)</f>
        <v>0.30374999999999996</v>
      </c>
      <c r="Q852">
        <v>2</v>
      </c>
      <c r="R852">
        <f>INDEX([1]products!$A$1:$G$49,MATCH([1]orders!$D852,[1]products!$A$1:$A$49,0),MATCH([1]orders!K$1,[1]products!$A$1:$G$1,0))</f>
        <v>0.2</v>
      </c>
      <c r="S852">
        <f>INDEX([1]products!$A$1:$G$49,MATCH([1]orders!$D852,[1]products!$A$1:$A$49,0),MATCH([1]orders!L$1,[1]products!$A$1:$G$1,0))</f>
        <v>3.375</v>
      </c>
      <c r="T852">
        <f t="shared" si="79"/>
        <v>6.75</v>
      </c>
      <c r="U852">
        <f t="shared" si="82"/>
        <v>0.60749999999999993</v>
      </c>
      <c r="V852">
        <f t="shared" si="83"/>
        <v>8.9999999999999982</v>
      </c>
    </row>
    <row r="853" spans="1:22" x14ac:dyDescent="0.25">
      <c r="A853" t="s">
        <v>1645</v>
      </c>
      <c r="B853">
        <v>43900</v>
      </c>
      <c r="C853" t="str">
        <f t="shared" si="80"/>
        <v>10</v>
      </c>
      <c r="D853" t="str">
        <f t="shared" si="78"/>
        <v>March</v>
      </c>
      <c r="E853" t="str">
        <f t="shared" si="81"/>
        <v>2020</v>
      </c>
      <c r="F853" t="s">
        <v>1646</v>
      </c>
      <c r="G853" t="str">
        <f>VLOOKUP(F853,'Customers (2)'!A:I,2,0)</f>
        <v>Perice Eberz</v>
      </c>
      <c r="H853" t="str">
        <f>VLOOKUP(F853,'Customers (2)'!A:I,3,0)</f>
        <v>peberznn@woothemes.com</v>
      </c>
      <c r="I853" t="str">
        <f>VLOOKUP(F853,'Customers (2)'!A:I,4,0)</f>
        <v>+1 (530) 938-1204</v>
      </c>
      <c r="J853" t="str">
        <f>VLOOKUP(F853,'Customers (2)'!A:I,6,0)</f>
        <v>Chico</v>
      </c>
      <c r="K853" t="str">
        <f>VLOOKUP(F853,'Customers (2)'!A:I,7,0)</f>
        <v>United States</v>
      </c>
      <c r="L853" t="str">
        <f>VLOOKUP(F853,'Customers (2)'!A:I,9,0)</f>
        <v>Yes</v>
      </c>
      <c r="M853" t="str">
        <f>VLOOKUP(N853,'Products (2)'!A:G,2,0)</f>
        <v>Liberica</v>
      </c>
      <c r="N853" t="s">
        <v>123</v>
      </c>
      <c r="O853" t="str">
        <f>VLOOKUP(N853,'Products (2)'!A:G,3,0)</f>
        <v>Dark</v>
      </c>
      <c r="P853">
        <f>VLOOKUP(N853,'Products (2)'!A:G,7,0)</f>
        <v>1.0101</v>
      </c>
      <c r="Q853">
        <v>1</v>
      </c>
      <c r="R853">
        <f>INDEX([1]products!$A$1:$G$49,MATCH([1]orders!$D853,[1]products!$A$1:$A$49,0),MATCH([1]orders!K$1,[1]products!$A$1:$G$1,0))</f>
        <v>0.5</v>
      </c>
      <c r="S853">
        <f>INDEX([1]products!$A$1:$G$49,MATCH([1]orders!$D853,[1]products!$A$1:$A$49,0),MATCH([1]orders!L$1,[1]products!$A$1:$G$1,0))</f>
        <v>7.77</v>
      </c>
      <c r="T853">
        <f t="shared" si="79"/>
        <v>7.77</v>
      </c>
      <c r="U853">
        <f t="shared" si="82"/>
        <v>1.0101</v>
      </c>
      <c r="V853">
        <f t="shared" si="83"/>
        <v>13</v>
      </c>
    </row>
    <row r="854" spans="1:22" x14ac:dyDescent="0.25">
      <c r="A854" t="s">
        <v>1647</v>
      </c>
      <c r="B854">
        <v>44527</v>
      </c>
      <c r="C854" t="str">
        <f t="shared" si="80"/>
        <v>27</v>
      </c>
      <c r="D854" t="str">
        <f t="shared" si="78"/>
        <v>November</v>
      </c>
      <c r="E854" t="str">
        <f t="shared" si="81"/>
        <v>2021</v>
      </c>
      <c r="F854" t="s">
        <v>1648</v>
      </c>
      <c r="G854" t="str">
        <f>VLOOKUP(F854,'Customers (2)'!A:I,2,0)</f>
        <v>Bear Gaish</v>
      </c>
      <c r="H854" t="str">
        <f>VLOOKUP(F854,'Customers (2)'!A:I,3,0)</f>
        <v>bgaishno@altervista.org</v>
      </c>
      <c r="I854">
        <f>VLOOKUP(F854,'Customers (2)'!A:I,4,0)</f>
        <v>0</v>
      </c>
      <c r="J854" t="str">
        <f>VLOOKUP(F854,'Customers (2)'!A:I,6,0)</f>
        <v>Austin</v>
      </c>
      <c r="K854" t="str">
        <f>VLOOKUP(F854,'Customers (2)'!A:I,7,0)</f>
        <v>United States</v>
      </c>
      <c r="L854" t="str">
        <f>VLOOKUP(F854,'Customers (2)'!A:I,9,0)</f>
        <v>Yes</v>
      </c>
      <c r="M854" t="str">
        <f>VLOOKUP(N854,'Products (2)'!A:G,2,0)</f>
        <v>Liberica</v>
      </c>
      <c r="N854" t="s">
        <v>109</v>
      </c>
      <c r="O854" t="str">
        <f>VLOOKUP(N854,'Products (2)'!A:G,3,0)</f>
        <v>Dark</v>
      </c>
      <c r="P854">
        <f>VLOOKUP(N854,'Products (2)'!A:G,7,0)</f>
        <v>3.8720499999999998</v>
      </c>
      <c r="Q854">
        <v>4</v>
      </c>
      <c r="R854">
        <f>INDEX([1]products!$A$1:$G$49,MATCH([1]orders!$D854,[1]products!$A$1:$A$49,0),MATCH([1]orders!K$1,[1]products!$A$1:$G$1,0))</f>
        <v>2.5</v>
      </c>
      <c r="S854">
        <f>INDEX([1]products!$A$1:$G$49,MATCH([1]orders!$D854,[1]products!$A$1:$A$49,0),MATCH([1]orders!L$1,[1]products!$A$1:$G$1,0))</f>
        <v>29.784999999999997</v>
      </c>
      <c r="T854">
        <f t="shared" si="79"/>
        <v>119.13999999999999</v>
      </c>
      <c r="U854">
        <f t="shared" si="82"/>
        <v>15.488199999999999</v>
      </c>
      <c r="V854">
        <f t="shared" si="83"/>
        <v>13</v>
      </c>
    </row>
    <row r="855" spans="1:22" x14ac:dyDescent="0.25">
      <c r="A855" t="s">
        <v>1649</v>
      </c>
      <c r="B855">
        <v>44259</v>
      </c>
      <c r="C855" t="str">
        <f t="shared" si="80"/>
        <v>04</v>
      </c>
      <c r="D855" t="str">
        <f t="shared" si="78"/>
        <v>March</v>
      </c>
      <c r="E855" t="str">
        <f t="shared" si="81"/>
        <v>2021</v>
      </c>
      <c r="F855" t="s">
        <v>1650</v>
      </c>
      <c r="G855" t="str">
        <f>VLOOKUP(F855,'Customers (2)'!A:I,2,0)</f>
        <v>Lynnea Danton</v>
      </c>
      <c r="H855" t="str">
        <f>VLOOKUP(F855,'Customers (2)'!A:I,3,0)</f>
        <v>ldantonnp@miitbeian.gov.cn</v>
      </c>
      <c r="I855">
        <f>VLOOKUP(F855,'Customers (2)'!A:I,4,0)</f>
        <v>0</v>
      </c>
      <c r="J855" t="str">
        <f>VLOOKUP(F855,'Customers (2)'!A:I,6,0)</f>
        <v>El Paso</v>
      </c>
      <c r="K855" t="str">
        <f>VLOOKUP(F855,'Customers (2)'!A:I,7,0)</f>
        <v>United States</v>
      </c>
      <c r="L855" t="str">
        <f>VLOOKUP(F855,'Customers (2)'!A:I,9,0)</f>
        <v>No</v>
      </c>
      <c r="M855" t="str">
        <f>VLOOKUP(N855,'Products (2)'!A:G,2,0)</f>
        <v>Arabica</v>
      </c>
      <c r="N855" t="s">
        <v>27</v>
      </c>
      <c r="O855" t="str">
        <f>VLOOKUP(N855,'Products (2)'!A:G,3,0)</f>
        <v>Dark</v>
      </c>
      <c r="P855">
        <f>VLOOKUP(N855,'Products (2)'!A:G,7,0)</f>
        <v>0.89549999999999985</v>
      </c>
      <c r="Q855">
        <v>2</v>
      </c>
      <c r="R855">
        <f>INDEX([1]products!$A$1:$G$49,MATCH([1]orders!$D855,[1]products!$A$1:$A$49,0),MATCH([1]orders!K$1,[1]products!$A$1:$G$1,0))</f>
        <v>1</v>
      </c>
      <c r="S855">
        <f>INDEX([1]products!$A$1:$G$49,MATCH([1]orders!$D855,[1]products!$A$1:$A$49,0),MATCH([1]orders!L$1,[1]products!$A$1:$G$1,0))</f>
        <v>9.9499999999999993</v>
      </c>
      <c r="T855">
        <f t="shared" si="79"/>
        <v>19.899999999999999</v>
      </c>
      <c r="U855">
        <f t="shared" si="82"/>
        <v>1.7909999999999997</v>
      </c>
      <c r="V855">
        <f t="shared" si="83"/>
        <v>9</v>
      </c>
    </row>
    <row r="856" spans="1:22" x14ac:dyDescent="0.25">
      <c r="A856" t="s">
        <v>1651</v>
      </c>
      <c r="B856">
        <v>44516</v>
      </c>
      <c r="C856" t="str">
        <f t="shared" si="80"/>
        <v>16</v>
      </c>
      <c r="D856" t="str">
        <f t="shared" si="78"/>
        <v>November</v>
      </c>
      <c r="E856" t="str">
        <f t="shared" si="81"/>
        <v>2021</v>
      </c>
      <c r="F856" t="s">
        <v>1652</v>
      </c>
      <c r="G856" t="str">
        <f>VLOOKUP(F856,'Customers (2)'!A:I,2,0)</f>
        <v>Skipton Morrall</v>
      </c>
      <c r="H856" t="str">
        <f>VLOOKUP(F856,'Customers (2)'!A:I,3,0)</f>
        <v>smorrallnq@answers.com</v>
      </c>
      <c r="I856" t="str">
        <f>VLOOKUP(F856,'Customers (2)'!A:I,4,0)</f>
        <v>+1 (304) 897-5422</v>
      </c>
      <c r="J856" t="str">
        <f>VLOOKUP(F856,'Customers (2)'!A:I,6,0)</f>
        <v>Charleston</v>
      </c>
      <c r="K856" t="str">
        <f>VLOOKUP(F856,'Customers (2)'!A:I,7,0)</f>
        <v>United States</v>
      </c>
      <c r="L856" t="str">
        <f>VLOOKUP(F856,'Customers (2)'!A:I,9,0)</f>
        <v>Yes</v>
      </c>
      <c r="M856" t="str">
        <f>VLOOKUP(N856,'Products (2)'!A:G,2,0)</f>
        <v>Robusta</v>
      </c>
      <c r="N856" t="s">
        <v>157</v>
      </c>
      <c r="O856" t="str">
        <f>VLOOKUP(N856,'Products (2)'!A:G,3,0)</f>
        <v>Light</v>
      </c>
      <c r="P856">
        <f>VLOOKUP(N856,'Products (2)'!A:G,7,0)</f>
        <v>0.43019999999999992</v>
      </c>
      <c r="Q856">
        <v>5</v>
      </c>
      <c r="R856">
        <f>INDEX([1]products!$A$1:$G$49,MATCH([1]orders!$D856,[1]products!$A$1:$A$49,0),MATCH([1]orders!K$1,[1]products!$A$1:$G$1,0))</f>
        <v>0.5</v>
      </c>
      <c r="S856">
        <f>INDEX([1]products!$A$1:$G$49,MATCH([1]orders!$D856,[1]products!$A$1:$A$49,0),MATCH([1]orders!L$1,[1]products!$A$1:$G$1,0))</f>
        <v>7.169999999999999</v>
      </c>
      <c r="T856">
        <f t="shared" si="79"/>
        <v>35.849999999999994</v>
      </c>
      <c r="U856">
        <f t="shared" si="82"/>
        <v>2.1509999999999998</v>
      </c>
      <c r="V856">
        <f t="shared" si="83"/>
        <v>6.0000000000000009</v>
      </c>
    </row>
    <row r="857" spans="1:22" x14ac:dyDescent="0.25">
      <c r="A857" t="s">
        <v>1653</v>
      </c>
      <c r="B857">
        <v>43632</v>
      </c>
      <c r="C857" t="str">
        <f t="shared" si="80"/>
        <v>16</v>
      </c>
      <c r="D857" t="str">
        <f t="shared" si="78"/>
        <v>June</v>
      </c>
      <c r="E857" t="str">
        <f t="shared" si="81"/>
        <v>2019</v>
      </c>
      <c r="F857" t="s">
        <v>1654</v>
      </c>
      <c r="G857" t="str">
        <f>VLOOKUP(F857,'Customers (2)'!A:I,2,0)</f>
        <v>Devan Crownshaw</v>
      </c>
      <c r="H857" t="str">
        <f>VLOOKUP(F857,'Customers (2)'!A:I,3,0)</f>
        <v>dcrownshawnr@photobucket.com</v>
      </c>
      <c r="I857" t="str">
        <f>VLOOKUP(F857,'Customers (2)'!A:I,4,0)</f>
        <v>+1 (610) 576-4733</v>
      </c>
      <c r="J857" t="str">
        <f>VLOOKUP(F857,'Customers (2)'!A:I,6,0)</f>
        <v>Allentown</v>
      </c>
      <c r="K857" t="str">
        <f>VLOOKUP(F857,'Customers (2)'!A:I,7,0)</f>
        <v>United States</v>
      </c>
      <c r="L857" t="str">
        <f>VLOOKUP(F857,'Customers (2)'!A:I,9,0)</f>
        <v>No</v>
      </c>
      <c r="M857" t="str">
        <f>VLOOKUP(N857,'Products (2)'!A:G,2,0)</f>
        <v>Liberica</v>
      </c>
      <c r="N857" t="s">
        <v>109</v>
      </c>
      <c r="O857" t="str">
        <f>VLOOKUP(N857,'Products (2)'!A:G,3,0)</f>
        <v>Dark</v>
      </c>
      <c r="P857">
        <f>VLOOKUP(N857,'Products (2)'!A:G,7,0)</f>
        <v>3.8720499999999998</v>
      </c>
      <c r="Q857">
        <v>3</v>
      </c>
      <c r="R857">
        <f>INDEX([1]products!$A$1:$G$49,MATCH([1]orders!$D857,[1]products!$A$1:$A$49,0),MATCH([1]orders!K$1,[1]products!$A$1:$G$1,0))</f>
        <v>2.5</v>
      </c>
      <c r="S857">
        <f>INDEX([1]products!$A$1:$G$49,MATCH([1]orders!$D857,[1]products!$A$1:$A$49,0),MATCH([1]orders!L$1,[1]products!$A$1:$G$1,0))</f>
        <v>29.784999999999997</v>
      </c>
      <c r="T857">
        <f t="shared" si="79"/>
        <v>89.35499999999999</v>
      </c>
      <c r="U857">
        <f t="shared" si="82"/>
        <v>11.616149999999999</v>
      </c>
      <c r="V857">
        <f t="shared" si="83"/>
        <v>13</v>
      </c>
    </row>
    <row r="858" spans="1:22" x14ac:dyDescent="0.25">
      <c r="A858" t="s">
        <v>1655</v>
      </c>
      <c r="B858">
        <v>44031</v>
      </c>
      <c r="C858" t="str">
        <f t="shared" si="80"/>
        <v>19</v>
      </c>
      <c r="D858" t="str">
        <f t="shared" si="78"/>
        <v>July</v>
      </c>
      <c r="E858" t="str">
        <f t="shared" si="81"/>
        <v>2020</v>
      </c>
      <c r="F858" t="s">
        <v>1600</v>
      </c>
      <c r="G858" t="str">
        <f>VLOOKUP(F858,'Customers (2)'!A:I,2,0)</f>
        <v>Odelia Skerme</v>
      </c>
      <c r="H858" t="str">
        <f>VLOOKUP(F858,'Customers (2)'!A:I,3,0)</f>
        <v>oskermen3@hatena.ne.jp</v>
      </c>
      <c r="I858" t="str">
        <f>VLOOKUP(F858,'Customers (2)'!A:I,4,0)</f>
        <v>+1 (405) 615-0298</v>
      </c>
      <c r="J858" t="str">
        <f>VLOOKUP(F858,'Customers (2)'!A:I,6,0)</f>
        <v>Oklahoma City</v>
      </c>
      <c r="K858" t="str">
        <f>VLOOKUP(F858,'Customers (2)'!A:I,7,0)</f>
        <v>United States</v>
      </c>
      <c r="L858" t="str">
        <f>VLOOKUP(F858,'Customers (2)'!A:I,9,0)</f>
        <v>Yes</v>
      </c>
      <c r="M858" t="str">
        <f>VLOOKUP(N858,'Products (2)'!A:G,2,0)</f>
        <v>Liberica</v>
      </c>
      <c r="N858" t="s">
        <v>77</v>
      </c>
      <c r="O858" t="str">
        <f>VLOOKUP(N858,'Products (2)'!A:G,3,0)</f>
        <v>Medium</v>
      </c>
      <c r="P858">
        <f>VLOOKUP(N858,'Products (2)'!A:G,7,0)</f>
        <v>0.56745000000000001</v>
      </c>
      <c r="Q858">
        <v>2</v>
      </c>
      <c r="R858">
        <f>INDEX([1]products!$A$1:$G$49,MATCH([1]orders!$D858,[1]products!$A$1:$A$49,0),MATCH([1]orders!K$1,[1]products!$A$1:$G$1,0))</f>
        <v>0.2</v>
      </c>
      <c r="S858">
        <f>INDEX([1]products!$A$1:$G$49,MATCH([1]orders!$D858,[1]products!$A$1:$A$49,0),MATCH([1]orders!L$1,[1]products!$A$1:$G$1,0))</f>
        <v>4.3650000000000002</v>
      </c>
      <c r="T858">
        <f t="shared" si="79"/>
        <v>8.73</v>
      </c>
      <c r="U858">
        <f t="shared" si="82"/>
        <v>1.1349</v>
      </c>
      <c r="V858">
        <f t="shared" si="83"/>
        <v>13</v>
      </c>
    </row>
    <row r="859" spans="1:22" x14ac:dyDescent="0.25">
      <c r="A859" t="s">
        <v>1656</v>
      </c>
      <c r="B859">
        <v>43889</v>
      </c>
      <c r="C859" t="str">
        <f t="shared" si="80"/>
        <v>28</v>
      </c>
      <c r="D859" t="str">
        <f t="shared" si="78"/>
        <v>February</v>
      </c>
      <c r="E859" t="str">
        <f t="shared" si="81"/>
        <v>2020</v>
      </c>
      <c r="F859" t="s">
        <v>1657</v>
      </c>
      <c r="G859" t="str">
        <f>VLOOKUP(F859,'Customers (2)'!A:I,2,0)</f>
        <v>Joceline Reddoch</v>
      </c>
      <c r="H859" t="str">
        <f>VLOOKUP(F859,'Customers (2)'!A:I,3,0)</f>
        <v>jreddochnt@sun.com</v>
      </c>
      <c r="I859" t="str">
        <f>VLOOKUP(F859,'Customers (2)'!A:I,4,0)</f>
        <v>+1 (863) 742-5292</v>
      </c>
      <c r="J859" t="str">
        <f>VLOOKUP(F859,'Customers (2)'!A:I,6,0)</f>
        <v>Largo</v>
      </c>
      <c r="K859" t="str">
        <f>VLOOKUP(F859,'Customers (2)'!A:I,7,0)</f>
        <v>United States</v>
      </c>
      <c r="L859" t="str">
        <f>VLOOKUP(F859,'Customers (2)'!A:I,9,0)</f>
        <v>No</v>
      </c>
      <c r="M859" t="str">
        <f>VLOOKUP(N859,'Products (2)'!A:G,2,0)</f>
        <v>Robusta</v>
      </c>
      <c r="N859" t="s">
        <v>10</v>
      </c>
      <c r="O859" t="str">
        <f>VLOOKUP(N859,'Products (2)'!A:G,3,0)</f>
        <v>Light</v>
      </c>
      <c r="P859">
        <f>VLOOKUP(N859,'Products (2)'!A:G,7,0)</f>
        <v>1.6490999999999998</v>
      </c>
      <c r="Q859">
        <v>5</v>
      </c>
      <c r="R859">
        <f>INDEX([1]products!$A$1:$G$49,MATCH([1]orders!$D859,[1]products!$A$1:$A$49,0),MATCH([1]orders!K$1,[1]products!$A$1:$G$1,0))</f>
        <v>2.5</v>
      </c>
      <c r="S859">
        <f>INDEX([1]products!$A$1:$G$49,MATCH([1]orders!$D859,[1]products!$A$1:$A$49,0),MATCH([1]orders!L$1,[1]products!$A$1:$G$1,0))</f>
        <v>27.484999999999996</v>
      </c>
      <c r="T859">
        <f t="shared" si="79"/>
        <v>137.42499999999998</v>
      </c>
      <c r="U859">
        <f t="shared" si="82"/>
        <v>8.2454999999999998</v>
      </c>
      <c r="V859">
        <f t="shared" si="83"/>
        <v>6.0000000000000009</v>
      </c>
    </row>
    <row r="860" spans="1:22" x14ac:dyDescent="0.25">
      <c r="A860" t="s">
        <v>1658</v>
      </c>
      <c r="B860">
        <v>43638</v>
      </c>
      <c r="C860" t="str">
        <f t="shared" si="80"/>
        <v>22</v>
      </c>
      <c r="D860" t="str">
        <f t="shared" si="78"/>
        <v>June</v>
      </c>
      <c r="E860" t="str">
        <f t="shared" si="81"/>
        <v>2019</v>
      </c>
      <c r="F860" t="s">
        <v>1659</v>
      </c>
      <c r="G860" t="str">
        <f>VLOOKUP(F860,'Customers (2)'!A:I,2,0)</f>
        <v>Shelley Titley</v>
      </c>
      <c r="H860" t="str">
        <f>VLOOKUP(F860,'Customers (2)'!A:I,3,0)</f>
        <v>stitleynu@whitehouse.gov</v>
      </c>
      <c r="I860" t="str">
        <f>VLOOKUP(F860,'Customers (2)'!A:I,4,0)</f>
        <v>+1 (701) 350-6149</v>
      </c>
      <c r="J860" t="str">
        <f>VLOOKUP(F860,'Customers (2)'!A:I,6,0)</f>
        <v>Fargo</v>
      </c>
      <c r="K860" t="str">
        <f>VLOOKUP(F860,'Customers (2)'!A:I,7,0)</f>
        <v>United States</v>
      </c>
      <c r="L860" t="str">
        <f>VLOOKUP(F860,'Customers (2)'!A:I,9,0)</f>
        <v>No</v>
      </c>
      <c r="M860" t="str">
        <f>VLOOKUP(N860,'Products (2)'!A:G,2,0)</f>
        <v>Liberica</v>
      </c>
      <c r="N860" t="s">
        <v>78</v>
      </c>
      <c r="O860" t="str">
        <f>VLOOKUP(N860,'Products (2)'!A:G,3,0)</f>
        <v>Medium</v>
      </c>
      <c r="P860">
        <f>VLOOKUP(N860,'Products (2)'!A:G,7,0)</f>
        <v>1.1349</v>
      </c>
      <c r="Q860">
        <v>4</v>
      </c>
      <c r="R860">
        <f>INDEX([1]products!$A$1:$G$49,MATCH([1]orders!$D860,[1]products!$A$1:$A$49,0),MATCH([1]orders!K$1,[1]products!$A$1:$G$1,0))</f>
        <v>0.5</v>
      </c>
      <c r="S860">
        <f>INDEX([1]products!$A$1:$G$49,MATCH([1]orders!$D860,[1]products!$A$1:$A$49,0),MATCH([1]orders!L$1,[1]products!$A$1:$G$1,0))</f>
        <v>8.73</v>
      </c>
      <c r="T860">
        <f t="shared" si="79"/>
        <v>34.92</v>
      </c>
      <c r="U860">
        <f t="shared" si="82"/>
        <v>4.5396000000000001</v>
      </c>
      <c r="V860">
        <f t="shared" si="83"/>
        <v>13</v>
      </c>
    </row>
    <row r="861" spans="1:22" x14ac:dyDescent="0.25">
      <c r="A861" t="s">
        <v>1660</v>
      </c>
      <c r="B861">
        <v>43716</v>
      </c>
      <c r="C861" t="str">
        <f t="shared" si="80"/>
        <v>08</v>
      </c>
      <c r="D861" t="str">
        <f t="shared" si="78"/>
        <v>September</v>
      </c>
      <c r="E861" t="str">
        <f t="shared" si="81"/>
        <v>2019</v>
      </c>
      <c r="F861" t="s">
        <v>1661</v>
      </c>
      <c r="G861" t="str">
        <f>VLOOKUP(F861,'Customers (2)'!A:I,2,0)</f>
        <v>Redd Simao</v>
      </c>
      <c r="H861" t="str">
        <f>VLOOKUP(F861,'Customers (2)'!A:I,3,0)</f>
        <v>rsimaonv@simplemachines.org</v>
      </c>
      <c r="I861" t="str">
        <f>VLOOKUP(F861,'Customers (2)'!A:I,4,0)</f>
        <v>+1 (479) 898-5090</v>
      </c>
      <c r="J861" t="str">
        <f>VLOOKUP(F861,'Customers (2)'!A:I,6,0)</f>
        <v>Fort Smith</v>
      </c>
      <c r="K861" t="str">
        <f>VLOOKUP(F861,'Customers (2)'!A:I,7,0)</f>
        <v>United States</v>
      </c>
      <c r="L861" t="str">
        <f>VLOOKUP(F861,'Customers (2)'!A:I,9,0)</f>
        <v>No</v>
      </c>
      <c r="M861" t="str">
        <f>VLOOKUP(N861,'Products (2)'!A:G,2,0)</f>
        <v>Arabica</v>
      </c>
      <c r="N861" t="s">
        <v>204</v>
      </c>
      <c r="O861" t="str">
        <f>VLOOKUP(N861,'Products (2)'!A:G,3,0)</f>
        <v>Light</v>
      </c>
      <c r="P861">
        <f>VLOOKUP(N861,'Products (2)'!A:G,7,0)</f>
        <v>2.6806499999999995</v>
      </c>
      <c r="Q861">
        <v>6</v>
      </c>
      <c r="R861">
        <f>INDEX([1]products!$A$1:$G$49,MATCH([1]orders!$D861,[1]products!$A$1:$A$49,0),MATCH([1]orders!K$1,[1]products!$A$1:$G$1,0))</f>
        <v>2.5</v>
      </c>
      <c r="S861">
        <f>INDEX([1]products!$A$1:$G$49,MATCH([1]orders!$D861,[1]products!$A$1:$A$49,0),MATCH([1]orders!L$1,[1]products!$A$1:$G$1,0))</f>
        <v>29.784999999999997</v>
      </c>
      <c r="T861">
        <f t="shared" si="79"/>
        <v>178.70999999999998</v>
      </c>
      <c r="U861">
        <f t="shared" si="82"/>
        <v>16.083899999999996</v>
      </c>
      <c r="V861">
        <f t="shared" si="83"/>
        <v>8.9999999999999982</v>
      </c>
    </row>
    <row r="862" spans="1:22" x14ac:dyDescent="0.25">
      <c r="A862" t="s">
        <v>1662</v>
      </c>
      <c r="B862">
        <v>44707</v>
      </c>
      <c r="C862" t="str">
        <f t="shared" si="80"/>
        <v>26</v>
      </c>
      <c r="D862" t="str">
        <f t="shared" si="78"/>
        <v>May</v>
      </c>
      <c r="E862" t="str">
        <f t="shared" si="81"/>
        <v>2022</v>
      </c>
      <c r="F862" t="s">
        <v>1663</v>
      </c>
      <c r="G862" t="str">
        <f>VLOOKUP(F862,'Customers (2)'!A:I,2,0)</f>
        <v>Cece Inker</v>
      </c>
      <c r="H862">
        <f>VLOOKUP(F862,'Customers (2)'!A:I,3,0)</f>
        <v>0</v>
      </c>
      <c r="I862" t="str">
        <f>VLOOKUP(F862,'Customers (2)'!A:I,4,0)</f>
        <v>+1 (863) 977-9033</v>
      </c>
      <c r="J862" t="str">
        <f>VLOOKUP(F862,'Customers (2)'!A:I,6,0)</f>
        <v>Lakeland</v>
      </c>
      <c r="K862" t="str">
        <f>VLOOKUP(F862,'Customers (2)'!A:I,7,0)</f>
        <v>United States</v>
      </c>
      <c r="L862" t="str">
        <f>VLOOKUP(F862,'Customers (2)'!A:I,9,0)</f>
        <v>No</v>
      </c>
      <c r="M862" t="str">
        <f>VLOOKUP(N862,'Products (2)'!A:G,2,0)</f>
        <v>Arabica</v>
      </c>
      <c r="N862" t="s">
        <v>171</v>
      </c>
      <c r="O862" t="str">
        <f>VLOOKUP(N862,'Products (2)'!A:G,3,0)</f>
        <v>Medium</v>
      </c>
      <c r="P862">
        <f>VLOOKUP(N862,'Products (2)'!A:G,7,0)</f>
        <v>2.3287499999999994</v>
      </c>
      <c r="Q862">
        <v>1</v>
      </c>
      <c r="R862">
        <f>INDEX([1]products!$A$1:$G$49,MATCH([1]orders!$D862,[1]products!$A$1:$A$49,0),MATCH([1]orders!K$1,[1]products!$A$1:$G$1,0))</f>
        <v>2.5</v>
      </c>
      <c r="S862">
        <f>INDEX([1]products!$A$1:$G$49,MATCH([1]orders!$D862,[1]products!$A$1:$A$49,0),MATCH([1]orders!L$1,[1]products!$A$1:$G$1,0))</f>
        <v>25.874999999999996</v>
      </c>
      <c r="T862">
        <f t="shared" si="79"/>
        <v>25.874999999999996</v>
      </c>
      <c r="U862">
        <f t="shared" si="82"/>
        <v>2.3287499999999994</v>
      </c>
      <c r="V862">
        <f t="shared" si="83"/>
        <v>9</v>
      </c>
    </row>
    <row r="863" spans="1:22" x14ac:dyDescent="0.25">
      <c r="A863" t="s">
        <v>1664</v>
      </c>
      <c r="B863">
        <v>43802</v>
      </c>
      <c r="C863" t="str">
        <f t="shared" si="80"/>
        <v>03</v>
      </c>
      <c r="D863" t="str">
        <f t="shared" si="78"/>
        <v>December</v>
      </c>
      <c r="E863" t="str">
        <f t="shared" si="81"/>
        <v>2019</v>
      </c>
      <c r="F863" t="s">
        <v>1665</v>
      </c>
      <c r="G863" t="str">
        <f>VLOOKUP(F863,'Customers (2)'!A:I,2,0)</f>
        <v>Noel Chisholm</v>
      </c>
      <c r="H863" t="str">
        <f>VLOOKUP(F863,'Customers (2)'!A:I,3,0)</f>
        <v>nchisholmnx@example.com</v>
      </c>
      <c r="I863" t="str">
        <f>VLOOKUP(F863,'Customers (2)'!A:I,4,0)</f>
        <v>+1 (865) 228-1100</v>
      </c>
      <c r="J863" t="str">
        <f>VLOOKUP(F863,'Customers (2)'!A:I,6,0)</f>
        <v>Knoxville</v>
      </c>
      <c r="K863" t="str">
        <f>VLOOKUP(F863,'Customers (2)'!A:I,7,0)</f>
        <v>United States</v>
      </c>
      <c r="L863" t="str">
        <f>VLOOKUP(F863,'Customers (2)'!A:I,9,0)</f>
        <v>Yes</v>
      </c>
      <c r="M863" t="str">
        <f>VLOOKUP(N863,'Products (2)'!A:G,2,0)</f>
        <v>Liberica</v>
      </c>
      <c r="N863" t="s">
        <v>13</v>
      </c>
      <c r="O863" t="str">
        <f>VLOOKUP(N863,'Products (2)'!A:G,3,0)</f>
        <v>Dark</v>
      </c>
      <c r="P863">
        <f>VLOOKUP(N863,'Products (2)'!A:G,7,0)</f>
        <v>1.6835</v>
      </c>
      <c r="Q863">
        <v>6</v>
      </c>
      <c r="R863">
        <f>INDEX([1]products!$A$1:$G$49,MATCH([1]orders!$D863,[1]products!$A$1:$A$49,0),MATCH([1]orders!K$1,[1]products!$A$1:$G$1,0))</f>
        <v>1</v>
      </c>
      <c r="S863">
        <f>INDEX([1]products!$A$1:$G$49,MATCH([1]orders!$D863,[1]products!$A$1:$A$49,0),MATCH([1]orders!L$1,[1]products!$A$1:$G$1,0))</f>
        <v>12.95</v>
      </c>
      <c r="T863">
        <f t="shared" si="79"/>
        <v>77.699999999999989</v>
      </c>
      <c r="U863">
        <f t="shared" si="82"/>
        <v>10.100999999999999</v>
      </c>
      <c r="V863">
        <f t="shared" si="83"/>
        <v>13</v>
      </c>
    </row>
    <row r="864" spans="1:22" x14ac:dyDescent="0.25">
      <c r="A864" t="s">
        <v>1666</v>
      </c>
      <c r="B864">
        <v>43725</v>
      </c>
      <c r="C864" t="str">
        <f t="shared" si="80"/>
        <v>17</v>
      </c>
      <c r="D864" t="str">
        <f t="shared" si="78"/>
        <v>September</v>
      </c>
      <c r="E864" t="str">
        <f t="shared" si="81"/>
        <v>2019</v>
      </c>
      <c r="F864" t="s">
        <v>1667</v>
      </c>
      <c r="G864" t="str">
        <f>VLOOKUP(F864,'Customers (2)'!A:I,2,0)</f>
        <v>Grazia Oats</v>
      </c>
      <c r="H864" t="str">
        <f>VLOOKUP(F864,'Customers (2)'!A:I,3,0)</f>
        <v>goatsny@live.com</v>
      </c>
      <c r="I864" t="str">
        <f>VLOOKUP(F864,'Customers (2)'!A:I,4,0)</f>
        <v>+1 (213) 813-1072</v>
      </c>
      <c r="J864" t="str">
        <f>VLOOKUP(F864,'Customers (2)'!A:I,6,0)</f>
        <v>Los Angeles</v>
      </c>
      <c r="K864" t="str">
        <f>VLOOKUP(F864,'Customers (2)'!A:I,7,0)</f>
        <v>United States</v>
      </c>
      <c r="L864" t="str">
        <f>VLOOKUP(F864,'Customers (2)'!A:I,9,0)</f>
        <v>Yes</v>
      </c>
      <c r="M864" t="str">
        <f>VLOOKUP(N864,'Products (2)'!A:G,2,0)</f>
        <v>Robusta</v>
      </c>
      <c r="N864" t="s">
        <v>2</v>
      </c>
      <c r="O864" t="str">
        <f>VLOOKUP(N864,'Products (2)'!A:G,3,0)</f>
        <v>Medium</v>
      </c>
      <c r="P864">
        <f>VLOOKUP(N864,'Products (2)'!A:G,7,0)</f>
        <v>0.59699999999999998</v>
      </c>
      <c r="Q864">
        <v>1</v>
      </c>
      <c r="R864">
        <f>INDEX([1]products!$A$1:$G$49,MATCH([1]orders!$D864,[1]products!$A$1:$A$49,0),MATCH([1]orders!K$1,[1]products!$A$1:$G$1,0))</f>
        <v>1</v>
      </c>
      <c r="S864">
        <f>INDEX([1]products!$A$1:$G$49,MATCH([1]orders!$D864,[1]products!$A$1:$A$49,0),MATCH([1]orders!L$1,[1]products!$A$1:$G$1,0))</f>
        <v>9.9499999999999993</v>
      </c>
      <c r="T864">
        <f t="shared" si="79"/>
        <v>9.9499999999999993</v>
      </c>
      <c r="U864">
        <f t="shared" si="82"/>
        <v>0.59699999999999998</v>
      </c>
      <c r="V864">
        <f t="shared" si="83"/>
        <v>6.0000000000000009</v>
      </c>
    </row>
    <row r="865" spans="1:22" x14ac:dyDescent="0.25">
      <c r="A865" t="s">
        <v>1668</v>
      </c>
      <c r="B865">
        <v>44712</v>
      </c>
      <c r="C865" t="str">
        <f t="shared" si="80"/>
        <v>31</v>
      </c>
      <c r="D865" t="str">
        <f t="shared" si="78"/>
        <v>May</v>
      </c>
      <c r="E865" t="str">
        <f t="shared" si="81"/>
        <v>2022</v>
      </c>
      <c r="F865" t="s">
        <v>1669</v>
      </c>
      <c r="G865" t="str">
        <f>VLOOKUP(F865,'Customers (2)'!A:I,2,0)</f>
        <v>Meade Birkin</v>
      </c>
      <c r="H865" t="str">
        <f>VLOOKUP(F865,'Customers (2)'!A:I,3,0)</f>
        <v>mbirkinnz@java.com</v>
      </c>
      <c r="I865" t="str">
        <f>VLOOKUP(F865,'Customers (2)'!A:I,4,0)</f>
        <v>+1 (954) 431-7206</v>
      </c>
      <c r="J865" t="str">
        <f>VLOOKUP(F865,'Customers (2)'!A:I,6,0)</f>
        <v>Miami</v>
      </c>
      <c r="K865" t="str">
        <f>VLOOKUP(F865,'Customers (2)'!A:I,7,0)</f>
        <v>United States</v>
      </c>
      <c r="L865" t="str">
        <f>VLOOKUP(F865,'Customers (2)'!A:I,9,0)</f>
        <v>Yes</v>
      </c>
      <c r="M865" t="str">
        <f>VLOOKUP(N865,'Products (2)'!A:G,2,0)</f>
        <v>Liberica</v>
      </c>
      <c r="N865" t="s">
        <v>96</v>
      </c>
      <c r="O865" t="str">
        <f>VLOOKUP(N865,'Products (2)'!A:G,3,0)</f>
        <v>Medium</v>
      </c>
      <c r="P865">
        <f>VLOOKUP(N865,'Products (2)'!A:G,7,0)</f>
        <v>1.8915000000000002</v>
      </c>
      <c r="Q865">
        <v>2</v>
      </c>
      <c r="R865">
        <f>INDEX([1]products!$A$1:$G$49,MATCH([1]orders!$D865,[1]products!$A$1:$A$49,0),MATCH([1]orders!K$1,[1]products!$A$1:$G$1,0))</f>
        <v>1</v>
      </c>
      <c r="S865">
        <f>INDEX([1]products!$A$1:$G$49,MATCH([1]orders!$D865,[1]products!$A$1:$A$49,0),MATCH([1]orders!L$1,[1]products!$A$1:$G$1,0))</f>
        <v>14.55</v>
      </c>
      <c r="T865">
        <f t="shared" si="79"/>
        <v>29.1</v>
      </c>
      <c r="U865">
        <f t="shared" si="82"/>
        <v>3.7830000000000004</v>
      </c>
      <c r="V865">
        <f t="shared" si="83"/>
        <v>13</v>
      </c>
    </row>
    <row r="866" spans="1:22" x14ac:dyDescent="0.25">
      <c r="A866" t="s">
        <v>1670</v>
      </c>
      <c r="B866">
        <v>43759</v>
      </c>
      <c r="C866" t="str">
        <f t="shared" si="80"/>
        <v>21</v>
      </c>
      <c r="D866" t="str">
        <f t="shared" si="78"/>
        <v>October</v>
      </c>
      <c r="E866" t="str">
        <f t="shared" si="81"/>
        <v>2019</v>
      </c>
      <c r="F866" t="s">
        <v>1671</v>
      </c>
      <c r="G866" t="str">
        <f>VLOOKUP(F866,'Customers (2)'!A:I,2,0)</f>
        <v>Ronda Pyson</v>
      </c>
      <c r="H866" t="str">
        <f>VLOOKUP(F866,'Customers (2)'!A:I,3,0)</f>
        <v>rpysono0@constantcontact.com</v>
      </c>
      <c r="I866" t="str">
        <f>VLOOKUP(F866,'Customers (2)'!A:I,4,0)</f>
        <v>+353 (836) 436-1472</v>
      </c>
      <c r="J866" t="str">
        <f>VLOOKUP(F866,'Customers (2)'!A:I,6,0)</f>
        <v>Clones</v>
      </c>
      <c r="K866" t="str">
        <f>VLOOKUP(F866,'Customers (2)'!A:I,7,0)</f>
        <v>Ireland</v>
      </c>
      <c r="L866" t="str">
        <f>VLOOKUP(F866,'Customers (2)'!A:I,9,0)</f>
        <v>No</v>
      </c>
      <c r="M866" t="str">
        <f>VLOOKUP(N866,'Products (2)'!A:G,2,0)</f>
        <v>Robusta</v>
      </c>
      <c r="N866" t="s">
        <v>182</v>
      </c>
      <c r="O866" t="str">
        <f>VLOOKUP(N866,'Products (2)'!A:G,3,0)</f>
        <v>Light</v>
      </c>
      <c r="P866">
        <f>VLOOKUP(N866,'Products (2)'!A:G,7,0)</f>
        <v>0.21509999999999996</v>
      </c>
      <c r="Q866">
        <v>6</v>
      </c>
      <c r="R866">
        <f>INDEX([1]products!$A$1:$G$49,MATCH([1]orders!$D866,[1]products!$A$1:$A$49,0),MATCH([1]orders!K$1,[1]products!$A$1:$G$1,0))</f>
        <v>0.2</v>
      </c>
      <c r="S866">
        <f>INDEX([1]products!$A$1:$G$49,MATCH([1]orders!$D866,[1]products!$A$1:$A$49,0),MATCH([1]orders!L$1,[1]products!$A$1:$G$1,0))</f>
        <v>3.5849999999999995</v>
      </c>
      <c r="T866">
        <f t="shared" si="79"/>
        <v>21.509999999999998</v>
      </c>
      <c r="U866">
        <f t="shared" si="82"/>
        <v>1.2905999999999997</v>
      </c>
      <c r="V866">
        <f t="shared" si="83"/>
        <v>5.9999999999999991</v>
      </c>
    </row>
    <row r="867" spans="1:22" x14ac:dyDescent="0.25">
      <c r="A867" t="s">
        <v>1672</v>
      </c>
      <c r="B867">
        <v>44675</v>
      </c>
      <c r="C867" t="str">
        <f t="shared" si="80"/>
        <v>24</v>
      </c>
      <c r="D867" t="str">
        <f t="shared" si="78"/>
        <v>April</v>
      </c>
      <c r="E867" t="str">
        <f t="shared" si="81"/>
        <v>2022</v>
      </c>
      <c r="F867" t="s">
        <v>1673</v>
      </c>
      <c r="G867" t="str">
        <f>VLOOKUP(F867,'Customers (2)'!A:I,2,0)</f>
        <v>Modesty MacConnechie</v>
      </c>
      <c r="H867" t="str">
        <f>VLOOKUP(F867,'Customers (2)'!A:I,3,0)</f>
        <v>mmacconnechieo9@reuters.com</v>
      </c>
      <c r="I867" t="str">
        <f>VLOOKUP(F867,'Customers (2)'!A:I,4,0)</f>
        <v>+1 (304) 620-6008</v>
      </c>
      <c r="J867" t="str">
        <f>VLOOKUP(F867,'Customers (2)'!A:I,6,0)</f>
        <v>Charleston</v>
      </c>
      <c r="K867" t="str">
        <f>VLOOKUP(F867,'Customers (2)'!A:I,7,0)</f>
        <v>United States</v>
      </c>
      <c r="L867" t="str">
        <f>VLOOKUP(F867,'Customers (2)'!A:I,9,0)</f>
        <v>Yes</v>
      </c>
      <c r="M867" t="str">
        <f>VLOOKUP(N867,'Products (2)'!A:G,2,0)</f>
        <v>Arabica</v>
      </c>
      <c r="N867" t="s">
        <v>67</v>
      </c>
      <c r="O867" t="str">
        <f>VLOOKUP(N867,'Products (2)'!A:G,3,0)</f>
        <v>Medium</v>
      </c>
      <c r="P867">
        <f>VLOOKUP(N867,'Products (2)'!A:G,7,0)</f>
        <v>0.60749999999999993</v>
      </c>
      <c r="Q867">
        <v>1</v>
      </c>
      <c r="R867">
        <f>INDEX([1]products!$A$1:$G$49,MATCH([1]orders!$D867,[1]products!$A$1:$A$49,0),MATCH([1]orders!K$1,[1]products!$A$1:$G$1,0))</f>
        <v>0.5</v>
      </c>
      <c r="S867">
        <f>INDEX([1]products!$A$1:$G$49,MATCH([1]orders!$D867,[1]products!$A$1:$A$49,0),MATCH([1]orders!L$1,[1]products!$A$1:$G$1,0))</f>
        <v>6.75</v>
      </c>
      <c r="T867">
        <f t="shared" si="79"/>
        <v>6.75</v>
      </c>
      <c r="U867">
        <f t="shared" si="82"/>
        <v>0.60749999999999993</v>
      </c>
      <c r="V867">
        <f t="shared" si="83"/>
        <v>8.9999999999999982</v>
      </c>
    </row>
    <row r="868" spans="1:22" x14ac:dyDescent="0.25">
      <c r="A868" t="s">
        <v>1674</v>
      </c>
      <c r="B868">
        <v>44209</v>
      </c>
      <c r="C868" t="str">
        <f t="shared" si="80"/>
        <v>13</v>
      </c>
      <c r="D868" t="str">
        <f t="shared" si="78"/>
        <v>January</v>
      </c>
      <c r="E868" t="str">
        <f t="shared" si="81"/>
        <v>2021</v>
      </c>
      <c r="F868" t="s">
        <v>1675</v>
      </c>
      <c r="G868" t="str">
        <f>VLOOKUP(F868,'Customers (2)'!A:I,2,0)</f>
        <v>Rafaela Treacher</v>
      </c>
      <c r="H868" t="str">
        <f>VLOOKUP(F868,'Customers (2)'!A:I,3,0)</f>
        <v>rtreachero2@usa.gov</v>
      </c>
      <c r="I868" t="str">
        <f>VLOOKUP(F868,'Customers (2)'!A:I,4,0)</f>
        <v>+353 (552) 867-2244</v>
      </c>
      <c r="J868" t="str">
        <f>VLOOKUP(F868,'Customers (2)'!A:I,6,0)</f>
        <v>Greystones</v>
      </c>
      <c r="K868" t="str">
        <f>VLOOKUP(F868,'Customers (2)'!A:I,7,0)</f>
        <v>Ireland</v>
      </c>
      <c r="L868" t="str">
        <f>VLOOKUP(F868,'Customers (2)'!A:I,9,0)</f>
        <v>No</v>
      </c>
      <c r="M868" t="str">
        <f>VLOOKUP(N868,'Products (2)'!A:G,2,0)</f>
        <v>Arabica</v>
      </c>
      <c r="N868" t="s">
        <v>72</v>
      </c>
      <c r="O868" t="str">
        <f>VLOOKUP(N868,'Products (2)'!A:G,3,0)</f>
        <v>Dark</v>
      </c>
      <c r="P868">
        <f>VLOOKUP(N868,'Products (2)'!A:G,7,0)</f>
        <v>0.5373</v>
      </c>
      <c r="Q868">
        <v>3</v>
      </c>
      <c r="R868">
        <f>INDEX([1]products!$A$1:$G$49,MATCH([1]orders!$D868,[1]products!$A$1:$A$49,0),MATCH([1]orders!K$1,[1]products!$A$1:$G$1,0))</f>
        <v>0.5</v>
      </c>
      <c r="S868">
        <f>INDEX([1]products!$A$1:$G$49,MATCH([1]orders!$D868,[1]products!$A$1:$A$49,0),MATCH([1]orders!L$1,[1]products!$A$1:$G$1,0))</f>
        <v>5.97</v>
      </c>
      <c r="T868">
        <f t="shared" si="79"/>
        <v>17.91</v>
      </c>
      <c r="U868">
        <f t="shared" si="82"/>
        <v>1.6118999999999999</v>
      </c>
      <c r="V868">
        <f t="shared" si="83"/>
        <v>9</v>
      </c>
    </row>
    <row r="869" spans="1:22" x14ac:dyDescent="0.25">
      <c r="A869" t="s">
        <v>1676</v>
      </c>
      <c r="B869">
        <v>44792</v>
      </c>
      <c r="C869" t="str">
        <f t="shared" si="80"/>
        <v>19</v>
      </c>
      <c r="D869" t="str">
        <f t="shared" si="78"/>
        <v>August</v>
      </c>
      <c r="E869" t="str">
        <f t="shared" si="81"/>
        <v>2022</v>
      </c>
      <c r="F869" t="s">
        <v>1677</v>
      </c>
      <c r="G869" t="str">
        <f>VLOOKUP(F869,'Customers (2)'!A:I,2,0)</f>
        <v>Bee Fattorini</v>
      </c>
      <c r="H869" t="str">
        <f>VLOOKUP(F869,'Customers (2)'!A:I,3,0)</f>
        <v>bfattorinio3@quantcast.com</v>
      </c>
      <c r="I869">
        <f>VLOOKUP(F869,'Customers (2)'!A:I,4,0)</f>
        <v>0</v>
      </c>
      <c r="J869" t="str">
        <f>VLOOKUP(F869,'Customers (2)'!A:I,6,0)</f>
        <v>Monaghan</v>
      </c>
      <c r="K869" t="str">
        <f>VLOOKUP(F869,'Customers (2)'!A:I,7,0)</f>
        <v>Ireland</v>
      </c>
      <c r="L869" t="str">
        <f>VLOOKUP(F869,'Customers (2)'!A:I,9,0)</f>
        <v>Yes</v>
      </c>
      <c r="M869" t="str">
        <f>VLOOKUP(N869,'Products (2)'!A:G,2,0)</f>
        <v>Arabica</v>
      </c>
      <c r="N869" t="s">
        <v>204</v>
      </c>
      <c r="O869" t="str">
        <f>VLOOKUP(N869,'Products (2)'!A:G,3,0)</f>
        <v>Light</v>
      </c>
      <c r="P869">
        <f>VLOOKUP(N869,'Products (2)'!A:G,7,0)</f>
        <v>2.6806499999999995</v>
      </c>
      <c r="Q869">
        <v>1</v>
      </c>
      <c r="R869">
        <f>INDEX([1]products!$A$1:$G$49,MATCH([1]orders!$D869,[1]products!$A$1:$A$49,0),MATCH([1]orders!K$1,[1]products!$A$1:$G$1,0))</f>
        <v>2.5</v>
      </c>
      <c r="S869">
        <f>INDEX([1]products!$A$1:$G$49,MATCH([1]orders!$D869,[1]products!$A$1:$A$49,0),MATCH([1]orders!L$1,[1]products!$A$1:$G$1,0))</f>
        <v>29.784999999999997</v>
      </c>
      <c r="T869">
        <f t="shared" si="79"/>
        <v>29.784999999999997</v>
      </c>
      <c r="U869">
        <f t="shared" si="82"/>
        <v>2.6806499999999995</v>
      </c>
      <c r="V869">
        <f t="shared" si="83"/>
        <v>9</v>
      </c>
    </row>
    <row r="870" spans="1:22" x14ac:dyDescent="0.25">
      <c r="A870" t="s">
        <v>1678</v>
      </c>
      <c r="B870">
        <v>43526</v>
      </c>
      <c r="C870" t="str">
        <f t="shared" si="80"/>
        <v>02</v>
      </c>
      <c r="D870" t="str">
        <f t="shared" si="78"/>
        <v>March</v>
      </c>
      <c r="E870" t="str">
        <f t="shared" si="81"/>
        <v>2019</v>
      </c>
      <c r="F870" t="s">
        <v>1679</v>
      </c>
      <c r="G870" t="str">
        <f>VLOOKUP(F870,'Customers (2)'!A:I,2,0)</f>
        <v>Margie Palleske</v>
      </c>
      <c r="H870" t="str">
        <f>VLOOKUP(F870,'Customers (2)'!A:I,3,0)</f>
        <v>mpalleskeo4@nyu.edu</v>
      </c>
      <c r="I870" t="str">
        <f>VLOOKUP(F870,'Customers (2)'!A:I,4,0)</f>
        <v>+1 (561) 371-1596</v>
      </c>
      <c r="J870" t="str">
        <f>VLOOKUP(F870,'Customers (2)'!A:I,6,0)</f>
        <v>Pompano Beach</v>
      </c>
      <c r="K870" t="str">
        <f>VLOOKUP(F870,'Customers (2)'!A:I,7,0)</f>
        <v>United States</v>
      </c>
      <c r="L870" t="str">
        <f>VLOOKUP(F870,'Customers (2)'!A:I,9,0)</f>
        <v>Yes</v>
      </c>
      <c r="M870" t="str">
        <f>VLOOKUP(N870,'Products (2)'!A:G,2,0)</f>
        <v>Excelsa</v>
      </c>
      <c r="N870" t="s">
        <v>3</v>
      </c>
      <c r="O870" t="str">
        <f>VLOOKUP(N870,'Products (2)'!A:G,3,0)</f>
        <v>Medium</v>
      </c>
      <c r="P870">
        <f>VLOOKUP(N870,'Products (2)'!A:G,7,0)</f>
        <v>0.90749999999999997</v>
      </c>
      <c r="Q870">
        <v>5</v>
      </c>
      <c r="R870">
        <f>INDEX([1]products!$A$1:$G$49,MATCH([1]orders!$D870,[1]products!$A$1:$A$49,0),MATCH([1]orders!K$1,[1]products!$A$1:$G$1,0))</f>
        <v>0.5</v>
      </c>
      <c r="S870">
        <f>INDEX([1]products!$A$1:$G$49,MATCH([1]orders!$D870,[1]products!$A$1:$A$49,0),MATCH([1]orders!L$1,[1]products!$A$1:$G$1,0))</f>
        <v>8.25</v>
      </c>
      <c r="T870">
        <f t="shared" si="79"/>
        <v>41.25</v>
      </c>
      <c r="U870">
        <f t="shared" si="82"/>
        <v>4.5374999999999996</v>
      </c>
      <c r="V870">
        <f t="shared" si="83"/>
        <v>10.999999999999998</v>
      </c>
    </row>
    <row r="871" spans="1:22" x14ac:dyDescent="0.25">
      <c r="A871" t="s">
        <v>1680</v>
      </c>
      <c r="B871">
        <v>43851</v>
      </c>
      <c r="C871" t="str">
        <f t="shared" si="80"/>
        <v>21</v>
      </c>
      <c r="D871" t="str">
        <f t="shared" si="78"/>
        <v>January</v>
      </c>
      <c r="E871" t="str">
        <f t="shared" si="81"/>
        <v>2020</v>
      </c>
      <c r="F871" t="s">
        <v>1681</v>
      </c>
      <c r="G871" t="str">
        <f>VLOOKUP(F871,'Customers (2)'!A:I,2,0)</f>
        <v>Alexina Randals</v>
      </c>
      <c r="H871">
        <f>VLOOKUP(F871,'Customers (2)'!A:I,3,0)</f>
        <v>0</v>
      </c>
      <c r="I871" t="str">
        <f>VLOOKUP(F871,'Customers (2)'!A:I,4,0)</f>
        <v>+1 (916) 300-4433</v>
      </c>
      <c r="J871" t="str">
        <f>VLOOKUP(F871,'Customers (2)'!A:I,6,0)</f>
        <v>Sacramento</v>
      </c>
      <c r="K871" t="str">
        <f>VLOOKUP(F871,'Customers (2)'!A:I,7,0)</f>
        <v>United States</v>
      </c>
      <c r="L871" t="str">
        <f>VLOOKUP(F871,'Customers (2)'!A:I,9,0)</f>
        <v>Yes</v>
      </c>
      <c r="M871" t="str">
        <f>VLOOKUP(N871,'Products (2)'!A:G,2,0)</f>
        <v>Robusta</v>
      </c>
      <c r="N871" t="s">
        <v>22</v>
      </c>
      <c r="O871" t="str">
        <f>VLOOKUP(N871,'Products (2)'!A:G,3,0)</f>
        <v>Medium</v>
      </c>
      <c r="P871">
        <f>VLOOKUP(N871,'Products (2)'!A:G,7,0)</f>
        <v>0.35819999999999996</v>
      </c>
      <c r="Q871">
        <v>3</v>
      </c>
      <c r="R871">
        <f>INDEX([1]products!$A$1:$G$49,MATCH([1]orders!$D871,[1]products!$A$1:$A$49,0),MATCH([1]orders!K$1,[1]products!$A$1:$G$1,0))</f>
        <v>0.5</v>
      </c>
      <c r="S871">
        <f>INDEX([1]products!$A$1:$G$49,MATCH([1]orders!$D871,[1]products!$A$1:$A$49,0),MATCH([1]orders!L$1,[1]products!$A$1:$G$1,0))</f>
        <v>5.97</v>
      </c>
      <c r="T871">
        <f t="shared" si="79"/>
        <v>17.91</v>
      </c>
      <c r="U871">
        <f t="shared" si="82"/>
        <v>1.0745999999999998</v>
      </c>
      <c r="V871">
        <f t="shared" si="83"/>
        <v>5.9999999999999982</v>
      </c>
    </row>
    <row r="872" spans="1:22" x14ac:dyDescent="0.25">
      <c r="A872" t="s">
        <v>1682</v>
      </c>
      <c r="B872">
        <v>44460</v>
      </c>
      <c r="C872" t="str">
        <f t="shared" si="80"/>
        <v>21</v>
      </c>
      <c r="D872" t="str">
        <f t="shared" si="78"/>
        <v>September</v>
      </c>
      <c r="E872" t="str">
        <f t="shared" si="81"/>
        <v>2021</v>
      </c>
      <c r="F872" t="s">
        <v>1683</v>
      </c>
      <c r="G872" t="str">
        <f>VLOOKUP(F872,'Customers (2)'!A:I,2,0)</f>
        <v>Filip Antcliffe</v>
      </c>
      <c r="H872" t="str">
        <f>VLOOKUP(F872,'Customers (2)'!A:I,3,0)</f>
        <v>fantcliffeo6@amazon.co.jp</v>
      </c>
      <c r="I872" t="str">
        <f>VLOOKUP(F872,'Customers (2)'!A:I,4,0)</f>
        <v>+353 (581) 217-6697</v>
      </c>
      <c r="J872" t="str">
        <f>VLOOKUP(F872,'Customers (2)'!A:I,6,0)</f>
        <v>Clonskeagh</v>
      </c>
      <c r="K872" t="str">
        <f>VLOOKUP(F872,'Customers (2)'!A:I,7,0)</f>
        <v>Ireland</v>
      </c>
      <c r="L872" t="str">
        <f>VLOOKUP(F872,'Customers (2)'!A:I,9,0)</f>
        <v>Yes</v>
      </c>
      <c r="M872" t="str">
        <f>VLOOKUP(N872,'Products (2)'!A:G,2,0)</f>
        <v>Excelsa</v>
      </c>
      <c r="N872" t="s">
        <v>16</v>
      </c>
      <c r="O872" t="str">
        <f>VLOOKUP(N872,'Products (2)'!A:G,3,0)</f>
        <v>Dark</v>
      </c>
      <c r="P872">
        <f>VLOOKUP(N872,'Products (2)'!A:G,7,0)</f>
        <v>0.80190000000000006</v>
      </c>
      <c r="Q872">
        <v>1</v>
      </c>
      <c r="R872">
        <f>INDEX([1]products!$A$1:$G$49,MATCH([1]orders!$D872,[1]products!$A$1:$A$49,0),MATCH([1]orders!K$1,[1]products!$A$1:$G$1,0))</f>
        <v>0.5</v>
      </c>
      <c r="S872">
        <f>INDEX([1]products!$A$1:$G$49,MATCH([1]orders!$D872,[1]products!$A$1:$A$49,0),MATCH([1]orders!L$1,[1]products!$A$1:$G$1,0))</f>
        <v>7.29</v>
      </c>
      <c r="T872">
        <f t="shared" si="79"/>
        <v>7.29</v>
      </c>
      <c r="U872">
        <f t="shared" si="82"/>
        <v>0.80190000000000006</v>
      </c>
      <c r="V872">
        <f t="shared" si="83"/>
        <v>11</v>
      </c>
    </row>
    <row r="873" spans="1:22" x14ac:dyDescent="0.25">
      <c r="A873" t="s">
        <v>1684</v>
      </c>
      <c r="B873">
        <v>43707</v>
      </c>
      <c r="C873" t="str">
        <f t="shared" si="80"/>
        <v>30</v>
      </c>
      <c r="D873" t="str">
        <f t="shared" si="78"/>
        <v>August</v>
      </c>
      <c r="E873" t="str">
        <f t="shared" si="81"/>
        <v>2019</v>
      </c>
      <c r="F873" t="s">
        <v>1685</v>
      </c>
      <c r="G873" t="str">
        <f>VLOOKUP(F873,'Customers (2)'!A:I,2,0)</f>
        <v>Peyter Matignon</v>
      </c>
      <c r="H873" t="str">
        <f>VLOOKUP(F873,'Customers (2)'!A:I,3,0)</f>
        <v>pmatignono7@harvard.edu</v>
      </c>
      <c r="I873" t="str">
        <f>VLOOKUP(F873,'Customers (2)'!A:I,4,0)</f>
        <v>+44 (792) 626-3977</v>
      </c>
      <c r="J873" t="str">
        <f>VLOOKUP(F873,'Customers (2)'!A:I,6,0)</f>
        <v>Kirkton</v>
      </c>
      <c r="K873" t="str">
        <f>VLOOKUP(F873,'Customers (2)'!A:I,7,0)</f>
        <v>United Kingdom</v>
      </c>
      <c r="L873" t="str">
        <f>VLOOKUP(F873,'Customers (2)'!A:I,9,0)</f>
        <v>Yes</v>
      </c>
      <c r="M873" t="str">
        <f>VLOOKUP(N873,'Products (2)'!A:G,2,0)</f>
        <v>Excelsa</v>
      </c>
      <c r="N873" t="s">
        <v>137</v>
      </c>
      <c r="O873" t="str">
        <f>VLOOKUP(N873,'Products (2)'!A:G,3,0)</f>
        <v>Light</v>
      </c>
      <c r="P873">
        <f>VLOOKUP(N873,'Products (2)'!A:G,7,0)</f>
        <v>1.6335</v>
      </c>
      <c r="Q873">
        <v>2</v>
      </c>
      <c r="R873">
        <f>INDEX([1]products!$A$1:$G$49,MATCH([1]orders!$D873,[1]products!$A$1:$A$49,0),MATCH([1]orders!K$1,[1]products!$A$1:$G$1,0))</f>
        <v>1</v>
      </c>
      <c r="S873">
        <f>INDEX([1]products!$A$1:$G$49,MATCH([1]orders!$D873,[1]products!$A$1:$A$49,0),MATCH([1]orders!L$1,[1]products!$A$1:$G$1,0))</f>
        <v>14.85</v>
      </c>
      <c r="T873">
        <f t="shared" si="79"/>
        <v>29.7</v>
      </c>
      <c r="U873">
        <f t="shared" si="82"/>
        <v>3.2669999999999999</v>
      </c>
      <c r="V873">
        <f t="shared" si="83"/>
        <v>11</v>
      </c>
    </row>
    <row r="874" spans="1:22" x14ac:dyDescent="0.25">
      <c r="A874" t="s">
        <v>1686</v>
      </c>
      <c r="B874">
        <v>43521</v>
      </c>
      <c r="C874" t="str">
        <f t="shared" si="80"/>
        <v>25</v>
      </c>
      <c r="D874" t="str">
        <f t="shared" si="78"/>
        <v>February</v>
      </c>
      <c r="E874" t="str">
        <f t="shared" si="81"/>
        <v>2019</v>
      </c>
      <c r="F874" t="s">
        <v>1687</v>
      </c>
      <c r="G874" t="str">
        <f>VLOOKUP(F874,'Customers (2)'!A:I,2,0)</f>
        <v>Claudie Weond</v>
      </c>
      <c r="H874" t="str">
        <f>VLOOKUP(F874,'Customers (2)'!A:I,3,0)</f>
        <v>cweondo8@theglobeandmail.com</v>
      </c>
      <c r="I874" t="str">
        <f>VLOOKUP(F874,'Customers (2)'!A:I,4,0)</f>
        <v>+1 (828) 335-1268</v>
      </c>
      <c r="J874" t="str">
        <f>VLOOKUP(F874,'Customers (2)'!A:I,6,0)</f>
        <v>Asheville</v>
      </c>
      <c r="K874" t="str">
        <f>VLOOKUP(F874,'Customers (2)'!A:I,7,0)</f>
        <v>United States</v>
      </c>
      <c r="L874" t="str">
        <f>VLOOKUP(F874,'Customers (2)'!A:I,9,0)</f>
        <v>No</v>
      </c>
      <c r="M874" t="str">
        <f>VLOOKUP(N874,'Products (2)'!A:G,2,0)</f>
        <v>Arabica</v>
      </c>
      <c r="N874" t="s">
        <v>61</v>
      </c>
      <c r="O874" t="str">
        <f>VLOOKUP(N874,'Products (2)'!A:G,3,0)</f>
        <v>Medium</v>
      </c>
      <c r="P874">
        <f>VLOOKUP(N874,'Products (2)'!A:G,7,0)</f>
        <v>1.0125</v>
      </c>
      <c r="Q874">
        <v>2</v>
      </c>
      <c r="R874">
        <f>INDEX([1]products!$A$1:$G$49,MATCH([1]orders!$D874,[1]products!$A$1:$A$49,0),MATCH([1]orders!K$1,[1]products!$A$1:$G$1,0))</f>
        <v>1</v>
      </c>
      <c r="S874">
        <f>INDEX([1]products!$A$1:$G$49,MATCH([1]orders!$D874,[1]products!$A$1:$A$49,0),MATCH([1]orders!L$1,[1]products!$A$1:$G$1,0))</f>
        <v>11.25</v>
      </c>
      <c r="T874">
        <f t="shared" si="79"/>
        <v>22.5</v>
      </c>
      <c r="U874">
        <f t="shared" si="82"/>
        <v>2.0249999999999999</v>
      </c>
      <c r="V874">
        <f t="shared" si="83"/>
        <v>9</v>
      </c>
    </row>
    <row r="875" spans="1:22" x14ac:dyDescent="0.25">
      <c r="A875" t="s">
        <v>1688</v>
      </c>
      <c r="B875">
        <v>43725</v>
      </c>
      <c r="C875" t="str">
        <f t="shared" si="80"/>
        <v>17</v>
      </c>
      <c r="D875" t="str">
        <f t="shared" si="78"/>
        <v>September</v>
      </c>
      <c r="E875" t="str">
        <f t="shared" si="81"/>
        <v>2019</v>
      </c>
      <c r="F875" t="s">
        <v>1673</v>
      </c>
      <c r="G875" t="str">
        <f>VLOOKUP(F875,'Customers (2)'!A:I,2,0)</f>
        <v>Modesty MacConnechie</v>
      </c>
      <c r="H875" t="str">
        <f>VLOOKUP(F875,'Customers (2)'!A:I,3,0)</f>
        <v>mmacconnechieo9@reuters.com</v>
      </c>
      <c r="I875" t="str">
        <f>VLOOKUP(F875,'Customers (2)'!A:I,4,0)</f>
        <v>+1 (304) 620-6008</v>
      </c>
      <c r="J875" t="str">
        <f>VLOOKUP(F875,'Customers (2)'!A:I,6,0)</f>
        <v>Charleston</v>
      </c>
      <c r="K875" t="str">
        <f>VLOOKUP(F875,'Customers (2)'!A:I,7,0)</f>
        <v>United States</v>
      </c>
      <c r="L875" t="str">
        <f>VLOOKUP(F875,'Customers (2)'!A:I,9,0)</f>
        <v>Yes</v>
      </c>
      <c r="M875" t="str">
        <f>VLOOKUP(N875,'Products (2)'!A:G,2,0)</f>
        <v>Robusta</v>
      </c>
      <c r="N875" t="s">
        <v>162</v>
      </c>
      <c r="O875" t="str">
        <f>VLOOKUP(N875,'Products (2)'!A:G,3,0)</f>
        <v>Medium</v>
      </c>
      <c r="P875">
        <f>VLOOKUP(N875,'Products (2)'!A:G,7,0)</f>
        <v>0.17909999999999998</v>
      </c>
      <c r="Q875">
        <v>4</v>
      </c>
      <c r="R875">
        <f>INDEX([1]products!$A$1:$G$49,MATCH([1]orders!$D875,[1]products!$A$1:$A$49,0),MATCH([1]orders!K$1,[1]products!$A$1:$G$1,0))</f>
        <v>0.2</v>
      </c>
      <c r="S875">
        <f>INDEX([1]products!$A$1:$G$49,MATCH([1]orders!$D875,[1]products!$A$1:$A$49,0),MATCH([1]orders!L$1,[1]products!$A$1:$G$1,0))</f>
        <v>2.9849999999999999</v>
      </c>
      <c r="T875">
        <f t="shared" si="79"/>
        <v>11.94</v>
      </c>
      <c r="U875">
        <f t="shared" si="82"/>
        <v>0.71639999999999993</v>
      </c>
      <c r="V875">
        <f t="shared" si="83"/>
        <v>6</v>
      </c>
    </row>
    <row r="876" spans="1:22" x14ac:dyDescent="0.25">
      <c r="A876" t="s">
        <v>1689</v>
      </c>
      <c r="B876">
        <v>43680</v>
      </c>
      <c r="C876" t="str">
        <f t="shared" si="80"/>
        <v>03</v>
      </c>
      <c r="D876" t="str">
        <f t="shared" si="78"/>
        <v>August</v>
      </c>
      <c r="E876" t="str">
        <f t="shared" si="81"/>
        <v>2019</v>
      </c>
      <c r="F876" t="s">
        <v>1690</v>
      </c>
      <c r="G876" t="str">
        <f>VLOOKUP(F876,'Customers (2)'!A:I,2,0)</f>
        <v>Jaquenette Skentelbery</v>
      </c>
      <c r="H876" t="str">
        <f>VLOOKUP(F876,'Customers (2)'!A:I,3,0)</f>
        <v>jskentelberyoa@paypal.com</v>
      </c>
      <c r="I876" t="str">
        <f>VLOOKUP(F876,'Customers (2)'!A:I,4,0)</f>
        <v>+1 (713) 976-5419</v>
      </c>
      <c r="J876" t="str">
        <f>VLOOKUP(F876,'Customers (2)'!A:I,6,0)</f>
        <v>Houston</v>
      </c>
      <c r="K876" t="str">
        <f>VLOOKUP(F876,'Customers (2)'!A:I,7,0)</f>
        <v>United States</v>
      </c>
      <c r="L876" t="str">
        <f>VLOOKUP(F876,'Customers (2)'!A:I,9,0)</f>
        <v>No</v>
      </c>
      <c r="M876" t="str">
        <f>VLOOKUP(N876,'Products (2)'!A:G,2,0)</f>
        <v>Arabica</v>
      </c>
      <c r="N876" t="s">
        <v>6</v>
      </c>
      <c r="O876" t="str">
        <f>VLOOKUP(N876,'Products (2)'!A:G,3,0)</f>
        <v>Light</v>
      </c>
      <c r="P876">
        <f>VLOOKUP(N876,'Products (2)'!A:G,7,0)</f>
        <v>1.1655</v>
      </c>
      <c r="Q876">
        <v>2</v>
      </c>
      <c r="R876">
        <f>INDEX([1]products!$A$1:$G$49,MATCH([1]orders!$D876,[1]products!$A$1:$A$49,0),MATCH([1]orders!K$1,[1]products!$A$1:$G$1,0))</f>
        <v>1</v>
      </c>
      <c r="S876">
        <f>INDEX([1]products!$A$1:$G$49,MATCH([1]orders!$D876,[1]products!$A$1:$A$49,0),MATCH([1]orders!L$1,[1]products!$A$1:$G$1,0))</f>
        <v>12.95</v>
      </c>
      <c r="T876">
        <f t="shared" si="79"/>
        <v>25.9</v>
      </c>
      <c r="U876">
        <f t="shared" si="82"/>
        <v>2.331</v>
      </c>
      <c r="V876">
        <f t="shared" si="83"/>
        <v>9</v>
      </c>
    </row>
    <row r="877" spans="1:22" x14ac:dyDescent="0.25">
      <c r="A877" t="s">
        <v>1691</v>
      </c>
      <c r="B877">
        <v>44253</v>
      </c>
      <c r="C877" t="str">
        <f t="shared" si="80"/>
        <v>26</v>
      </c>
      <c r="D877" t="str">
        <f t="shared" si="78"/>
        <v>February</v>
      </c>
      <c r="E877" t="str">
        <f t="shared" si="81"/>
        <v>2021</v>
      </c>
      <c r="F877" t="s">
        <v>1692</v>
      </c>
      <c r="G877" t="str">
        <f>VLOOKUP(F877,'Customers (2)'!A:I,2,0)</f>
        <v>Orazio Comber</v>
      </c>
      <c r="H877" t="str">
        <f>VLOOKUP(F877,'Customers (2)'!A:I,3,0)</f>
        <v>ocomberob@goo.gl</v>
      </c>
      <c r="I877" t="str">
        <f>VLOOKUP(F877,'Customers (2)'!A:I,4,0)</f>
        <v>+353 (947) 836-2302</v>
      </c>
      <c r="J877" t="str">
        <f>VLOOKUP(F877,'Customers (2)'!A:I,6,0)</f>
        <v>Confey</v>
      </c>
      <c r="K877" t="str">
        <f>VLOOKUP(F877,'Customers (2)'!A:I,7,0)</f>
        <v>Ireland</v>
      </c>
      <c r="L877" t="str">
        <f>VLOOKUP(F877,'Customers (2)'!A:I,9,0)</f>
        <v>No</v>
      </c>
      <c r="M877" t="str">
        <f>VLOOKUP(N877,'Products (2)'!A:G,2,0)</f>
        <v>Liberica</v>
      </c>
      <c r="N877" t="s">
        <v>78</v>
      </c>
      <c r="O877" t="str">
        <f>VLOOKUP(N877,'Products (2)'!A:G,3,0)</f>
        <v>Medium</v>
      </c>
      <c r="P877">
        <f>VLOOKUP(N877,'Products (2)'!A:G,7,0)</f>
        <v>1.1349</v>
      </c>
      <c r="Q877">
        <v>5</v>
      </c>
      <c r="R877">
        <f>INDEX([1]products!$A$1:$G$49,MATCH([1]orders!$D877,[1]products!$A$1:$A$49,0),MATCH([1]orders!K$1,[1]products!$A$1:$G$1,0))</f>
        <v>0.5</v>
      </c>
      <c r="S877">
        <f>INDEX([1]products!$A$1:$G$49,MATCH([1]orders!$D877,[1]products!$A$1:$A$49,0),MATCH([1]orders!L$1,[1]products!$A$1:$G$1,0))</f>
        <v>8.73</v>
      </c>
      <c r="T877">
        <f t="shared" si="79"/>
        <v>43.650000000000006</v>
      </c>
      <c r="U877">
        <f t="shared" si="82"/>
        <v>5.6745000000000001</v>
      </c>
      <c r="V877">
        <f t="shared" si="83"/>
        <v>12.999999999999998</v>
      </c>
    </row>
    <row r="878" spans="1:22" x14ac:dyDescent="0.25">
      <c r="A878" t="s">
        <v>1691</v>
      </c>
      <c r="B878">
        <v>44253</v>
      </c>
      <c r="C878" t="str">
        <f t="shared" si="80"/>
        <v>26</v>
      </c>
      <c r="D878" t="str">
        <f t="shared" si="78"/>
        <v>February</v>
      </c>
      <c r="E878" t="str">
        <f t="shared" si="81"/>
        <v>2021</v>
      </c>
      <c r="F878" t="s">
        <v>1692</v>
      </c>
      <c r="G878" t="str">
        <f>VLOOKUP(F878,'Customers (2)'!A:I,2,0)</f>
        <v>Orazio Comber</v>
      </c>
      <c r="H878" t="str">
        <f>VLOOKUP(F878,'Customers (2)'!A:I,3,0)</f>
        <v>ocomberob@goo.gl</v>
      </c>
      <c r="I878" t="str">
        <f>VLOOKUP(F878,'Customers (2)'!A:I,4,0)</f>
        <v>+353 (947) 836-2302</v>
      </c>
      <c r="J878" t="str">
        <f>VLOOKUP(F878,'Customers (2)'!A:I,6,0)</f>
        <v>Confey</v>
      </c>
      <c r="K878" t="str">
        <f>VLOOKUP(F878,'Customers (2)'!A:I,7,0)</f>
        <v>Ireland</v>
      </c>
      <c r="L878" t="str">
        <f>VLOOKUP(F878,'Customers (2)'!A:I,9,0)</f>
        <v>No</v>
      </c>
      <c r="M878" t="str">
        <f>VLOOKUP(N878,'Products (2)'!A:G,2,0)</f>
        <v>Arabica</v>
      </c>
      <c r="N878" t="s">
        <v>192</v>
      </c>
      <c r="O878" t="str">
        <f>VLOOKUP(N878,'Products (2)'!A:G,3,0)</f>
        <v>Light</v>
      </c>
      <c r="P878">
        <f>VLOOKUP(N878,'Products (2)'!A:G,7,0)</f>
        <v>0.69929999999999992</v>
      </c>
      <c r="Q878">
        <v>6</v>
      </c>
      <c r="R878">
        <f>INDEX([1]products!$A$1:$G$49,MATCH([1]orders!$D878,[1]products!$A$1:$A$49,0),MATCH([1]orders!K$1,[1]products!$A$1:$G$1,0))</f>
        <v>0.5</v>
      </c>
      <c r="S878">
        <f>INDEX([1]products!$A$1:$G$49,MATCH([1]orders!$D878,[1]products!$A$1:$A$49,0),MATCH([1]orders!L$1,[1]products!$A$1:$G$1,0))</f>
        <v>7.77</v>
      </c>
      <c r="T878">
        <f t="shared" si="79"/>
        <v>46.62</v>
      </c>
      <c r="U878">
        <f t="shared" si="82"/>
        <v>4.1957999999999993</v>
      </c>
      <c r="V878">
        <f t="shared" si="83"/>
        <v>9</v>
      </c>
    </row>
    <row r="879" spans="1:22" x14ac:dyDescent="0.25">
      <c r="A879" t="s">
        <v>1693</v>
      </c>
      <c r="B879">
        <v>44411</v>
      </c>
      <c r="C879" t="str">
        <f t="shared" si="80"/>
        <v>03</v>
      </c>
      <c r="D879" t="str">
        <f t="shared" si="78"/>
        <v>August</v>
      </c>
      <c r="E879" t="str">
        <f t="shared" si="81"/>
        <v>2021</v>
      </c>
      <c r="F879" t="s">
        <v>1694</v>
      </c>
      <c r="G879" t="str">
        <f>VLOOKUP(F879,'Customers (2)'!A:I,2,0)</f>
        <v>Zachary Tramel</v>
      </c>
      <c r="H879" t="str">
        <f>VLOOKUP(F879,'Customers (2)'!A:I,3,0)</f>
        <v>ztramelod@netlog.com</v>
      </c>
      <c r="I879" t="str">
        <f>VLOOKUP(F879,'Customers (2)'!A:I,4,0)</f>
        <v>+1 (862) 925-5943</v>
      </c>
      <c r="J879" t="str">
        <f>VLOOKUP(F879,'Customers (2)'!A:I,6,0)</f>
        <v>Newark</v>
      </c>
      <c r="K879" t="str">
        <f>VLOOKUP(F879,'Customers (2)'!A:I,7,0)</f>
        <v>United States</v>
      </c>
      <c r="L879" t="str">
        <f>VLOOKUP(F879,'Customers (2)'!A:I,9,0)</f>
        <v>No</v>
      </c>
      <c r="M879" t="str">
        <f>VLOOKUP(N879,'Products (2)'!A:G,2,0)</f>
        <v>Liberica</v>
      </c>
      <c r="N879" t="s">
        <v>83</v>
      </c>
      <c r="O879" t="str">
        <f>VLOOKUP(N879,'Products (2)'!A:G,3,0)</f>
        <v>Light</v>
      </c>
      <c r="P879">
        <f>VLOOKUP(N879,'Products (2)'!A:G,7,0)</f>
        <v>1.2363</v>
      </c>
      <c r="Q879">
        <v>3</v>
      </c>
      <c r="R879">
        <f>INDEX([1]products!$A$1:$G$49,MATCH([1]orders!$D879,[1]products!$A$1:$A$49,0),MATCH([1]orders!K$1,[1]products!$A$1:$G$1,0))</f>
        <v>0.5</v>
      </c>
      <c r="S879">
        <f>INDEX([1]products!$A$1:$G$49,MATCH([1]orders!$D879,[1]products!$A$1:$A$49,0),MATCH([1]orders!L$1,[1]products!$A$1:$G$1,0))</f>
        <v>9.51</v>
      </c>
      <c r="T879">
        <f t="shared" si="79"/>
        <v>28.53</v>
      </c>
      <c r="U879">
        <f t="shared" si="82"/>
        <v>3.7088999999999999</v>
      </c>
      <c r="V879">
        <f t="shared" si="83"/>
        <v>12.999999999999998</v>
      </c>
    </row>
    <row r="880" spans="1:22" x14ac:dyDescent="0.25">
      <c r="A880" t="s">
        <v>1695</v>
      </c>
      <c r="B880">
        <v>44323</v>
      </c>
      <c r="C880" t="str">
        <f t="shared" si="80"/>
        <v>07</v>
      </c>
      <c r="D880" t="str">
        <f t="shared" si="78"/>
        <v>May</v>
      </c>
      <c r="E880" t="str">
        <f t="shared" si="81"/>
        <v>2021</v>
      </c>
      <c r="F880" t="s">
        <v>1696</v>
      </c>
      <c r="G880" t="str">
        <f>VLOOKUP(F880,'Customers (2)'!A:I,2,0)</f>
        <v>Izaak Primak</v>
      </c>
      <c r="H880">
        <f>VLOOKUP(F880,'Customers (2)'!A:I,3,0)</f>
        <v>0</v>
      </c>
      <c r="I880" t="str">
        <f>VLOOKUP(F880,'Customers (2)'!A:I,4,0)</f>
        <v>+1 (206) 705-3979</v>
      </c>
      <c r="J880" t="str">
        <f>VLOOKUP(F880,'Customers (2)'!A:I,6,0)</f>
        <v>Seattle</v>
      </c>
      <c r="K880" t="str">
        <f>VLOOKUP(F880,'Customers (2)'!A:I,7,0)</f>
        <v>United States</v>
      </c>
      <c r="L880" t="str">
        <f>VLOOKUP(F880,'Customers (2)'!A:I,9,0)</f>
        <v>Yes</v>
      </c>
      <c r="M880" t="str">
        <f>VLOOKUP(N880,'Products (2)'!A:G,2,0)</f>
        <v>Robusta</v>
      </c>
      <c r="N880" t="s">
        <v>10</v>
      </c>
      <c r="O880" t="str">
        <f>VLOOKUP(N880,'Products (2)'!A:G,3,0)</f>
        <v>Light</v>
      </c>
      <c r="P880">
        <f>VLOOKUP(N880,'Products (2)'!A:G,7,0)</f>
        <v>1.6490999999999998</v>
      </c>
      <c r="Q880">
        <v>1</v>
      </c>
      <c r="R880">
        <f>INDEX([1]products!$A$1:$G$49,MATCH([1]orders!$D880,[1]products!$A$1:$A$49,0),MATCH([1]orders!K$1,[1]products!$A$1:$G$1,0))</f>
        <v>2.5</v>
      </c>
      <c r="S880">
        <f>INDEX([1]products!$A$1:$G$49,MATCH([1]orders!$D880,[1]products!$A$1:$A$49,0),MATCH([1]orders!L$1,[1]products!$A$1:$G$1,0))</f>
        <v>27.484999999999996</v>
      </c>
      <c r="T880">
        <f t="shared" si="79"/>
        <v>27.484999999999996</v>
      </c>
      <c r="U880">
        <f t="shared" si="82"/>
        <v>1.6490999999999998</v>
      </c>
      <c r="V880">
        <f t="shared" si="83"/>
        <v>6.0000000000000009</v>
      </c>
    </row>
    <row r="881" spans="1:22" x14ac:dyDescent="0.25">
      <c r="A881" t="s">
        <v>1697</v>
      </c>
      <c r="B881">
        <v>43630</v>
      </c>
      <c r="C881" t="str">
        <f t="shared" si="80"/>
        <v>14</v>
      </c>
      <c r="D881" t="str">
        <f t="shared" si="78"/>
        <v>June</v>
      </c>
      <c r="E881" t="str">
        <f t="shared" si="81"/>
        <v>2019</v>
      </c>
      <c r="F881" t="s">
        <v>1698</v>
      </c>
      <c r="G881" t="str">
        <f>VLOOKUP(F881,'Customers (2)'!A:I,2,0)</f>
        <v>Brittani Thoresbie</v>
      </c>
      <c r="H881">
        <f>VLOOKUP(F881,'Customers (2)'!A:I,3,0)</f>
        <v>0</v>
      </c>
      <c r="I881" t="str">
        <f>VLOOKUP(F881,'Customers (2)'!A:I,4,0)</f>
        <v>+1 (303) 606-9146</v>
      </c>
      <c r="J881" t="str">
        <f>VLOOKUP(F881,'Customers (2)'!A:I,6,0)</f>
        <v>Englewood</v>
      </c>
      <c r="K881" t="str">
        <f>VLOOKUP(F881,'Customers (2)'!A:I,7,0)</f>
        <v>United States</v>
      </c>
      <c r="L881" t="str">
        <f>VLOOKUP(F881,'Customers (2)'!A:I,9,0)</f>
        <v>No</v>
      </c>
      <c r="M881" t="str">
        <f>VLOOKUP(N881,'Products (2)'!A:G,2,0)</f>
        <v>Excelsa</v>
      </c>
      <c r="N881" t="s">
        <v>51</v>
      </c>
      <c r="O881" t="str">
        <f>VLOOKUP(N881,'Products (2)'!A:G,3,0)</f>
        <v>Dark</v>
      </c>
      <c r="P881">
        <f>VLOOKUP(N881,'Products (2)'!A:G,7,0)</f>
        <v>0.40095000000000003</v>
      </c>
      <c r="Q881">
        <v>3</v>
      </c>
      <c r="R881">
        <f>INDEX([1]products!$A$1:$G$49,MATCH([1]orders!$D881,[1]products!$A$1:$A$49,0),MATCH([1]orders!K$1,[1]products!$A$1:$G$1,0))</f>
        <v>0.2</v>
      </c>
      <c r="S881">
        <f>INDEX([1]products!$A$1:$G$49,MATCH([1]orders!$D881,[1]products!$A$1:$A$49,0),MATCH([1]orders!L$1,[1]products!$A$1:$G$1,0))</f>
        <v>3.645</v>
      </c>
      <c r="T881">
        <f t="shared" si="79"/>
        <v>10.935</v>
      </c>
      <c r="U881">
        <f t="shared" si="82"/>
        <v>1.2028500000000002</v>
      </c>
      <c r="V881">
        <f t="shared" si="83"/>
        <v>11.000000000000002</v>
      </c>
    </row>
    <row r="882" spans="1:22" x14ac:dyDescent="0.25">
      <c r="A882" t="s">
        <v>1699</v>
      </c>
      <c r="B882">
        <v>43790</v>
      </c>
      <c r="C882" t="str">
        <f t="shared" si="80"/>
        <v>21</v>
      </c>
      <c r="D882" t="str">
        <f t="shared" si="78"/>
        <v>November</v>
      </c>
      <c r="E882" t="str">
        <f t="shared" si="81"/>
        <v>2019</v>
      </c>
      <c r="F882" t="s">
        <v>1700</v>
      </c>
      <c r="G882" t="str">
        <f>VLOOKUP(F882,'Customers (2)'!A:I,2,0)</f>
        <v>Constanta Hatfull</v>
      </c>
      <c r="H882" t="str">
        <f>VLOOKUP(F882,'Customers (2)'!A:I,3,0)</f>
        <v>chatfullog@ebay.com</v>
      </c>
      <c r="I882" t="str">
        <f>VLOOKUP(F882,'Customers (2)'!A:I,4,0)</f>
        <v>+1 (815) 382-1966</v>
      </c>
      <c r="J882" t="str">
        <f>VLOOKUP(F882,'Customers (2)'!A:I,6,0)</f>
        <v>Rockford</v>
      </c>
      <c r="K882" t="str">
        <f>VLOOKUP(F882,'Customers (2)'!A:I,7,0)</f>
        <v>United States</v>
      </c>
      <c r="L882" t="str">
        <f>VLOOKUP(F882,'Customers (2)'!A:I,9,0)</f>
        <v>No</v>
      </c>
      <c r="M882" t="str">
        <f>VLOOKUP(N882,'Products (2)'!A:G,2,0)</f>
        <v>Robusta</v>
      </c>
      <c r="N882" t="s">
        <v>182</v>
      </c>
      <c r="O882" t="str">
        <f>VLOOKUP(N882,'Products (2)'!A:G,3,0)</f>
        <v>Light</v>
      </c>
      <c r="P882">
        <f>VLOOKUP(N882,'Products (2)'!A:G,7,0)</f>
        <v>0.21509999999999996</v>
      </c>
      <c r="Q882">
        <v>2</v>
      </c>
      <c r="R882">
        <f>INDEX([1]products!$A$1:$G$49,MATCH([1]orders!$D882,[1]products!$A$1:$A$49,0),MATCH([1]orders!K$1,[1]products!$A$1:$G$1,0))</f>
        <v>0.2</v>
      </c>
      <c r="S882">
        <f>INDEX([1]products!$A$1:$G$49,MATCH([1]orders!$D882,[1]products!$A$1:$A$49,0),MATCH([1]orders!L$1,[1]products!$A$1:$G$1,0))</f>
        <v>3.5849999999999995</v>
      </c>
      <c r="T882">
        <f t="shared" si="79"/>
        <v>7.169999999999999</v>
      </c>
      <c r="U882">
        <f t="shared" si="82"/>
        <v>0.43019999999999992</v>
      </c>
      <c r="V882">
        <f t="shared" si="83"/>
        <v>6</v>
      </c>
    </row>
    <row r="883" spans="1:22" x14ac:dyDescent="0.25">
      <c r="A883" t="s">
        <v>1701</v>
      </c>
      <c r="B883">
        <v>44286</v>
      </c>
      <c r="C883" t="str">
        <f t="shared" si="80"/>
        <v>31</v>
      </c>
      <c r="D883" t="str">
        <f t="shared" si="78"/>
        <v>March</v>
      </c>
      <c r="E883" t="str">
        <f t="shared" si="81"/>
        <v>2021</v>
      </c>
      <c r="F883" t="s">
        <v>1702</v>
      </c>
      <c r="G883" t="str">
        <f>VLOOKUP(F883,'Customers (2)'!A:I,2,0)</f>
        <v>Bobbe Castagneto</v>
      </c>
      <c r="H883">
        <f>VLOOKUP(F883,'Customers (2)'!A:I,3,0)</f>
        <v>0</v>
      </c>
      <c r="I883" t="str">
        <f>VLOOKUP(F883,'Customers (2)'!A:I,4,0)</f>
        <v>+1 (406) 972-9050</v>
      </c>
      <c r="J883" t="str">
        <f>VLOOKUP(F883,'Customers (2)'!A:I,6,0)</f>
        <v>Billings</v>
      </c>
      <c r="K883" t="str">
        <f>VLOOKUP(F883,'Customers (2)'!A:I,7,0)</f>
        <v>United States</v>
      </c>
      <c r="L883" t="str">
        <f>VLOOKUP(F883,'Customers (2)'!A:I,9,0)</f>
        <v>Yes</v>
      </c>
      <c r="M883" t="str">
        <f>VLOOKUP(N883,'Products (2)'!A:G,2,0)</f>
        <v>Arabica</v>
      </c>
      <c r="N883" t="s">
        <v>115</v>
      </c>
      <c r="O883" t="str">
        <f>VLOOKUP(N883,'Products (2)'!A:G,3,0)</f>
        <v>Light</v>
      </c>
      <c r="P883">
        <f>VLOOKUP(N883,'Products (2)'!A:G,7,0)</f>
        <v>0.34964999999999996</v>
      </c>
      <c r="Q883">
        <v>6</v>
      </c>
      <c r="R883">
        <f>INDEX([1]products!$A$1:$G$49,MATCH([1]orders!$D883,[1]products!$A$1:$A$49,0),MATCH([1]orders!K$1,[1]products!$A$1:$G$1,0))</f>
        <v>0.2</v>
      </c>
      <c r="S883">
        <f>INDEX([1]products!$A$1:$G$49,MATCH([1]orders!$D883,[1]products!$A$1:$A$49,0),MATCH([1]orders!L$1,[1]products!$A$1:$G$1,0))</f>
        <v>3.8849999999999998</v>
      </c>
      <c r="T883">
        <f t="shared" si="79"/>
        <v>23.31</v>
      </c>
      <c r="U883">
        <f t="shared" si="82"/>
        <v>2.0978999999999997</v>
      </c>
      <c r="V883">
        <f t="shared" si="83"/>
        <v>9</v>
      </c>
    </row>
    <row r="884" spans="1:22" x14ac:dyDescent="0.25">
      <c r="A884" t="s">
        <v>1703</v>
      </c>
      <c r="B884">
        <v>43647</v>
      </c>
      <c r="C884" t="str">
        <f t="shared" si="80"/>
        <v>01</v>
      </c>
      <c r="D884" t="str">
        <f t="shared" si="78"/>
        <v>July</v>
      </c>
      <c r="E884" t="str">
        <f t="shared" si="81"/>
        <v>2019</v>
      </c>
      <c r="F884" t="s">
        <v>1704</v>
      </c>
      <c r="G884" t="str">
        <f>VLOOKUP(F884,'Customers (2)'!A:I,2,0)</f>
        <v>Kippie Marrison</v>
      </c>
      <c r="H884" t="str">
        <f>VLOOKUP(F884,'Customers (2)'!A:I,3,0)</f>
        <v>kmarrisonoq@dropbox.com</v>
      </c>
      <c r="I884" t="str">
        <f>VLOOKUP(F884,'Customers (2)'!A:I,4,0)</f>
        <v>+1 (303) 808-6803</v>
      </c>
      <c r="J884" t="str">
        <f>VLOOKUP(F884,'Customers (2)'!A:I,6,0)</f>
        <v>Denver</v>
      </c>
      <c r="K884" t="str">
        <f>VLOOKUP(F884,'Customers (2)'!A:I,7,0)</f>
        <v>United States</v>
      </c>
      <c r="L884" t="str">
        <f>VLOOKUP(F884,'Customers (2)'!A:I,9,0)</f>
        <v>Yes</v>
      </c>
      <c r="M884" t="str">
        <f>VLOOKUP(N884,'Products (2)'!A:G,2,0)</f>
        <v>Arabica</v>
      </c>
      <c r="N884" t="s">
        <v>118</v>
      </c>
      <c r="O884" t="str">
        <f>VLOOKUP(N884,'Products (2)'!A:G,3,0)</f>
        <v>Dark</v>
      </c>
      <c r="P884">
        <f>VLOOKUP(N884,'Products (2)'!A:G,7,0)</f>
        <v>2.0596499999999995</v>
      </c>
      <c r="Q884">
        <v>5</v>
      </c>
      <c r="R884">
        <f>INDEX([1]products!$A$1:$G$49,MATCH([1]orders!$D884,[1]products!$A$1:$A$49,0),MATCH([1]orders!K$1,[1]products!$A$1:$G$1,0))</f>
        <v>2.5</v>
      </c>
      <c r="S884">
        <f>INDEX([1]products!$A$1:$G$49,MATCH([1]orders!$D884,[1]products!$A$1:$A$49,0),MATCH([1]orders!L$1,[1]products!$A$1:$G$1,0))</f>
        <v>22.884999999999998</v>
      </c>
      <c r="T884">
        <f t="shared" si="79"/>
        <v>114.42499999999998</v>
      </c>
      <c r="U884">
        <f t="shared" si="82"/>
        <v>10.298249999999998</v>
      </c>
      <c r="V884">
        <f t="shared" si="83"/>
        <v>9</v>
      </c>
    </row>
    <row r="885" spans="1:22" x14ac:dyDescent="0.25">
      <c r="A885" t="s">
        <v>1705</v>
      </c>
      <c r="B885">
        <v>43956</v>
      </c>
      <c r="C885" t="str">
        <f t="shared" si="80"/>
        <v>05</v>
      </c>
      <c r="D885" t="str">
        <f t="shared" si="78"/>
        <v>May</v>
      </c>
      <c r="E885" t="str">
        <f t="shared" si="81"/>
        <v>2020</v>
      </c>
      <c r="F885" t="s">
        <v>1706</v>
      </c>
      <c r="G885" t="str">
        <f>VLOOKUP(F885,'Customers (2)'!A:I,2,0)</f>
        <v>Lindon Agnolo</v>
      </c>
      <c r="H885" t="str">
        <f>VLOOKUP(F885,'Customers (2)'!A:I,3,0)</f>
        <v>lagnolooj@pinterest.com</v>
      </c>
      <c r="I885" t="str">
        <f>VLOOKUP(F885,'Customers (2)'!A:I,4,0)</f>
        <v>+1 (918) 228-6949</v>
      </c>
      <c r="J885" t="str">
        <f>VLOOKUP(F885,'Customers (2)'!A:I,6,0)</f>
        <v>Tulsa</v>
      </c>
      <c r="K885" t="str">
        <f>VLOOKUP(F885,'Customers (2)'!A:I,7,0)</f>
        <v>United States</v>
      </c>
      <c r="L885" t="str">
        <f>VLOOKUP(F885,'Customers (2)'!A:I,9,0)</f>
        <v>Yes</v>
      </c>
      <c r="M885" t="str">
        <f>VLOOKUP(N885,'Products (2)'!A:G,2,0)</f>
        <v>Arabica</v>
      </c>
      <c r="N885" t="s">
        <v>171</v>
      </c>
      <c r="O885" t="str">
        <f>VLOOKUP(N885,'Products (2)'!A:G,3,0)</f>
        <v>Medium</v>
      </c>
      <c r="P885">
        <f>VLOOKUP(N885,'Products (2)'!A:G,7,0)</f>
        <v>2.3287499999999994</v>
      </c>
      <c r="Q885">
        <v>3</v>
      </c>
      <c r="R885">
        <f>INDEX([1]products!$A$1:$G$49,MATCH([1]orders!$D885,[1]products!$A$1:$A$49,0),MATCH([1]orders!K$1,[1]products!$A$1:$G$1,0))</f>
        <v>2.5</v>
      </c>
      <c r="S885">
        <f>INDEX([1]products!$A$1:$G$49,MATCH([1]orders!$D885,[1]products!$A$1:$A$49,0),MATCH([1]orders!L$1,[1]products!$A$1:$G$1,0))</f>
        <v>25.874999999999996</v>
      </c>
      <c r="T885">
        <f t="shared" si="79"/>
        <v>77.624999999999986</v>
      </c>
      <c r="U885">
        <f t="shared" si="82"/>
        <v>6.9862499999999983</v>
      </c>
      <c r="V885">
        <f t="shared" si="83"/>
        <v>9</v>
      </c>
    </row>
    <row r="886" spans="1:22" x14ac:dyDescent="0.25">
      <c r="A886" t="s">
        <v>1707</v>
      </c>
      <c r="B886">
        <v>43941</v>
      </c>
      <c r="C886" t="str">
        <f t="shared" si="80"/>
        <v>20</v>
      </c>
      <c r="D886" t="str">
        <f t="shared" si="78"/>
        <v>April</v>
      </c>
      <c r="E886" t="str">
        <f t="shared" si="81"/>
        <v>2020</v>
      </c>
      <c r="F886" t="s">
        <v>1708</v>
      </c>
      <c r="G886" t="str">
        <f>VLOOKUP(F886,'Customers (2)'!A:I,2,0)</f>
        <v>Delainey Kiddy</v>
      </c>
      <c r="H886" t="str">
        <f>VLOOKUP(F886,'Customers (2)'!A:I,3,0)</f>
        <v>dkiddyok@fda.gov</v>
      </c>
      <c r="I886" t="str">
        <f>VLOOKUP(F886,'Customers (2)'!A:I,4,0)</f>
        <v>+1 (209) 103-3933</v>
      </c>
      <c r="J886" t="str">
        <f>VLOOKUP(F886,'Customers (2)'!A:I,6,0)</f>
        <v>Fresno</v>
      </c>
      <c r="K886" t="str">
        <f>VLOOKUP(F886,'Customers (2)'!A:I,7,0)</f>
        <v>United States</v>
      </c>
      <c r="L886" t="str">
        <f>VLOOKUP(F886,'Customers (2)'!A:I,9,0)</f>
        <v>Yes</v>
      </c>
      <c r="M886" t="str">
        <f>VLOOKUP(N886,'Products (2)'!A:G,2,0)</f>
        <v>Robusta</v>
      </c>
      <c r="N886" t="s">
        <v>146</v>
      </c>
      <c r="O886" t="str">
        <f>VLOOKUP(N886,'Products (2)'!A:G,3,0)</f>
        <v>Dark</v>
      </c>
      <c r="P886">
        <f>VLOOKUP(N886,'Products (2)'!A:G,7,0)</f>
        <v>0.32219999999999993</v>
      </c>
      <c r="Q886">
        <v>1</v>
      </c>
      <c r="R886">
        <f>INDEX([1]products!$A$1:$G$49,MATCH([1]orders!$D886,[1]products!$A$1:$A$49,0),MATCH([1]orders!K$1,[1]products!$A$1:$G$1,0))</f>
        <v>0.5</v>
      </c>
      <c r="S886">
        <f>INDEX([1]products!$A$1:$G$49,MATCH([1]orders!$D886,[1]products!$A$1:$A$49,0),MATCH([1]orders!L$1,[1]products!$A$1:$G$1,0))</f>
        <v>5.3699999999999992</v>
      </c>
      <c r="T886">
        <f t="shared" si="79"/>
        <v>5.3699999999999992</v>
      </c>
      <c r="U886">
        <f t="shared" si="82"/>
        <v>0.32219999999999993</v>
      </c>
      <c r="V886">
        <f t="shared" si="83"/>
        <v>6</v>
      </c>
    </row>
    <row r="887" spans="1:22" x14ac:dyDescent="0.25">
      <c r="A887" t="s">
        <v>1709</v>
      </c>
      <c r="B887">
        <v>43664</v>
      </c>
      <c r="C887" t="str">
        <f t="shared" si="80"/>
        <v>18</v>
      </c>
      <c r="D887" t="str">
        <f t="shared" si="78"/>
        <v>July</v>
      </c>
      <c r="E887" t="str">
        <f t="shared" si="81"/>
        <v>2019</v>
      </c>
      <c r="F887" t="s">
        <v>1710</v>
      </c>
      <c r="G887" t="str">
        <f>VLOOKUP(F887,'Customers (2)'!A:I,2,0)</f>
        <v>Helli Petroulis</v>
      </c>
      <c r="H887" t="str">
        <f>VLOOKUP(F887,'Customers (2)'!A:I,3,0)</f>
        <v>hpetroulisol@state.tx.us</v>
      </c>
      <c r="I887" t="str">
        <f>VLOOKUP(F887,'Customers (2)'!A:I,4,0)</f>
        <v>+353 (783) 893-0842</v>
      </c>
      <c r="J887" t="str">
        <f>VLOOKUP(F887,'Customers (2)'!A:I,6,0)</f>
        <v>Mullagh</v>
      </c>
      <c r="K887" t="str">
        <f>VLOOKUP(F887,'Customers (2)'!A:I,7,0)</f>
        <v>Ireland</v>
      </c>
      <c r="L887" t="str">
        <f>VLOOKUP(F887,'Customers (2)'!A:I,9,0)</f>
        <v>No</v>
      </c>
      <c r="M887" t="str">
        <f>VLOOKUP(N887,'Products (2)'!A:G,2,0)</f>
        <v>Robusta</v>
      </c>
      <c r="N887" t="s">
        <v>35</v>
      </c>
      <c r="O887" t="str">
        <f>VLOOKUP(N887,'Products (2)'!A:G,3,0)</f>
        <v>Dark</v>
      </c>
      <c r="P887">
        <f>VLOOKUP(N887,'Products (2)'!A:G,7,0)</f>
        <v>1.2350999999999999</v>
      </c>
      <c r="Q887">
        <v>6</v>
      </c>
      <c r="R887">
        <f>INDEX([1]products!$A$1:$G$49,MATCH([1]orders!$D887,[1]products!$A$1:$A$49,0),MATCH([1]orders!K$1,[1]products!$A$1:$G$1,0))</f>
        <v>2.5</v>
      </c>
      <c r="S887">
        <f>INDEX([1]products!$A$1:$G$49,MATCH([1]orders!$D887,[1]products!$A$1:$A$49,0),MATCH([1]orders!L$1,[1]products!$A$1:$G$1,0))</f>
        <v>20.584999999999997</v>
      </c>
      <c r="T887">
        <f t="shared" si="79"/>
        <v>123.50999999999999</v>
      </c>
      <c r="U887">
        <f t="shared" si="82"/>
        <v>7.4105999999999987</v>
      </c>
      <c r="V887">
        <f t="shared" si="83"/>
        <v>5.9999999999999991</v>
      </c>
    </row>
    <row r="888" spans="1:22" x14ac:dyDescent="0.25">
      <c r="A888" t="s">
        <v>1711</v>
      </c>
      <c r="B888">
        <v>44518</v>
      </c>
      <c r="C888" t="str">
        <f t="shared" si="80"/>
        <v>18</v>
      </c>
      <c r="D888" t="str">
        <f t="shared" si="78"/>
        <v>November</v>
      </c>
      <c r="E888" t="str">
        <f t="shared" si="81"/>
        <v>2021</v>
      </c>
      <c r="F888" t="s">
        <v>1712</v>
      </c>
      <c r="G888" t="str">
        <f>VLOOKUP(F888,'Customers (2)'!A:I,2,0)</f>
        <v>Marty Scholl</v>
      </c>
      <c r="H888" t="str">
        <f>VLOOKUP(F888,'Customers (2)'!A:I,3,0)</f>
        <v>mschollom@taobao.com</v>
      </c>
      <c r="I888" t="str">
        <f>VLOOKUP(F888,'Customers (2)'!A:I,4,0)</f>
        <v>+1 (415) 613-5939</v>
      </c>
      <c r="J888" t="str">
        <f>VLOOKUP(F888,'Customers (2)'!A:I,6,0)</f>
        <v>San Francisco</v>
      </c>
      <c r="K888" t="str">
        <f>VLOOKUP(F888,'Customers (2)'!A:I,7,0)</f>
        <v>United States</v>
      </c>
      <c r="L888" t="str">
        <f>VLOOKUP(F888,'Customers (2)'!A:I,9,0)</f>
        <v>No</v>
      </c>
      <c r="M888" t="str">
        <f>VLOOKUP(N888,'Products (2)'!A:G,2,0)</f>
        <v>Liberica</v>
      </c>
      <c r="N888" t="s">
        <v>78</v>
      </c>
      <c r="O888" t="str">
        <f>VLOOKUP(N888,'Products (2)'!A:G,3,0)</f>
        <v>Medium</v>
      </c>
      <c r="P888">
        <f>VLOOKUP(N888,'Products (2)'!A:G,7,0)</f>
        <v>1.1349</v>
      </c>
      <c r="Q888">
        <v>2</v>
      </c>
      <c r="R888">
        <f>INDEX([1]products!$A$1:$G$49,MATCH([1]orders!$D888,[1]products!$A$1:$A$49,0),MATCH([1]orders!K$1,[1]products!$A$1:$G$1,0))</f>
        <v>0.5</v>
      </c>
      <c r="S888">
        <f>INDEX([1]products!$A$1:$G$49,MATCH([1]orders!$D888,[1]products!$A$1:$A$49,0),MATCH([1]orders!L$1,[1]products!$A$1:$G$1,0))</f>
        <v>8.73</v>
      </c>
      <c r="T888">
        <f t="shared" si="79"/>
        <v>17.46</v>
      </c>
      <c r="U888">
        <f t="shared" si="82"/>
        <v>2.2698</v>
      </c>
      <c r="V888">
        <f t="shared" si="83"/>
        <v>13</v>
      </c>
    </row>
    <row r="889" spans="1:22" x14ac:dyDescent="0.25">
      <c r="A889" t="s">
        <v>1713</v>
      </c>
      <c r="B889">
        <v>44002</v>
      </c>
      <c r="C889" t="str">
        <f t="shared" si="80"/>
        <v>20</v>
      </c>
      <c r="D889" t="str">
        <f t="shared" si="78"/>
        <v>June</v>
      </c>
      <c r="E889" t="str">
        <f t="shared" si="81"/>
        <v>2020</v>
      </c>
      <c r="F889" t="s">
        <v>1714</v>
      </c>
      <c r="G889" t="str">
        <f>VLOOKUP(F889,'Customers (2)'!A:I,2,0)</f>
        <v>Kienan Ferson</v>
      </c>
      <c r="H889" t="str">
        <f>VLOOKUP(F889,'Customers (2)'!A:I,3,0)</f>
        <v>kfersonon@g.co</v>
      </c>
      <c r="I889" t="str">
        <f>VLOOKUP(F889,'Customers (2)'!A:I,4,0)</f>
        <v>+1 (251) 291-1195</v>
      </c>
      <c r="J889" t="str">
        <f>VLOOKUP(F889,'Customers (2)'!A:I,6,0)</f>
        <v>Mobile</v>
      </c>
      <c r="K889" t="str">
        <f>VLOOKUP(F889,'Customers (2)'!A:I,7,0)</f>
        <v>United States</v>
      </c>
      <c r="L889" t="str">
        <f>VLOOKUP(F889,'Customers (2)'!A:I,9,0)</f>
        <v>No</v>
      </c>
      <c r="M889" t="str">
        <f>VLOOKUP(N889,'Products (2)'!A:G,2,0)</f>
        <v>Excelsa</v>
      </c>
      <c r="N889" t="s">
        <v>254</v>
      </c>
      <c r="O889" t="str">
        <f>VLOOKUP(N889,'Products (2)'!A:G,3,0)</f>
        <v>Light</v>
      </c>
      <c r="P889">
        <f>VLOOKUP(N889,'Products (2)'!A:G,7,0)</f>
        <v>0.49004999999999999</v>
      </c>
      <c r="Q889">
        <v>3</v>
      </c>
      <c r="R889">
        <f>INDEX([1]products!$A$1:$G$49,MATCH([1]orders!$D889,[1]products!$A$1:$A$49,0),MATCH([1]orders!K$1,[1]products!$A$1:$G$1,0))</f>
        <v>0.2</v>
      </c>
      <c r="S889">
        <f>INDEX([1]products!$A$1:$G$49,MATCH([1]orders!$D889,[1]products!$A$1:$A$49,0),MATCH([1]orders!L$1,[1]products!$A$1:$G$1,0))</f>
        <v>4.4550000000000001</v>
      </c>
      <c r="T889">
        <f t="shared" si="79"/>
        <v>13.365</v>
      </c>
      <c r="U889">
        <f t="shared" si="82"/>
        <v>1.4701499999999998</v>
      </c>
      <c r="V889">
        <f t="shared" si="83"/>
        <v>10.999999999999998</v>
      </c>
    </row>
    <row r="890" spans="1:22" x14ac:dyDescent="0.25">
      <c r="A890" t="s">
        <v>1715</v>
      </c>
      <c r="B890">
        <v>44292</v>
      </c>
      <c r="C890" t="str">
        <f t="shared" si="80"/>
        <v>06</v>
      </c>
      <c r="D890" t="str">
        <f t="shared" si="78"/>
        <v>April</v>
      </c>
      <c r="E890" t="str">
        <f t="shared" si="81"/>
        <v>2021</v>
      </c>
      <c r="F890" t="s">
        <v>1716</v>
      </c>
      <c r="G890" t="str">
        <f>VLOOKUP(F890,'Customers (2)'!A:I,2,0)</f>
        <v>Blake Kelloway</v>
      </c>
      <c r="H890" t="str">
        <f>VLOOKUP(F890,'Customers (2)'!A:I,3,0)</f>
        <v>bkellowayoo@omniture.com</v>
      </c>
      <c r="I890" t="str">
        <f>VLOOKUP(F890,'Customers (2)'!A:I,4,0)</f>
        <v>+1 (415) 757-3377</v>
      </c>
      <c r="J890" t="str">
        <f>VLOOKUP(F890,'Customers (2)'!A:I,6,0)</f>
        <v>San Francisco</v>
      </c>
      <c r="K890" t="str">
        <f>VLOOKUP(F890,'Customers (2)'!A:I,7,0)</f>
        <v>United States</v>
      </c>
      <c r="L890" t="str">
        <f>VLOOKUP(F890,'Customers (2)'!A:I,9,0)</f>
        <v>Yes</v>
      </c>
      <c r="M890" t="str">
        <f>VLOOKUP(N890,'Products (2)'!A:G,2,0)</f>
        <v>Arabica</v>
      </c>
      <c r="N890" t="s">
        <v>115</v>
      </c>
      <c r="O890" t="str">
        <f>VLOOKUP(N890,'Products (2)'!A:G,3,0)</f>
        <v>Light</v>
      </c>
      <c r="P890">
        <f>VLOOKUP(N890,'Products (2)'!A:G,7,0)</f>
        <v>0.34964999999999996</v>
      </c>
      <c r="Q890">
        <v>2</v>
      </c>
      <c r="R890">
        <f>INDEX([1]products!$A$1:$G$49,MATCH([1]orders!$D890,[1]products!$A$1:$A$49,0),MATCH([1]orders!K$1,[1]products!$A$1:$G$1,0))</f>
        <v>0.2</v>
      </c>
      <c r="S890">
        <f>INDEX([1]products!$A$1:$G$49,MATCH([1]orders!$D890,[1]products!$A$1:$A$49,0),MATCH([1]orders!L$1,[1]products!$A$1:$G$1,0))</f>
        <v>3.8849999999999998</v>
      </c>
      <c r="T890">
        <f t="shared" si="79"/>
        <v>7.77</v>
      </c>
      <c r="U890">
        <f t="shared" si="82"/>
        <v>0.69929999999999992</v>
      </c>
      <c r="V890">
        <f t="shared" si="83"/>
        <v>9</v>
      </c>
    </row>
    <row r="891" spans="1:22" x14ac:dyDescent="0.25">
      <c r="A891" t="s">
        <v>1717</v>
      </c>
      <c r="B891">
        <v>43633</v>
      </c>
      <c r="C891" t="str">
        <f t="shared" si="80"/>
        <v>17</v>
      </c>
      <c r="D891" t="str">
        <f t="shared" si="78"/>
        <v>June</v>
      </c>
      <c r="E891" t="str">
        <f t="shared" si="81"/>
        <v>2019</v>
      </c>
      <c r="F891" t="s">
        <v>1718</v>
      </c>
      <c r="G891" t="str">
        <f>VLOOKUP(F891,'Customers (2)'!A:I,2,0)</f>
        <v>Scarlett Oliffe</v>
      </c>
      <c r="H891" t="str">
        <f>VLOOKUP(F891,'Customers (2)'!A:I,3,0)</f>
        <v>soliffeop@yellowbook.com</v>
      </c>
      <c r="I891" t="str">
        <f>VLOOKUP(F891,'Customers (2)'!A:I,4,0)</f>
        <v>+1 (212) 198-9134</v>
      </c>
      <c r="J891" t="str">
        <f>VLOOKUP(F891,'Customers (2)'!A:I,6,0)</f>
        <v>Jamaica</v>
      </c>
      <c r="K891" t="str">
        <f>VLOOKUP(F891,'Customers (2)'!A:I,7,0)</f>
        <v>United States</v>
      </c>
      <c r="L891" t="str">
        <f>VLOOKUP(F891,'Customers (2)'!A:I,9,0)</f>
        <v>Yes</v>
      </c>
      <c r="M891" t="str">
        <f>VLOOKUP(N891,'Products (2)'!A:G,2,0)</f>
        <v>Robusta</v>
      </c>
      <c r="N891" t="s">
        <v>101</v>
      </c>
      <c r="O891" t="str">
        <f>VLOOKUP(N891,'Products (2)'!A:G,3,0)</f>
        <v>Dark</v>
      </c>
      <c r="P891">
        <f>VLOOKUP(N891,'Products (2)'!A:G,7,0)</f>
        <v>0.16109999999999997</v>
      </c>
      <c r="Q891">
        <v>1</v>
      </c>
      <c r="R891">
        <f>INDEX([1]products!$A$1:$G$49,MATCH([1]orders!$D891,[1]products!$A$1:$A$49,0),MATCH([1]orders!K$1,[1]products!$A$1:$G$1,0))</f>
        <v>0.2</v>
      </c>
      <c r="S891">
        <f>INDEX([1]products!$A$1:$G$49,MATCH([1]orders!$D891,[1]products!$A$1:$A$49,0),MATCH([1]orders!L$1,[1]products!$A$1:$G$1,0))</f>
        <v>2.6849999999999996</v>
      </c>
      <c r="T891">
        <f t="shared" si="79"/>
        <v>2.6849999999999996</v>
      </c>
      <c r="U891">
        <f t="shared" si="82"/>
        <v>0.16109999999999997</v>
      </c>
      <c r="V891">
        <f t="shared" si="83"/>
        <v>6</v>
      </c>
    </row>
    <row r="892" spans="1:22" x14ac:dyDescent="0.25">
      <c r="A892" t="s">
        <v>1719</v>
      </c>
      <c r="B892">
        <v>44646</v>
      </c>
      <c r="C892" t="str">
        <f t="shared" si="80"/>
        <v>26</v>
      </c>
      <c r="D892" t="str">
        <f t="shared" si="78"/>
        <v>March</v>
      </c>
      <c r="E892" t="str">
        <f t="shared" si="81"/>
        <v>2022</v>
      </c>
      <c r="F892" t="s">
        <v>1704</v>
      </c>
      <c r="G892" t="str">
        <f>VLOOKUP(F892,'Customers (2)'!A:I,2,0)</f>
        <v>Kippie Marrison</v>
      </c>
      <c r="H892" t="str">
        <f>VLOOKUP(F892,'Customers (2)'!A:I,3,0)</f>
        <v>kmarrisonoq@dropbox.com</v>
      </c>
      <c r="I892" t="str">
        <f>VLOOKUP(F892,'Customers (2)'!A:I,4,0)</f>
        <v>+1 (303) 808-6803</v>
      </c>
      <c r="J892" t="str">
        <f>VLOOKUP(F892,'Customers (2)'!A:I,6,0)</f>
        <v>Denver</v>
      </c>
      <c r="K892" t="str">
        <f>VLOOKUP(F892,'Customers (2)'!A:I,7,0)</f>
        <v>United States</v>
      </c>
      <c r="L892" t="str">
        <f>VLOOKUP(F892,'Customers (2)'!A:I,9,0)</f>
        <v>Yes</v>
      </c>
      <c r="M892" t="str">
        <f>VLOOKUP(N892,'Products (2)'!A:G,2,0)</f>
        <v>Robusta</v>
      </c>
      <c r="N892" t="s">
        <v>35</v>
      </c>
      <c r="O892" t="str">
        <f>VLOOKUP(N892,'Products (2)'!A:G,3,0)</f>
        <v>Dark</v>
      </c>
      <c r="P892">
        <f>VLOOKUP(N892,'Products (2)'!A:G,7,0)</f>
        <v>1.2350999999999999</v>
      </c>
      <c r="Q892">
        <v>1</v>
      </c>
      <c r="R892">
        <f>INDEX([1]products!$A$1:$G$49,MATCH([1]orders!$D892,[1]products!$A$1:$A$49,0),MATCH([1]orders!K$1,[1]products!$A$1:$G$1,0))</f>
        <v>2.5</v>
      </c>
      <c r="S892">
        <f>INDEX([1]products!$A$1:$G$49,MATCH([1]orders!$D892,[1]products!$A$1:$A$49,0),MATCH([1]orders!L$1,[1]products!$A$1:$G$1,0))</f>
        <v>20.584999999999997</v>
      </c>
      <c r="T892">
        <f t="shared" si="79"/>
        <v>20.584999999999997</v>
      </c>
      <c r="U892">
        <f t="shared" si="82"/>
        <v>1.2350999999999999</v>
      </c>
      <c r="V892">
        <f t="shared" si="83"/>
        <v>6.0000000000000009</v>
      </c>
    </row>
    <row r="893" spans="1:22" x14ac:dyDescent="0.25">
      <c r="A893" t="s">
        <v>1720</v>
      </c>
      <c r="B893">
        <v>44469</v>
      </c>
      <c r="C893" t="str">
        <f t="shared" si="80"/>
        <v>30</v>
      </c>
      <c r="D893" t="str">
        <f t="shared" si="78"/>
        <v>September</v>
      </c>
      <c r="E893" t="str">
        <f t="shared" si="81"/>
        <v>2021</v>
      </c>
      <c r="F893" t="s">
        <v>1721</v>
      </c>
      <c r="G893" t="str">
        <f>VLOOKUP(F893,'Customers (2)'!A:I,2,0)</f>
        <v>Celestia Dolohunty</v>
      </c>
      <c r="H893" t="str">
        <f>VLOOKUP(F893,'Customers (2)'!A:I,3,0)</f>
        <v>cdolohuntyor@dailymail.co.uk</v>
      </c>
      <c r="I893" t="str">
        <f>VLOOKUP(F893,'Customers (2)'!A:I,4,0)</f>
        <v>+1 (619) 353-0412</v>
      </c>
      <c r="J893" t="str">
        <f>VLOOKUP(F893,'Customers (2)'!A:I,6,0)</f>
        <v>San Diego</v>
      </c>
      <c r="K893" t="str">
        <f>VLOOKUP(F893,'Customers (2)'!A:I,7,0)</f>
        <v>United States</v>
      </c>
      <c r="L893" t="str">
        <f>VLOOKUP(F893,'Customers (2)'!A:I,9,0)</f>
        <v>Yes</v>
      </c>
      <c r="M893" t="str">
        <f>VLOOKUP(N893,'Products (2)'!A:G,2,0)</f>
        <v>Arabica</v>
      </c>
      <c r="N893" t="s">
        <v>118</v>
      </c>
      <c r="O893" t="str">
        <f>VLOOKUP(N893,'Products (2)'!A:G,3,0)</f>
        <v>Dark</v>
      </c>
      <c r="P893">
        <f>VLOOKUP(N893,'Products (2)'!A:G,7,0)</f>
        <v>2.0596499999999995</v>
      </c>
      <c r="Q893">
        <v>5</v>
      </c>
      <c r="R893">
        <f>INDEX([1]products!$A$1:$G$49,MATCH([1]orders!$D893,[1]products!$A$1:$A$49,0),MATCH([1]orders!K$1,[1]products!$A$1:$G$1,0))</f>
        <v>2.5</v>
      </c>
      <c r="S893">
        <f>INDEX([1]products!$A$1:$G$49,MATCH([1]orders!$D893,[1]products!$A$1:$A$49,0),MATCH([1]orders!L$1,[1]products!$A$1:$G$1,0))</f>
        <v>22.884999999999998</v>
      </c>
      <c r="T893">
        <f t="shared" si="79"/>
        <v>114.42499999999998</v>
      </c>
      <c r="U893">
        <f t="shared" si="82"/>
        <v>10.298249999999998</v>
      </c>
      <c r="V893">
        <f t="shared" si="83"/>
        <v>9</v>
      </c>
    </row>
    <row r="894" spans="1:22" x14ac:dyDescent="0.25">
      <c r="A894" t="s">
        <v>1722</v>
      </c>
      <c r="B894">
        <v>43635</v>
      </c>
      <c r="C894" t="str">
        <f t="shared" si="80"/>
        <v>19</v>
      </c>
      <c r="D894" t="str">
        <f t="shared" si="78"/>
        <v>June</v>
      </c>
      <c r="E894" t="str">
        <f t="shared" si="81"/>
        <v>2019</v>
      </c>
      <c r="F894" t="s">
        <v>1723</v>
      </c>
      <c r="G894" t="str">
        <f>VLOOKUP(F894,'Customers (2)'!A:I,2,0)</f>
        <v>Patsy Vasilenko</v>
      </c>
      <c r="H894" t="str">
        <f>VLOOKUP(F894,'Customers (2)'!A:I,3,0)</f>
        <v>pvasilenkoos@addtoany.com</v>
      </c>
      <c r="I894" t="str">
        <f>VLOOKUP(F894,'Customers (2)'!A:I,4,0)</f>
        <v>+44 (116) 714-6469</v>
      </c>
      <c r="J894" t="str">
        <f>VLOOKUP(F894,'Customers (2)'!A:I,6,0)</f>
        <v>Preston</v>
      </c>
      <c r="K894" t="str">
        <f>VLOOKUP(F894,'Customers (2)'!A:I,7,0)</f>
        <v>United Kingdom</v>
      </c>
      <c r="L894" t="str">
        <f>VLOOKUP(F894,'Customers (2)'!A:I,9,0)</f>
        <v>No</v>
      </c>
      <c r="M894" t="str">
        <f>VLOOKUP(N894,'Products (2)'!A:G,2,0)</f>
        <v>Excelsa</v>
      </c>
      <c r="N894" t="s">
        <v>64</v>
      </c>
      <c r="O894" t="str">
        <f>VLOOKUP(N894,'Products (2)'!A:G,3,0)</f>
        <v>Medium</v>
      </c>
      <c r="P894">
        <f>VLOOKUP(N894,'Products (2)'!A:G,7,0)</f>
        <v>0.45374999999999999</v>
      </c>
      <c r="Q894">
        <v>5</v>
      </c>
      <c r="R894">
        <f>INDEX([1]products!$A$1:$G$49,MATCH([1]orders!$D894,[1]products!$A$1:$A$49,0),MATCH([1]orders!K$1,[1]products!$A$1:$G$1,0))</f>
        <v>0.2</v>
      </c>
      <c r="S894">
        <f>INDEX([1]products!$A$1:$G$49,MATCH([1]orders!$D894,[1]products!$A$1:$A$49,0),MATCH([1]orders!L$1,[1]products!$A$1:$G$1,0))</f>
        <v>4.125</v>
      </c>
      <c r="T894">
        <f t="shared" si="79"/>
        <v>20.625</v>
      </c>
      <c r="U894">
        <f t="shared" si="82"/>
        <v>2.2687499999999998</v>
      </c>
      <c r="V894">
        <f t="shared" si="83"/>
        <v>10.999999999999998</v>
      </c>
    </row>
    <row r="895" spans="1:22" x14ac:dyDescent="0.25">
      <c r="A895" t="s">
        <v>1724</v>
      </c>
      <c r="B895">
        <v>44651</v>
      </c>
      <c r="C895" t="str">
        <f t="shared" si="80"/>
        <v>31</v>
      </c>
      <c r="D895" t="str">
        <f t="shared" si="78"/>
        <v>March</v>
      </c>
      <c r="E895" t="str">
        <f t="shared" si="81"/>
        <v>2022</v>
      </c>
      <c r="F895" t="s">
        <v>1725</v>
      </c>
      <c r="G895" t="str">
        <f>VLOOKUP(F895,'Customers (2)'!A:I,2,0)</f>
        <v>Raphaela Schankelborg</v>
      </c>
      <c r="H895" t="str">
        <f>VLOOKUP(F895,'Customers (2)'!A:I,3,0)</f>
        <v>rschankelborgot@ameblo.jp</v>
      </c>
      <c r="I895">
        <f>VLOOKUP(F895,'Customers (2)'!A:I,4,0)</f>
        <v>0</v>
      </c>
      <c r="J895" t="str">
        <f>VLOOKUP(F895,'Customers (2)'!A:I,6,0)</f>
        <v>Pittsburgh</v>
      </c>
      <c r="K895" t="str">
        <f>VLOOKUP(F895,'Customers (2)'!A:I,7,0)</f>
        <v>United States</v>
      </c>
      <c r="L895" t="str">
        <f>VLOOKUP(F895,'Customers (2)'!A:I,9,0)</f>
        <v>Yes</v>
      </c>
      <c r="M895" t="str">
        <f>VLOOKUP(N895,'Products (2)'!A:G,2,0)</f>
        <v>Liberica</v>
      </c>
      <c r="N895" t="s">
        <v>83</v>
      </c>
      <c r="O895" t="str">
        <f>VLOOKUP(N895,'Products (2)'!A:G,3,0)</f>
        <v>Light</v>
      </c>
      <c r="P895">
        <f>VLOOKUP(N895,'Products (2)'!A:G,7,0)</f>
        <v>1.2363</v>
      </c>
      <c r="Q895">
        <v>6</v>
      </c>
      <c r="R895">
        <f>INDEX([1]products!$A$1:$G$49,MATCH([1]orders!$D895,[1]products!$A$1:$A$49,0),MATCH([1]orders!K$1,[1]products!$A$1:$G$1,0))</f>
        <v>0.5</v>
      </c>
      <c r="S895">
        <f>INDEX([1]products!$A$1:$G$49,MATCH([1]orders!$D895,[1]products!$A$1:$A$49,0),MATCH([1]orders!L$1,[1]products!$A$1:$G$1,0))</f>
        <v>9.51</v>
      </c>
      <c r="T895">
        <f t="shared" si="79"/>
        <v>57.06</v>
      </c>
      <c r="U895">
        <f t="shared" si="82"/>
        <v>7.4177999999999997</v>
      </c>
      <c r="V895">
        <f t="shared" si="83"/>
        <v>12.999999999999998</v>
      </c>
    </row>
    <row r="896" spans="1:22" x14ac:dyDescent="0.25">
      <c r="A896" t="s">
        <v>1726</v>
      </c>
      <c r="B896">
        <v>44016</v>
      </c>
      <c r="C896" t="str">
        <f t="shared" si="80"/>
        <v>04</v>
      </c>
      <c r="D896" t="str">
        <f t="shared" si="78"/>
        <v>July</v>
      </c>
      <c r="E896" t="str">
        <f t="shared" si="81"/>
        <v>2020</v>
      </c>
      <c r="F896" t="s">
        <v>1727</v>
      </c>
      <c r="G896" t="str">
        <f>VLOOKUP(F896,'Customers (2)'!A:I,2,0)</f>
        <v>Sharity Wickens</v>
      </c>
      <c r="H896">
        <f>VLOOKUP(F896,'Customers (2)'!A:I,3,0)</f>
        <v>0</v>
      </c>
      <c r="I896" t="str">
        <f>VLOOKUP(F896,'Customers (2)'!A:I,4,0)</f>
        <v>+353 (724) 224-5556</v>
      </c>
      <c r="J896" t="str">
        <f>VLOOKUP(F896,'Customers (2)'!A:I,6,0)</f>
        <v>Cavan</v>
      </c>
      <c r="K896" t="str">
        <f>VLOOKUP(F896,'Customers (2)'!A:I,7,0)</f>
        <v>Ireland</v>
      </c>
      <c r="L896" t="str">
        <f>VLOOKUP(F896,'Customers (2)'!A:I,9,0)</f>
        <v>Yes</v>
      </c>
      <c r="M896" t="str">
        <f>VLOOKUP(N896,'Products (2)'!A:G,2,0)</f>
        <v>Robusta</v>
      </c>
      <c r="N896" t="s">
        <v>35</v>
      </c>
      <c r="O896" t="str">
        <f>VLOOKUP(N896,'Products (2)'!A:G,3,0)</f>
        <v>Dark</v>
      </c>
      <c r="P896">
        <f>VLOOKUP(N896,'Products (2)'!A:G,7,0)</f>
        <v>1.2350999999999999</v>
      </c>
      <c r="Q896">
        <v>4</v>
      </c>
      <c r="R896">
        <f>INDEX([1]products!$A$1:$G$49,MATCH([1]orders!$D896,[1]products!$A$1:$A$49,0),MATCH([1]orders!K$1,[1]products!$A$1:$G$1,0))</f>
        <v>2.5</v>
      </c>
      <c r="S896">
        <f>INDEX([1]products!$A$1:$G$49,MATCH([1]orders!$D896,[1]products!$A$1:$A$49,0),MATCH([1]orders!L$1,[1]products!$A$1:$G$1,0))</f>
        <v>20.584999999999997</v>
      </c>
      <c r="T896">
        <f t="shared" si="79"/>
        <v>82.339999999999989</v>
      </c>
      <c r="U896">
        <f t="shared" si="82"/>
        <v>4.9403999999999995</v>
      </c>
      <c r="V896">
        <f t="shared" si="83"/>
        <v>6.0000000000000009</v>
      </c>
    </row>
    <row r="897" spans="1:22" x14ac:dyDescent="0.25">
      <c r="A897" t="s">
        <v>1728</v>
      </c>
      <c r="B897">
        <v>44521</v>
      </c>
      <c r="C897" t="str">
        <f t="shared" si="80"/>
        <v>21</v>
      </c>
      <c r="D897" t="str">
        <f t="shared" si="78"/>
        <v>November</v>
      </c>
      <c r="E897" t="str">
        <f t="shared" si="81"/>
        <v>2021</v>
      </c>
      <c r="F897" t="s">
        <v>1729</v>
      </c>
      <c r="G897" t="str">
        <f>VLOOKUP(F897,'Customers (2)'!A:I,2,0)</f>
        <v>Derick Snow</v>
      </c>
      <c r="H897">
        <f>VLOOKUP(F897,'Customers (2)'!A:I,3,0)</f>
        <v>0</v>
      </c>
      <c r="I897" t="str">
        <f>VLOOKUP(F897,'Customers (2)'!A:I,4,0)</f>
        <v>+1 (718) 461-3002</v>
      </c>
      <c r="J897" t="str">
        <f>VLOOKUP(F897,'Customers (2)'!A:I,6,0)</f>
        <v>New York City</v>
      </c>
      <c r="K897" t="str">
        <f>VLOOKUP(F897,'Customers (2)'!A:I,7,0)</f>
        <v>United States</v>
      </c>
      <c r="L897" t="str">
        <f>VLOOKUP(F897,'Customers (2)'!A:I,9,0)</f>
        <v>No</v>
      </c>
      <c r="M897" t="str">
        <f>VLOOKUP(N897,'Products (2)'!A:G,2,0)</f>
        <v>Excelsa</v>
      </c>
      <c r="N897" t="s">
        <v>112</v>
      </c>
      <c r="O897" t="str">
        <f>VLOOKUP(N897,'Products (2)'!A:G,3,0)</f>
        <v>Medium</v>
      </c>
      <c r="P897">
        <f>VLOOKUP(N897,'Products (2)'!A:G,7,0)</f>
        <v>3.4787499999999998</v>
      </c>
      <c r="Q897">
        <v>5</v>
      </c>
      <c r="R897">
        <f>INDEX([1]products!$A$1:$G$49,MATCH([1]orders!$D897,[1]products!$A$1:$A$49,0),MATCH([1]orders!K$1,[1]products!$A$1:$G$1,0))</f>
        <v>2.5</v>
      </c>
      <c r="S897">
        <f>INDEX([1]products!$A$1:$G$49,MATCH([1]orders!$D897,[1]products!$A$1:$A$49,0),MATCH([1]orders!L$1,[1]products!$A$1:$G$1,0))</f>
        <v>31.624999999999996</v>
      </c>
      <c r="T897">
        <f t="shared" si="79"/>
        <v>158.12499999999997</v>
      </c>
      <c r="U897">
        <f t="shared" si="82"/>
        <v>17.393749999999997</v>
      </c>
      <c r="V897">
        <f t="shared" si="83"/>
        <v>11</v>
      </c>
    </row>
    <row r="898" spans="1:22" x14ac:dyDescent="0.25">
      <c r="A898" t="s">
        <v>1730</v>
      </c>
      <c r="B898">
        <v>44347</v>
      </c>
      <c r="C898" t="str">
        <f t="shared" si="80"/>
        <v>31</v>
      </c>
      <c r="D898" t="str">
        <f t="shared" ref="D898:D961" si="84">TEXT(B:B,"MMMM")</f>
        <v>May</v>
      </c>
      <c r="E898" t="str">
        <f t="shared" si="81"/>
        <v>2021</v>
      </c>
      <c r="F898" t="s">
        <v>1731</v>
      </c>
      <c r="G898" t="str">
        <f>VLOOKUP(F898,'Customers (2)'!A:I,2,0)</f>
        <v>Baxy Cargen</v>
      </c>
      <c r="H898" t="str">
        <f>VLOOKUP(F898,'Customers (2)'!A:I,3,0)</f>
        <v>bcargenow@geocities.jp</v>
      </c>
      <c r="I898" t="str">
        <f>VLOOKUP(F898,'Customers (2)'!A:I,4,0)</f>
        <v>+1 (253) 509-6510</v>
      </c>
      <c r="J898" t="str">
        <f>VLOOKUP(F898,'Customers (2)'!A:I,6,0)</f>
        <v>Seattle</v>
      </c>
      <c r="K898" t="str">
        <f>VLOOKUP(F898,'Customers (2)'!A:I,7,0)</f>
        <v>United States</v>
      </c>
      <c r="L898" t="str">
        <f>VLOOKUP(F898,'Customers (2)'!A:I,9,0)</f>
        <v>Yes</v>
      </c>
      <c r="M898" t="str">
        <f>VLOOKUP(N898,'Products (2)'!A:G,2,0)</f>
        <v>Robusta</v>
      </c>
      <c r="N898" t="s">
        <v>146</v>
      </c>
      <c r="O898" t="str">
        <f>VLOOKUP(N898,'Products (2)'!A:G,3,0)</f>
        <v>Dark</v>
      </c>
      <c r="P898">
        <f>VLOOKUP(N898,'Products (2)'!A:G,7,0)</f>
        <v>0.32219999999999993</v>
      </c>
      <c r="Q898">
        <v>6</v>
      </c>
      <c r="R898">
        <f>INDEX([1]products!$A$1:$G$49,MATCH([1]orders!$D898,[1]products!$A$1:$A$49,0),MATCH([1]orders!K$1,[1]products!$A$1:$G$1,0))</f>
        <v>0.5</v>
      </c>
      <c r="S898">
        <f>INDEX([1]products!$A$1:$G$49,MATCH([1]orders!$D898,[1]products!$A$1:$A$49,0),MATCH([1]orders!L$1,[1]products!$A$1:$G$1,0))</f>
        <v>5.3699999999999992</v>
      </c>
      <c r="T898">
        <f t="shared" ref="T898:T961" si="85">Q898*S898</f>
        <v>32.22</v>
      </c>
      <c r="U898">
        <f t="shared" si="82"/>
        <v>1.9331999999999996</v>
      </c>
      <c r="V898">
        <f t="shared" si="83"/>
        <v>5.9999999999999991</v>
      </c>
    </row>
    <row r="899" spans="1:22" x14ac:dyDescent="0.25">
      <c r="A899" t="s">
        <v>1732</v>
      </c>
      <c r="B899">
        <v>43932</v>
      </c>
      <c r="C899" t="str">
        <f t="shared" ref="C899:C962" si="86">TEXT(B:B,"DD")</f>
        <v>11</v>
      </c>
      <c r="D899" t="str">
        <f t="shared" si="84"/>
        <v>April</v>
      </c>
      <c r="E899" t="str">
        <f t="shared" ref="E899:E962" si="87">TEXT(B:B,"yyyy")</f>
        <v>2020</v>
      </c>
      <c r="F899" t="s">
        <v>1733</v>
      </c>
      <c r="G899" t="str">
        <f>VLOOKUP(F899,'Customers (2)'!A:I,2,0)</f>
        <v>Ryann Stickler</v>
      </c>
      <c r="H899" t="str">
        <f>VLOOKUP(F899,'Customers (2)'!A:I,3,0)</f>
        <v>rsticklerox@printfriendly.com</v>
      </c>
      <c r="I899" t="str">
        <f>VLOOKUP(F899,'Customers (2)'!A:I,4,0)</f>
        <v>+44 (830) 367-6129</v>
      </c>
      <c r="J899" t="str">
        <f>VLOOKUP(F899,'Customers (2)'!A:I,6,0)</f>
        <v>Birmingham</v>
      </c>
      <c r="K899" t="str">
        <f>VLOOKUP(F899,'Customers (2)'!A:I,7,0)</f>
        <v>United Kingdom</v>
      </c>
      <c r="L899" t="str">
        <f>VLOOKUP(F899,'Customers (2)'!A:I,9,0)</f>
        <v>No</v>
      </c>
      <c r="M899" t="str">
        <f>VLOOKUP(N899,'Products (2)'!A:G,2,0)</f>
        <v>Excelsa</v>
      </c>
      <c r="N899" t="s">
        <v>245</v>
      </c>
      <c r="O899" t="str">
        <f>VLOOKUP(N899,'Products (2)'!A:G,3,0)</f>
        <v>Dark</v>
      </c>
      <c r="P899">
        <f>VLOOKUP(N899,'Products (2)'!A:G,7,0)</f>
        <v>1.3365</v>
      </c>
      <c r="Q899">
        <v>2</v>
      </c>
      <c r="R899">
        <f>INDEX([1]products!$A$1:$G$49,MATCH([1]orders!$D899,[1]products!$A$1:$A$49,0),MATCH([1]orders!K$1,[1]products!$A$1:$G$1,0))</f>
        <v>1</v>
      </c>
      <c r="S899">
        <f>INDEX([1]products!$A$1:$G$49,MATCH([1]orders!$D899,[1]products!$A$1:$A$49,0),MATCH([1]orders!L$1,[1]products!$A$1:$G$1,0))</f>
        <v>12.15</v>
      </c>
      <c r="T899">
        <f t="shared" si="85"/>
        <v>24.3</v>
      </c>
      <c r="U899">
        <f t="shared" ref="U899:U962" si="88">Q899*P899</f>
        <v>2.673</v>
      </c>
      <c r="V899">
        <f t="shared" ref="V899:V962" si="89">U899/T899*100</f>
        <v>11</v>
      </c>
    </row>
    <row r="900" spans="1:22" x14ac:dyDescent="0.25">
      <c r="A900" t="s">
        <v>1734</v>
      </c>
      <c r="B900">
        <v>44089</v>
      </c>
      <c r="C900" t="str">
        <f t="shared" si="86"/>
        <v>15</v>
      </c>
      <c r="D900" t="str">
        <f t="shared" si="84"/>
        <v>September</v>
      </c>
      <c r="E900" t="str">
        <f t="shared" si="87"/>
        <v>2020</v>
      </c>
      <c r="F900" t="s">
        <v>1735</v>
      </c>
      <c r="G900" t="str">
        <f>VLOOKUP(F900,'Customers (2)'!A:I,2,0)</f>
        <v>Daryn Cassius</v>
      </c>
      <c r="H900">
        <f>VLOOKUP(F900,'Customers (2)'!A:I,3,0)</f>
        <v>0</v>
      </c>
      <c r="I900" t="str">
        <f>VLOOKUP(F900,'Customers (2)'!A:I,4,0)</f>
        <v>+1 (269) 398-0766</v>
      </c>
      <c r="J900" t="str">
        <f>VLOOKUP(F900,'Customers (2)'!A:I,6,0)</f>
        <v>Battle Creek</v>
      </c>
      <c r="K900" t="str">
        <f>VLOOKUP(F900,'Customers (2)'!A:I,7,0)</f>
        <v>United States</v>
      </c>
      <c r="L900" t="str">
        <f>VLOOKUP(F900,'Customers (2)'!A:I,9,0)</f>
        <v>No</v>
      </c>
      <c r="M900" t="str">
        <f>VLOOKUP(N900,'Products (2)'!A:G,2,0)</f>
        <v>Robusta</v>
      </c>
      <c r="N900" t="s">
        <v>157</v>
      </c>
      <c r="O900" t="str">
        <f>VLOOKUP(N900,'Products (2)'!A:G,3,0)</f>
        <v>Light</v>
      </c>
      <c r="P900">
        <f>VLOOKUP(N900,'Products (2)'!A:G,7,0)</f>
        <v>0.43019999999999992</v>
      </c>
      <c r="Q900">
        <v>5</v>
      </c>
      <c r="R900">
        <f>INDEX([1]products!$A$1:$G$49,MATCH([1]orders!$D900,[1]products!$A$1:$A$49,0),MATCH([1]orders!K$1,[1]products!$A$1:$G$1,0))</f>
        <v>0.5</v>
      </c>
      <c r="S900">
        <f>INDEX([1]products!$A$1:$G$49,MATCH([1]orders!$D900,[1]products!$A$1:$A$49,0),MATCH([1]orders!L$1,[1]products!$A$1:$G$1,0))</f>
        <v>7.169999999999999</v>
      </c>
      <c r="T900">
        <f t="shared" si="85"/>
        <v>35.849999999999994</v>
      </c>
      <c r="U900">
        <f t="shared" si="88"/>
        <v>2.1509999999999998</v>
      </c>
      <c r="V900">
        <f t="shared" si="89"/>
        <v>6.0000000000000009</v>
      </c>
    </row>
    <row r="901" spans="1:22" x14ac:dyDescent="0.25">
      <c r="A901" t="s">
        <v>1736</v>
      </c>
      <c r="B901">
        <v>44523</v>
      </c>
      <c r="C901" t="str">
        <f t="shared" si="86"/>
        <v>23</v>
      </c>
      <c r="D901" t="str">
        <f t="shared" si="84"/>
        <v>November</v>
      </c>
      <c r="E901" t="str">
        <f t="shared" si="87"/>
        <v>2021</v>
      </c>
      <c r="F901" t="s">
        <v>1729</v>
      </c>
      <c r="G901" t="str">
        <f>VLOOKUP(F901,'Customers (2)'!A:I,2,0)</f>
        <v>Derick Snow</v>
      </c>
      <c r="H901">
        <f>VLOOKUP(F901,'Customers (2)'!A:I,3,0)</f>
        <v>0</v>
      </c>
      <c r="I901" t="str">
        <f>VLOOKUP(F901,'Customers (2)'!A:I,4,0)</f>
        <v>+1 (718) 461-3002</v>
      </c>
      <c r="J901" t="str">
        <f>VLOOKUP(F901,'Customers (2)'!A:I,6,0)</f>
        <v>New York City</v>
      </c>
      <c r="K901" t="str">
        <f>VLOOKUP(F901,'Customers (2)'!A:I,7,0)</f>
        <v>United States</v>
      </c>
      <c r="L901" t="str">
        <f>VLOOKUP(F901,'Customers (2)'!A:I,9,0)</f>
        <v>No</v>
      </c>
      <c r="M901" t="str">
        <f>VLOOKUP(N901,'Products (2)'!A:G,2,0)</f>
        <v>Liberica</v>
      </c>
      <c r="N901" t="s">
        <v>96</v>
      </c>
      <c r="O901" t="str">
        <f>VLOOKUP(N901,'Products (2)'!A:G,3,0)</f>
        <v>Medium</v>
      </c>
      <c r="P901">
        <f>VLOOKUP(N901,'Products (2)'!A:G,7,0)</f>
        <v>1.8915000000000002</v>
      </c>
      <c r="Q901">
        <v>5</v>
      </c>
      <c r="R901">
        <f>INDEX([1]products!$A$1:$G$49,MATCH([1]orders!$D901,[1]products!$A$1:$A$49,0),MATCH([1]orders!K$1,[1]products!$A$1:$G$1,0))</f>
        <v>1</v>
      </c>
      <c r="S901">
        <f>INDEX([1]products!$A$1:$G$49,MATCH([1]orders!$D901,[1]products!$A$1:$A$49,0),MATCH([1]orders!L$1,[1]products!$A$1:$G$1,0))</f>
        <v>14.55</v>
      </c>
      <c r="T901">
        <f t="shared" si="85"/>
        <v>72.75</v>
      </c>
      <c r="U901">
        <f t="shared" si="88"/>
        <v>9.4575000000000014</v>
      </c>
      <c r="V901">
        <f t="shared" si="89"/>
        <v>13.000000000000004</v>
      </c>
    </row>
    <row r="902" spans="1:22" x14ac:dyDescent="0.25">
      <c r="A902" t="s">
        <v>1737</v>
      </c>
      <c r="B902">
        <v>44584</v>
      </c>
      <c r="C902" t="str">
        <f t="shared" si="86"/>
        <v>23</v>
      </c>
      <c r="D902" t="str">
        <f t="shared" si="84"/>
        <v>January</v>
      </c>
      <c r="E902" t="str">
        <f t="shared" si="87"/>
        <v>2022</v>
      </c>
      <c r="F902" t="s">
        <v>1738</v>
      </c>
      <c r="G902" t="str">
        <f>VLOOKUP(F902,'Customers (2)'!A:I,2,0)</f>
        <v>Skelly Dolohunty</v>
      </c>
      <c r="H902">
        <f>VLOOKUP(F902,'Customers (2)'!A:I,3,0)</f>
        <v>0</v>
      </c>
      <c r="I902" t="str">
        <f>VLOOKUP(F902,'Customers (2)'!A:I,4,0)</f>
        <v>+353 (239) 716-2717</v>
      </c>
      <c r="J902" t="str">
        <f>VLOOKUP(F902,'Customers (2)'!A:I,6,0)</f>
        <v>Ballymun</v>
      </c>
      <c r="K902" t="str">
        <f>VLOOKUP(F902,'Customers (2)'!A:I,7,0)</f>
        <v>Ireland</v>
      </c>
      <c r="L902" t="str">
        <f>VLOOKUP(F902,'Customers (2)'!A:I,9,0)</f>
        <v>No</v>
      </c>
      <c r="M902" t="str">
        <f>VLOOKUP(N902,'Products (2)'!A:G,2,0)</f>
        <v>Liberica</v>
      </c>
      <c r="N902" t="s">
        <v>132</v>
      </c>
      <c r="O902" t="str">
        <f>VLOOKUP(N902,'Products (2)'!A:G,3,0)</f>
        <v>Light</v>
      </c>
      <c r="P902">
        <f>VLOOKUP(N902,'Products (2)'!A:G,7,0)</f>
        <v>2.0605000000000002</v>
      </c>
      <c r="Q902">
        <v>3</v>
      </c>
      <c r="R902">
        <f>INDEX([1]products!$A$1:$G$49,MATCH([1]orders!$D902,[1]products!$A$1:$A$49,0),MATCH([1]orders!K$1,[1]products!$A$1:$G$1,0))</f>
        <v>1</v>
      </c>
      <c r="S902">
        <f>INDEX([1]products!$A$1:$G$49,MATCH([1]orders!$D902,[1]products!$A$1:$A$49,0),MATCH([1]orders!L$1,[1]products!$A$1:$G$1,0))</f>
        <v>15.85</v>
      </c>
      <c r="T902">
        <f t="shared" si="85"/>
        <v>47.55</v>
      </c>
      <c r="U902">
        <f t="shared" si="88"/>
        <v>6.1815000000000007</v>
      </c>
      <c r="V902">
        <f t="shared" si="89"/>
        <v>13.000000000000004</v>
      </c>
    </row>
    <row r="903" spans="1:22" x14ac:dyDescent="0.25">
      <c r="A903" t="s">
        <v>1739</v>
      </c>
      <c r="B903">
        <v>44223</v>
      </c>
      <c r="C903" t="str">
        <f t="shared" si="86"/>
        <v>27</v>
      </c>
      <c r="D903" t="str">
        <f t="shared" si="84"/>
        <v>January</v>
      </c>
      <c r="E903" t="str">
        <f t="shared" si="87"/>
        <v>2021</v>
      </c>
      <c r="F903" t="s">
        <v>1740</v>
      </c>
      <c r="G903" t="str">
        <f>VLOOKUP(F903,'Customers (2)'!A:I,2,0)</f>
        <v>Drake Jevon</v>
      </c>
      <c r="H903" t="str">
        <f>VLOOKUP(F903,'Customers (2)'!A:I,3,0)</f>
        <v>djevonp1@ibm.com</v>
      </c>
      <c r="I903" t="str">
        <f>VLOOKUP(F903,'Customers (2)'!A:I,4,0)</f>
        <v>+1 (832) 733-7027</v>
      </c>
      <c r="J903" t="str">
        <f>VLOOKUP(F903,'Customers (2)'!A:I,6,0)</f>
        <v>Houston</v>
      </c>
      <c r="K903" t="str">
        <f>VLOOKUP(F903,'Customers (2)'!A:I,7,0)</f>
        <v>United States</v>
      </c>
      <c r="L903" t="str">
        <f>VLOOKUP(F903,'Customers (2)'!A:I,9,0)</f>
        <v>Yes</v>
      </c>
      <c r="M903" t="str">
        <f>VLOOKUP(N903,'Products (2)'!A:G,2,0)</f>
        <v>Robusta</v>
      </c>
      <c r="N903" t="s">
        <v>182</v>
      </c>
      <c r="O903" t="str">
        <f>VLOOKUP(N903,'Products (2)'!A:G,3,0)</f>
        <v>Light</v>
      </c>
      <c r="P903">
        <f>VLOOKUP(N903,'Products (2)'!A:G,7,0)</f>
        <v>0.21509999999999996</v>
      </c>
      <c r="Q903">
        <v>1</v>
      </c>
      <c r="R903">
        <f>INDEX([1]products!$A$1:$G$49,MATCH([1]orders!$D903,[1]products!$A$1:$A$49,0),MATCH([1]orders!K$1,[1]products!$A$1:$G$1,0))</f>
        <v>0.2</v>
      </c>
      <c r="S903">
        <f>INDEX([1]products!$A$1:$G$49,MATCH([1]orders!$D903,[1]products!$A$1:$A$49,0),MATCH([1]orders!L$1,[1]products!$A$1:$G$1,0))</f>
        <v>3.5849999999999995</v>
      </c>
      <c r="T903">
        <f t="shared" si="85"/>
        <v>3.5849999999999995</v>
      </c>
      <c r="U903">
        <f t="shared" si="88"/>
        <v>0.21509999999999996</v>
      </c>
      <c r="V903">
        <f t="shared" si="89"/>
        <v>6</v>
      </c>
    </row>
    <row r="904" spans="1:22" x14ac:dyDescent="0.25">
      <c r="A904" t="s">
        <v>1741</v>
      </c>
      <c r="B904">
        <v>43640</v>
      </c>
      <c r="C904" t="str">
        <f t="shared" si="86"/>
        <v>24</v>
      </c>
      <c r="D904" t="str">
        <f t="shared" si="84"/>
        <v>June</v>
      </c>
      <c r="E904" t="str">
        <f t="shared" si="87"/>
        <v>2019</v>
      </c>
      <c r="F904" t="s">
        <v>1742</v>
      </c>
      <c r="G904" t="str">
        <f>VLOOKUP(F904,'Customers (2)'!A:I,2,0)</f>
        <v>Hall Ranner</v>
      </c>
      <c r="H904" t="str">
        <f>VLOOKUP(F904,'Customers (2)'!A:I,3,0)</f>
        <v>hrannerp2@omniture.com</v>
      </c>
      <c r="I904" t="str">
        <f>VLOOKUP(F904,'Customers (2)'!A:I,4,0)</f>
        <v>+1 (513) 635-0251</v>
      </c>
      <c r="J904" t="str">
        <f>VLOOKUP(F904,'Customers (2)'!A:I,6,0)</f>
        <v>Cincinnati</v>
      </c>
      <c r="K904" t="str">
        <f>VLOOKUP(F904,'Customers (2)'!A:I,7,0)</f>
        <v>United States</v>
      </c>
      <c r="L904" t="str">
        <f>VLOOKUP(F904,'Customers (2)'!A:I,9,0)</f>
        <v>No</v>
      </c>
      <c r="M904" t="str">
        <f>VLOOKUP(N904,'Products (2)'!A:G,2,0)</f>
        <v>Excelsa</v>
      </c>
      <c r="N904" t="s">
        <v>112</v>
      </c>
      <c r="O904" t="str">
        <f>VLOOKUP(N904,'Products (2)'!A:G,3,0)</f>
        <v>Medium</v>
      </c>
      <c r="P904">
        <f>VLOOKUP(N904,'Products (2)'!A:G,7,0)</f>
        <v>3.4787499999999998</v>
      </c>
      <c r="Q904">
        <v>5</v>
      </c>
      <c r="R904">
        <f>INDEX([1]products!$A$1:$G$49,MATCH([1]orders!$D904,[1]products!$A$1:$A$49,0),MATCH([1]orders!K$1,[1]products!$A$1:$G$1,0))</f>
        <v>2.5</v>
      </c>
      <c r="S904">
        <f>INDEX([1]products!$A$1:$G$49,MATCH([1]orders!$D904,[1]products!$A$1:$A$49,0),MATCH([1]orders!L$1,[1]products!$A$1:$G$1,0))</f>
        <v>31.624999999999996</v>
      </c>
      <c r="T904">
        <f t="shared" si="85"/>
        <v>158.12499999999997</v>
      </c>
      <c r="U904">
        <f t="shared" si="88"/>
        <v>17.393749999999997</v>
      </c>
      <c r="V904">
        <f t="shared" si="89"/>
        <v>11</v>
      </c>
    </row>
    <row r="905" spans="1:22" x14ac:dyDescent="0.25">
      <c r="A905" t="s">
        <v>1743</v>
      </c>
      <c r="B905">
        <v>43905</v>
      </c>
      <c r="C905" t="str">
        <f t="shared" si="86"/>
        <v>15</v>
      </c>
      <c r="D905" t="str">
        <f t="shared" si="84"/>
        <v>March</v>
      </c>
      <c r="E905" t="str">
        <f t="shared" si="87"/>
        <v>2020</v>
      </c>
      <c r="F905" t="s">
        <v>1744</v>
      </c>
      <c r="G905" t="str">
        <f>VLOOKUP(F905,'Customers (2)'!A:I,2,0)</f>
        <v>Berkly Imrie</v>
      </c>
      <c r="H905" t="str">
        <f>VLOOKUP(F905,'Customers (2)'!A:I,3,0)</f>
        <v>bimriep3@addtoany.com</v>
      </c>
      <c r="I905" t="str">
        <f>VLOOKUP(F905,'Customers (2)'!A:I,4,0)</f>
        <v>+1 (559) 761-5288</v>
      </c>
      <c r="J905" t="str">
        <f>VLOOKUP(F905,'Customers (2)'!A:I,6,0)</f>
        <v>Fresno</v>
      </c>
      <c r="K905" t="str">
        <f>VLOOKUP(F905,'Customers (2)'!A:I,7,0)</f>
        <v>United States</v>
      </c>
      <c r="L905" t="str">
        <f>VLOOKUP(F905,'Customers (2)'!A:I,9,0)</f>
        <v>No</v>
      </c>
      <c r="M905" t="str">
        <f>VLOOKUP(N905,'Products (2)'!A:G,2,0)</f>
        <v>Liberica</v>
      </c>
      <c r="N905" t="s">
        <v>78</v>
      </c>
      <c r="O905" t="str">
        <f>VLOOKUP(N905,'Products (2)'!A:G,3,0)</f>
        <v>Medium</v>
      </c>
      <c r="P905">
        <f>VLOOKUP(N905,'Products (2)'!A:G,7,0)</f>
        <v>1.1349</v>
      </c>
      <c r="Q905">
        <v>2</v>
      </c>
      <c r="R905">
        <f>INDEX([1]products!$A$1:$G$49,MATCH([1]orders!$D905,[1]products!$A$1:$A$49,0),MATCH([1]orders!K$1,[1]products!$A$1:$G$1,0))</f>
        <v>0.5</v>
      </c>
      <c r="S905">
        <f>INDEX([1]products!$A$1:$G$49,MATCH([1]orders!$D905,[1]products!$A$1:$A$49,0),MATCH([1]orders!L$1,[1]products!$A$1:$G$1,0))</f>
        <v>8.73</v>
      </c>
      <c r="T905">
        <f t="shared" si="85"/>
        <v>17.46</v>
      </c>
      <c r="U905">
        <f t="shared" si="88"/>
        <v>2.2698</v>
      </c>
      <c r="V905">
        <f t="shared" si="89"/>
        <v>13</v>
      </c>
    </row>
    <row r="906" spans="1:22" x14ac:dyDescent="0.25">
      <c r="A906" t="s">
        <v>1745</v>
      </c>
      <c r="B906">
        <v>44463</v>
      </c>
      <c r="C906" t="str">
        <f t="shared" si="86"/>
        <v>24</v>
      </c>
      <c r="D906" t="str">
        <f t="shared" si="84"/>
        <v>September</v>
      </c>
      <c r="E906" t="str">
        <f t="shared" si="87"/>
        <v>2021</v>
      </c>
      <c r="F906" t="s">
        <v>1746</v>
      </c>
      <c r="G906" t="str">
        <f>VLOOKUP(F906,'Customers (2)'!A:I,2,0)</f>
        <v>Dorey Sopper</v>
      </c>
      <c r="H906" t="str">
        <f>VLOOKUP(F906,'Customers (2)'!A:I,3,0)</f>
        <v>dsopperp4@eventbrite.com</v>
      </c>
      <c r="I906" t="str">
        <f>VLOOKUP(F906,'Customers (2)'!A:I,4,0)</f>
        <v>+1 (612) 870-1604</v>
      </c>
      <c r="J906" t="str">
        <f>VLOOKUP(F906,'Customers (2)'!A:I,6,0)</f>
        <v>Saint Paul</v>
      </c>
      <c r="K906" t="str">
        <f>VLOOKUP(F906,'Customers (2)'!A:I,7,0)</f>
        <v>United States</v>
      </c>
      <c r="L906" t="str">
        <f>VLOOKUP(F906,'Customers (2)'!A:I,9,0)</f>
        <v>No</v>
      </c>
      <c r="M906" t="str">
        <f>VLOOKUP(N906,'Products (2)'!A:G,2,0)</f>
        <v>Arabica</v>
      </c>
      <c r="N906" t="s">
        <v>204</v>
      </c>
      <c r="O906" t="str">
        <f>VLOOKUP(N906,'Products (2)'!A:G,3,0)</f>
        <v>Light</v>
      </c>
      <c r="P906">
        <f>VLOOKUP(N906,'Products (2)'!A:G,7,0)</f>
        <v>2.6806499999999995</v>
      </c>
      <c r="Q906">
        <v>5</v>
      </c>
      <c r="R906">
        <f>INDEX([1]products!$A$1:$G$49,MATCH([1]orders!$D906,[1]products!$A$1:$A$49,0),MATCH([1]orders!K$1,[1]products!$A$1:$G$1,0))</f>
        <v>2.5</v>
      </c>
      <c r="S906">
        <f>INDEX([1]products!$A$1:$G$49,MATCH([1]orders!$D906,[1]products!$A$1:$A$49,0),MATCH([1]orders!L$1,[1]products!$A$1:$G$1,0))</f>
        <v>29.784999999999997</v>
      </c>
      <c r="T906">
        <f t="shared" si="85"/>
        <v>148.92499999999998</v>
      </c>
      <c r="U906">
        <f t="shared" si="88"/>
        <v>13.403249999999998</v>
      </c>
      <c r="V906">
        <f t="shared" si="89"/>
        <v>9</v>
      </c>
    </row>
    <row r="907" spans="1:22" x14ac:dyDescent="0.25">
      <c r="A907" t="s">
        <v>1747</v>
      </c>
      <c r="B907">
        <v>43560</v>
      </c>
      <c r="C907" t="str">
        <f t="shared" si="86"/>
        <v>05</v>
      </c>
      <c r="D907" t="str">
        <f t="shared" si="84"/>
        <v>April</v>
      </c>
      <c r="E907" t="str">
        <f t="shared" si="87"/>
        <v>2019</v>
      </c>
      <c r="F907" t="s">
        <v>1748</v>
      </c>
      <c r="G907" t="str">
        <f>VLOOKUP(F907,'Customers (2)'!A:I,2,0)</f>
        <v>Darcy Lochran</v>
      </c>
      <c r="H907">
        <f>VLOOKUP(F907,'Customers (2)'!A:I,3,0)</f>
        <v>0</v>
      </c>
      <c r="I907" t="str">
        <f>VLOOKUP(F907,'Customers (2)'!A:I,4,0)</f>
        <v>+1 (915) 776-4578</v>
      </c>
      <c r="J907" t="str">
        <f>VLOOKUP(F907,'Customers (2)'!A:I,6,0)</f>
        <v>El Paso</v>
      </c>
      <c r="K907" t="str">
        <f>VLOOKUP(F907,'Customers (2)'!A:I,7,0)</f>
        <v>United States</v>
      </c>
      <c r="L907" t="str">
        <f>VLOOKUP(F907,'Customers (2)'!A:I,9,0)</f>
        <v>Yes</v>
      </c>
      <c r="M907" t="str">
        <f>VLOOKUP(N907,'Products (2)'!A:G,2,0)</f>
        <v>Arabica</v>
      </c>
      <c r="N907" t="s">
        <v>67</v>
      </c>
      <c r="O907" t="str">
        <f>VLOOKUP(N907,'Products (2)'!A:G,3,0)</f>
        <v>Medium</v>
      </c>
      <c r="P907">
        <f>VLOOKUP(N907,'Products (2)'!A:G,7,0)</f>
        <v>0.60749999999999993</v>
      </c>
      <c r="Q907">
        <v>6</v>
      </c>
      <c r="R907">
        <f>INDEX([1]products!$A$1:$G$49,MATCH([1]orders!$D907,[1]products!$A$1:$A$49,0),MATCH([1]orders!K$1,[1]products!$A$1:$G$1,0))</f>
        <v>0.5</v>
      </c>
      <c r="S907">
        <f>INDEX([1]products!$A$1:$G$49,MATCH([1]orders!$D907,[1]products!$A$1:$A$49,0),MATCH([1]orders!L$1,[1]products!$A$1:$G$1,0))</f>
        <v>6.75</v>
      </c>
      <c r="T907">
        <f t="shared" si="85"/>
        <v>40.5</v>
      </c>
      <c r="U907">
        <f t="shared" si="88"/>
        <v>3.6449999999999996</v>
      </c>
      <c r="V907">
        <f t="shared" si="89"/>
        <v>8.9999999999999982</v>
      </c>
    </row>
    <row r="908" spans="1:22" x14ac:dyDescent="0.25">
      <c r="A908" t="s">
        <v>1749</v>
      </c>
      <c r="B908">
        <v>44588</v>
      </c>
      <c r="C908" t="str">
        <f t="shared" si="86"/>
        <v>27</v>
      </c>
      <c r="D908" t="str">
        <f t="shared" si="84"/>
        <v>January</v>
      </c>
      <c r="E908" t="str">
        <f t="shared" si="87"/>
        <v>2022</v>
      </c>
      <c r="F908" t="s">
        <v>1750</v>
      </c>
      <c r="G908" t="str">
        <f>VLOOKUP(F908,'Customers (2)'!A:I,2,0)</f>
        <v>Lauritz Ledgley</v>
      </c>
      <c r="H908" t="str">
        <f>VLOOKUP(F908,'Customers (2)'!A:I,3,0)</f>
        <v>lledgleyp6@de.vu</v>
      </c>
      <c r="I908" t="str">
        <f>VLOOKUP(F908,'Customers (2)'!A:I,4,0)</f>
        <v>+1 (515) 261-2295</v>
      </c>
      <c r="J908" t="str">
        <f>VLOOKUP(F908,'Customers (2)'!A:I,6,0)</f>
        <v>Des Moines</v>
      </c>
      <c r="K908" t="str">
        <f>VLOOKUP(F908,'Customers (2)'!A:I,7,0)</f>
        <v>United States</v>
      </c>
      <c r="L908" t="str">
        <f>VLOOKUP(F908,'Customers (2)'!A:I,9,0)</f>
        <v>Yes</v>
      </c>
      <c r="M908" t="str">
        <f>VLOOKUP(N908,'Products (2)'!A:G,2,0)</f>
        <v>Arabica</v>
      </c>
      <c r="N908" t="s">
        <v>67</v>
      </c>
      <c r="O908" t="str">
        <f>VLOOKUP(N908,'Products (2)'!A:G,3,0)</f>
        <v>Medium</v>
      </c>
      <c r="P908">
        <f>VLOOKUP(N908,'Products (2)'!A:G,7,0)</f>
        <v>0.60749999999999993</v>
      </c>
      <c r="Q908">
        <v>4</v>
      </c>
      <c r="R908">
        <f>INDEX([1]products!$A$1:$G$49,MATCH([1]orders!$D908,[1]products!$A$1:$A$49,0),MATCH([1]orders!K$1,[1]products!$A$1:$G$1,0))</f>
        <v>0.5</v>
      </c>
      <c r="S908">
        <f>INDEX([1]products!$A$1:$G$49,MATCH([1]orders!$D908,[1]products!$A$1:$A$49,0),MATCH([1]orders!L$1,[1]products!$A$1:$G$1,0))</f>
        <v>6.75</v>
      </c>
      <c r="T908">
        <f t="shared" si="85"/>
        <v>27</v>
      </c>
      <c r="U908">
        <f t="shared" si="88"/>
        <v>2.4299999999999997</v>
      </c>
      <c r="V908">
        <f t="shared" si="89"/>
        <v>8.9999999999999982</v>
      </c>
    </row>
    <row r="909" spans="1:22" x14ac:dyDescent="0.25">
      <c r="A909" t="s">
        <v>1751</v>
      </c>
      <c r="B909">
        <v>44449</v>
      </c>
      <c r="C909" t="str">
        <f t="shared" si="86"/>
        <v>10</v>
      </c>
      <c r="D909" t="str">
        <f t="shared" si="84"/>
        <v>September</v>
      </c>
      <c r="E909" t="str">
        <f t="shared" si="87"/>
        <v>2021</v>
      </c>
      <c r="F909" t="s">
        <v>1752</v>
      </c>
      <c r="G909" t="str">
        <f>VLOOKUP(F909,'Customers (2)'!A:I,2,0)</f>
        <v>Tawnya Menary</v>
      </c>
      <c r="H909" t="str">
        <f>VLOOKUP(F909,'Customers (2)'!A:I,3,0)</f>
        <v>tmenaryp7@phoca.cz</v>
      </c>
      <c r="I909" t="str">
        <f>VLOOKUP(F909,'Customers (2)'!A:I,4,0)</f>
        <v>+1 (971) 467-6353</v>
      </c>
      <c r="J909" t="str">
        <f>VLOOKUP(F909,'Customers (2)'!A:I,6,0)</f>
        <v>Portland</v>
      </c>
      <c r="K909" t="str">
        <f>VLOOKUP(F909,'Customers (2)'!A:I,7,0)</f>
        <v>United States</v>
      </c>
      <c r="L909" t="str">
        <f>VLOOKUP(F909,'Customers (2)'!A:I,9,0)</f>
        <v>No</v>
      </c>
      <c r="M909" t="str">
        <f>VLOOKUP(N909,'Products (2)'!A:G,2,0)</f>
        <v>Liberica</v>
      </c>
      <c r="N909" t="s">
        <v>13</v>
      </c>
      <c r="O909" t="str">
        <f>VLOOKUP(N909,'Products (2)'!A:G,3,0)</f>
        <v>Dark</v>
      </c>
      <c r="P909">
        <f>VLOOKUP(N909,'Products (2)'!A:G,7,0)</f>
        <v>1.6835</v>
      </c>
      <c r="Q909">
        <v>3</v>
      </c>
      <c r="R909">
        <f>INDEX([1]products!$A$1:$G$49,MATCH([1]orders!$D909,[1]products!$A$1:$A$49,0),MATCH([1]orders!K$1,[1]products!$A$1:$G$1,0))</f>
        <v>1</v>
      </c>
      <c r="S909">
        <f>INDEX([1]products!$A$1:$G$49,MATCH([1]orders!$D909,[1]products!$A$1:$A$49,0),MATCH([1]orders!L$1,[1]products!$A$1:$G$1,0))</f>
        <v>12.95</v>
      </c>
      <c r="T909">
        <f t="shared" si="85"/>
        <v>38.849999999999994</v>
      </c>
      <c r="U909">
        <f t="shared" si="88"/>
        <v>5.0504999999999995</v>
      </c>
      <c r="V909">
        <f t="shared" si="89"/>
        <v>13</v>
      </c>
    </row>
    <row r="910" spans="1:22" x14ac:dyDescent="0.25">
      <c r="A910" t="s">
        <v>1753</v>
      </c>
      <c r="B910">
        <v>43836</v>
      </c>
      <c r="C910" t="str">
        <f t="shared" si="86"/>
        <v>06</v>
      </c>
      <c r="D910" t="str">
        <f t="shared" si="84"/>
        <v>January</v>
      </c>
      <c r="E910" t="str">
        <f t="shared" si="87"/>
        <v>2020</v>
      </c>
      <c r="F910" t="s">
        <v>1754</v>
      </c>
      <c r="G910" t="str">
        <f>VLOOKUP(F910,'Customers (2)'!A:I,2,0)</f>
        <v>Gustaf Ciccotti</v>
      </c>
      <c r="H910" t="str">
        <f>VLOOKUP(F910,'Customers (2)'!A:I,3,0)</f>
        <v>gciccottip8@so-net.ne.jp</v>
      </c>
      <c r="I910" t="str">
        <f>VLOOKUP(F910,'Customers (2)'!A:I,4,0)</f>
        <v>+1 (832) 392-5010</v>
      </c>
      <c r="J910" t="str">
        <f>VLOOKUP(F910,'Customers (2)'!A:I,6,0)</f>
        <v>Houston</v>
      </c>
      <c r="K910" t="str">
        <f>VLOOKUP(F910,'Customers (2)'!A:I,7,0)</f>
        <v>United States</v>
      </c>
      <c r="L910" t="str">
        <f>VLOOKUP(F910,'Customers (2)'!A:I,9,0)</f>
        <v>No</v>
      </c>
      <c r="M910" t="str">
        <f>VLOOKUP(N910,'Products (2)'!A:G,2,0)</f>
        <v>Robusta</v>
      </c>
      <c r="N910" t="s">
        <v>189</v>
      </c>
      <c r="O910" t="str">
        <f>VLOOKUP(N910,'Products (2)'!A:G,3,0)</f>
        <v>Light</v>
      </c>
      <c r="P910">
        <f>VLOOKUP(N910,'Products (2)'!A:G,7,0)</f>
        <v>0.71699999999999997</v>
      </c>
      <c r="Q910">
        <v>5</v>
      </c>
      <c r="R910">
        <f>INDEX([1]products!$A$1:$G$49,MATCH([1]orders!$D910,[1]products!$A$1:$A$49,0),MATCH([1]orders!K$1,[1]products!$A$1:$G$1,0))</f>
        <v>1</v>
      </c>
      <c r="S910">
        <f>INDEX([1]products!$A$1:$G$49,MATCH([1]orders!$D910,[1]products!$A$1:$A$49,0),MATCH([1]orders!L$1,[1]products!$A$1:$G$1,0))</f>
        <v>11.95</v>
      </c>
      <c r="T910">
        <f t="shared" si="85"/>
        <v>59.75</v>
      </c>
      <c r="U910">
        <f t="shared" si="88"/>
        <v>3.585</v>
      </c>
      <c r="V910">
        <f t="shared" si="89"/>
        <v>6</v>
      </c>
    </row>
    <row r="911" spans="1:22" x14ac:dyDescent="0.25">
      <c r="A911" t="s">
        <v>1755</v>
      </c>
      <c r="B911">
        <v>44635</v>
      </c>
      <c r="C911" t="str">
        <f t="shared" si="86"/>
        <v>15</v>
      </c>
      <c r="D911" t="str">
        <f t="shared" si="84"/>
        <v>March</v>
      </c>
      <c r="E911" t="str">
        <f t="shared" si="87"/>
        <v>2022</v>
      </c>
      <c r="F911" t="s">
        <v>1756</v>
      </c>
      <c r="G911" t="str">
        <f>VLOOKUP(F911,'Customers (2)'!A:I,2,0)</f>
        <v>Bobbe Renner</v>
      </c>
      <c r="H911">
        <f>VLOOKUP(F911,'Customers (2)'!A:I,3,0)</f>
        <v>0</v>
      </c>
      <c r="I911" t="str">
        <f>VLOOKUP(F911,'Customers (2)'!A:I,4,0)</f>
        <v>+1 (919) 456-9860</v>
      </c>
      <c r="J911" t="str">
        <f>VLOOKUP(F911,'Customers (2)'!A:I,6,0)</f>
        <v>Durham</v>
      </c>
      <c r="K911" t="str">
        <f>VLOOKUP(F911,'Customers (2)'!A:I,7,0)</f>
        <v>United States</v>
      </c>
      <c r="L911" t="str">
        <f>VLOOKUP(F911,'Customers (2)'!A:I,9,0)</f>
        <v>No</v>
      </c>
      <c r="M911" t="str">
        <f>VLOOKUP(N911,'Products (2)'!A:G,2,0)</f>
        <v>Robusta</v>
      </c>
      <c r="N911" t="s">
        <v>182</v>
      </c>
      <c r="O911" t="str">
        <f>VLOOKUP(N911,'Products (2)'!A:G,3,0)</f>
        <v>Light</v>
      </c>
      <c r="P911">
        <f>VLOOKUP(N911,'Products (2)'!A:G,7,0)</f>
        <v>0.21509999999999996</v>
      </c>
      <c r="Q911">
        <v>3</v>
      </c>
      <c r="R911">
        <f>INDEX([1]products!$A$1:$G$49,MATCH([1]orders!$D911,[1]products!$A$1:$A$49,0),MATCH([1]orders!K$1,[1]products!$A$1:$G$1,0))</f>
        <v>0.2</v>
      </c>
      <c r="S911">
        <f>INDEX([1]products!$A$1:$G$49,MATCH([1]orders!$D911,[1]products!$A$1:$A$49,0),MATCH([1]orders!L$1,[1]products!$A$1:$G$1,0))</f>
        <v>3.5849999999999995</v>
      </c>
      <c r="T911">
        <f t="shared" si="85"/>
        <v>10.754999999999999</v>
      </c>
      <c r="U911">
        <f t="shared" si="88"/>
        <v>0.64529999999999987</v>
      </c>
      <c r="V911">
        <f t="shared" si="89"/>
        <v>5.9999999999999991</v>
      </c>
    </row>
    <row r="912" spans="1:22" x14ac:dyDescent="0.25">
      <c r="A912" t="s">
        <v>1757</v>
      </c>
      <c r="B912">
        <v>44447</v>
      </c>
      <c r="C912" t="str">
        <f t="shared" si="86"/>
        <v>08</v>
      </c>
      <c r="D912" t="str">
        <f t="shared" si="84"/>
        <v>September</v>
      </c>
      <c r="E912" t="str">
        <f t="shared" si="87"/>
        <v>2021</v>
      </c>
      <c r="F912" t="s">
        <v>1758</v>
      </c>
      <c r="G912" t="str">
        <f>VLOOKUP(F912,'Customers (2)'!A:I,2,0)</f>
        <v>Wilton Jallin</v>
      </c>
      <c r="H912" t="str">
        <f>VLOOKUP(F912,'Customers (2)'!A:I,3,0)</f>
        <v>wjallinpa@pcworld.com</v>
      </c>
      <c r="I912" t="str">
        <f>VLOOKUP(F912,'Customers (2)'!A:I,4,0)</f>
        <v>+1 (617) 201-1702</v>
      </c>
      <c r="J912" t="str">
        <f>VLOOKUP(F912,'Customers (2)'!A:I,6,0)</f>
        <v>Boston</v>
      </c>
      <c r="K912" t="str">
        <f>VLOOKUP(F912,'Customers (2)'!A:I,7,0)</f>
        <v>United States</v>
      </c>
      <c r="L912" t="str">
        <f>VLOOKUP(F912,'Customers (2)'!A:I,9,0)</f>
        <v>No</v>
      </c>
      <c r="M912" t="str">
        <f>VLOOKUP(N912,'Products (2)'!A:G,2,0)</f>
        <v>Arabica</v>
      </c>
      <c r="N912" t="s">
        <v>118</v>
      </c>
      <c r="O912" t="str">
        <f>VLOOKUP(N912,'Products (2)'!A:G,3,0)</f>
        <v>Dark</v>
      </c>
      <c r="P912">
        <f>VLOOKUP(N912,'Products (2)'!A:G,7,0)</f>
        <v>2.0596499999999995</v>
      </c>
      <c r="Q912">
        <v>4</v>
      </c>
      <c r="R912">
        <f>INDEX([1]products!$A$1:$G$49,MATCH([1]orders!$D912,[1]products!$A$1:$A$49,0),MATCH([1]orders!K$1,[1]products!$A$1:$G$1,0))</f>
        <v>2.5</v>
      </c>
      <c r="S912">
        <f>INDEX([1]products!$A$1:$G$49,MATCH([1]orders!$D912,[1]products!$A$1:$A$49,0),MATCH([1]orders!L$1,[1]products!$A$1:$G$1,0))</f>
        <v>22.884999999999998</v>
      </c>
      <c r="T912">
        <f t="shared" si="85"/>
        <v>91.539999999999992</v>
      </c>
      <c r="U912">
        <f t="shared" si="88"/>
        <v>8.2385999999999981</v>
      </c>
      <c r="V912">
        <f t="shared" si="89"/>
        <v>8.9999999999999982</v>
      </c>
    </row>
    <row r="913" spans="1:22" x14ac:dyDescent="0.25">
      <c r="A913" t="s">
        <v>1759</v>
      </c>
      <c r="B913">
        <v>44511</v>
      </c>
      <c r="C913" t="str">
        <f t="shared" si="86"/>
        <v>11</v>
      </c>
      <c r="D913" t="str">
        <f t="shared" si="84"/>
        <v>November</v>
      </c>
      <c r="E913" t="str">
        <f t="shared" si="87"/>
        <v>2021</v>
      </c>
      <c r="F913" t="s">
        <v>1760</v>
      </c>
      <c r="G913" t="str">
        <f>VLOOKUP(F913,'Customers (2)'!A:I,2,0)</f>
        <v>Mindy Bogey</v>
      </c>
      <c r="H913" t="str">
        <f>VLOOKUP(F913,'Customers (2)'!A:I,3,0)</f>
        <v>mbogeypb@thetimes.co.uk</v>
      </c>
      <c r="I913" t="str">
        <f>VLOOKUP(F913,'Customers (2)'!A:I,4,0)</f>
        <v>+1 (202) 479-4238</v>
      </c>
      <c r="J913" t="str">
        <f>VLOOKUP(F913,'Customers (2)'!A:I,6,0)</f>
        <v>Washington</v>
      </c>
      <c r="K913" t="str">
        <f>VLOOKUP(F913,'Customers (2)'!A:I,7,0)</f>
        <v>United States</v>
      </c>
      <c r="L913" t="str">
        <f>VLOOKUP(F913,'Customers (2)'!A:I,9,0)</f>
        <v>Yes</v>
      </c>
      <c r="M913" t="str">
        <f>VLOOKUP(N913,'Products (2)'!A:G,2,0)</f>
        <v>Arabica</v>
      </c>
      <c r="N913" t="s">
        <v>61</v>
      </c>
      <c r="O913" t="str">
        <f>VLOOKUP(N913,'Products (2)'!A:G,3,0)</f>
        <v>Medium</v>
      </c>
      <c r="P913">
        <f>VLOOKUP(N913,'Products (2)'!A:G,7,0)</f>
        <v>1.0125</v>
      </c>
      <c r="Q913">
        <v>4</v>
      </c>
      <c r="R913">
        <f>INDEX([1]products!$A$1:$G$49,MATCH([1]orders!$D913,[1]products!$A$1:$A$49,0),MATCH([1]orders!K$1,[1]products!$A$1:$G$1,0))</f>
        <v>1</v>
      </c>
      <c r="S913">
        <f>INDEX([1]products!$A$1:$G$49,MATCH([1]orders!$D913,[1]products!$A$1:$A$49,0),MATCH([1]orders!L$1,[1]products!$A$1:$G$1,0))</f>
        <v>11.25</v>
      </c>
      <c r="T913">
        <f t="shared" si="85"/>
        <v>45</v>
      </c>
      <c r="U913">
        <f t="shared" si="88"/>
        <v>4.05</v>
      </c>
      <c r="V913">
        <f t="shared" si="89"/>
        <v>9</v>
      </c>
    </row>
    <row r="914" spans="1:22" x14ac:dyDescent="0.25">
      <c r="A914" t="s">
        <v>1761</v>
      </c>
      <c r="B914">
        <v>43726</v>
      </c>
      <c r="C914" t="str">
        <f t="shared" si="86"/>
        <v>18</v>
      </c>
      <c r="D914" t="str">
        <f t="shared" si="84"/>
        <v>September</v>
      </c>
      <c r="E914" t="str">
        <f t="shared" si="87"/>
        <v>2019</v>
      </c>
      <c r="F914" t="s">
        <v>1762</v>
      </c>
      <c r="G914" t="str">
        <f>VLOOKUP(F914,'Customers (2)'!A:I,2,0)</f>
        <v>Paulie Fonzone</v>
      </c>
      <c r="H914">
        <f>VLOOKUP(F914,'Customers (2)'!A:I,3,0)</f>
        <v>0</v>
      </c>
      <c r="I914" t="str">
        <f>VLOOKUP(F914,'Customers (2)'!A:I,4,0)</f>
        <v>+1 (518) 905-1184</v>
      </c>
      <c r="J914" t="str">
        <f>VLOOKUP(F914,'Customers (2)'!A:I,6,0)</f>
        <v>Albany</v>
      </c>
      <c r="K914" t="str">
        <f>VLOOKUP(F914,'Customers (2)'!A:I,7,0)</f>
        <v>United States</v>
      </c>
      <c r="L914" t="str">
        <f>VLOOKUP(F914,'Customers (2)'!A:I,9,0)</f>
        <v>Yes</v>
      </c>
      <c r="M914" t="str">
        <f>VLOOKUP(N914,'Products (2)'!A:G,2,0)</f>
        <v>Robusta</v>
      </c>
      <c r="N914" t="s">
        <v>41</v>
      </c>
      <c r="O914" t="str">
        <f>VLOOKUP(N914,'Products (2)'!A:G,3,0)</f>
        <v>Medium</v>
      </c>
      <c r="P914">
        <f>VLOOKUP(N914,'Products (2)'!A:G,7,0)</f>
        <v>1.3730999999999998</v>
      </c>
      <c r="Q914">
        <v>6</v>
      </c>
      <c r="R914">
        <f>INDEX([1]products!$A$1:$G$49,MATCH([1]orders!$D914,[1]products!$A$1:$A$49,0),MATCH([1]orders!K$1,[1]products!$A$1:$G$1,0))</f>
        <v>2.5</v>
      </c>
      <c r="S914">
        <f>INDEX([1]products!$A$1:$G$49,MATCH([1]orders!$D914,[1]products!$A$1:$A$49,0),MATCH([1]orders!L$1,[1]products!$A$1:$G$1,0))</f>
        <v>22.884999999999998</v>
      </c>
      <c r="T914">
        <f t="shared" si="85"/>
        <v>137.31</v>
      </c>
      <c r="U914">
        <f t="shared" si="88"/>
        <v>8.2385999999999981</v>
      </c>
      <c r="V914">
        <f t="shared" si="89"/>
        <v>5.9999999999999982</v>
      </c>
    </row>
    <row r="915" spans="1:22" x14ac:dyDescent="0.25">
      <c r="A915" t="s">
        <v>1763</v>
      </c>
      <c r="B915">
        <v>44406</v>
      </c>
      <c r="C915" t="str">
        <f t="shared" si="86"/>
        <v>29</v>
      </c>
      <c r="D915" t="str">
        <f t="shared" si="84"/>
        <v>July</v>
      </c>
      <c r="E915" t="str">
        <f t="shared" si="87"/>
        <v>2021</v>
      </c>
      <c r="F915" t="s">
        <v>1764</v>
      </c>
      <c r="G915" t="str">
        <f>VLOOKUP(F915,'Customers (2)'!A:I,2,0)</f>
        <v>Merrile Cobbledick</v>
      </c>
      <c r="H915" t="str">
        <f>VLOOKUP(F915,'Customers (2)'!A:I,3,0)</f>
        <v>mcobbledickpd@ucsd.edu</v>
      </c>
      <c r="I915" t="str">
        <f>VLOOKUP(F915,'Customers (2)'!A:I,4,0)</f>
        <v>+1 (520) 567-8210</v>
      </c>
      <c r="J915" t="str">
        <f>VLOOKUP(F915,'Customers (2)'!A:I,6,0)</f>
        <v>Tucson</v>
      </c>
      <c r="K915" t="str">
        <f>VLOOKUP(F915,'Customers (2)'!A:I,7,0)</f>
        <v>United States</v>
      </c>
      <c r="L915" t="str">
        <f>VLOOKUP(F915,'Customers (2)'!A:I,9,0)</f>
        <v>No</v>
      </c>
      <c r="M915" t="str">
        <f>VLOOKUP(N915,'Products (2)'!A:G,2,0)</f>
        <v>Arabica</v>
      </c>
      <c r="N915" t="s">
        <v>67</v>
      </c>
      <c r="O915" t="str">
        <f>VLOOKUP(N915,'Products (2)'!A:G,3,0)</f>
        <v>Medium</v>
      </c>
      <c r="P915">
        <f>VLOOKUP(N915,'Products (2)'!A:G,7,0)</f>
        <v>0.60749999999999993</v>
      </c>
      <c r="Q915">
        <v>1</v>
      </c>
      <c r="R915">
        <f>INDEX([1]products!$A$1:$G$49,MATCH([1]orders!$D915,[1]products!$A$1:$A$49,0),MATCH([1]orders!K$1,[1]products!$A$1:$G$1,0))</f>
        <v>0.5</v>
      </c>
      <c r="S915">
        <f>INDEX([1]products!$A$1:$G$49,MATCH([1]orders!$D915,[1]products!$A$1:$A$49,0),MATCH([1]orders!L$1,[1]products!$A$1:$G$1,0))</f>
        <v>6.75</v>
      </c>
      <c r="T915">
        <f t="shared" si="85"/>
        <v>6.75</v>
      </c>
      <c r="U915">
        <f t="shared" si="88"/>
        <v>0.60749999999999993</v>
      </c>
      <c r="V915">
        <f t="shared" si="89"/>
        <v>8.9999999999999982</v>
      </c>
    </row>
    <row r="916" spans="1:22" x14ac:dyDescent="0.25">
      <c r="A916" t="s">
        <v>1765</v>
      </c>
      <c r="B916">
        <v>44640</v>
      </c>
      <c r="C916" t="str">
        <f t="shared" si="86"/>
        <v>20</v>
      </c>
      <c r="D916" t="str">
        <f t="shared" si="84"/>
        <v>March</v>
      </c>
      <c r="E916" t="str">
        <f t="shared" si="87"/>
        <v>2022</v>
      </c>
      <c r="F916" t="s">
        <v>1766</v>
      </c>
      <c r="G916" t="str">
        <f>VLOOKUP(F916,'Customers (2)'!A:I,2,0)</f>
        <v>Antonius Lewry</v>
      </c>
      <c r="H916" t="str">
        <f>VLOOKUP(F916,'Customers (2)'!A:I,3,0)</f>
        <v>alewrype@whitehouse.gov</v>
      </c>
      <c r="I916" t="str">
        <f>VLOOKUP(F916,'Customers (2)'!A:I,4,0)</f>
        <v>+1 (334) 368-9435</v>
      </c>
      <c r="J916" t="str">
        <f>VLOOKUP(F916,'Customers (2)'!A:I,6,0)</f>
        <v>Montgomery</v>
      </c>
      <c r="K916" t="str">
        <f>VLOOKUP(F916,'Customers (2)'!A:I,7,0)</f>
        <v>United States</v>
      </c>
      <c r="L916" t="str">
        <f>VLOOKUP(F916,'Customers (2)'!A:I,9,0)</f>
        <v>No</v>
      </c>
      <c r="M916" t="str">
        <f>VLOOKUP(N916,'Products (2)'!A:G,2,0)</f>
        <v>Arabica</v>
      </c>
      <c r="N916" t="s">
        <v>61</v>
      </c>
      <c r="O916" t="str">
        <f>VLOOKUP(N916,'Products (2)'!A:G,3,0)</f>
        <v>Medium</v>
      </c>
      <c r="P916">
        <f>VLOOKUP(N916,'Products (2)'!A:G,7,0)</f>
        <v>1.0125</v>
      </c>
      <c r="Q916">
        <v>4</v>
      </c>
      <c r="R916">
        <f>INDEX([1]products!$A$1:$G$49,MATCH([1]orders!$D916,[1]products!$A$1:$A$49,0),MATCH([1]orders!K$1,[1]products!$A$1:$G$1,0))</f>
        <v>1</v>
      </c>
      <c r="S916">
        <f>INDEX([1]products!$A$1:$G$49,MATCH([1]orders!$D916,[1]products!$A$1:$A$49,0),MATCH([1]orders!L$1,[1]products!$A$1:$G$1,0))</f>
        <v>11.25</v>
      </c>
      <c r="T916">
        <f t="shared" si="85"/>
        <v>45</v>
      </c>
      <c r="U916">
        <f t="shared" si="88"/>
        <v>4.05</v>
      </c>
      <c r="V916">
        <f t="shared" si="89"/>
        <v>9</v>
      </c>
    </row>
    <row r="917" spans="1:22" x14ac:dyDescent="0.25">
      <c r="A917" t="s">
        <v>1767</v>
      </c>
      <c r="B917">
        <v>43955</v>
      </c>
      <c r="C917" t="str">
        <f t="shared" si="86"/>
        <v>04</v>
      </c>
      <c r="D917" t="str">
        <f t="shared" si="84"/>
        <v>May</v>
      </c>
      <c r="E917" t="str">
        <f t="shared" si="87"/>
        <v>2020</v>
      </c>
      <c r="F917" t="s">
        <v>1768</v>
      </c>
      <c r="G917" t="str">
        <f>VLOOKUP(F917,'Customers (2)'!A:I,2,0)</f>
        <v>Isis Hessel</v>
      </c>
      <c r="H917" t="str">
        <f>VLOOKUP(F917,'Customers (2)'!A:I,3,0)</f>
        <v>ihesselpf@ox.ac.uk</v>
      </c>
      <c r="I917" t="str">
        <f>VLOOKUP(F917,'Customers (2)'!A:I,4,0)</f>
        <v>+1 (907) 873-3538</v>
      </c>
      <c r="J917" t="str">
        <f>VLOOKUP(F917,'Customers (2)'!A:I,6,0)</f>
        <v>Fairbanks</v>
      </c>
      <c r="K917" t="str">
        <f>VLOOKUP(F917,'Customers (2)'!A:I,7,0)</f>
        <v>United States</v>
      </c>
      <c r="L917" t="str">
        <f>VLOOKUP(F917,'Customers (2)'!A:I,9,0)</f>
        <v>Yes</v>
      </c>
      <c r="M917" t="str">
        <f>VLOOKUP(N917,'Products (2)'!A:G,2,0)</f>
        <v>Excelsa</v>
      </c>
      <c r="N917" t="s">
        <v>530</v>
      </c>
      <c r="O917" t="str">
        <f>VLOOKUP(N917,'Products (2)'!A:G,3,0)</f>
        <v>Dark</v>
      </c>
      <c r="P917">
        <f>VLOOKUP(N917,'Products (2)'!A:G,7,0)</f>
        <v>3.07395</v>
      </c>
      <c r="Q917">
        <v>3</v>
      </c>
      <c r="R917">
        <f>INDEX([1]products!$A$1:$G$49,MATCH([1]orders!$D917,[1]products!$A$1:$A$49,0),MATCH([1]orders!K$1,[1]products!$A$1:$G$1,0))</f>
        <v>2.5</v>
      </c>
      <c r="S917">
        <f>INDEX([1]products!$A$1:$G$49,MATCH([1]orders!$D917,[1]products!$A$1:$A$49,0),MATCH([1]orders!L$1,[1]products!$A$1:$G$1,0))</f>
        <v>27.945</v>
      </c>
      <c r="T917">
        <f t="shared" si="85"/>
        <v>83.835000000000008</v>
      </c>
      <c r="U917">
        <f t="shared" si="88"/>
        <v>9.2218499999999999</v>
      </c>
      <c r="V917">
        <f t="shared" si="89"/>
        <v>10.999999999999998</v>
      </c>
    </row>
    <row r="918" spans="1:22" x14ac:dyDescent="0.25">
      <c r="A918" t="s">
        <v>1769</v>
      </c>
      <c r="B918">
        <v>44291</v>
      </c>
      <c r="C918" t="str">
        <f t="shared" si="86"/>
        <v>05</v>
      </c>
      <c r="D918" t="str">
        <f t="shared" si="84"/>
        <v>April</v>
      </c>
      <c r="E918" t="str">
        <f t="shared" si="87"/>
        <v>2021</v>
      </c>
      <c r="F918" t="s">
        <v>1770</v>
      </c>
      <c r="G918" t="str">
        <f>VLOOKUP(F918,'Customers (2)'!A:I,2,0)</f>
        <v>Harland Trematick</v>
      </c>
      <c r="H918">
        <f>VLOOKUP(F918,'Customers (2)'!A:I,3,0)</f>
        <v>0</v>
      </c>
      <c r="I918">
        <f>VLOOKUP(F918,'Customers (2)'!A:I,4,0)</f>
        <v>0</v>
      </c>
      <c r="J918" t="str">
        <f>VLOOKUP(F918,'Customers (2)'!A:I,6,0)</f>
        <v>Monasterevin</v>
      </c>
      <c r="K918" t="str">
        <f>VLOOKUP(F918,'Customers (2)'!A:I,7,0)</f>
        <v>Ireland</v>
      </c>
      <c r="L918" t="str">
        <f>VLOOKUP(F918,'Customers (2)'!A:I,9,0)</f>
        <v>Yes</v>
      </c>
      <c r="M918" t="str">
        <f>VLOOKUP(N918,'Products (2)'!A:G,2,0)</f>
        <v>Excelsa</v>
      </c>
      <c r="N918" t="s">
        <v>51</v>
      </c>
      <c r="O918" t="str">
        <f>VLOOKUP(N918,'Products (2)'!A:G,3,0)</f>
        <v>Dark</v>
      </c>
      <c r="P918">
        <f>VLOOKUP(N918,'Products (2)'!A:G,7,0)</f>
        <v>0.40095000000000003</v>
      </c>
      <c r="Q918">
        <v>1</v>
      </c>
      <c r="R918">
        <f>INDEX([1]products!$A$1:$G$49,MATCH([1]orders!$D918,[1]products!$A$1:$A$49,0),MATCH([1]orders!K$1,[1]products!$A$1:$G$1,0))</f>
        <v>0.2</v>
      </c>
      <c r="S918">
        <f>INDEX([1]products!$A$1:$G$49,MATCH([1]orders!$D918,[1]products!$A$1:$A$49,0),MATCH([1]orders!L$1,[1]products!$A$1:$G$1,0))</f>
        <v>3.645</v>
      </c>
      <c r="T918">
        <f t="shared" si="85"/>
        <v>3.645</v>
      </c>
      <c r="U918">
        <f t="shared" si="88"/>
        <v>0.40095000000000003</v>
      </c>
      <c r="V918">
        <f t="shared" si="89"/>
        <v>11</v>
      </c>
    </row>
    <row r="919" spans="1:22" x14ac:dyDescent="0.25">
      <c r="A919" t="s">
        <v>1771</v>
      </c>
      <c r="B919">
        <v>44573</v>
      </c>
      <c r="C919" t="str">
        <f t="shared" si="86"/>
        <v>12</v>
      </c>
      <c r="D919" t="str">
        <f t="shared" si="84"/>
        <v>January</v>
      </c>
      <c r="E919" t="str">
        <f t="shared" si="87"/>
        <v>2022</v>
      </c>
      <c r="F919" t="s">
        <v>1772</v>
      </c>
      <c r="G919" t="str">
        <f>VLOOKUP(F919,'Customers (2)'!A:I,2,0)</f>
        <v>Chloris Sorrell</v>
      </c>
      <c r="H919" t="str">
        <f>VLOOKUP(F919,'Customers (2)'!A:I,3,0)</f>
        <v>csorrellph@amazon.com</v>
      </c>
      <c r="I919" t="str">
        <f>VLOOKUP(F919,'Customers (2)'!A:I,4,0)</f>
        <v>+44 (160) 225-1993</v>
      </c>
      <c r="J919" t="str">
        <f>VLOOKUP(F919,'Customers (2)'!A:I,6,0)</f>
        <v>Norton</v>
      </c>
      <c r="K919" t="str">
        <f>VLOOKUP(F919,'Customers (2)'!A:I,7,0)</f>
        <v>United Kingdom</v>
      </c>
      <c r="L919" t="str">
        <f>VLOOKUP(F919,'Customers (2)'!A:I,9,0)</f>
        <v>No</v>
      </c>
      <c r="M919" t="str">
        <f>VLOOKUP(N919,'Products (2)'!A:G,2,0)</f>
        <v>Arabica</v>
      </c>
      <c r="N919" t="s">
        <v>67</v>
      </c>
      <c r="O919" t="str">
        <f>VLOOKUP(N919,'Products (2)'!A:G,3,0)</f>
        <v>Medium</v>
      </c>
      <c r="P919">
        <f>VLOOKUP(N919,'Products (2)'!A:G,7,0)</f>
        <v>0.60749999999999993</v>
      </c>
      <c r="Q919">
        <v>1</v>
      </c>
      <c r="R919">
        <f>INDEX([1]products!$A$1:$G$49,MATCH([1]orders!$D919,[1]products!$A$1:$A$49,0),MATCH([1]orders!K$1,[1]products!$A$1:$G$1,0))</f>
        <v>0.5</v>
      </c>
      <c r="S919">
        <f>INDEX([1]products!$A$1:$G$49,MATCH([1]orders!$D919,[1]products!$A$1:$A$49,0),MATCH([1]orders!L$1,[1]products!$A$1:$G$1,0))</f>
        <v>6.75</v>
      </c>
      <c r="T919">
        <f t="shared" si="85"/>
        <v>6.75</v>
      </c>
      <c r="U919">
        <f t="shared" si="88"/>
        <v>0.60749999999999993</v>
      </c>
      <c r="V919">
        <f t="shared" si="89"/>
        <v>8.9999999999999982</v>
      </c>
    </row>
    <row r="920" spans="1:22" x14ac:dyDescent="0.25">
      <c r="A920" t="s">
        <v>1771</v>
      </c>
      <c r="B920">
        <v>44573</v>
      </c>
      <c r="C920" t="str">
        <f t="shared" si="86"/>
        <v>12</v>
      </c>
      <c r="D920" t="str">
        <f t="shared" si="84"/>
        <v>January</v>
      </c>
      <c r="E920" t="str">
        <f t="shared" si="87"/>
        <v>2022</v>
      </c>
      <c r="F920" t="s">
        <v>1772</v>
      </c>
      <c r="G920" t="str">
        <f>VLOOKUP(F920,'Customers (2)'!A:I,2,0)</f>
        <v>Chloris Sorrell</v>
      </c>
      <c r="H920" t="str">
        <f>VLOOKUP(F920,'Customers (2)'!A:I,3,0)</f>
        <v>csorrellph@amazon.com</v>
      </c>
      <c r="I920" t="str">
        <f>VLOOKUP(F920,'Customers (2)'!A:I,4,0)</f>
        <v>+44 (160) 225-1993</v>
      </c>
      <c r="J920" t="str">
        <f>VLOOKUP(F920,'Customers (2)'!A:I,6,0)</f>
        <v>Norton</v>
      </c>
      <c r="K920" t="str">
        <f>VLOOKUP(F920,'Customers (2)'!A:I,7,0)</f>
        <v>United Kingdom</v>
      </c>
      <c r="L920" t="str">
        <f>VLOOKUP(F920,'Customers (2)'!A:I,9,0)</f>
        <v>No</v>
      </c>
      <c r="M920" t="str">
        <f>VLOOKUP(N920,'Products (2)'!A:G,2,0)</f>
        <v>Excelsa</v>
      </c>
      <c r="N920" t="s">
        <v>16</v>
      </c>
      <c r="O920" t="str">
        <f>VLOOKUP(N920,'Products (2)'!A:G,3,0)</f>
        <v>Dark</v>
      </c>
      <c r="P920">
        <f>VLOOKUP(N920,'Products (2)'!A:G,7,0)</f>
        <v>0.80190000000000006</v>
      </c>
      <c r="Q920">
        <v>3</v>
      </c>
      <c r="R920">
        <f>INDEX([1]products!$A$1:$G$49,MATCH([1]orders!$D920,[1]products!$A$1:$A$49,0),MATCH([1]orders!K$1,[1]products!$A$1:$G$1,0))</f>
        <v>0.5</v>
      </c>
      <c r="S920">
        <f>INDEX([1]products!$A$1:$G$49,MATCH([1]orders!$D920,[1]products!$A$1:$A$49,0),MATCH([1]orders!L$1,[1]products!$A$1:$G$1,0))</f>
        <v>7.29</v>
      </c>
      <c r="T920">
        <f t="shared" si="85"/>
        <v>21.87</v>
      </c>
      <c r="U920">
        <f t="shared" si="88"/>
        <v>2.4057000000000004</v>
      </c>
      <c r="V920">
        <f t="shared" si="89"/>
        <v>11.000000000000002</v>
      </c>
    </row>
    <row r="921" spans="1:22" x14ac:dyDescent="0.25">
      <c r="A921" t="s">
        <v>1773</v>
      </c>
      <c r="B921">
        <v>44181</v>
      </c>
      <c r="C921" t="str">
        <f t="shared" si="86"/>
        <v>16</v>
      </c>
      <c r="D921" t="str">
        <f t="shared" si="84"/>
        <v>December</v>
      </c>
      <c r="E921" t="str">
        <f t="shared" si="87"/>
        <v>2020</v>
      </c>
      <c r="F921" t="s">
        <v>1774</v>
      </c>
      <c r="G921" t="str">
        <f>VLOOKUP(F921,'Customers (2)'!A:I,2,0)</f>
        <v>Quintina Heavyside</v>
      </c>
      <c r="H921" t="str">
        <f>VLOOKUP(F921,'Customers (2)'!A:I,3,0)</f>
        <v>qheavysidepj@unc.edu</v>
      </c>
      <c r="I921" t="str">
        <f>VLOOKUP(F921,'Customers (2)'!A:I,4,0)</f>
        <v>+1 (859) 572-4305</v>
      </c>
      <c r="J921" t="str">
        <f>VLOOKUP(F921,'Customers (2)'!A:I,6,0)</f>
        <v>Lexington</v>
      </c>
      <c r="K921" t="str">
        <f>VLOOKUP(F921,'Customers (2)'!A:I,7,0)</f>
        <v>United States</v>
      </c>
      <c r="L921" t="str">
        <f>VLOOKUP(F921,'Customers (2)'!A:I,9,0)</f>
        <v>Yes</v>
      </c>
      <c r="M921" t="str">
        <f>VLOOKUP(N921,'Products (2)'!A:G,2,0)</f>
        <v>Robusta</v>
      </c>
      <c r="N921" t="s">
        <v>101</v>
      </c>
      <c r="O921" t="str">
        <f>VLOOKUP(N921,'Products (2)'!A:G,3,0)</f>
        <v>Dark</v>
      </c>
      <c r="P921">
        <f>VLOOKUP(N921,'Products (2)'!A:G,7,0)</f>
        <v>0.16109999999999997</v>
      </c>
      <c r="Q921">
        <v>5</v>
      </c>
      <c r="R921">
        <f>INDEX([1]products!$A$1:$G$49,MATCH([1]orders!$D921,[1]products!$A$1:$A$49,0),MATCH([1]orders!K$1,[1]products!$A$1:$G$1,0))</f>
        <v>0.2</v>
      </c>
      <c r="S921">
        <f>INDEX([1]products!$A$1:$G$49,MATCH([1]orders!$D921,[1]products!$A$1:$A$49,0),MATCH([1]orders!L$1,[1]products!$A$1:$G$1,0))</f>
        <v>2.6849999999999996</v>
      </c>
      <c r="T921">
        <f t="shared" si="85"/>
        <v>13.424999999999997</v>
      </c>
      <c r="U921">
        <f t="shared" si="88"/>
        <v>0.80549999999999988</v>
      </c>
      <c r="V921">
        <f t="shared" si="89"/>
        <v>6.0000000000000009</v>
      </c>
    </row>
    <row r="922" spans="1:22" x14ac:dyDescent="0.25">
      <c r="A922" t="s">
        <v>1775</v>
      </c>
      <c r="B922">
        <v>44711</v>
      </c>
      <c r="C922" t="str">
        <f t="shared" si="86"/>
        <v>30</v>
      </c>
      <c r="D922" t="str">
        <f t="shared" si="84"/>
        <v>May</v>
      </c>
      <c r="E922" t="str">
        <f t="shared" si="87"/>
        <v>2022</v>
      </c>
      <c r="F922" t="s">
        <v>1776</v>
      </c>
      <c r="G922" t="str">
        <f>VLOOKUP(F922,'Customers (2)'!A:I,2,0)</f>
        <v>Hadley Reuven</v>
      </c>
      <c r="H922" t="str">
        <f>VLOOKUP(F922,'Customers (2)'!A:I,3,0)</f>
        <v>hreuvenpk@whitehouse.gov</v>
      </c>
      <c r="I922" t="str">
        <f>VLOOKUP(F922,'Customers (2)'!A:I,4,0)</f>
        <v>+1 (616) 851-0525</v>
      </c>
      <c r="J922" t="str">
        <f>VLOOKUP(F922,'Customers (2)'!A:I,6,0)</f>
        <v>Grand Rapids</v>
      </c>
      <c r="K922" t="str">
        <f>VLOOKUP(F922,'Customers (2)'!A:I,7,0)</f>
        <v>United States</v>
      </c>
      <c r="L922" t="str">
        <f>VLOOKUP(F922,'Customers (2)'!A:I,9,0)</f>
        <v>No</v>
      </c>
      <c r="M922" t="str">
        <f>VLOOKUP(N922,'Products (2)'!A:G,2,0)</f>
        <v>Robusta</v>
      </c>
      <c r="N922" t="s">
        <v>35</v>
      </c>
      <c r="O922" t="str">
        <f>VLOOKUP(N922,'Products (2)'!A:G,3,0)</f>
        <v>Dark</v>
      </c>
      <c r="P922">
        <f>VLOOKUP(N922,'Products (2)'!A:G,7,0)</f>
        <v>1.2350999999999999</v>
      </c>
      <c r="Q922">
        <v>6</v>
      </c>
      <c r="R922">
        <f>INDEX([1]products!$A$1:$G$49,MATCH([1]orders!$D922,[1]products!$A$1:$A$49,0),MATCH([1]orders!K$1,[1]products!$A$1:$G$1,0))</f>
        <v>2.5</v>
      </c>
      <c r="S922">
        <f>INDEX([1]products!$A$1:$G$49,MATCH([1]orders!$D922,[1]products!$A$1:$A$49,0),MATCH([1]orders!L$1,[1]products!$A$1:$G$1,0))</f>
        <v>20.584999999999997</v>
      </c>
      <c r="T922">
        <f t="shared" si="85"/>
        <v>123.50999999999999</v>
      </c>
      <c r="U922">
        <f t="shared" si="88"/>
        <v>7.4105999999999987</v>
      </c>
      <c r="V922">
        <f t="shared" si="89"/>
        <v>5.9999999999999991</v>
      </c>
    </row>
    <row r="923" spans="1:22" x14ac:dyDescent="0.25">
      <c r="A923" t="s">
        <v>1777</v>
      </c>
      <c r="B923">
        <v>44509</v>
      </c>
      <c r="C923" t="str">
        <f t="shared" si="86"/>
        <v>09</v>
      </c>
      <c r="D923" t="str">
        <f t="shared" si="84"/>
        <v>November</v>
      </c>
      <c r="E923" t="str">
        <f t="shared" si="87"/>
        <v>2021</v>
      </c>
      <c r="F923" t="s">
        <v>1778</v>
      </c>
      <c r="G923" t="str">
        <f>VLOOKUP(F923,'Customers (2)'!A:I,2,0)</f>
        <v>Mitch Attwool</v>
      </c>
      <c r="H923" t="str">
        <f>VLOOKUP(F923,'Customers (2)'!A:I,3,0)</f>
        <v>mattwoolpl@nba.com</v>
      </c>
      <c r="I923" t="str">
        <f>VLOOKUP(F923,'Customers (2)'!A:I,4,0)</f>
        <v>+1 (515) 821-3701</v>
      </c>
      <c r="J923" t="str">
        <f>VLOOKUP(F923,'Customers (2)'!A:I,6,0)</f>
        <v>Des Moines</v>
      </c>
      <c r="K923" t="str">
        <f>VLOOKUP(F923,'Customers (2)'!A:I,7,0)</f>
        <v>United States</v>
      </c>
      <c r="L923" t="str">
        <f>VLOOKUP(F923,'Customers (2)'!A:I,9,0)</f>
        <v>No</v>
      </c>
      <c r="M923" t="str">
        <f>VLOOKUP(N923,'Products (2)'!A:G,2,0)</f>
        <v>Liberica</v>
      </c>
      <c r="N923" t="s">
        <v>38</v>
      </c>
      <c r="O923" t="str">
        <f>VLOOKUP(N923,'Products (2)'!A:G,3,0)</f>
        <v>Dark</v>
      </c>
      <c r="P923">
        <f>VLOOKUP(N923,'Products (2)'!A:G,7,0)</f>
        <v>0.50505</v>
      </c>
      <c r="Q923">
        <v>2</v>
      </c>
      <c r="R923">
        <f>INDEX([1]products!$A$1:$G$49,MATCH([1]orders!$D923,[1]products!$A$1:$A$49,0),MATCH([1]orders!K$1,[1]products!$A$1:$G$1,0))</f>
        <v>0.2</v>
      </c>
      <c r="S923">
        <f>INDEX([1]products!$A$1:$G$49,MATCH([1]orders!$D923,[1]products!$A$1:$A$49,0),MATCH([1]orders!L$1,[1]products!$A$1:$G$1,0))</f>
        <v>3.8849999999999998</v>
      </c>
      <c r="T923">
        <f t="shared" si="85"/>
        <v>7.77</v>
      </c>
      <c r="U923">
        <f t="shared" si="88"/>
        <v>1.0101</v>
      </c>
      <c r="V923">
        <f t="shared" si="89"/>
        <v>13</v>
      </c>
    </row>
    <row r="924" spans="1:22" x14ac:dyDescent="0.25">
      <c r="A924" t="s">
        <v>1779</v>
      </c>
      <c r="B924">
        <v>44659</v>
      </c>
      <c r="C924" t="str">
        <f t="shared" si="86"/>
        <v>08</v>
      </c>
      <c r="D924" t="str">
        <f t="shared" si="84"/>
        <v>April</v>
      </c>
      <c r="E924" t="str">
        <f t="shared" si="87"/>
        <v>2022</v>
      </c>
      <c r="F924" t="s">
        <v>1780</v>
      </c>
      <c r="G924" t="str">
        <f>VLOOKUP(F924,'Customers (2)'!A:I,2,0)</f>
        <v>Charin Maplethorp</v>
      </c>
      <c r="H924">
        <f>VLOOKUP(F924,'Customers (2)'!A:I,3,0)</f>
        <v>0</v>
      </c>
      <c r="I924">
        <f>VLOOKUP(F924,'Customers (2)'!A:I,4,0)</f>
        <v>0</v>
      </c>
      <c r="J924" t="str">
        <f>VLOOKUP(F924,'Customers (2)'!A:I,6,0)</f>
        <v>Wilmington</v>
      </c>
      <c r="K924" t="str">
        <f>VLOOKUP(F924,'Customers (2)'!A:I,7,0)</f>
        <v>United States</v>
      </c>
      <c r="L924" t="str">
        <f>VLOOKUP(F924,'Customers (2)'!A:I,9,0)</f>
        <v>Yes</v>
      </c>
      <c r="M924" t="str">
        <f>VLOOKUP(N924,'Products (2)'!A:G,2,0)</f>
        <v>Arabica</v>
      </c>
      <c r="N924" t="s">
        <v>61</v>
      </c>
      <c r="O924" t="str">
        <f>VLOOKUP(N924,'Products (2)'!A:G,3,0)</f>
        <v>Medium</v>
      </c>
      <c r="P924">
        <f>VLOOKUP(N924,'Products (2)'!A:G,7,0)</f>
        <v>1.0125</v>
      </c>
      <c r="Q924">
        <v>6</v>
      </c>
      <c r="R924">
        <f>INDEX([1]products!$A$1:$G$49,MATCH([1]orders!$D924,[1]products!$A$1:$A$49,0),MATCH([1]orders!K$1,[1]products!$A$1:$G$1,0))</f>
        <v>1</v>
      </c>
      <c r="S924">
        <f>INDEX([1]products!$A$1:$G$49,MATCH([1]orders!$D924,[1]products!$A$1:$A$49,0),MATCH([1]orders!L$1,[1]products!$A$1:$G$1,0))</f>
        <v>11.25</v>
      </c>
      <c r="T924">
        <f t="shared" si="85"/>
        <v>67.5</v>
      </c>
      <c r="U924">
        <f t="shared" si="88"/>
        <v>6.0749999999999993</v>
      </c>
      <c r="V924">
        <f t="shared" si="89"/>
        <v>8.9999999999999982</v>
      </c>
    </row>
    <row r="925" spans="1:22" x14ac:dyDescent="0.25">
      <c r="A925" t="s">
        <v>1781</v>
      </c>
      <c r="B925">
        <v>43746</v>
      </c>
      <c r="C925" t="str">
        <f t="shared" si="86"/>
        <v>08</v>
      </c>
      <c r="D925" t="str">
        <f t="shared" si="84"/>
        <v>October</v>
      </c>
      <c r="E925" t="str">
        <f t="shared" si="87"/>
        <v>2019</v>
      </c>
      <c r="F925" t="s">
        <v>1782</v>
      </c>
      <c r="G925" t="str">
        <f>VLOOKUP(F925,'Customers (2)'!A:I,2,0)</f>
        <v>Goldie Wynes</v>
      </c>
      <c r="H925" t="str">
        <f>VLOOKUP(F925,'Customers (2)'!A:I,3,0)</f>
        <v>gwynespn@dagondesign.com</v>
      </c>
      <c r="I925" t="str">
        <f>VLOOKUP(F925,'Customers (2)'!A:I,4,0)</f>
        <v>+1 (512) 118-8603</v>
      </c>
      <c r="J925" t="str">
        <f>VLOOKUP(F925,'Customers (2)'!A:I,6,0)</f>
        <v>Austin</v>
      </c>
      <c r="K925" t="str">
        <f>VLOOKUP(F925,'Customers (2)'!A:I,7,0)</f>
        <v>United States</v>
      </c>
      <c r="L925" t="str">
        <f>VLOOKUP(F925,'Customers (2)'!A:I,9,0)</f>
        <v>No</v>
      </c>
      <c r="M925" t="str">
        <f>VLOOKUP(N925,'Products (2)'!A:G,2,0)</f>
        <v>Excelsa</v>
      </c>
      <c r="N925" t="s">
        <v>530</v>
      </c>
      <c r="O925" t="str">
        <f>VLOOKUP(N925,'Products (2)'!A:G,3,0)</f>
        <v>Dark</v>
      </c>
      <c r="P925">
        <f>VLOOKUP(N925,'Products (2)'!A:G,7,0)</f>
        <v>3.07395</v>
      </c>
      <c r="Q925">
        <v>1</v>
      </c>
      <c r="R925">
        <f>INDEX([1]products!$A$1:$G$49,MATCH([1]orders!$D925,[1]products!$A$1:$A$49,0),MATCH([1]orders!K$1,[1]products!$A$1:$G$1,0))</f>
        <v>2.5</v>
      </c>
      <c r="S925">
        <f>INDEX([1]products!$A$1:$G$49,MATCH([1]orders!$D925,[1]products!$A$1:$A$49,0),MATCH([1]orders!L$1,[1]products!$A$1:$G$1,0))</f>
        <v>27.945</v>
      </c>
      <c r="T925">
        <f t="shared" si="85"/>
        <v>27.945</v>
      </c>
      <c r="U925">
        <f t="shared" si="88"/>
        <v>3.07395</v>
      </c>
      <c r="V925">
        <f t="shared" si="89"/>
        <v>11</v>
      </c>
    </row>
    <row r="926" spans="1:22" x14ac:dyDescent="0.25">
      <c r="A926" t="s">
        <v>1783</v>
      </c>
      <c r="B926">
        <v>44451</v>
      </c>
      <c r="C926" t="str">
        <f t="shared" si="86"/>
        <v>12</v>
      </c>
      <c r="D926" t="str">
        <f t="shared" si="84"/>
        <v>September</v>
      </c>
      <c r="E926" t="str">
        <f t="shared" si="87"/>
        <v>2021</v>
      </c>
      <c r="F926" t="s">
        <v>1784</v>
      </c>
      <c r="G926" t="str">
        <f>VLOOKUP(F926,'Customers (2)'!A:I,2,0)</f>
        <v>Celie MacCourt</v>
      </c>
      <c r="H926" t="str">
        <f>VLOOKUP(F926,'Customers (2)'!A:I,3,0)</f>
        <v>cmaccourtpo@amazon.com</v>
      </c>
      <c r="I926">
        <f>VLOOKUP(F926,'Customers (2)'!A:I,4,0)</f>
        <v>0</v>
      </c>
      <c r="J926" t="str">
        <f>VLOOKUP(F926,'Customers (2)'!A:I,6,0)</f>
        <v>Orlando</v>
      </c>
      <c r="K926" t="str">
        <f>VLOOKUP(F926,'Customers (2)'!A:I,7,0)</f>
        <v>United States</v>
      </c>
      <c r="L926" t="str">
        <f>VLOOKUP(F926,'Customers (2)'!A:I,9,0)</f>
        <v>No</v>
      </c>
      <c r="M926" t="str">
        <f>VLOOKUP(N926,'Products (2)'!A:G,2,0)</f>
        <v>Arabica</v>
      </c>
      <c r="N926" t="s">
        <v>204</v>
      </c>
      <c r="O926" t="str">
        <f>VLOOKUP(N926,'Products (2)'!A:G,3,0)</f>
        <v>Light</v>
      </c>
      <c r="P926">
        <f>VLOOKUP(N926,'Products (2)'!A:G,7,0)</f>
        <v>2.6806499999999995</v>
      </c>
      <c r="Q926">
        <v>3</v>
      </c>
      <c r="R926">
        <f>INDEX([1]products!$A$1:$G$49,MATCH([1]orders!$D926,[1]products!$A$1:$A$49,0),MATCH([1]orders!K$1,[1]products!$A$1:$G$1,0))</f>
        <v>2.5</v>
      </c>
      <c r="S926">
        <f>INDEX([1]products!$A$1:$G$49,MATCH([1]orders!$D926,[1]products!$A$1:$A$49,0),MATCH([1]orders!L$1,[1]products!$A$1:$G$1,0))</f>
        <v>29.784999999999997</v>
      </c>
      <c r="T926">
        <f t="shared" si="85"/>
        <v>89.35499999999999</v>
      </c>
      <c r="U926">
        <f t="shared" si="88"/>
        <v>8.0419499999999982</v>
      </c>
      <c r="V926">
        <f t="shared" si="89"/>
        <v>8.9999999999999982</v>
      </c>
    </row>
    <row r="927" spans="1:22" x14ac:dyDescent="0.25">
      <c r="A927" t="s">
        <v>1785</v>
      </c>
      <c r="B927">
        <v>44770</v>
      </c>
      <c r="C927" t="str">
        <f t="shared" si="86"/>
        <v>28</v>
      </c>
      <c r="D927" t="str">
        <f t="shared" si="84"/>
        <v>July</v>
      </c>
      <c r="E927" t="str">
        <f t="shared" si="87"/>
        <v>2022</v>
      </c>
      <c r="F927" t="s">
        <v>1729</v>
      </c>
      <c r="G927" t="str">
        <f>VLOOKUP(F927,'Customers (2)'!A:I,2,0)</f>
        <v>Derick Snow</v>
      </c>
      <c r="H927">
        <f>VLOOKUP(F927,'Customers (2)'!A:I,3,0)</f>
        <v>0</v>
      </c>
      <c r="I927" t="str">
        <f>VLOOKUP(F927,'Customers (2)'!A:I,4,0)</f>
        <v>+1 (718) 461-3002</v>
      </c>
      <c r="J927" t="str">
        <f>VLOOKUP(F927,'Customers (2)'!A:I,6,0)</f>
        <v>New York City</v>
      </c>
      <c r="K927" t="str">
        <f>VLOOKUP(F927,'Customers (2)'!A:I,7,0)</f>
        <v>United States</v>
      </c>
      <c r="L927" t="str">
        <f>VLOOKUP(F927,'Customers (2)'!A:I,9,0)</f>
        <v>No</v>
      </c>
      <c r="M927" t="str">
        <f>VLOOKUP(N927,'Products (2)'!A:G,2,0)</f>
        <v>Arabica</v>
      </c>
      <c r="N927" t="s">
        <v>67</v>
      </c>
      <c r="O927" t="str">
        <f>VLOOKUP(N927,'Products (2)'!A:G,3,0)</f>
        <v>Medium</v>
      </c>
      <c r="P927">
        <f>VLOOKUP(N927,'Products (2)'!A:G,7,0)</f>
        <v>0.60749999999999993</v>
      </c>
      <c r="Q927">
        <v>3</v>
      </c>
      <c r="R927">
        <f>INDEX([1]products!$A$1:$G$49,MATCH([1]orders!$D927,[1]products!$A$1:$A$49,0),MATCH([1]orders!K$1,[1]products!$A$1:$G$1,0))</f>
        <v>0.5</v>
      </c>
      <c r="S927">
        <f>INDEX([1]products!$A$1:$G$49,MATCH([1]orders!$D927,[1]products!$A$1:$A$49,0),MATCH([1]orders!L$1,[1]products!$A$1:$G$1,0))</f>
        <v>6.75</v>
      </c>
      <c r="T927">
        <f t="shared" si="85"/>
        <v>20.25</v>
      </c>
      <c r="U927">
        <f t="shared" si="88"/>
        <v>1.8224999999999998</v>
      </c>
      <c r="V927">
        <f t="shared" si="89"/>
        <v>8.9999999999999982</v>
      </c>
    </row>
    <row r="928" spans="1:22" x14ac:dyDescent="0.25">
      <c r="A928" t="s">
        <v>1786</v>
      </c>
      <c r="B928">
        <v>44012</v>
      </c>
      <c r="C928" t="str">
        <f t="shared" si="86"/>
        <v>30</v>
      </c>
      <c r="D928" t="str">
        <f t="shared" si="84"/>
        <v>June</v>
      </c>
      <c r="E928" t="str">
        <f t="shared" si="87"/>
        <v>2020</v>
      </c>
      <c r="F928" t="s">
        <v>1787</v>
      </c>
      <c r="G928" t="str">
        <f>VLOOKUP(F928,'Customers (2)'!A:I,2,0)</f>
        <v>Evy Wilsone</v>
      </c>
      <c r="H928" t="str">
        <f>VLOOKUP(F928,'Customers (2)'!A:I,3,0)</f>
        <v>ewilsonepq@eepurl.com</v>
      </c>
      <c r="I928" t="str">
        <f>VLOOKUP(F928,'Customers (2)'!A:I,4,0)</f>
        <v>+1 (202) 969-6382</v>
      </c>
      <c r="J928" t="str">
        <f>VLOOKUP(F928,'Customers (2)'!A:I,6,0)</f>
        <v>Washington</v>
      </c>
      <c r="K928" t="str">
        <f>VLOOKUP(F928,'Customers (2)'!A:I,7,0)</f>
        <v>United States</v>
      </c>
      <c r="L928" t="str">
        <f>VLOOKUP(F928,'Customers (2)'!A:I,9,0)</f>
        <v>Yes</v>
      </c>
      <c r="M928" t="str">
        <f>VLOOKUP(N928,'Products (2)'!A:G,2,0)</f>
        <v>Arabica</v>
      </c>
      <c r="N928" t="s">
        <v>67</v>
      </c>
      <c r="O928" t="str">
        <f>VLOOKUP(N928,'Products (2)'!A:G,3,0)</f>
        <v>Medium</v>
      </c>
      <c r="P928">
        <f>VLOOKUP(N928,'Products (2)'!A:G,7,0)</f>
        <v>0.60749999999999993</v>
      </c>
      <c r="Q928">
        <v>5</v>
      </c>
      <c r="R928">
        <f>INDEX([1]products!$A$1:$G$49,MATCH([1]orders!$D928,[1]products!$A$1:$A$49,0),MATCH([1]orders!K$1,[1]products!$A$1:$G$1,0))</f>
        <v>0.5</v>
      </c>
      <c r="S928">
        <f>INDEX([1]products!$A$1:$G$49,MATCH([1]orders!$D928,[1]products!$A$1:$A$49,0),MATCH([1]orders!L$1,[1]products!$A$1:$G$1,0))</f>
        <v>6.75</v>
      </c>
      <c r="T928">
        <f t="shared" si="85"/>
        <v>33.75</v>
      </c>
      <c r="U928">
        <f t="shared" si="88"/>
        <v>3.0374999999999996</v>
      </c>
      <c r="V928">
        <f t="shared" si="89"/>
        <v>8.9999999999999982</v>
      </c>
    </row>
    <row r="929" spans="1:22" x14ac:dyDescent="0.25">
      <c r="A929" t="s">
        <v>1788</v>
      </c>
      <c r="B929">
        <v>43474</v>
      </c>
      <c r="C929" t="str">
        <f t="shared" si="86"/>
        <v>09</v>
      </c>
      <c r="D929" t="str">
        <f t="shared" si="84"/>
        <v>January</v>
      </c>
      <c r="E929" t="str">
        <f t="shared" si="87"/>
        <v>2019</v>
      </c>
      <c r="F929" t="s">
        <v>1789</v>
      </c>
      <c r="G929" t="str">
        <f>VLOOKUP(F929,'Customers (2)'!A:I,2,0)</f>
        <v>Dolores Duffie</v>
      </c>
      <c r="H929" t="str">
        <f>VLOOKUP(F929,'Customers (2)'!A:I,3,0)</f>
        <v>dduffiepr@time.com</v>
      </c>
      <c r="I929" t="str">
        <f>VLOOKUP(F929,'Customers (2)'!A:I,4,0)</f>
        <v>+1 (971) 936-3214</v>
      </c>
      <c r="J929" t="str">
        <f>VLOOKUP(F929,'Customers (2)'!A:I,6,0)</f>
        <v>Portland</v>
      </c>
      <c r="K929" t="str">
        <f>VLOOKUP(F929,'Customers (2)'!A:I,7,0)</f>
        <v>United States</v>
      </c>
      <c r="L929" t="str">
        <f>VLOOKUP(F929,'Customers (2)'!A:I,9,0)</f>
        <v>No</v>
      </c>
      <c r="M929" t="str">
        <f>VLOOKUP(N929,'Products (2)'!A:G,2,0)</f>
        <v>Excelsa</v>
      </c>
      <c r="N929" t="s">
        <v>530</v>
      </c>
      <c r="O929" t="str">
        <f>VLOOKUP(N929,'Products (2)'!A:G,3,0)</f>
        <v>Dark</v>
      </c>
      <c r="P929">
        <f>VLOOKUP(N929,'Products (2)'!A:G,7,0)</f>
        <v>3.07395</v>
      </c>
      <c r="Q929">
        <v>4</v>
      </c>
      <c r="R929">
        <f>INDEX([1]products!$A$1:$G$49,MATCH([1]orders!$D929,[1]products!$A$1:$A$49,0),MATCH([1]orders!K$1,[1]products!$A$1:$G$1,0))</f>
        <v>2.5</v>
      </c>
      <c r="S929">
        <f>INDEX([1]products!$A$1:$G$49,MATCH([1]orders!$D929,[1]products!$A$1:$A$49,0),MATCH([1]orders!L$1,[1]products!$A$1:$G$1,0))</f>
        <v>27.945</v>
      </c>
      <c r="T929">
        <f t="shared" si="85"/>
        <v>111.78</v>
      </c>
      <c r="U929">
        <f t="shared" si="88"/>
        <v>12.2958</v>
      </c>
      <c r="V929">
        <f t="shared" si="89"/>
        <v>11</v>
      </c>
    </row>
    <row r="930" spans="1:22" x14ac:dyDescent="0.25">
      <c r="A930" t="s">
        <v>1790</v>
      </c>
      <c r="B930">
        <v>44754</v>
      </c>
      <c r="C930" t="str">
        <f t="shared" si="86"/>
        <v>12</v>
      </c>
      <c r="D930" t="str">
        <f t="shared" si="84"/>
        <v>July</v>
      </c>
      <c r="E930" t="str">
        <f t="shared" si="87"/>
        <v>2022</v>
      </c>
      <c r="F930" t="s">
        <v>1791</v>
      </c>
      <c r="G930" t="str">
        <f>VLOOKUP(F930,'Customers (2)'!A:I,2,0)</f>
        <v>Mathilda Matiasek</v>
      </c>
      <c r="H930" t="str">
        <f>VLOOKUP(F930,'Customers (2)'!A:I,3,0)</f>
        <v>mmatiasekps@ucoz.ru</v>
      </c>
      <c r="I930">
        <f>VLOOKUP(F930,'Customers (2)'!A:I,4,0)</f>
        <v>0</v>
      </c>
      <c r="J930" t="str">
        <f>VLOOKUP(F930,'Customers (2)'!A:I,6,0)</f>
        <v>New York City</v>
      </c>
      <c r="K930" t="str">
        <f>VLOOKUP(F930,'Customers (2)'!A:I,7,0)</f>
        <v>United States</v>
      </c>
      <c r="L930" t="str">
        <f>VLOOKUP(F930,'Customers (2)'!A:I,9,0)</f>
        <v>Yes</v>
      </c>
      <c r="M930" t="str">
        <f>VLOOKUP(N930,'Products (2)'!A:G,2,0)</f>
        <v>Excelsa</v>
      </c>
      <c r="N930" t="s">
        <v>112</v>
      </c>
      <c r="O930" t="str">
        <f>VLOOKUP(N930,'Products (2)'!A:G,3,0)</f>
        <v>Medium</v>
      </c>
      <c r="P930">
        <f>VLOOKUP(N930,'Products (2)'!A:G,7,0)</f>
        <v>3.4787499999999998</v>
      </c>
      <c r="Q930">
        <v>2</v>
      </c>
      <c r="R930">
        <f>INDEX([1]products!$A$1:$G$49,MATCH([1]orders!$D930,[1]products!$A$1:$A$49,0),MATCH([1]orders!K$1,[1]products!$A$1:$G$1,0))</f>
        <v>2.5</v>
      </c>
      <c r="S930">
        <f>INDEX([1]products!$A$1:$G$49,MATCH([1]orders!$D930,[1]products!$A$1:$A$49,0),MATCH([1]orders!L$1,[1]products!$A$1:$G$1,0))</f>
        <v>31.624999999999996</v>
      </c>
      <c r="T930">
        <f t="shared" si="85"/>
        <v>63.249999999999993</v>
      </c>
      <c r="U930">
        <f t="shared" si="88"/>
        <v>6.9574999999999996</v>
      </c>
      <c r="V930">
        <f t="shared" si="89"/>
        <v>11</v>
      </c>
    </row>
    <row r="931" spans="1:22" x14ac:dyDescent="0.25">
      <c r="A931" t="s">
        <v>1792</v>
      </c>
      <c r="B931">
        <v>44165</v>
      </c>
      <c r="C931" t="str">
        <f t="shared" si="86"/>
        <v>30</v>
      </c>
      <c r="D931" t="str">
        <f t="shared" si="84"/>
        <v>November</v>
      </c>
      <c r="E931" t="str">
        <f t="shared" si="87"/>
        <v>2020</v>
      </c>
      <c r="F931" t="s">
        <v>1793</v>
      </c>
      <c r="G931" t="str">
        <f>VLOOKUP(F931,'Customers (2)'!A:I,2,0)</f>
        <v>Jarred Camillo</v>
      </c>
      <c r="H931" t="str">
        <f>VLOOKUP(F931,'Customers (2)'!A:I,3,0)</f>
        <v>jcamillopt@shinystat.com</v>
      </c>
      <c r="I931" t="str">
        <f>VLOOKUP(F931,'Customers (2)'!A:I,4,0)</f>
        <v>+1 (202) 572-0994</v>
      </c>
      <c r="J931" t="str">
        <f>VLOOKUP(F931,'Customers (2)'!A:I,6,0)</f>
        <v>Washington</v>
      </c>
      <c r="K931" t="str">
        <f>VLOOKUP(F931,'Customers (2)'!A:I,7,0)</f>
        <v>United States</v>
      </c>
      <c r="L931" t="str">
        <f>VLOOKUP(F931,'Customers (2)'!A:I,9,0)</f>
        <v>Yes</v>
      </c>
      <c r="M931" t="str">
        <f>VLOOKUP(N931,'Products (2)'!A:G,2,0)</f>
        <v>Excelsa</v>
      </c>
      <c r="N931" t="s">
        <v>254</v>
      </c>
      <c r="O931" t="str">
        <f>VLOOKUP(N931,'Products (2)'!A:G,3,0)</f>
        <v>Light</v>
      </c>
      <c r="P931">
        <f>VLOOKUP(N931,'Products (2)'!A:G,7,0)</f>
        <v>0.49004999999999999</v>
      </c>
      <c r="Q931">
        <v>2</v>
      </c>
      <c r="R931">
        <f>INDEX([1]products!$A$1:$G$49,MATCH([1]orders!$D931,[1]products!$A$1:$A$49,0),MATCH([1]orders!K$1,[1]products!$A$1:$G$1,0))</f>
        <v>0.2</v>
      </c>
      <c r="S931">
        <f>INDEX([1]products!$A$1:$G$49,MATCH([1]orders!$D931,[1]products!$A$1:$A$49,0),MATCH([1]orders!L$1,[1]products!$A$1:$G$1,0))</f>
        <v>4.4550000000000001</v>
      </c>
      <c r="T931">
        <f t="shared" si="85"/>
        <v>8.91</v>
      </c>
      <c r="U931">
        <f t="shared" si="88"/>
        <v>0.98009999999999997</v>
      </c>
      <c r="V931">
        <f t="shared" si="89"/>
        <v>11</v>
      </c>
    </row>
    <row r="932" spans="1:22" x14ac:dyDescent="0.25">
      <c r="A932" t="s">
        <v>1794</v>
      </c>
      <c r="B932">
        <v>43546</v>
      </c>
      <c r="C932" t="str">
        <f t="shared" si="86"/>
        <v>22</v>
      </c>
      <c r="D932" t="str">
        <f t="shared" si="84"/>
        <v>March</v>
      </c>
      <c r="E932" t="str">
        <f t="shared" si="87"/>
        <v>2019</v>
      </c>
      <c r="F932" t="s">
        <v>1795</v>
      </c>
      <c r="G932" t="str">
        <f>VLOOKUP(F932,'Customers (2)'!A:I,2,0)</f>
        <v>Kameko Philbrick</v>
      </c>
      <c r="H932" t="str">
        <f>VLOOKUP(F932,'Customers (2)'!A:I,3,0)</f>
        <v>kphilbrickpu@cdc.gov</v>
      </c>
      <c r="I932">
        <f>VLOOKUP(F932,'Customers (2)'!A:I,4,0)</f>
        <v>0</v>
      </c>
      <c r="J932" t="str">
        <f>VLOOKUP(F932,'Customers (2)'!A:I,6,0)</f>
        <v>Washington</v>
      </c>
      <c r="K932" t="str">
        <f>VLOOKUP(F932,'Customers (2)'!A:I,7,0)</f>
        <v>United States</v>
      </c>
      <c r="L932" t="str">
        <f>VLOOKUP(F932,'Customers (2)'!A:I,9,0)</f>
        <v>Yes</v>
      </c>
      <c r="M932" t="str">
        <f>VLOOKUP(N932,'Products (2)'!A:G,2,0)</f>
        <v>Excelsa</v>
      </c>
      <c r="N932" t="s">
        <v>245</v>
      </c>
      <c r="O932" t="str">
        <f>VLOOKUP(N932,'Products (2)'!A:G,3,0)</f>
        <v>Dark</v>
      </c>
      <c r="P932">
        <f>VLOOKUP(N932,'Products (2)'!A:G,7,0)</f>
        <v>1.3365</v>
      </c>
      <c r="Q932">
        <v>1</v>
      </c>
      <c r="R932">
        <f>INDEX([1]products!$A$1:$G$49,MATCH([1]orders!$D932,[1]products!$A$1:$A$49,0),MATCH([1]orders!K$1,[1]products!$A$1:$G$1,0))</f>
        <v>1</v>
      </c>
      <c r="S932">
        <f>INDEX([1]products!$A$1:$G$49,MATCH([1]orders!$D932,[1]products!$A$1:$A$49,0),MATCH([1]orders!L$1,[1]products!$A$1:$G$1,0))</f>
        <v>12.15</v>
      </c>
      <c r="T932">
        <f t="shared" si="85"/>
        <v>12.15</v>
      </c>
      <c r="U932">
        <f t="shared" si="88"/>
        <v>1.3365</v>
      </c>
      <c r="V932">
        <f t="shared" si="89"/>
        <v>11</v>
      </c>
    </row>
    <row r="933" spans="1:22" x14ac:dyDescent="0.25">
      <c r="A933" t="s">
        <v>1796</v>
      </c>
      <c r="B933">
        <v>44607</v>
      </c>
      <c r="C933" t="str">
        <f t="shared" si="86"/>
        <v>15</v>
      </c>
      <c r="D933" t="str">
        <f t="shared" si="84"/>
        <v>February</v>
      </c>
      <c r="E933" t="str">
        <f t="shared" si="87"/>
        <v>2022</v>
      </c>
      <c r="F933" t="s">
        <v>1797</v>
      </c>
      <c r="G933" t="str">
        <f>VLOOKUP(F933,'Customers (2)'!A:I,2,0)</f>
        <v>Mallory Shrimpling</v>
      </c>
      <c r="H933">
        <f>VLOOKUP(F933,'Customers (2)'!A:I,3,0)</f>
        <v>0</v>
      </c>
      <c r="I933">
        <f>VLOOKUP(F933,'Customers (2)'!A:I,4,0)</f>
        <v>0</v>
      </c>
      <c r="J933" t="str">
        <f>VLOOKUP(F933,'Customers (2)'!A:I,6,0)</f>
        <v>Allentown</v>
      </c>
      <c r="K933" t="str">
        <f>VLOOKUP(F933,'Customers (2)'!A:I,7,0)</f>
        <v>United States</v>
      </c>
      <c r="L933" t="str">
        <f>VLOOKUP(F933,'Customers (2)'!A:I,9,0)</f>
        <v>Yes</v>
      </c>
      <c r="M933" t="str">
        <f>VLOOKUP(N933,'Products (2)'!A:G,2,0)</f>
        <v>Arabica</v>
      </c>
      <c r="N933" t="s">
        <v>72</v>
      </c>
      <c r="O933" t="str">
        <f>VLOOKUP(N933,'Products (2)'!A:G,3,0)</f>
        <v>Dark</v>
      </c>
      <c r="P933">
        <f>VLOOKUP(N933,'Products (2)'!A:G,7,0)</f>
        <v>0.5373</v>
      </c>
      <c r="Q933">
        <v>4</v>
      </c>
      <c r="R933">
        <f>INDEX([1]products!$A$1:$G$49,MATCH([1]orders!$D933,[1]products!$A$1:$A$49,0),MATCH([1]orders!K$1,[1]products!$A$1:$G$1,0))</f>
        <v>0.5</v>
      </c>
      <c r="S933">
        <f>INDEX([1]products!$A$1:$G$49,MATCH([1]orders!$D933,[1]products!$A$1:$A$49,0),MATCH([1]orders!L$1,[1]products!$A$1:$G$1,0))</f>
        <v>5.97</v>
      </c>
      <c r="T933">
        <f t="shared" si="85"/>
        <v>23.88</v>
      </c>
      <c r="U933">
        <f t="shared" si="88"/>
        <v>2.1492</v>
      </c>
      <c r="V933">
        <f t="shared" si="89"/>
        <v>9.0000000000000018</v>
      </c>
    </row>
    <row r="934" spans="1:22" x14ac:dyDescent="0.25">
      <c r="A934" t="s">
        <v>1798</v>
      </c>
      <c r="B934">
        <v>44117</v>
      </c>
      <c r="C934" t="str">
        <f t="shared" si="86"/>
        <v>13</v>
      </c>
      <c r="D934" t="str">
        <f t="shared" si="84"/>
        <v>October</v>
      </c>
      <c r="E934" t="str">
        <f t="shared" si="87"/>
        <v>2020</v>
      </c>
      <c r="F934" t="s">
        <v>1799</v>
      </c>
      <c r="G934" t="str">
        <f>VLOOKUP(F934,'Customers (2)'!A:I,2,0)</f>
        <v>Barnett Sillis</v>
      </c>
      <c r="H934" t="str">
        <f>VLOOKUP(F934,'Customers (2)'!A:I,3,0)</f>
        <v>bsillispw@istockphoto.com</v>
      </c>
      <c r="I934" t="str">
        <f>VLOOKUP(F934,'Customers (2)'!A:I,4,0)</f>
        <v>+1 (305) 267-4961</v>
      </c>
      <c r="J934" t="str">
        <f>VLOOKUP(F934,'Customers (2)'!A:I,6,0)</f>
        <v>Miami</v>
      </c>
      <c r="K934" t="str">
        <f>VLOOKUP(F934,'Customers (2)'!A:I,7,0)</f>
        <v>United States</v>
      </c>
      <c r="L934" t="str">
        <f>VLOOKUP(F934,'Customers (2)'!A:I,9,0)</f>
        <v>No</v>
      </c>
      <c r="M934" t="str">
        <f>VLOOKUP(N934,'Products (2)'!A:G,2,0)</f>
        <v>Excelsa</v>
      </c>
      <c r="N934" t="s">
        <v>9</v>
      </c>
      <c r="O934" t="str">
        <f>VLOOKUP(N934,'Products (2)'!A:G,3,0)</f>
        <v>Medium</v>
      </c>
      <c r="P934">
        <f>VLOOKUP(N934,'Products (2)'!A:G,7,0)</f>
        <v>1.5125</v>
      </c>
      <c r="Q934">
        <v>4</v>
      </c>
      <c r="R934">
        <f>INDEX([1]products!$A$1:$G$49,MATCH([1]orders!$D934,[1]products!$A$1:$A$49,0),MATCH([1]orders!K$1,[1]products!$A$1:$G$1,0))</f>
        <v>1</v>
      </c>
      <c r="S934">
        <f>INDEX([1]products!$A$1:$G$49,MATCH([1]orders!$D934,[1]products!$A$1:$A$49,0),MATCH([1]orders!L$1,[1]products!$A$1:$G$1,0))</f>
        <v>13.75</v>
      </c>
      <c r="T934">
        <f t="shared" si="85"/>
        <v>55</v>
      </c>
      <c r="U934">
        <f t="shared" si="88"/>
        <v>6.05</v>
      </c>
      <c r="V934">
        <f t="shared" si="89"/>
        <v>11</v>
      </c>
    </row>
    <row r="935" spans="1:22" x14ac:dyDescent="0.25">
      <c r="A935" t="s">
        <v>1800</v>
      </c>
      <c r="B935">
        <v>44557</v>
      </c>
      <c r="C935" t="str">
        <f t="shared" si="86"/>
        <v>27</v>
      </c>
      <c r="D935" t="str">
        <f t="shared" si="84"/>
        <v>December</v>
      </c>
      <c r="E935" t="str">
        <f t="shared" si="87"/>
        <v>2021</v>
      </c>
      <c r="F935" t="s">
        <v>1801</v>
      </c>
      <c r="G935" t="str">
        <f>VLOOKUP(F935,'Customers (2)'!A:I,2,0)</f>
        <v>Brenn Dundredge</v>
      </c>
      <c r="H935">
        <f>VLOOKUP(F935,'Customers (2)'!A:I,3,0)</f>
        <v>0</v>
      </c>
      <c r="I935" t="str">
        <f>VLOOKUP(F935,'Customers (2)'!A:I,4,0)</f>
        <v>+1 (405) 369-5173</v>
      </c>
      <c r="J935" t="str">
        <f>VLOOKUP(F935,'Customers (2)'!A:I,6,0)</f>
        <v>Oklahoma City</v>
      </c>
      <c r="K935" t="str">
        <f>VLOOKUP(F935,'Customers (2)'!A:I,7,0)</f>
        <v>United States</v>
      </c>
      <c r="L935" t="str">
        <f>VLOOKUP(F935,'Customers (2)'!A:I,9,0)</f>
        <v>Yes</v>
      </c>
      <c r="M935" t="str">
        <f>VLOOKUP(N935,'Products (2)'!A:G,2,0)</f>
        <v>Robusta</v>
      </c>
      <c r="N935" t="s">
        <v>179</v>
      </c>
      <c r="O935" t="str">
        <f>VLOOKUP(N935,'Products (2)'!A:G,3,0)</f>
        <v>Dark</v>
      </c>
      <c r="P935">
        <f>VLOOKUP(N935,'Products (2)'!A:G,7,0)</f>
        <v>0.53699999999999992</v>
      </c>
      <c r="Q935">
        <v>3</v>
      </c>
      <c r="R935">
        <f>INDEX([1]products!$A$1:$G$49,MATCH([1]orders!$D935,[1]products!$A$1:$A$49,0),MATCH([1]orders!K$1,[1]products!$A$1:$G$1,0))</f>
        <v>1</v>
      </c>
      <c r="S935">
        <f>INDEX([1]products!$A$1:$G$49,MATCH([1]orders!$D935,[1]products!$A$1:$A$49,0),MATCH([1]orders!L$1,[1]products!$A$1:$G$1,0))</f>
        <v>8.9499999999999993</v>
      </c>
      <c r="T935">
        <f t="shared" si="85"/>
        <v>26.849999999999998</v>
      </c>
      <c r="U935">
        <f t="shared" si="88"/>
        <v>1.6109999999999998</v>
      </c>
      <c r="V935">
        <f t="shared" si="89"/>
        <v>6</v>
      </c>
    </row>
    <row r="936" spans="1:22" x14ac:dyDescent="0.25">
      <c r="A936" t="s">
        <v>1802</v>
      </c>
      <c r="B936">
        <v>44409</v>
      </c>
      <c r="C936" t="str">
        <f t="shared" si="86"/>
        <v>01</v>
      </c>
      <c r="D936" t="str">
        <f t="shared" si="84"/>
        <v>August</v>
      </c>
      <c r="E936" t="str">
        <f t="shared" si="87"/>
        <v>2021</v>
      </c>
      <c r="F936" t="s">
        <v>1803</v>
      </c>
      <c r="G936" t="str">
        <f>VLOOKUP(F936,'Customers (2)'!A:I,2,0)</f>
        <v>Read Cutts</v>
      </c>
      <c r="H936" t="str">
        <f>VLOOKUP(F936,'Customers (2)'!A:I,3,0)</f>
        <v>rcuttspy@techcrunch.com</v>
      </c>
      <c r="I936" t="str">
        <f>VLOOKUP(F936,'Customers (2)'!A:I,4,0)</f>
        <v>+1 (815) 758-8653</v>
      </c>
      <c r="J936" t="str">
        <f>VLOOKUP(F936,'Customers (2)'!A:I,6,0)</f>
        <v>Rockford</v>
      </c>
      <c r="K936" t="str">
        <f>VLOOKUP(F936,'Customers (2)'!A:I,7,0)</f>
        <v>United States</v>
      </c>
      <c r="L936" t="str">
        <f>VLOOKUP(F936,'Customers (2)'!A:I,9,0)</f>
        <v>No</v>
      </c>
      <c r="M936" t="str">
        <f>VLOOKUP(N936,'Products (2)'!A:G,2,0)</f>
        <v>Robusta</v>
      </c>
      <c r="N936" t="s">
        <v>41</v>
      </c>
      <c r="O936" t="str">
        <f>VLOOKUP(N936,'Products (2)'!A:G,3,0)</f>
        <v>Medium</v>
      </c>
      <c r="P936">
        <f>VLOOKUP(N936,'Products (2)'!A:G,7,0)</f>
        <v>1.3730999999999998</v>
      </c>
      <c r="Q936">
        <v>5</v>
      </c>
      <c r="R936">
        <f>INDEX([1]products!$A$1:$G$49,MATCH([1]orders!$D936,[1]products!$A$1:$A$49,0),MATCH([1]orders!K$1,[1]products!$A$1:$G$1,0))</f>
        <v>2.5</v>
      </c>
      <c r="S936">
        <f>INDEX([1]products!$A$1:$G$49,MATCH([1]orders!$D936,[1]products!$A$1:$A$49,0),MATCH([1]orders!L$1,[1]products!$A$1:$G$1,0))</f>
        <v>22.884999999999998</v>
      </c>
      <c r="T936">
        <f t="shared" si="85"/>
        <v>114.42499999999998</v>
      </c>
      <c r="U936">
        <f t="shared" si="88"/>
        <v>6.865499999999999</v>
      </c>
      <c r="V936">
        <f t="shared" si="89"/>
        <v>6</v>
      </c>
    </row>
    <row r="937" spans="1:22" x14ac:dyDescent="0.25">
      <c r="A937" t="s">
        <v>1804</v>
      </c>
      <c r="B937">
        <v>44153</v>
      </c>
      <c r="C937" t="str">
        <f t="shared" si="86"/>
        <v>18</v>
      </c>
      <c r="D937" t="str">
        <f t="shared" si="84"/>
        <v>November</v>
      </c>
      <c r="E937" t="str">
        <f t="shared" si="87"/>
        <v>2020</v>
      </c>
      <c r="F937" t="s">
        <v>1805</v>
      </c>
      <c r="G937" t="str">
        <f>VLOOKUP(F937,'Customers (2)'!A:I,2,0)</f>
        <v>Michale Delves</v>
      </c>
      <c r="H937" t="str">
        <f>VLOOKUP(F937,'Customers (2)'!A:I,3,0)</f>
        <v>mdelvespz@nature.com</v>
      </c>
      <c r="I937" t="str">
        <f>VLOOKUP(F937,'Customers (2)'!A:I,4,0)</f>
        <v>+1 (334) 881-9178</v>
      </c>
      <c r="J937" t="str">
        <f>VLOOKUP(F937,'Customers (2)'!A:I,6,0)</f>
        <v>Montgomery</v>
      </c>
      <c r="K937" t="str">
        <f>VLOOKUP(F937,'Customers (2)'!A:I,7,0)</f>
        <v>United States</v>
      </c>
      <c r="L937" t="str">
        <f>VLOOKUP(F937,'Customers (2)'!A:I,9,0)</f>
        <v>Yes</v>
      </c>
      <c r="M937" t="str">
        <f>VLOOKUP(N937,'Products (2)'!A:G,2,0)</f>
        <v>Arabica</v>
      </c>
      <c r="N937" t="s">
        <v>171</v>
      </c>
      <c r="O937" t="str">
        <f>VLOOKUP(N937,'Products (2)'!A:G,3,0)</f>
        <v>Medium</v>
      </c>
      <c r="P937">
        <f>VLOOKUP(N937,'Products (2)'!A:G,7,0)</f>
        <v>2.3287499999999994</v>
      </c>
      <c r="Q937">
        <v>6</v>
      </c>
      <c r="R937">
        <f>INDEX([1]products!$A$1:$G$49,MATCH([1]orders!$D937,[1]products!$A$1:$A$49,0),MATCH([1]orders!K$1,[1]products!$A$1:$G$1,0))</f>
        <v>2.5</v>
      </c>
      <c r="S937">
        <f>INDEX([1]products!$A$1:$G$49,MATCH([1]orders!$D937,[1]products!$A$1:$A$49,0),MATCH([1]orders!L$1,[1]products!$A$1:$G$1,0))</f>
        <v>25.874999999999996</v>
      </c>
      <c r="T937">
        <f t="shared" si="85"/>
        <v>155.24999999999997</v>
      </c>
      <c r="U937">
        <f t="shared" si="88"/>
        <v>13.972499999999997</v>
      </c>
      <c r="V937">
        <f t="shared" si="89"/>
        <v>9</v>
      </c>
    </row>
    <row r="938" spans="1:22" x14ac:dyDescent="0.25">
      <c r="A938" t="s">
        <v>1806</v>
      </c>
      <c r="B938">
        <v>44493</v>
      </c>
      <c r="C938" t="str">
        <f t="shared" si="86"/>
        <v>24</v>
      </c>
      <c r="D938" t="str">
        <f t="shared" si="84"/>
        <v>October</v>
      </c>
      <c r="E938" t="str">
        <f t="shared" si="87"/>
        <v>2021</v>
      </c>
      <c r="F938" t="s">
        <v>1807</v>
      </c>
      <c r="G938" t="str">
        <f>VLOOKUP(F938,'Customers (2)'!A:I,2,0)</f>
        <v>Devland Gritton</v>
      </c>
      <c r="H938" t="str">
        <f>VLOOKUP(F938,'Customers (2)'!A:I,3,0)</f>
        <v>dgrittonq0@nydailynews.com</v>
      </c>
      <c r="I938" t="str">
        <f>VLOOKUP(F938,'Customers (2)'!A:I,4,0)</f>
        <v>+1 (626) 968-5148</v>
      </c>
      <c r="J938" t="str">
        <f>VLOOKUP(F938,'Customers (2)'!A:I,6,0)</f>
        <v>Pasadena</v>
      </c>
      <c r="K938" t="str">
        <f>VLOOKUP(F938,'Customers (2)'!A:I,7,0)</f>
        <v>United States</v>
      </c>
      <c r="L938" t="str">
        <f>VLOOKUP(F938,'Customers (2)'!A:I,9,0)</f>
        <v>Yes</v>
      </c>
      <c r="M938" t="str">
        <f>VLOOKUP(N938,'Products (2)'!A:G,2,0)</f>
        <v>Liberica</v>
      </c>
      <c r="N938" t="s">
        <v>123</v>
      </c>
      <c r="O938" t="str">
        <f>VLOOKUP(N938,'Products (2)'!A:G,3,0)</f>
        <v>Dark</v>
      </c>
      <c r="P938">
        <f>VLOOKUP(N938,'Products (2)'!A:G,7,0)</f>
        <v>1.0101</v>
      </c>
      <c r="Q938">
        <v>3</v>
      </c>
      <c r="R938">
        <f>INDEX([1]products!$A$1:$G$49,MATCH([1]orders!$D938,[1]products!$A$1:$A$49,0),MATCH([1]orders!K$1,[1]products!$A$1:$G$1,0))</f>
        <v>0.5</v>
      </c>
      <c r="S938">
        <f>INDEX([1]products!$A$1:$G$49,MATCH([1]orders!$D938,[1]products!$A$1:$A$49,0),MATCH([1]orders!L$1,[1]products!$A$1:$G$1,0))</f>
        <v>7.77</v>
      </c>
      <c r="T938">
        <f t="shared" si="85"/>
        <v>23.31</v>
      </c>
      <c r="U938">
        <f t="shared" si="88"/>
        <v>3.0303</v>
      </c>
      <c r="V938">
        <f t="shared" si="89"/>
        <v>13</v>
      </c>
    </row>
    <row r="939" spans="1:22" x14ac:dyDescent="0.25">
      <c r="A939" t="s">
        <v>1806</v>
      </c>
      <c r="B939">
        <v>44493</v>
      </c>
      <c r="C939" t="str">
        <f t="shared" si="86"/>
        <v>24</v>
      </c>
      <c r="D939" t="str">
        <f t="shared" si="84"/>
        <v>October</v>
      </c>
      <c r="E939" t="str">
        <f t="shared" si="87"/>
        <v>2021</v>
      </c>
      <c r="F939" t="s">
        <v>1807</v>
      </c>
      <c r="G939" t="str">
        <f>VLOOKUP(F939,'Customers (2)'!A:I,2,0)</f>
        <v>Devland Gritton</v>
      </c>
      <c r="H939" t="str">
        <f>VLOOKUP(F939,'Customers (2)'!A:I,3,0)</f>
        <v>dgrittonq0@nydailynews.com</v>
      </c>
      <c r="I939" t="str">
        <f>VLOOKUP(F939,'Customers (2)'!A:I,4,0)</f>
        <v>+1 (626) 968-5148</v>
      </c>
      <c r="J939" t="str">
        <f>VLOOKUP(F939,'Customers (2)'!A:I,6,0)</f>
        <v>Pasadena</v>
      </c>
      <c r="K939" t="str">
        <f>VLOOKUP(F939,'Customers (2)'!A:I,7,0)</f>
        <v>United States</v>
      </c>
      <c r="L939" t="str">
        <f>VLOOKUP(F939,'Customers (2)'!A:I,9,0)</f>
        <v>Yes</v>
      </c>
      <c r="M939" t="str">
        <f>VLOOKUP(N939,'Products (2)'!A:G,2,0)</f>
        <v>Robusta</v>
      </c>
      <c r="N939" t="s">
        <v>41</v>
      </c>
      <c r="O939" t="str">
        <f>VLOOKUP(N939,'Products (2)'!A:G,3,0)</f>
        <v>Medium</v>
      </c>
      <c r="P939">
        <f>VLOOKUP(N939,'Products (2)'!A:G,7,0)</f>
        <v>1.3730999999999998</v>
      </c>
      <c r="Q939">
        <v>4</v>
      </c>
      <c r="R939">
        <f>INDEX([1]products!$A$1:$G$49,MATCH([1]orders!$D939,[1]products!$A$1:$A$49,0),MATCH([1]orders!K$1,[1]products!$A$1:$G$1,0))</f>
        <v>2.5</v>
      </c>
      <c r="S939">
        <f>INDEX([1]products!$A$1:$G$49,MATCH([1]orders!$D939,[1]products!$A$1:$A$49,0),MATCH([1]orders!L$1,[1]products!$A$1:$G$1,0))</f>
        <v>22.884999999999998</v>
      </c>
      <c r="T939">
        <f t="shared" si="85"/>
        <v>91.539999999999992</v>
      </c>
      <c r="U939">
        <f t="shared" si="88"/>
        <v>5.4923999999999991</v>
      </c>
      <c r="V939">
        <f t="shared" si="89"/>
        <v>6</v>
      </c>
    </row>
    <row r="940" spans="1:22" x14ac:dyDescent="0.25">
      <c r="A940" t="s">
        <v>1808</v>
      </c>
      <c r="B940">
        <v>43829</v>
      </c>
      <c r="C940" t="str">
        <f t="shared" si="86"/>
        <v>30</v>
      </c>
      <c r="D940" t="str">
        <f t="shared" si="84"/>
        <v>December</v>
      </c>
      <c r="E940" t="str">
        <f t="shared" si="87"/>
        <v>2019</v>
      </c>
      <c r="F940" t="s">
        <v>1809</v>
      </c>
      <c r="G940" t="str">
        <f>VLOOKUP(F940,'Customers (2)'!A:I,2,0)</f>
        <v>Dell Gut</v>
      </c>
      <c r="H940" t="str">
        <f>VLOOKUP(F940,'Customers (2)'!A:I,3,0)</f>
        <v>dgutq2@umich.edu</v>
      </c>
      <c r="I940" t="str">
        <f>VLOOKUP(F940,'Customers (2)'!A:I,4,0)</f>
        <v>+1 (281) 648-9915</v>
      </c>
      <c r="J940" t="str">
        <f>VLOOKUP(F940,'Customers (2)'!A:I,6,0)</f>
        <v>Houston</v>
      </c>
      <c r="K940" t="str">
        <f>VLOOKUP(F940,'Customers (2)'!A:I,7,0)</f>
        <v>United States</v>
      </c>
      <c r="L940" t="str">
        <f>VLOOKUP(F940,'Customers (2)'!A:I,9,0)</f>
        <v>Yes</v>
      </c>
      <c r="M940" t="str">
        <f>VLOOKUP(N940,'Products (2)'!A:G,2,0)</f>
        <v>Excelsa</v>
      </c>
      <c r="N940" t="s">
        <v>137</v>
      </c>
      <c r="O940" t="str">
        <f>VLOOKUP(N940,'Products (2)'!A:G,3,0)</f>
        <v>Light</v>
      </c>
      <c r="P940">
        <f>VLOOKUP(N940,'Products (2)'!A:G,7,0)</f>
        <v>1.6335</v>
      </c>
      <c r="Q940">
        <v>5</v>
      </c>
      <c r="R940">
        <f>INDEX([1]products!$A$1:$G$49,MATCH([1]orders!$D940,[1]products!$A$1:$A$49,0),MATCH([1]orders!K$1,[1]products!$A$1:$G$1,0))</f>
        <v>1</v>
      </c>
      <c r="S940">
        <f>INDEX([1]products!$A$1:$G$49,MATCH([1]orders!$D940,[1]products!$A$1:$A$49,0),MATCH([1]orders!L$1,[1]products!$A$1:$G$1,0))</f>
        <v>14.85</v>
      </c>
      <c r="T940">
        <f t="shared" si="85"/>
        <v>74.25</v>
      </c>
      <c r="U940">
        <f t="shared" si="88"/>
        <v>8.1675000000000004</v>
      </c>
      <c r="V940">
        <f t="shared" si="89"/>
        <v>11</v>
      </c>
    </row>
    <row r="941" spans="1:22" x14ac:dyDescent="0.25">
      <c r="A941" t="s">
        <v>1810</v>
      </c>
      <c r="B941">
        <v>44229</v>
      </c>
      <c r="C941" t="str">
        <f t="shared" si="86"/>
        <v>02</v>
      </c>
      <c r="D941" t="str">
        <f t="shared" si="84"/>
        <v>February</v>
      </c>
      <c r="E941" t="str">
        <f t="shared" si="87"/>
        <v>2021</v>
      </c>
      <c r="F941" t="s">
        <v>1811</v>
      </c>
      <c r="G941" t="str">
        <f>VLOOKUP(F941,'Customers (2)'!A:I,2,0)</f>
        <v>Willy Pummery</v>
      </c>
      <c r="H941" t="str">
        <f>VLOOKUP(F941,'Customers (2)'!A:I,3,0)</f>
        <v>wpummeryq3@topsy.com</v>
      </c>
      <c r="I941" t="str">
        <f>VLOOKUP(F941,'Customers (2)'!A:I,4,0)</f>
        <v>+1 (231) 416-9594</v>
      </c>
      <c r="J941" t="str">
        <f>VLOOKUP(F941,'Customers (2)'!A:I,6,0)</f>
        <v>Muskegon</v>
      </c>
      <c r="K941" t="str">
        <f>VLOOKUP(F941,'Customers (2)'!A:I,7,0)</f>
        <v>United States</v>
      </c>
      <c r="L941" t="str">
        <f>VLOOKUP(F941,'Customers (2)'!A:I,9,0)</f>
        <v>No</v>
      </c>
      <c r="M941" t="str">
        <f>VLOOKUP(N941,'Products (2)'!A:G,2,0)</f>
        <v>Liberica</v>
      </c>
      <c r="N941" t="s">
        <v>19</v>
      </c>
      <c r="O941" t="str">
        <f>VLOOKUP(N941,'Products (2)'!A:G,3,0)</f>
        <v>Light</v>
      </c>
      <c r="P941">
        <f>VLOOKUP(N941,'Products (2)'!A:G,7,0)</f>
        <v>0.61814999999999998</v>
      </c>
      <c r="Q941">
        <v>6</v>
      </c>
      <c r="R941">
        <f>INDEX([1]products!$A$1:$G$49,MATCH([1]orders!$D941,[1]products!$A$1:$A$49,0),MATCH([1]orders!K$1,[1]products!$A$1:$G$1,0))</f>
        <v>0.2</v>
      </c>
      <c r="S941">
        <f>INDEX([1]products!$A$1:$G$49,MATCH([1]orders!$D941,[1]products!$A$1:$A$49,0),MATCH([1]orders!L$1,[1]products!$A$1:$G$1,0))</f>
        <v>4.7549999999999999</v>
      </c>
      <c r="T941">
        <f t="shared" si="85"/>
        <v>28.53</v>
      </c>
      <c r="U941">
        <f t="shared" si="88"/>
        <v>3.7088999999999999</v>
      </c>
      <c r="V941">
        <f t="shared" si="89"/>
        <v>12.999999999999998</v>
      </c>
    </row>
    <row r="942" spans="1:22" x14ac:dyDescent="0.25">
      <c r="A942" t="s">
        <v>1812</v>
      </c>
      <c r="B942">
        <v>44332</v>
      </c>
      <c r="C942" t="str">
        <f t="shared" si="86"/>
        <v>16</v>
      </c>
      <c r="D942" t="str">
        <f t="shared" si="84"/>
        <v>May</v>
      </c>
      <c r="E942" t="str">
        <f t="shared" si="87"/>
        <v>2021</v>
      </c>
      <c r="F942" t="s">
        <v>1813</v>
      </c>
      <c r="G942" t="str">
        <f>VLOOKUP(F942,'Customers (2)'!A:I,2,0)</f>
        <v>Geoffrey Siuda</v>
      </c>
      <c r="H942" t="str">
        <f>VLOOKUP(F942,'Customers (2)'!A:I,3,0)</f>
        <v>gsiudaq4@nytimes.com</v>
      </c>
      <c r="I942" t="str">
        <f>VLOOKUP(F942,'Customers (2)'!A:I,4,0)</f>
        <v>+1 (202) 315-8135</v>
      </c>
      <c r="J942" t="str">
        <f>VLOOKUP(F942,'Customers (2)'!A:I,6,0)</f>
        <v>Washington</v>
      </c>
      <c r="K942" t="str">
        <f>VLOOKUP(F942,'Customers (2)'!A:I,7,0)</f>
        <v>United States</v>
      </c>
      <c r="L942" t="str">
        <f>VLOOKUP(F942,'Customers (2)'!A:I,9,0)</f>
        <v>Yes</v>
      </c>
      <c r="M942" t="str">
        <f>VLOOKUP(N942,'Products (2)'!A:G,2,0)</f>
        <v>Robusta</v>
      </c>
      <c r="N942" t="s">
        <v>157</v>
      </c>
      <c r="O942" t="str">
        <f>VLOOKUP(N942,'Products (2)'!A:G,3,0)</f>
        <v>Light</v>
      </c>
      <c r="P942">
        <f>VLOOKUP(N942,'Products (2)'!A:G,7,0)</f>
        <v>0.43019999999999992</v>
      </c>
      <c r="Q942">
        <v>2</v>
      </c>
      <c r="R942">
        <f>INDEX([1]products!$A$1:$G$49,MATCH([1]orders!$D942,[1]products!$A$1:$A$49,0),MATCH([1]orders!K$1,[1]products!$A$1:$G$1,0))</f>
        <v>0.5</v>
      </c>
      <c r="S942">
        <f>INDEX([1]products!$A$1:$G$49,MATCH([1]orders!$D942,[1]products!$A$1:$A$49,0),MATCH([1]orders!L$1,[1]products!$A$1:$G$1,0))</f>
        <v>7.169999999999999</v>
      </c>
      <c r="T942">
        <f t="shared" si="85"/>
        <v>14.339999999999998</v>
      </c>
      <c r="U942">
        <f t="shared" si="88"/>
        <v>0.86039999999999983</v>
      </c>
      <c r="V942">
        <f t="shared" si="89"/>
        <v>6</v>
      </c>
    </row>
    <row r="943" spans="1:22" x14ac:dyDescent="0.25">
      <c r="A943" t="s">
        <v>1814</v>
      </c>
      <c r="B943">
        <v>44674</v>
      </c>
      <c r="C943" t="str">
        <f t="shared" si="86"/>
        <v>23</v>
      </c>
      <c r="D943" t="str">
        <f t="shared" si="84"/>
        <v>April</v>
      </c>
      <c r="E943" t="str">
        <f t="shared" si="87"/>
        <v>2022</v>
      </c>
      <c r="F943" t="s">
        <v>1815</v>
      </c>
      <c r="G943" t="str">
        <f>VLOOKUP(F943,'Customers (2)'!A:I,2,0)</f>
        <v>Henderson Crowne</v>
      </c>
      <c r="H943" t="str">
        <f>VLOOKUP(F943,'Customers (2)'!A:I,3,0)</f>
        <v>hcrowneq5@wufoo.com</v>
      </c>
      <c r="I943" t="str">
        <f>VLOOKUP(F943,'Customers (2)'!A:I,4,0)</f>
        <v>+353 (476) 525-5512</v>
      </c>
      <c r="J943" t="str">
        <f>VLOOKUP(F943,'Customers (2)'!A:I,6,0)</f>
        <v>Sallins</v>
      </c>
      <c r="K943" t="str">
        <f>VLOOKUP(F943,'Customers (2)'!A:I,7,0)</f>
        <v>Ireland</v>
      </c>
      <c r="L943" t="str">
        <f>VLOOKUP(F943,'Customers (2)'!A:I,9,0)</f>
        <v>Yes</v>
      </c>
      <c r="M943" t="str">
        <f>VLOOKUP(N943,'Products (2)'!A:G,2,0)</f>
        <v>Arabica</v>
      </c>
      <c r="N943" t="s">
        <v>192</v>
      </c>
      <c r="O943" t="str">
        <f>VLOOKUP(N943,'Products (2)'!A:G,3,0)</f>
        <v>Light</v>
      </c>
      <c r="P943">
        <f>VLOOKUP(N943,'Products (2)'!A:G,7,0)</f>
        <v>0.69929999999999992</v>
      </c>
      <c r="Q943">
        <v>2</v>
      </c>
      <c r="R943">
        <f>INDEX([1]products!$A$1:$G$49,MATCH([1]orders!$D943,[1]products!$A$1:$A$49,0),MATCH([1]orders!K$1,[1]products!$A$1:$G$1,0))</f>
        <v>0.5</v>
      </c>
      <c r="S943">
        <f>INDEX([1]products!$A$1:$G$49,MATCH([1]orders!$D943,[1]products!$A$1:$A$49,0),MATCH([1]orders!L$1,[1]products!$A$1:$G$1,0))</f>
        <v>7.77</v>
      </c>
      <c r="T943">
        <f t="shared" si="85"/>
        <v>15.54</v>
      </c>
      <c r="U943">
        <f t="shared" si="88"/>
        <v>1.3985999999999998</v>
      </c>
      <c r="V943">
        <f t="shared" si="89"/>
        <v>9</v>
      </c>
    </row>
    <row r="944" spans="1:22" x14ac:dyDescent="0.25">
      <c r="A944" t="s">
        <v>1816</v>
      </c>
      <c r="B944">
        <v>44464</v>
      </c>
      <c r="C944" t="str">
        <f t="shared" si="86"/>
        <v>25</v>
      </c>
      <c r="D944" t="str">
        <f t="shared" si="84"/>
        <v>September</v>
      </c>
      <c r="E944" t="str">
        <f t="shared" si="87"/>
        <v>2021</v>
      </c>
      <c r="F944" t="s">
        <v>1817</v>
      </c>
      <c r="G944" t="str">
        <f>VLOOKUP(F944,'Customers (2)'!A:I,2,0)</f>
        <v>Vernor Pawsey</v>
      </c>
      <c r="H944" t="str">
        <f>VLOOKUP(F944,'Customers (2)'!A:I,3,0)</f>
        <v>vpawseyq6@tiny.cc</v>
      </c>
      <c r="I944" t="str">
        <f>VLOOKUP(F944,'Customers (2)'!A:I,4,0)</f>
        <v>+1 (478) 568-4944</v>
      </c>
      <c r="J944" t="str">
        <f>VLOOKUP(F944,'Customers (2)'!A:I,6,0)</f>
        <v>Macon</v>
      </c>
      <c r="K944" t="str">
        <f>VLOOKUP(F944,'Customers (2)'!A:I,7,0)</f>
        <v>United States</v>
      </c>
      <c r="L944" t="str">
        <f>VLOOKUP(F944,'Customers (2)'!A:I,9,0)</f>
        <v>No</v>
      </c>
      <c r="M944" t="str">
        <f>VLOOKUP(N944,'Products (2)'!A:G,2,0)</f>
        <v>Robusta</v>
      </c>
      <c r="N944" t="s">
        <v>189</v>
      </c>
      <c r="O944" t="str">
        <f>VLOOKUP(N944,'Products (2)'!A:G,3,0)</f>
        <v>Light</v>
      </c>
      <c r="P944">
        <f>VLOOKUP(N944,'Products (2)'!A:G,7,0)</f>
        <v>0.71699999999999997</v>
      </c>
      <c r="Q944">
        <v>3</v>
      </c>
      <c r="R944">
        <f>INDEX([1]products!$A$1:$G$49,MATCH([1]orders!$D944,[1]products!$A$1:$A$49,0),MATCH([1]orders!K$1,[1]products!$A$1:$G$1,0))</f>
        <v>1</v>
      </c>
      <c r="S944">
        <f>INDEX([1]products!$A$1:$G$49,MATCH([1]orders!$D944,[1]products!$A$1:$A$49,0),MATCH([1]orders!L$1,[1]products!$A$1:$G$1,0))</f>
        <v>11.95</v>
      </c>
      <c r="T944">
        <f t="shared" si="85"/>
        <v>35.849999999999994</v>
      </c>
      <c r="U944">
        <f t="shared" si="88"/>
        <v>2.1509999999999998</v>
      </c>
      <c r="V944">
        <f t="shared" si="89"/>
        <v>6.0000000000000009</v>
      </c>
    </row>
    <row r="945" spans="1:22" x14ac:dyDescent="0.25">
      <c r="A945" t="s">
        <v>1818</v>
      </c>
      <c r="B945">
        <v>44719</v>
      </c>
      <c r="C945" t="str">
        <f t="shared" si="86"/>
        <v>07</v>
      </c>
      <c r="D945" t="str">
        <f t="shared" si="84"/>
        <v>June</v>
      </c>
      <c r="E945" t="str">
        <f t="shared" si="87"/>
        <v>2022</v>
      </c>
      <c r="F945" t="s">
        <v>1819</v>
      </c>
      <c r="G945" t="str">
        <f>VLOOKUP(F945,'Customers (2)'!A:I,2,0)</f>
        <v>Augustin Waterhouse</v>
      </c>
      <c r="H945" t="str">
        <f>VLOOKUP(F945,'Customers (2)'!A:I,3,0)</f>
        <v>awaterhouseq7@istockphoto.com</v>
      </c>
      <c r="I945" t="str">
        <f>VLOOKUP(F945,'Customers (2)'!A:I,4,0)</f>
        <v>+1 (318) 129-0806</v>
      </c>
      <c r="J945" t="str">
        <f>VLOOKUP(F945,'Customers (2)'!A:I,6,0)</f>
        <v>Shreveport</v>
      </c>
      <c r="K945" t="str">
        <f>VLOOKUP(F945,'Customers (2)'!A:I,7,0)</f>
        <v>United States</v>
      </c>
      <c r="L945" t="str">
        <f>VLOOKUP(F945,'Customers (2)'!A:I,9,0)</f>
        <v>No</v>
      </c>
      <c r="M945" t="str">
        <f>VLOOKUP(N945,'Products (2)'!A:G,2,0)</f>
        <v>Arabica</v>
      </c>
      <c r="N945" t="s">
        <v>192</v>
      </c>
      <c r="O945" t="str">
        <f>VLOOKUP(N945,'Products (2)'!A:G,3,0)</f>
        <v>Light</v>
      </c>
      <c r="P945">
        <f>VLOOKUP(N945,'Products (2)'!A:G,7,0)</f>
        <v>0.69929999999999992</v>
      </c>
      <c r="Q945">
        <v>6</v>
      </c>
      <c r="R945">
        <f>INDEX([1]products!$A$1:$G$49,MATCH([1]orders!$D945,[1]products!$A$1:$A$49,0),MATCH([1]orders!K$1,[1]products!$A$1:$G$1,0))</f>
        <v>0.5</v>
      </c>
      <c r="S945">
        <f>INDEX([1]products!$A$1:$G$49,MATCH([1]orders!$D945,[1]products!$A$1:$A$49,0),MATCH([1]orders!L$1,[1]products!$A$1:$G$1,0))</f>
        <v>7.77</v>
      </c>
      <c r="T945">
        <f t="shared" si="85"/>
        <v>46.62</v>
      </c>
      <c r="U945">
        <f t="shared" si="88"/>
        <v>4.1957999999999993</v>
      </c>
      <c r="V945">
        <f t="shared" si="89"/>
        <v>9</v>
      </c>
    </row>
    <row r="946" spans="1:22" x14ac:dyDescent="0.25">
      <c r="A946" t="s">
        <v>1820</v>
      </c>
      <c r="B946">
        <v>44054</v>
      </c>
      <c r="C946" t="str">
        <f t="shared" si="86"/>
        <v>11</v>
      </c>
      <c r="D946" t="str">
        <f t="shared" si="84"/>
        <v>August</v>
      </c>
      <c r="E946" t="str">
        <f t="shared" si="87"/>
        <v>2020</v>
      </c>
      <c r="F946" t="s">
        <v>1821</v>
      </c>
      <c r="G946" t="str">
        <f>VLOOKUP(F946,'Customers (2)'!A:I,2,0)</f>
        <v>Fanchon Haughian</v>
      </c>
      <c r="H946" t="str">
        <f>VLOOKUP(F946,'Customers (2)'!A:I,3,0)</f>
        <v>fhaughianq8@1688.com</v>
      </c>
      <c r="I946" t="str">
        <f>VLOOKUP(F946,'Customers (2)'!A:I,4,0)</f>
        <v>+1 (253) 974-5538</v>
      </c>
      <c r="J946" t="str">
        <f>VLOOKUP(F946,'Customers (2)'!A:I,6,0)</f>
        <v>Tacoma</v>
      </c>
      <c r="K946" t="str">
        <f>VLOOKUP(F946,'Customers (2)'!A:I,7,0)</f>
        <v>United States</v>
      </c>
      <c r="L946" t="str">
        <f>VLOOKUP(F946,'Customers (2)'!A:I,9,0)</f>
        <v>No</v>
      </c>
      <c r="M946" t="str">
        <f>VLOOKUP(N946,'Products (2)'!A:G,2,0)</f>
        <v>Robusta</v>
      </c>
      <c r="N946" t="s">
        <v>157</v>
      </c>
      <c r="O946" t="str">
        <f>VLOOKUP(N946,'Products (2)'!A:G,3,0)</f>
        <v>Light</v>
      </c>
      <c r="P946">
        <f>VLOOKUP(N946,'Products (2)'!A:G,7,0)</f>
        <v>0.43019999999999992</v>
      </c>
      <c r="Q946">
        <v>5</v>
      </c>
      <c r="R946">
        <f>INDEX([1]products!$A$1:$G$49,MATCH([1]orders!$D946,[1]products!$A$1:$A$49,0),MATCH([1]orders!K$1,[1]products!$A$1:$G$1,0))</f>
        <v>0.5</v>
      </c>
      <c r="S946">
        <f>INDEX([1]products!$A$1:$G$49,MATCH([1]orders!$D946,[1]products!$A$1:$A$49,0),MATCH([1]orders!L$1,[1]products!$A$1:$G$1,0))</f>
        <v>7.169999999999999</v>
      </c>
      <c r="T946">
        <f t="shared" si="85"/>
        <v>35.849999999999994</v>
      </c>
      <c r="U946">
        <f t="shared" si="88"/>
        <v>2.1509999999999998</v>
      </c>
      <c r="V946">
        <f t="shared" si="89"/>
        <v>6.0000000000000009</v>
      </c>
    </row>
    <row r="947" spans="1:22" x14ac:dyDescent="0.25">
      <c r="A947" t="s">
        <v>1822</v>
      </c>
      <c r="B947">
        <v>43524</v>
      </c>
      <c r="C947" t="str">
        <f t="shared" si="86"/>
        <v>28</v>
      </c>
      <c r="D947" t="str">
        <f t="shared" si="84"/>
        <v>February</v>
      </c>
      <c r="E947" t="str">
        <f t="shared" si="87"/>
        <v>2019</v>
      </c>
      <c r="F947" t="s">
        <v>1823</v>
      </c>
      <c r="G947" t="str">
        <f>VLOOKUP(F947,'Customers (2)'!A:I,2,0)</f>
        <v>Jaimie Hatz</v>
      </c>
      <c r="H947">
        <f>VLOOKUP(F947,'Customers (2)'!A:I,3,0)</f>
        <v>0</v>
      </c>
      <c r="I947" t="str">
        <f>VLOOKUP(F947,'Customers (2)'!A:I,4,0)</f>
        <v>+1 (915) 920-9318</v>
      </c>
      <c r="J947" t="str">
        <f>VLOOKUP(F947,'Customers (2)'!A:I,6,0)</f>
        <v>El Paso</v>
      </c>
      <c r="K947" t="str">
        <f>VLOOKUP(F947,'Customers (2)'!A:I,7,0)</f>
        <v>United States</v>
      </c>
      <c r="L947" t="str">
        <f>VLOOKUP(F947,'Customers (2)'!A:I,9,0)</f>
        <v>No</v>
      </c>
      <c r="M947" t="str">
        <f>VLOOKUP(N947,'Products (2)'!A:G,2,0)</f>
        <v>Liberica</v>
      </c>
      <c r="N947" t="s">
        <v>109</v>
      </c>
      <c r="O947" t="str">
        <f>VLOOKUP(N947,'Products (2)'!A:G,3,0)</f>
        <v>Dark</v>
      </c>
      <c r="P947">
        <f>VLOOKUP(N947,'Products (2)'!A:G,7,0)</f>
        <v>3.8720499999999998</v>
      </c>
      <c r="Q947">
        <v>4</v>
      </c>
      <c r="R947">
        <f>INDEX([1]products!$A$1:$G$49,MATCH([1]orders!$D947,[1]products!$A$1:$A$49,0),MATCH([1]orders!K$1,[1]products!$A$1:$G$1,0))</f>
        <v>2.5</v>
      </c>
      <c r="S947">
        <f>INDEX([1]products!$A$1:$G$49,MATCH([1]orders!$D947,[1]products!$A$1:$A$49,0),MATCH([1]orders!L$1,[1]products!$A$1:$G$1,0))</f>
        <v>29.784999999999997</v>
      </c>
      <c r="T947">
        <f t="shared" si="85"/>
        <v>119.13999999999999</v>
      </c>
      <c r="U947">
        <f t="shared" si="88"/>
        <v>15.488199999999999</v>
      </c>
      <c r="V947">
        <f t="shared" si="89"/>
        <v>13</v>
      </c>
    </row>
    <row r="948" spans="1:22" x14ac:dyDescent="0.25">
      <c r="A948" t="s">
        <v>1824</v>
      </c>
      <c r="B948">
        <v>43719</v>
      </c>
      <c r="C948" t="str">
        <f t="shared" si="86"/>
        <v>11</v>
      </c>
      <c r="D948" t="str">
        <f t="shared" si="84"/>
        <v>September</v>
      </c>
      <c r="E948" t="str">
        <f t="shared" si="87"/>
        <v>2019</v>
      </c>
      <c r="F948" t="s">
        <v>1825</v>
      </c>
      <c r="G948" t="str">
        <f>VLOOKUP(F948,'Customers (2)'!A:I,2,0)</f>
        <v>Edeline Edney</v>
      </c>
      <c r="H948">
        <f>VLOOKUP(F948,'Customers (2)'!A:I,3,0)</f>
        <v>0</v>
      </c>
      <c r="I948" t="str">
        <f>VLOOKUP(F948,'Customers (2)'!A:I,4,0)</f>
        <v>+1 (205) 866-7629</v>
      </c>
      <c r="J948" t="str">
        <f>VLOOKUP(F948,'Customers (2)'!A:I,6,0)</f>
        <v>Birmingham</v>
      </c>
      <c r="K948" t="str">
        <f>VLOOKUP(F948,'Customers (2)'!A:I,7,0)</f>
        <v>United States</v>
      </c>
      <c r="L948" t="str">
        <f>VLOOKUP(F948,'Customers (2)'!A:I,9,0)</f>
        <v>No</v>
      </c>
      <c r="M948" t="str">
        <f>VLOOKUP(N948,'Products (2)'!A:G,2,0)</f>
        <v>Liberica</v>
      </c>
      <c r="N948" t="s">
        <v>123</v>
      </c>
      <c r="O948" t="str">
        <f>VLOOKUP(N948,'Products (2)'!A:G,3,0)</f>
        <v>Dark</v>
      </c>
      <c r="P948">
        <f>VLOOKUP(N948,'Products (2)'!A:G,7,0)</f>
        <v>1.0101</v>
      </c>
      <c r="Q948">
        <v>3</v>
      </c>
      <c r="R948">
        <f>INDEX([1]products!$A$1:$G$49,MATCH([1]orders!$D948,[1]products!$A$1:$A$49,0),MATCH([1]orders!K$1,[1]products!$A$1:$G$1,0))</f>
        <v>0.5</v>
      </c>
      <c r="S948">
        <f>INDEX([1]products!$A$1:$G$49,MATCH([1]orders!$D948,[1]products!$A$1:$A$49,0),MATCH([1]orders!L$1,[1]products!$A$1:$G$1,0))</f>
        <v>7.77</v>
      </c>
      <c r="T948">
        <f t="shared" si="85"/>
        <v>23.31</v>
      </c>
      <c r="U948">
        <f t="shared" si="88"/>
        <v>3.0303</v>
      </c>
      <c r="V948">
        <f t="shared" si="89"/>
        <v>13</v>
      </c>
    </row>
    <row r="949" spans="1:22" x14ac:dyDescent="0.25">
      <c r="A949" t="s">
        <v>1826</v>
      </c>
      <c r="B949">
        <v>44294</v>
      </c>
      <c r="C949" t="str">
        <f t="shared" si="86"/>
        <v>08</v>
      </c>
      <c r="D949" t="str">
        <f t="shared" si="84"/>
        <v>April</v>
      </c>
      <c r="E949" t="str">
        <f t="shared" si="87"/>
        <v>2021</v>
      </c>
      <c r="F949" t="s">
        <v>1827</v>
      </c>
      <c r="G949" t="str">
        <f>VLOOKUP(F949,'Customers (2)'!A:I,2,0)</f>
        <v>Rickie Faltin</v>
      </c>
      <c r="H949" t="str">
        <f>VLOOKUP(F949,'Customers (2)'!A:I,3,0)</f>
        <v>rfaltinqb@topsy.com</v>
      </c>
      <c r="I949">
        <f>VLOOKUP(F949,'Customers (2)'!A:I,4,0)</f>
        <v>0</v>
      </c>
      <c r="J949" t="str">
        <f>VLOOKUP(F949,'Customers (2)'!A:I,6,0)</f>
        <v>Portumna</v>
      </c>
      <c r="K949" t="str">
        <f>VLOOKUP(F949,'Customers (2)'!A:I,7,0)</f>
        <v>Ireland</v>
      </c>
      <c r="L949" t="str">
        <f>VLOOKUP(F949,'Customers (2)'!A:I,9,0)</f>
        <v>No</v>
      </c>
      <c r="M949" t="str">
        <f>VLOOKUP(N949,'Products (2)'!A:G,2,0)</f>
        <v>Arabica</v>
      </c>
      <c r="N949" t="s">
        <v>61</v>
      </c>
      <c r="O949" t="str">
        <f>VLOOKUP(N949,'Products (2)'!A:G,3,0)</f>
        <v>Medium</v>
      </c>
      <c r="P949">
        <f>VLOOKUP(N949,'Products (2)'!A:G,7,0)</f>
        <v>1.0125</v>
      </c>
      <c r="Q949">
        <v>1</v>
      </c>
      <c r="R949">
        <f>INDEX([1]products!$A$1:$G$49,MATCH([1]orders!$D949,[1]products!$A$1:$A$49,0),MATCH([1]orders!K$1,[1]products!$A$1:$G$1,0))</f>
        <v>1</v>
      </c>
      <c r="S949">
        <f>INDEX([1]products!$A$1:$G$49,MATCH([1]orders!$D949,[1]products!$A$1:$A$49,0),MATCH([1]orders!L$1,[1]products!$A$1:$G$1,0))</f>
        <v>11.25</v>
      </c>
      <c r="T949">
        <f t="shared" si="85"/>
        <v>11.25</v>
      </c>
      <c r="U949">
        <f t="shared" si="88"/>
        <v>1.0125</v>
      </c>
      <c r="V949">
        <f t="shared" si="89"/>
        <v>9</v>
      </c>
    </row>
    <row r="950" spans="1:22" x14ac:dyDescent="0.25">
      <c r="A950" t="s">
        <v>1828</v>
      </c>
      <c r="B950">
        <v>44445</v>
      </c>
      <c r="C950" t="str">
        <f t="shared" si="86"/>
        <v>06</v>
      </c>
      <c r="D950" t="str">
        <f t="shared" si="84"/>
        <v>September</v>
      </c>
      <c r="E950" t="str">
        <f t="shared" si="87"/>
        <v>2021</v>
      </c>
      <c r="F950" t="s">
        <v>1829</v>
      </c>
      <c r="G950" t="str">
        <f>VLOOKUP(F950,'Customers (2)'!A:I,2,0)</f>
        <v>Gnni Cheeke</v>
      </c>
      <c r="H950" t="str">
        <f>VLOOKUP(F950,'Customers (2)'!A:I,3,0)</f>
        <v>gcheekeqc@sitemeter.com</v>
      </c>
      <c r="I950" t="str">
        <f>VLOOKUP(F950,'Customers (2)'!A:I,4,0)</f>
        <v>+44 (677) 694-1404</v>
      </c>
      <c r="J950" t="str">
        <f>VLOOKUP(F950,'Customers (2)'!A:I,6,0)</f>
        <v>London</v>
      </c>
      <c r="K950" t="str">
        <f>VLOOKUP(F950,'Customers (2)'!A:I,7,0)</f>
        <v>United Kingdom</v>
      </c>
      <c r="L950" t="str">
        <f>VLOOKUP(F950,'Customers (2)'!A:I,9,0)</f>
        <v>Yes</v>
      </c>
      <c r="M950" t="str">
        <f>VLOOKUP(N950,'Products (2)'!A:G,2,0)</f>
        <v>Excelsa</v>
      </c>
      <c r="N950" t="s">
        <v>530</v>
      </c>
      <c r="O950" t="str">
        <f>VLOOKUP(N950,'Products (2)'!A:G,3,0)</f>
        <v>Dark</v>
      </c>
      <c r="P950">
        <f>VLOOKUP(N950,'Products (2)'!A:G,7,0)</f>
        <v>3.07395</v>
      </c>
      <c r="Q950">
        <v>3</v>
      </c>
      <c r="R950">
        <f>INDEX([1]products!$A$1:$G$49,MATCH([1]orders!$D950,[1]products!$A$1:$A$49,0),MATCH([1]orders!K$1,[1]products!$A$1:$G$1,0))</f>
        <v>2.5</v>
      </c>
      <c r="S950">
        <f>INDEX([1]products!$A$1:$G$49,MATCH([1]orders!$D950,[1]products!$A$1:$A$49,0),MATCH([1]orders!L$1,[1]products!$A$1:$G$1,0))</f>
        <v>27.945</v>
      </c>
      <c r="T950">
        <f t="shared" si="85"/>
        <v>83.835000000000008</v>
      </c>
      <c r="U950">
        <f t="shared" si="88"/>
        <v>9.2218499999999999</v>
      </c>
      <c r="V950">
        <f t="shared" si="89"/>
        <v>10.999999999999998</v>
      </c>
    </row>
    <row r="951" spans="1:22" x14ac:dyDescent="0.25">
      <c r="A951" t="s">
        <v>1830</v>
      </c>
      <c r="B951">
        <v>44449</v>
      </c>
      <c r="C951" t="str">
        <f t="shared" si="86"/>
        <v>10</v>
      </c>
      <c r="D951" t="str">
        <f t="shared" si="84"/>
        <v>September</v>
      </c>
      <c r="E951" t="str">
        <f t="shared" si="87"/>
        <v>2021</v>
      </c>
      <c r="F951" t="s">
        <v>1831</v>
      </c>
      <c r="G951" t="str">
        <f>VLOOKUP(F951,'Customers (2)'!A:I,2,0)</f>
        <v>Gwenni Ratt</v>
      </c>
      <c r="H951" t="str">
        <f>VLOOKUP(F951,'Customers (2)'!A:I,3,0)</f>
        <v>grattqd@phpbb.com</v>
      </c>
      <c r="I951" t="str">
        <f>VLOOKUP(F951,'Customers (2)'!A:I,4,0)</f>
        <v>+353 (878) 618-9723</v>
      </c>
      <c r="J951" t="str">
        <f>VLOOKUP(F951,'Customers (2)'!A:I,6,0)</f>
        <v>Castlemartyr</v>
      </c>
      <c r="K951" t="str">
        <f>VLOOKUP(F951,'Customers (2)'!A:I,7,0)</f>
        <v>Ireland</v>
      </c>
      <c r="L951" t="str">
        <f>VLOOKUP(F951,'Customers (2)'!A:I,9,0)</f>
        <v>No</v>
      </c>
      <c r="M951" t="str">
        <f>VLOOKUP(N951,'Products (2)'!A:G,2,0)</f>
        <v>Robusta</v>
      </c>
      <c r="N951" t="s">
        <v>10</v>
      </c>
      <c r="O951" t="str">
        <f>VLOOKUP(N951,'Products (2)'!A:G,3,0)</f>
        <v>Light</v>
      </c>
      <c r="P951">
        <f>VLOOKUP(N951,'Products (2)'!A:G,7,0)</f>
        <v>1.6490999999999998</v>
      </c>
      <c r="Q951">
        <v>4</v>
      </c>
      <c r="R951">
        <f>INDEX([1]products!$A$1:$G$49,MATCH([1]orders!$D951,[1]products!$A$1:$A$49,0),MATCH([1]orders!K$1,[1]products!$A$1:$G$1,0))</f>
        <v>2.5</v>
      </c>
      <c r="S951">
        <f>INDEX([1]products!$A$1:$G$49,MATCH([1]orders!$D951,[1]products!$A$1:$A$49,0),MATCH([1]orders!L$1,[1]products!$A$1:$G$1,0))</f>
        <v>27.484999999999996</v>
      </c>
      <c r="T951">
        <f t="shared" si="85"/>
        <v>109.93999999999998</v>
      </c>
      <c r="U951">
        <f t="shared" si="88"/>
        <v>6.5963999999999992</v>
      </c>
      <c r="V951">
        <f t="shared" si="89"/>
        <v>6.0000000000000009</v>
      </c>
    </row>
    <row r="952" spans="1:22" x14ac:dyDescent="0.25">
      <c r="A952" t="s">
        <v>1832</v>
      </c>
      <c r="B952">
        <v>44703</v>
      </c>
      <c r="C952" t="str">
        <f t="shared" si="86"/>
        <v>22</v>
      </c>
      <c r="D952" t="str">
        <f t="shared" si="84"/>
        <v>May</v>
      </c>
      <c r="E952" t="str">
        <f t="shared" si="87"/>
        <v>2022</v>
      </c>
      <c r="F952" t="s">
        <v>1833</v>
      </c>
      <c r="G952" t="str">
        <f>VLOOKUP(F952,'Customers (2)'!A:I,2,0)</f>
        <v>Johnath Fairebrother</v>
      </c>
      <c r="H952">
        <f>VLOOKUP(F952,'Customers (2)'!A:I,3,0)</f>
        <v>0</v>
      </c>
      <c r="I952" t="str">
        <f>VLOOKUP(F952,'Customers (2)'!A:I,4,0)</f>
        <v>+1 (302) 159-1841</v>
      </c>
      <c r="J952" t="str">
        <f>VLOOKUP(F952,'Customers (2)'!A:I,6,0)</f>
        <v>Wilmington</v>
      </c>
      <c r="K952" t="str">
        <f>VLOOKUP(F952,'Customers (2)'!A:I,7,0)</f>
        <v>United States</v>
      </c>
      <c r="L952" t="str">
        <f>VLOOKUP(F952,'Customers (2)'!A:I,9,0)</f>
        <v>Yes</v>
      </c>
      <c r="M952" t="str">
        <f>VLOOKUP(N952,'Products (2)'!A:G,2,0)</f>
        <v>Robusta</v>
      </c>
      <c r="N952" t="s">
        <v>182</v>
      </c>
      <c r="O952" t="str">
        <f>VLOOKUP(N952,'Products (2)'!A:G,3,0)</f>
        <v>Light</v>
      </c>
      <c r="P952">
        <f>VLOOKUP(N952,'Products (2)'!A:G,7,0)</f>
        <v>0.21509999999999996</v>
      </c>
      <c r="Q952">
        <v>4</v>
      </c>
      <c r="R952">
        <f>INDEX([1]products!$A$1:$G$49,MATCH([1]orders!$D952,[1]products!$A$1:$A$49,0),MATCH([1]orders!K$1,[1]products!$A$1:$G$1,0))</f>
        <v>0.2</v>
      </c>
      <c r="S952">
        <f>INDEX([1]products!$A$1:$G$49,MATCH([1]orders!$D952,[1]products!$A$1:$A$49,0),MATCH([1]orders!L$1,[1]products!$A$1:$G$1,0))</f>
        <v>3.5849999999999995</v>
      </c>
      <c r="T952">
        <f t="shared" si="85"/>
        <v>14.339999999999998</v>
      </c>
      <c r="U952">
        <f t="shared" si="88"/>
        <v>0.86039999999999983</v>
      </c>
      <c r="V952">
        <f t="shared" si="89"/>
        <v>6</v>
      </c>
    </row>
    <row r="953" spans="1:22" x14ac:dyDescent="0.25">
      <c r="A953" t="s">
        <v>1834</v>
      </c>
      <c r="B953">
        <v>44092</v>
      </c>
      <c r="C953" t="str">
        <f t="shared" si="86"/>
        <v>18</v>
      </c>
      <c r="D953" t="str">
        <f t="shared" si="84"/>
        <v>September</v>
      </c>
      <c r="E953" t="str">
        <f t="shared" si="87"/>
        <v>2020</v>
      </c>
      <c r="F953" t="s">
        <v>1835</v>
      </c>
      <c r="G953" t="str">
        <f>VLOOKUP(F953,'Customers (2)'!A:I,2,0)</f>
        <v>Ingamar Eberlein</v>
      </c>
      <c r="H953" t="str">
        <f>VLOOKUP(F953,'Customers (2)'!A:I,3,0)</f>
        <v>ieberleinqf@hc360.com</v>
      </c>
      <c r="I953" t="str">
        <f>VLOOKUP(F953,'Customers (2)'!A:I,4,0)</f>
        <v>+1 (717) 323-3451</v>
      </c>
      <c r="J953" t="str">
        <f>VLOOKUP(F953,'Customers (2)'!A:I,6,0)</f>
        <v>Harrisburg</v>
      </c>
      <c r="K953" t="str">
        <f>VLOOKUP(F953,'Customers (2)'!A:I,7,0)</f>
        <v>United States</v>
      </c>
      <c r="L953" t="str">
        <f>VLOOKUP(F953,'Customers (2)'!A:I,9,0)</f>
        <v>No</v>
      </c>
      <c r="M953" t="str">
        <f>VLOOKUP(N953,'Products (2)'!A:G,2,0)</f>
        <v>Robusta</v>
      </c>
      <c r="N953" t="s">
        <v>182</v>
      </c>
      <c r="O953" t="str">
        <f>VLOOKUP(N953,'Products (2)'!A:G,3,0)</f>
        <v>Light</v>
      </c>
      <c r="P953">
        <f>VLOOKUP(N953,'Products (2)'!A:G,7,0)</f>
        <v>0.21509999999999996</v>
      </c>
      <c r="Q953">
        <v>6</v>
      </c>
      <c r="R953">
        <f>INDEX([1]products!$A$1:$G$49,MATCH([1]orders!$D953,[1]products!$A$1:$A$49,0),MATCH([1]orders!K$1,[1]products!$A$1:$G$1,0))</f>
        <v>0.2</v>
      </c>
      <c r="S953">
        <f>INDEX([1]products!$A$1:$G$49,MATCH([1]orders!$D953,[1]products!$A$1:$A$49,0),MATCH([1]orders!L$1,[1]products!$A$1:$G$1,0))</f>
        <v>3.5849999999999995</v>
      </c>
      <c r="T953">
        <f t="shared" si="85"/>
        <v>21.509999999999998</v>
      </c>
      <c r="U953">
        <f t="shared" si="88"/>
        <v>1.2905999999999997</v>
      </c>
      <c r="V953">
        <f t="shared" si="89"/>
        <v>5.9999999999999991</v>
      </c>
    </row>
    <row r="954" spans="1:22" x14ac:dyDescent="0.25">
      <c r="A954" t="s">
        <v>1836</v>
      </c>
      <c r="B954">
        <v>44439</v>
      </c>
      <c r="C954" t="str">
        <f t="shared" si="86"/>
        <v>31</v>
      </c>
      <c r="D954" t="str">
        <f t="shared" si="84"/>
        <v>August</v>
      </c>
      <c r="E954" t="str">
        <f t="shared" si="87"/>
        <v>2021</v>
      </c>
      <c r="F954" t="s">
        <v>1837</v>
      </c>
      <c r="G954" t="str">
        <f>VLOOKUP(F954,'Customers (2)'!A:I,2,0)</f>
        <v>Jilly Dreng</v>
      </c>
      <c r="H954" t="str">
        <f>VLOOKUP(F954,'Customers (2)'!A:I,3,0)</f>
        <v>jdrengqg@uiuc.edu</v>
      </c>
      <c r="I954" t="str">
        <f>VLOOKUP(F954,'Customers (2)'!A:I,4,0)</f>
        <v>+353 (350) 974-1489</v>
      </c>
      <c r="J954" t="str">
        <f>VLOOKUP(F954,'Customers (2)'!A:I,6,0)</f>
        <v>Sallins</v>
      </c>
      <c r="K954" t="str">
        <f>VLOOKUP(F954,'Customers (2)'!A:I,7,0)</f>
        <v>Ireland</v>
      </c>
      <c r="L954" t="str">
        <f>VLOOKUP(F954,'Customers (2)'!A:I,9,0)</f>
        <v>Yes</v>
      </c>
      <c r="M954" t="str">
        <f>VLOOKUP(N954,'Products (2)'!A:G,2,0)</f>
        <v>Arabica</v>
      </c>
      <c r="N954" t="s">
        <v>61</v>
      </c>
      <c r="O954" t="str">
        <f>VLOOKUP(N954,'Products (2)'!A:G,3,0)</f>
        <v>Medium</v>
      </c>
      <c r="P954">
        <f>VLOOKUP(N954,'Products (2)'!A:G,7,0)</f>
        <v>1.0125</v>
      </c>
      <c r="Q954">
        <v>2</v>
      </c>
      <c r="R954">
        <f>INDEX([1]products!$A$1:$G$49,MATCH([1]orders!$D954,[1]products!$A$1:$A$49,0),MATCH([1]orders!K$1,[1]products!$A$1:$G$1,0))</f>
        <v>1</v>
      </c>
      <c r="S954">
        <f>INDEX([1]products!$A$1:$G$49,MATCH([1]orders!$D954,[1]products!$A$1:$A$49,0),MATCH([1]orders!L$1,[1]products!$A$1:$G$1,0))</f>
        <v>11.25</v>
      </c>
      <c r="T954">
        <f t="shared" si="85"/>
        <v>22.5</v>
      </c>
      <c r="U954">
        <f t="shared" si="88"/>
        <v>2.0249999999999999</v>
      </c>
      <c r="V954">
        <f t="shared" si="89"/>
        <v>9</v>
      </c>
    </row>
    <row r="955" spans="1:22" x14ac:dyDescent="0.25">
      <c r="A955" t="s">
        <v>1838</v>
      </c>
      <c r="B955">
        <v>44582</v>
      </c>
      <c r="C955" t="str">
        <f t="shared" si="86"/>
        <v>21</v>
      </c>
      <c r="D955" t="str">
        <f t="shared" si="84"/>
        <v>January</v>
      </c>
      <c r="E955" t="str">
        <f t="shared" si="87"/>
        <v>2022</v>
      </c>
      <c r="F955" t="s">
        <v>1801</v>
      </c>
      <c r="G955" t="str">
        <f>VLOOKUP(F955,'Customers (2)'!A:I,2,0)</f>
        <v>Brenn Dundredge</v>
      </c>
      <c r="H955">
        <f>VLOOKUP(F955,'Customers (2)'!A:I,3,0)</f>
        <v>0</v>
      </c>
      <c r="I955" t="str">
        <f>VLOOKUP(F955,'Customers (2)'!A:I,4,0)</f>
        <v>+1 (405) 369-5173</v>
      </c>
      <c r="J955" t="str">
        <f>VLOOKUP(F955,'Customers (2)'!A:I,6,0)</f>
        <v>Oklahoma City</v>
      </c>
      <c r="K955" t="str">
        <f>VLOOKUP(F955,'Customers (2)'!A:I,7,0)</f>
        <v>United States</v>
      </c>
      <c r="L955" t="str">
        <f>VLOOKUP(F955,'Customers (2)'!A:I,9,0)</f>
        <v>Yes</v>
      </c>
      <c r="M955" t="str">
        <f>VLOOKUP(N955,'Products (2)'!A:G,2,0)</f>
        <v>Arabica</v>
      </c>
      <c r="N955" t="s">
        <v>115</v>
      </c>
      <c r="O955" t="str">
        <f>VLOOKUP(N955,'Products (2)'!A:G,3,0)</f>
        <v>Light</v>
      </c>
      <c r="P955">
        <f>VLOOKUP(N955,'Products (2)'!A:G,7,0)</f>
        <v>0.34964999999999996</v>
      </c>
      <c r="Q955">
        <v>1</v>
      </c>
      <c r="R955">
        <f>INDEX([1]products!$A$1:$G$49,MATCH([1]orders!$D955,[1]products!$A$1:$A$49,0),MATCH([1]orders!K$1,[1]products!$A$1:$G$1,0))</f>
        <v>0.2</v>
      </c>
      <c r="S955">
        <f>INDEX([1]products!$A$1:$G$49,MATCH([1]orders!$D955,[1]products!$A$1:$A$49,0),MATCH([1]orders!L$1,[1]products!$A$1:$G$1,0))</f>
        <v>3.8849999999999998</v>
      </c>
      <c r="T955">
        <f t="shared" si="85"/>
        <v>3.8849999999999998</v>
      </c>
      <c r="U955">
        <f t="shared" si="88"/>
        <v>0.34964999999999996</v>
      </c>
      <c r="V955">
        <f t="shared" si="89"/>
        <v>9</v>
      </c>
    </row>
    <row r="956" spans="1:22" x14ac:dyDescent="0.25">
      <c r="A956" t="s">
        <v>1839</v>
      </c>
      <c r="B956">
        <v>44722</v>
      </c>
      <c r="C956" t="str">
        <f t="shared" si="86"/>
        <v>10</v>
      </c>
      <c r="D956" t="str">
        <f t="shared" si="84"/>
        <v>June</v>
      </c>
      <c r="E956" t="str">
        <f t="shared" si="87"/>
        <v>2022</v>
      </c>
      <c r="F956" t="s">
        <v>1801</v>
      </c>
      <c r="G956" t="str">
        <f>VLOOKUP(F956,'Customers (2)'!A:I,2,0)</f>
        <v>Brenn Dundredge</v>
      </c>
      <c r="H956">
        <f>VLOOKUP(F956,'Customers (2)'!A:I,3,0)</f>
        <v>0</v>
      </c>
      <c r="I956" t="str">
        <f>VLOOKUP(F956,'Customers (2)'!A:I,4,0)</f>
        <v>+1 (405) 369-5173</v>
      </c>
      <c r="J956" t="str">
        <f>VLOOKUP(F956,'Customers (2)'!A:I,6,0)</f>
        <v>Oklahoma City</v>
      </c>
      <c r="K956" t="str">
        <f>VLOOKUP(F956,'Customers (2)'!A:I,7,0)</f>
        <v>United States</v>
      </c>
      <c r="L956" t="str">
        <f>VLOOKUP(F956,'Customers (2)'!A:I,9,0)</f>
        <v>Yes</v>
      </c>
      <c r="M956" t="str">
        <f>VLOOKUP(N956,'Products (2)'!A:G,2,0)</f>
        <v>Excelsa</v>
      </c>
      <c r="N956" t="s">
        <v>530</v>
      </c>
      <c r="O956" t="str">
        <f>VLOOKUP(N956,'Products (2)'!A:G,3,0)</f>
        <v>Dark</v>
      </c>
      <c r="P956">
        <f>VLOOKUP(N956,'Products (2)'!A:G,7,0)</f>
        <v>3.07395</v>
      </c>
      <c r="Q956">
        <v>1</v>
      </c>
      <c r="R956">
        <f>INDEX([1]products!$A$1:$G$49,MATCH([1]orders!$D956,[1]products!$A$1:$A$49,0),MATCH([1]orders!K$1,[1]products!$A$1:$G$1,0))</f>
        <v>2.5</v>
      </c>
      <c r="S956">
        <f>INDEX([1]products!$A$1:$G$49,MATCH([1]orders!$D956,[1]products!$A$1:$A$49,0),MATCH([1]orders!L$1,[1]products!$A$1:$G$1,0))</f>
        <v>27.945</v>
      </c>
      <c r="T956">
        <f t="shared" si="85"/>
        <v>27.945</v>
      </c>
      <c r="U956">
        <f t="shared" si="88"/>
        <v>3.07395</v>
      </c>
      <c r="V956">
        <f t="shared" si="89"/>
        <v>11</v>
      </c>
    </row>
    <row r="957" spans="1:22" x14ac:dyDescent="0.25">
      <c r="A957" t="s">
        <v>1840</v>
      </c>
      <c r="B957">
        <v>43582</v>
      </c>
      <c r="C957" t="str">
        <f t="shared" si="86"/>
        <v>27</v>
      </c>
      <c r="D957" t="str">
        <f t="shared" si="84"/>
        <v>April</v>
      </c>
      <c r="E957" t="str">
        <f t="shared" si="87"/>
        <v>2019</v>
      </c>
      <c r="F957" t="s">
        <v>1801</v>
      </c>
      <c r="G957" t="str">
        <f>VLOOKUP(F957,'Customers (2)'!A:I,2,0)</f>
        <v>Brenn Dundredge</v>
      </c>
      <c r="H957">
        <f>VLOOKUP(F957,'Customers (2)'!A:I,3,0)</f>
        <v>0</v>
      </c>
      <c r="I957" t="str">
        <f>VLOOKUP(F957,'Customers (2)'!A:I,4,0)</f>
        <v>+1 (405) 369-5173</v>
      </c>
      <c r="J957" t="str">
        <f>VLOOKUP(F957,'Customers (2)'!A:I,6,0)</f>
        <v>Oklahoma City</v>
      </c>
      <c r="K957" t="str">
        <f>VLOOKUP(F957,'Customers (2)'!A:I,7,0)</f>
        <v>United States</v>
      </c>
      <c r="L957" t="str">
        <f>VLOOKUP(F957,'Customers (2)'!A:I,9,0)</f>
        <v>Yes</v>
      </c>
      <c r="M957" t="str">
        <f>VLOOKUP(N957,'Products (2)'!A:G,2,0)</f>
        <v>Excelsa</v>
      </c>
      <c r="N957" t="s">
        <v>30</v>
      </c>
      <c r="O957" t="str">
        <f>VLOOKUP(N957,'Products (2)'!A:G,3,0)</f>
        <v>Light</v>
      </c>
      <c r="P957">
        <f>VLOOKUP(N957,'Products (2)'!A:G,7,0)</f>
        <v>3.7570499999999996</v>
      </c>
      <c r="Q957">
        <v>5</v>
      </c>
      <c r="R957">
        <f>INDEX([1]products!$A$1:$G$49,MATCH([1]orders!$D957,[1]products!$A$1:$A$49,0),MATCH([1]orders!K$1,[1]products!$A$1:$G$1,0))</f>
        <v>2.5</v>
      </c>
      <c r="S957">
        <f>INDEX([1]products!$A$1:$G$49,MATCH([1]orders!$D957,[1]products!$A$1:$A$49,0),MATCH([1]orders!L$1,[1]products!$A$1:$G$1,0))</f>
        <v>34.154999999999994</v>
      </c>
      <c r="T957">
        <f t="shared" si="85"/>
        <v>170.77499999999998</v>
      </c>
      <c r="U957">
        <f t="shared" si="88"/>
        <v>18.785249999999998</v>
      </c>
      <c r="V957">
        <f t="shared" si="89"/>
        <v>11</v>
      </c>
    </row>
    <row r="958" spans="1:22" x14ac:dyDescent="0.25">
      <c r="A958" t="s">
        <v>1840</v>
      </c>
      <c r="B958">
        <v>43582</v>
      </c>
      <c r="C958" t="str">
        <f t="shared" si="86"/>
        <v>27</v>
      </c>
      <c r="D958" t="str">
        <f t="shared" si="84"/>
        <v>April</v>
      </c>
      <c r="E958" t="str">
        <f t="shared" si="87"/>
        <v>2019</v>
      </c>
      <c r="F958" t="s">
        <v>1801</v>
      </c>
      <c r="G958" t="str">
        <f>VLOOKUP(F958,'Customers (2)'!A:I,2,0)</f>
        <v>Brenn Dundredge</v>
      </c>
      <c r="H958">
        <f>VLOOKUP(F958,'Customers (2)'!A:I,3,0)</f>
        <v>0</v>
      </c>
      <c r="I958" t="str">
        <f>VLOOKUP(F958,'Customers (2)'!A:I,4,0)</f>
        <v>+1 (405) 369-5173</v>
      </c>
      <c r="J958" t="str">
        <f>VLOOKUP(F958,'Customers (2)'!A:I,6,0)</f>
        <v>Oklahoma City</v>
      </c>
      <c r="K958" t="str">
        <f>VLOOKUP(F958,'Customers (2)'!A:I,7,0)</f>
        <v>United States</v>
      </c>
      <c r="L958" t="str">
        <f>VLOOKUP(F958,'Customers (2)'!A:I,9,0)</f>
        <v>Yes</v>
      </c>
      <c r="M958" t="str">
        <f>VLOOKUP(N958,'Products (2)'!A:G,2,0)</f>
        <v>Robusta</v>
      </c>
      <c r="N958" t="s">
        <v>10</v>
      </c>
      <c r="O958" t="str">
        <f>VLOOKUP(N958,'Products (2)'!A:G,3,0)</f>
        <v>Light</v>
      </c>
      <c r="P958">
        <f>VLOOKUP(N958,'Products (2)'!A:G,7,0)</f>
        <v>1.6490999999999998</v>
      </c>
      <c r="Q958">
        <v>2</v>
      </c>
      <c r="R958">
        <f>INDEX([1]products!$A$1:$G$49,MATCH([1]orders!$D958,[1]products!$A$1:$A$49,0),MATCH([1]orders!K$1,[1]products!$A$1:$G$1,0))</f>
        <v>2.5</v>
      </c>
      <c r="S958">
        <f>INDEX([1]products!$A$1:$G$49,MATCH([1]orders!$D958,[1]products!$A$1:$A$49,0),MATCH([1]orders!L$1,[1]products!$A$1:$G$1,0))</f>
        <v>27.484999999999996</v>
      </c>
      <c r="T958">
        <f t="shared" si="85"/>
        <v>54.969999999999992</v>
      </c>
      <c r="U958">
        <f t="shared" si="88"/>
        <v>3.2981999999999996</v>
      </c>
      <c r="V958">
        <f t="shared" si="89"/>
        <v>6.0000000000000009</v>
      </c>
    </row>
    <row r="959" spans="1:22" x14ac:dyDescent="0.25">
      <c r="A959" t="s">
        <v>1840</v>
      </c>
      <c r="B959">
        <v>43582</v>
      </c>
      <c r="C959" t="str">
        <f t="shared" si="86"/>
        <v>27</v>
      </c>
      <c r="D959" t="str">
        <f t="shared" si="84"/>
        <v>April</v>
      </c>
      <c r="E959" t="str">
        <f t="shared" si="87"/>
        <v>2019</v>
      </c>
      <c r="F959" t="s">
        <v>1801</v>
      </c>
      <c r="G959" t="str">
        <f>VLOOKUP(F959,'Customers (2)'!A:I,2,0)</f>
        <v>Brenn Dundredge</v>
      </c>
      <c r="H959">
        <f>VLOOKUP(F959,'Customers (2)'!A:I,3,0)</f>
        <v>0</v>
      </c>
      <c r="I959" t="str">
        <f>VLOOKUP(F959,'Customers (2)'!A:I,4,0)</f>
        <v>+1 (405) 369-5173</v>
      </c>
      <c r="J959" t="str">
        <f>VLOOKUP(F959,'Customers (2)'!A:I,6,0)</f>
        <v>Oklahoma City</v>
      </c>
      <c r="K959" t="str">
        <f>VLOOKUP(F959,'Customers (2)'!A:I,7,0)</f>
        <v>United States</v>
      </c>
      <c r="L959" t="str">
        <f>VLOOKUP(F959,'Customers (2)'!A:I,9,0)</f>
        <v>Yes</v>
      </c>
      <c r="M959" t="str">
        <f>VLOOKUP(N959,'Products (2)'!A:G,2,0)</f>
        <v>Excelsa</v>
      </c>
      <c r="N959" t="s">
        <v>137</v>
      </c>
      <c r="O959" t="str">
        <f>VLOOKUP(N959,'Products (2)'!A:G,3,0)</f>
        <v>Light</v>
      </c>
      <c r="P959">
        <f>VLOOKUP(N959,'Products (2)'!A:G,7,0)</f>
        <v>1.6335</v>
      </c>
      <c r="Q959">
        <v>1</v>
      </c>
      <c r="R959">
        <f>INDEX([1]products!$A$1:$G$49,MATCH([1]orders!$D959,[1]products!$A$1:$A$49,0),MATCH([1]orders!K$1,[1]products!$A$1:$G$1,0))</f>
        <v>1</v>
      </c>
      <c r="S959">
        <f>INDEX([1]products!$A$1:$G$49,MATCH([1]orders!$D959,[1]products!$A$1:$A$49,0),MATCH([1]orders!L$1,[1]products!$A$1:$G$1,0))</f>
        <v>14.85</v>
      </c>
      <c r="T959">
        <f t="shared" si="85"/>
        <v>14.85</v>
      </c>
      <c r="U959">
        <f t="shared" si="88"/>
        <v>1.6335</v>
      </c>
      <c r="V959">
        <f t="shared" si="89"/>
        <v>11</v>
      </c>
    </row>
    <row r="960" spans="1:22" x14ac:dyDescent="0.25">
      <c r="A960" t="s">
        <v>1840</v>
      </c>
      <c r="B960">
        <v>43582</v>
      </c>
      <c r="C960" t="str">
        <f t="shared" si="86"/>
        <v>27</v>
      </c>
      <c r="D960" t="str">
        <f t="shared" si="84"/>
        <v>April</v>
      </c>
      <c r="E960" t="str">
        <f t="shared" si="87"/>
        <v>2019</v>
      </c>
      <c r="F960" t="s">
        <v>1801</v>
      </c>
      <c r="G960" t="str">
        <f>VLOOKUP(F960,'Customers (2)'!A:I,2,0)</f>
        <v>Brenn Dundredge</v>
      </c>
      <c r="H960">
        <f>VLOOKUP(F960,'Customers (2)'!A:I,3,0)</f>
        <v>0</v>
      </c>
      <c r="I960" t="str">
        <f>VLOOKUP(F960,'Customers (2)'!A:I,4,0)</f>
        <v>+1 (405) 369-5173</v>
      </c>
      <c r="J960" t="str">
        <f>VLOOKUP(F960,'Customers (2)'!A:I,6,0)</f>
        <v>Oklahoma City</v>
      </c>
      <c r="K960" t="str">
        <f>VLOOKUP(F960,'Customers (2)'!A:I,7,0)</f>
        <v>United States</v>
      </c>
      <c r="L960" t="str">
        <f>VLOOKUP(F960,'Customers (2)'!A:I,9,0)</f>
        <v>Yes</v>
      </c>
      <c r="M960" t="str">
        <f>VLOOKUP(N960,'Products (2)'!A:G,2,0)</f>
        <v>Arabica</v>
      </c>
      <c r="N960" t="s">
        <v>115</v>
      </c>
      <c r="O960" t="str">
        <f>VLOOKUP(N960,'Products (2)'!A:G,3,0)</f>
        <v>Light</v>
      </c>
      <c r="P960">
        <f>VLOOKUP(N960,'Products (2)'!A:G,7,0)</f>
        <v>0.34964999999999996</v>
      </c>
      <c r="Q960">
        <v>2</v>
      </c>
      <c r="R960">
        <f>INDEX([1]products!$A$1:$G$49,MATCH([1]orders!$D960,[1]products!$A$1:$A$49,0),MATCH([1]orders!K$1,[1]products!$A$1:$G$1,0))</f>
        <v>0.2</v>
      </c>
      <c r="S960">
        <f>INDEX([1]products!$A$1:$G$49,MATCH([1]orders!$D960,[1]products!$A$1:$A$49,0),MATCH([1]orders!L$1,[1]products!$A$1:$G$1,0))</f>
        <v>3.8849999999999998</v>
      </c>
      <c r="T960">
        <f t="shared" si="85"/>
        <v>7.77</v>
      </c>
      <c r="U960">
        <f t="shared" si="88"/>
        <v>0.69929999999999992</v>
      </c>
      <c r="V960">
        <f t="shared" si="89"/>
        <v>9</v>
      </c>
    </row>
    <row r="961" spans="1:22" x14ac:dyDescent="0.25">
      <c r="A961" t="s">
        <v>1841</v>
      </c>
      <c r="B961">
        <v>44598</v>
      </c>
      <c r="C961" t="str">
        <f t="shared" si="86"/>
        <v>06</v>
      </c>
      <c r="D961" t="str">
        <f t="shared" si="84"/>
        <v>February</v>
      </c>
      <c r="E961" t="str">
        <f t="shared" si="87"/>
        <v>2022</v>
      </c>
      <c r="F961" t="s">
        <v>1842</v>
      </c>
      <c r="G961" t="str">
        <f>VLOOKUP(F961,'Customers (2)'!A:I,2,0)</f>
        <v>Rhodie Strathern</v>
      </c>
      <c r="H961" t="str">
        <f>VLOOKUP(F961,'Customers (2)'!A:I,3,0)</f>
        <v>rstrathernqn@devhub.com</v>
      </c>
      <c r="I961">
        <f>VLOOKUP(F961,'Customers (2)'!A:I,4,0)</f>
        <v>0</v>
      </c>
      <c r="J961" t="str">
        <f>VLOOKUP(F961,'Customers (2)'!A:I,6,0)</f>
        <v>Little Rock</v>
      </c>
      <c r="K961" t="str">
        <f>VLOOKUP(F961,'Customers (2)'!A:I,7,0)</f>
        <v>United States</v>
      </c>
      <c r="L961" t="str">
        <f>VLOOKUP(F961,'Customers (2)'!A:I,9,0)</f>
        <v>Yes</v>
      </c>
      <c r="M961" t="str">
        <f>VLOOKUP(N961,'Products (2)'!A:G,2,0)</f>
        <v>Liberica</v>
      </c>
      <c r="N961" t="s">
        <v>19</v>
      </c>
      <c r="O961" t="str">
        <f>VLOOKUP(N961,'Products (2)'!A:G,3,0)</f>
        <v>Light</v>
      </c>
      <c r="P961">
        <f>VLOOKUP(N961,'Products (2)'!A:G,7,0)</f>
        <v>0.61814999999999998</v>
      </c>
      <c r="Q961">
        <v>5</v>
      </c>
      <c r="R961">
        <f>INDEX([1]products!$A$1:$G$49,MATCH([1]orders!$D961,[1]products!$A$1:$A$49,0),MATCH([1]orders!K$1,[1]products!$A$1:$G$1,0))</f>
        <v>0.2</v>
      </c>
      <c r="S961">
        <f>INDEX([1]products!$A$1:$G$49,MATCH([1]orders!$D961,[1]products!$A$1:$A$49,0),MATCH([1]orders!L$1,[1]products!$A$1:$G$1,0))</f>
        <v>4.7549999999999999</v>
      </c>
      <c r="T961">
        <f t="shared" si="85"/>
        <v>23.774999999999999</v>
      </c>
      <c r="U961">
        <f t="shared" si="88"/>
        <v>3.0907499999999999</v>
      </c>
      <c r="V961">
        <f t="shared" si="89"/>
        <v>13</v>
      </c>
    </row>
    <row r="962" spans="1:22" x14ac:dyDescent="0.25">
      <c r="A962" t="s">
        <v>1843</v>
      </c>
      <c r="B962">
        <v>44591</v>
      </c>
      <c r="C962" t="str">
        <f t="shared" si="86"/>
        <v>30</v>
      </c>
      <c r="D962" t="str">
        <f t="shared" ref="D962:D1001" si="90">TEXT(B:B,"MMMM")</f>
        <v>January</v>
      </c>
      <c r="E962" t="str">
        <f t="shared" si="87"/>
        <v>2022</v>
      </c>
      <c r="F962" t="s">
        <v>1844</v>
      </c>
      <c r="G962" t="str">
        <f>VLOOKUP(F962,'Customers (2)'!A:I,2,0)</f>
        <v>Chad Miguel</v>
      </c>
      <c r="H962" t="str">
        <f>VLOOKUP(F962,'Customers (2)'!A:I,3,0)</f>
        <v>cmiguelqo@exblog.jp</v>
      </c>
      <c r="I962" t="str">
        <f>VLOOKUP(F962,'Customers (2)'!A:I,4,0)</f>
        <v>+1 (240) 449-8992</v>
      </c>
      <c r="J962" t="str">
        <f>VLOOKUP(F962,'Customers (2)'!A:I,6,0)</f>
        <v>Hagerstown</v>
      </c>
      <c r="K962" t="str">
        <f>VLOOKUP(F962,'Customers (2)'!A:I,7,0)</f>
        <v>United States</v>
      </c>
      <c r="L962" t="str">
        <f>VLOOKUP(F962,'Customers (2)'!A:I,9,0)</f>
        <v>Yes</v>
      </c>
      <c r="M962" t="str">
        <f>VLOOKUP(N962,'Products (2)'!A:G,2,0)</f>
        <v>Liberica</v>
      </c>
      <c r="N962" t="s">
        <v>132</v>
      </c>
      <c r="O962" t="str">
        <f>VLOOKUP(N962,'Products (2)'!A:G,3,0)</f>
        <v>Light</v>
      </c>
      <c r="P962">
        <f>VLOOKUP(N962,'Products (2)'!A:G,7,0)</f>
        <v>2.0605000000000002</v>
      </c>
      <c r="Q962">
        <v>5</v>
      </c>
      <c r="R962">
        <f>INDEX([1]products!$A$1:$G$49,MATCH([1]orders!$D962,[1]products!$A$1:$A$49,0),MATCH([1]orders!K$1,[1]products!$A$1:$G$1,0))</f>
        <v>1</v>
      </c>
      <c r="S962">
        <f>INDEX([1]products!$A$1:$G$49,MATCH([1]orders!$D962,[1]products!$A$1:$A$49,0),MATCH([1]orders!L$1,[1]products!$A$1:$G$1,0))</f>
        <v>15.85</v>
      </c>
      <c r="T962">
        <f t="shared" ref="T962:T1001" si="91">Q962*S962</f>
        <v>79.25</v>
      </c>
      <c r="U962">
        <f t="shared" si="88"/>
        <v>10.302500000000002</v>
      </c>
      <c r="V962">
        <f t="shared" si="89"/>
        <v>13.000000000000004</v>
      </c>
    </row>
    <row r="963" spans="1:22" x14ac:dyDescent="0.25">
      <c r="A963" t="s">
        <v>1845</v>
      </c>
      <c r="B963">
        <v>44158</v>
      </c>
      <c r="C963" t="str">
        <f t="shared" ref="C963:C1001" si="92">TEXT(B:B,"DD")</f>
        <v>23</v>
      </c>
      <c r="D963" t="str">
        <f t="shared" si="90"/>
        <v>November</v>
      </c>
      <c r="E963" t="str">
        <f t="shared" ref="E963:E1001" si="93">TEXT(B:B,"yyyy")</f>
        <v>2020</v>
      </c>
      <c r="F963" t="s">
        <v>1846</v>
      </c>
      <c r="G963" t="str">
        <f>VLOOKUP(F963,'Customers (2)'!A:I,2,0)</f>
        <v>Florinda Matusovsky</v>
      </c>
      <c r="H963">
        <f>VLOOKUP(F963,'Customers (2)'!A:I,3,0)</f>
        <v>0</v>
      </c>
      <c r="I963" t="str">
        <f>VLOOKUP(F963,'Customers (2)'!A:I,4,0)</f>
        <v>+1 (518) 618-9919</v>
      </c>
      <c r="J963" t="str">
        <f>VLOOKUP(F963,'Customers (2)'!A:I,6,0)</f>
        <v>Albany</v>
      </c>
      <c r="K963" t="str">
        <f>VLOOKUP(F963,'Customers (2)'!A:I,7,0)</f>
        <v>United States</v>
      </c>
      <c r="L963" t="str">
        <f>VLOOKUP(F963,'Customers (2)'!A:I,9,0)</f>
        <v>Yes</v>
      </c>
      <c r="M963" t="str">
        <f>VLOOKUP(N963,'Products (2)'!A:G,2,0)</f>
        <v>Arabica</v>
      </c>
      <c r="N963" t="s">
        <v>118</v>
      </c>
      <c r="O963" t="str">
        <f>VLOOKUP(N963,'Products (2)'!A:G,3,0)</f>
        <v>Dark</v>
      </c>
      <c r="P963">
        <f>VLOOKUP(N963,'Products (2)'!A:G,7,0)</f>
        <v>2.0596499999999995</v>
      </c>
      <c r="Q963">
        <v>2</v>
      </c>
      <c r="R963">
        <f>INDEX([1]products!$A$1:$G$49,MATCH([1]orders!$D963,[1]products!$A$1:$A$49,0),MATCH([1]orders!K$1,[1]products!$A$1:$G$1,0))</f>
        <v>2.5</v>
      </c>
      <c r="S963">
        <f>INDEX([1]products!$A$1:$G$49,MATCH([1]orders!$D963,[1]products!$A$1:$A$49,0),MATCH([1]orders!L$1,[1]products!$A$1:$G$1,0))</f>
        <v>22.884999999999998</v>
      </c>
      <c r="T963">
        <f t="shared" si="91"/>
        <v>45.769999999999996</v>
      </c>
      <c r="U963">
        <f t="shared" ref="U963:U1001" si="94">Q963*P963</f>
        <v>4.1192999999999991</v>
      </c>
      <c r="V963">
        <f t="shared" ref="V963:V1001" si="95">U963/T963*100</f>
        <v>8.9999999999999982</v>
      </c>
    </row>
    <row r="964" spans="1:22" x14ac:dyDescent="0.25">
      <c r="A964" t="s">
        <v>1847</v>
      </c>
      <c r="B964">
        <v>44664</v>
      </c>
      <c r="C964" t="str">
        <f t="shared" si="92"/>
        <v>13</v>
      </c>
      <c r="D964" t="str">
        <f t="shared" si="90"/>
        <v>April</v>
      </c>
      <c r="E964" t="str">
        <f t="shared" si="93"/>
        <v>2022</v>
      </c>
      <c r="F964" t="s">
        <v>1848</v>
      </c>
      <c r="G964" t="str">
        <f>VLOOKUP(F964,'Customers (2)'!A:I,2,0)</f>
        <v>Morly Rocks</v>
      </c>
      <c r="H964" t="str">
        <f>VLOOKUP(F964,'Customers (2)'!A:I,3,0)</f>
        <v>mrocksqq@exblog.jp</v>
      </c>
      <c r="I964" t="str">
        <f>VLOOKUP(F964,'Customers (2)'!A:I,4,0)</f>
        <v>+353 (731) 124-0228</v>
      </c>
      <c r="J964" t="str">
        <f>VLOOKUP(F964,'Customers (2)'!A:I,6,0)</f>
        <v>Crossmolina</v>
      </c>
      <c r="K964" t="str">
        <f>VLOOKUP(F964,'Customers (2)'!A:I,7,0)</f>
        <v>Ireland</v>
      </c>
      <c r="L964" t="str">
        <f>VLOOKUP(F964,'Customers (2)'!A:I,9,0)</f>
        <v>Yes</v>
      </c>
      <c r="M964" t="str">
        <f>VLOOKUP(N964,'Products (2)'!A:G,2,0)</f>
        <v>Robusta</v>
      </c>
      <c r="N964" t="s">
        <v>179</v>
      </c>
      <c r="O964" t="str">
        <f>VLOOKUP(N964,'Products (2)'!A:G,3,0)</f>
        <v>Dark</v>
      </c>
      <c r="P964">
        <f>VLOOKUP(N964,'Products (2)'!A:G,7,0)</f>
        <v>0.53699999999999992</v>
      </c>
      <c r="Q964">
        <v>1</v>
      </c>
      <c r="R964">
        <f>INDEX([1]products!$A$1:$G$49,MATCH([1]orders!$D964,[1]products!$A$1:$A$49,0),MATCH([1]orders!K$1,[1]products!$A$1:$G$1,0))</f>
        <v>1</v>
      </c>
      <c r="S964">
        <f>INDEX([1]products!$A$1:$G$49,MATCH([1]orders!$D964,[1]products!$A$1:$A$49,0),MATCH([1]orders!L$1,[1]products!$A$1:$G$1,0))</f>
        <v>8.9499999999999993</v>
      </c>
      <c r="T964">
        <f t="shared" si="91"/>
        <v>8.9499999999999993</v>
      </c>
      <c r="U964">
        <f t="shared" si="94"/>
        <v>0.53699999999999992</v>
      </c>
      <c r="V964">
        <f t="shared" si="95"/>
        <v>6</v>
      </c>
    </row>
    <row r="965" spans="1:22" x14ac:dyDescent="0.25">
      <c r="A965" t="s">
        <v>1849</v>
      </c>
      <c r="B965">
        <v>44203</v>
      </c>
      <c r="C965" t="str">
        <f t="shared" si="92"/>
        <v>07</v>
      </c>
      <c r="D965" t="str">
        <f t="shared" si="90"/>
        <v>January</v>
      </c>
      <c r="E965" t="str">
        <f t="shared" si="93"/>
        <v>2021</v>
      </c>
      <c r="F965" t="s">
        <v>1850</v>
      </c>
      <c r="G965" t="str">
        <f>VLOOKUP(F965,'Customers (2)'!A:I,2,0)</f>
        <v>Yuri Burrells</v>
      </c>
      <c r="H965" t="str">
        <f>VLOOKUP(F965,'Customers (2)'!A:I,3,0)</f>
        <v>yburrellsqr@vinaora.com</v>
      </c>
      <c r="I965" t="str">
        <f>VLOOKUP(F965,'Customers (2)'!A:I,4,0)</f>
        <v>+1 (859) 101-4742</v>
      </c>
      <c r="J965" t="str">
        <f>VLOOKUP(F965,'Customers (2)'!A:I,6,0)</f>
        <v>Lexington</v>
      </c>
      <c r="K965" t="str">
        <f>VLOOKUP(F965,'Customers (2)'!A:I,7,0)</f>
        <v>United States</v>
      </c>
      <c r="L965" t="str">
        <f>VLOOKUP(F965,'Customers (2)'!A:I,9,0)</f>
        <v>Yes</v>
      </c>
      <c r="M965" t="str">
        <f>VLOOKUP(N965,'Products (2)'!A:G,2,0)</f>
        <v>Robusta</v>
      </c>
      <c r="N965" t="s">
        <v>22</v>
      </c>
      <c r="O965" t="str">
        <f>VLOOKUP(N965,'Products (2)'!A:G,3,0)</f>
        <v>Medium</v>
      </c>
      <c r="P965">
        <f>VLOOKUP(N965,'Products (2)'!A:G,7,0)</f>
        <v>0.35819999999999996</v>
      </c>
      <c r="Q965">
        <v>4</v>
      </c>
      <c r="R965">
        <f>INDEX([1]products!$A$1:$G$49,MATCH([1]orders!$D965,[1]products!$A$1:$A$49,0),MATCH([1]orders!K$1,[1]products!$A$1:$G$1,0))</f>
        <v>0.5</v>
      </c>
      <c r="S965">
        <f>INDEX([1]products!$A$1:$G$49,MATCH([1]orders!$D965,[1]products!$A$1:$A$49,0),MATCH([1]orders!L$1,[1]products!$A$1:$G$1,0))</f>
        <v>5.97</v>
      </c>
      <c r="T965">
        <f t="shared" si="91"/>
        <v>23.88</v>
      </c>
      <c r="U965">
        <f t="shared" si="94"/>
        <v>1.4327999999999999</v>
      </c>
      <c r="V965">
        <f t="shared" si="95"/>
        <v>6</v>
      </c>
    </row>
    <row r="966" spans="1:22" x14ac:dyDescent="0.25">
      <c r="A966" t="s">
        <v>1851</v>
      </c>
      <c r="B966">
        <v>43865</v>
      </c>
      <c r="C966" t="str">
        <f t="shared" si="92"/>
        <v>04</v>
      </c>
      <c r="D966" t="str">
        <f t="shared" si="90"/>
        <v>February</v>
      </c>
      <c r="E966" t="str">
        <f t="shared" si="93"/>
        <v>2020</v>
      </c>
      <c r="F966" t="s">
        <v>1852</v>
      </c>
      <c r="G966" t="str">
        <f>VLOOKUP(F966,'Customers (2)'!A:I,2,0)</f>
        <v>Cleopatra Goodrum</v>
      </c>
      <c r="H966" t="str">
        <f>VLOOKUP(F966,'Customers (2)'!A:I,3,0)</f>
        <v>cgoodrumqs@goodreads.com</v>
      </c>
      <c r="I966" t="str">
        <f>VLOOKUP(F966,'Customers (2)'!A:I,4,0)</f>
        <v>+1 (619) 944-5888</v>
      </c>
      <c r="J966" t="str">
        <f>VLOOKUP(F966,'Customers (2)'!A:I,6,0)</f>
        <v>San Diego</v>
      </c>
      <c r="K966" t="str">
        <f>VLOOKUP(F966,'Customers (2)'!A:I,7,0)</f>
        <v>United States</v>
      </c>
      <c r="L966" t="str">
        <f>VLOOKUP(F966,'Customers (2)'!A:I,9,0)</f>
        <v>No</v>
      </c>
      <c r="M966" t="str">
        <f>VLOOKUP(N966,'Products (2)'!A:G,2,0)</f>
        <v>Excelsa</v>
      </c>
      <c r="N966" t="s">
        <v>254</v>
      </c>
      <c r="O966" t="str">
        <f>VLOOKUP(N966,'Products (2)'!A:G,3,0)</f>
        <v>Light</v>
      </c>
      <c r="P966">
        <f>VLOOKUP(N966,'Products (2)'!A:G,7,0)</f>
        <v>0.49004999999999999</v>
      </c>
      <c r="Q966">
        <v>5</v>
      </c>
      <c r="R966">
        <f>INDEX([1]products!$A$1:$G$49,MATCH([1]orders!$D966,[1]products!$A$1:$A$49,0),MATCH([1]orders!K$1,[1]products!$A$1:$G$1,0))</f>
        <v>0.2</v>
      </c>
      <c r="S966">
        <f>INDEX([1]products!$A$1:$G$49,MATCH([1]orders!$D966,[1]products!$A$1:$A$49,0),MATCH([1]orders!L$1,[1]products!$A$1:$G$1,0))</f>
        <v>4.4550000000000001</v>
      </c>
      <c r="T966">
        <f t="shared" si="91"/>
        <v>22.274999999999999</v>
      </c>
      <c r="U966">
        <f t="shared" si="94"/>
        <v>2.45025</v>
      </c>
      <c r="V966">
        <f t="shared" si="95"/>
        <v>11.000000000000002</v>
      </c>
    </row>
    <row r="967" spans="1:22" x14ac:dyDescent="0.25">
      <c r="A967" t="s">
        <v>1853</v>
      </c>
      <c r="B967">
        <v>43724</v>
      </c>
      <c r="C967" t="str">
        <f t="shared" si="92"/>
        <v>16</v>
      </c>
      <c r="D967" t="str">
        <f t="shared" si="90"/>
        <v>September</v>
      </c>
      <c r="E967" t="str">
        <f t="shared" si="93"/>
        <v>2019</v>
      </c>
      <c r="F967" t="s">
        <v>1854</v>
      </c>
      <c r="G967" t="str">
        <f>VLOOKUP(F967,'Customers (2)'!A:I,2,0)</f>
        <v>Joey Jefferys</v>
      </c>
      <c r="H967" t="str">
        <f>VLOOKUP(F967,'Customers (2)'!A:I,3,0)</f>
        <v>jjefferysqt@blog.com</v>
      </c>
      <c r="I967">
        <f>VLOOKUP(F967,'Customers (2)'!A:I,4,0)</f>
        <v>0</v>
      </c>
      <c r="J967" t="str">
        <f>VLOOKUP(F967,'Customers (2)'!A:I,6,0)</f>
        <v>Los Angeles</v>
      </c>
      <c r="K967" t="str">
        <f>VLOOKUP(F967,'Customers (2)'!A:I,7,0)</f>
        <v>United States</v>
      </c>
      <c r="L967" t="str">
        <f>VLOOKUP(F967,'Customers (2)'!A:I,9,0)</f>
        <v>Yes</v>
      </c>
      <c r="M967" t="str">
        <f>VLOOKUP(N967,'Products (2)'!A:G,2,0)</f>
        <v>Robusta</v>
      </c>
      <c r="N967" t="s">
        <v>2</v>
      </c>
      <c r="O967" t="str">
        <f>VLOOKUP(N967,'Products (2)'!A:G,3,0)</f>
        <v>Medium</v>
      </c>
      <c r="P967">
        <f>VLOOKUP(N967,'Products (2)'!A:G,7,0)</f>
        <v>0.59699999999999998</v>
      </c>
      <c r="Q967">
        <v>3</v>
      </c>
      <c r="R967">
        <f>INDEX([1]products!$A$1:$G$49,MATCH([1]orders!$D967,[1]products!$A$1:$A$49,0),MATCH([1]orders!K$1,[1]products!$A$1:$G$1,0))</f>
        <v>1</v>
      </c>
      <c r="S967">
        <f>INDEX([1]products!$A$1:$G$49,MATCH([1]orders!$D967,[1]products!$A$1:$A$49,0),MATCH([1]orders!L$1,[1]products!$A$1:$G$1,0))</f>
        <v>9.9499999999999993</v>
      </c>
      <c r="T967">
        <f t="shared" si="91"/>
        <v>29.849999999999998</v>
      </c>
      <c r="U967">
        <f t="shared" si="94"/>
        <v>1.7909999999999999</v>
      </c>
      <c r="V967">
        <f t="shared" si="95"/>
        <v>6.0000000000000009</v>
      </c>
    </row>
    <row r="968" spans="1:22" x14ac:dyDescent="0.25">
      <c r="A968" t="s">
        <v>1855</v>
      </c>
      <c r="B968">
        <v>43491</v>
      </c>
      <c r="C968" t="str">
        <f t="shared" si="92"/>
        <v>26</v>
      </c>
      <c r="D968" t="str">
        <f t="shared" si="90"/>
        <v>January</v>
      </c>
      <c r="E968" t="str">
        <f t="shared" si="93"/>
        <v>2019</v>
      </c>
      <c r="F968" t="s">
        <v>1856</v>
      </c>
      <c r="G968" t="str">
        <f>VLOOKUP(F968,'Customers (2)'!A:I,2,0)</f>
        <v>Bearnard Wardell</v>
      </c>
      <c r="H968" t="str">
        <f>VLOOKUP(F968,'Customers (2)'!A:I,3,0)</f>
        <v>bwardellqu@adobe.com</v>
      </c>
      <c r="I968" t="str">
        <f>VLOOKUP(F968,'Customers (2)'!A:I,4,0)</f>
        <v>+1 (347) 311-2289</v>
      </c>
      <c r="J968" t="str">
        <f>VLOOKUP(F968,'Customers (2)'!A:I,6,0)</f>
        <v>Brooklyn</v>
      </c>
      <c r="K968" t="str">
        <f>VLOOKUP(F968,'Customers (2)'!A:I,7,0)</f>
        <v>United States</v>
      </c>
      <c r="L968" t="str">
        <f>VLOOKUP(F968,'Customers (2)'!A:I,9,0)</f>
        <v>Yes</v>
      </c>
      <c r="M968" t="str">
        <f>VLOOKUP(N968,'Products (2)'!A:G,2,0)</f>
        <v>Excelsa</v>
      </c>
      <c r="N968" t="s">
        <v>176</v>
      </c>
      <c r="O968" t="str">
        <f>VLOOKUP(N968,'Products (2)'!A:G,3,0)</f>
        <v>Light</v>
      </c>
      <c r="P968">
        <f>VLOOKUP(N968,'Products (2)'!A:G,7,0)</f>
        <v>0.98009999999999997</v>
      </c>
      <c r="Q968">
        <v>6</v>
      </c>
      <c r="R968">
        <f>INDEX([1]products!$A$1:$G$49,MATCH([1]orders!$D968,[1]products!$A$1:$A$49,0),MATCH([1]orders!K$1,[1]products!$A$1:$G$1,0))</f>
        <v>0.5</v>
      </c>
      <c r="S968">
        <f>INDEX([1]products!$A$1:$G$49,MATCH([1]orders!$D968,[1]products!$A$1:$A$49,0),MATCH([1]orders!L$1,[1]products!$A$1:$G$1,0))</f>
        <v>8.91</v>
      </c>
      <c r="T968">
        <f t="shared" si="91"/>
        <v>53.46</v>
      </c>
      <c r="U968">
        <f t="shared" si="94"/>
        <v>5.8805999999999994</v>
      </c>
      <c r="V968">
        <f t="shared" si="95"/>
        <v>10.999999999999998</v>
      </c>
    </row>
    <row r="969" spans="1:22" x14ac:dyDescent="0.25">
      <c r="A969" t="s">
        <v>1857</v>
      </c>
      <c r="B969">
        <v>44246</v>
      </c>
      <c r="C969" t="str">
        <f t="shared" si="92"/>
        <v>19</v>
      </c>
      <c r="D969" t="str">
        <f t="shared" si="90"/>
        <v>February</v>
      </c>
      <c r="E969" t="str">
        <f t="shared" si="93"/>
        <v>2021</v>
      </c>
      <c r="F969" t="s">
        <v>1858</v>
      </c>
      <c r="G969" t="str">
        <f>VLOOKUP(F969,'Customers (2)'!A:I,2,0)</f>
        <v>Zeke Walisiak</v>
      </c>
      <c r="H969" t="str">
        <f>VLOOKUP(F969,'Customers (2)'!A:I,3,0)</f>
        <v>zwalisiakqv@ucsd.edu</v>
      </c>
      <c r="I969" t="str">
        <f>VLOOKUP(F969,'Customers (2)'!A:I,4,0)</f>
        <v>+353 (848) 172-8155</v>
      </c>
      <c r="J969" t="str">
        <f>VLOOKUP(F969,'Customers (2)'!A:I,6,0)</f>
        <v>Booterstown</v>
      </c>
      <c r="K969" t="str">
        <f>VLOOKUP(F969,'Customers (2)'!A:I,7,0)</f>
        <v>Ireland</v>
      </c>
      <c r="L969" t="str">
        <f>VLOOKUP(F969,'Customers (2)'!A:I,9,0)</f>
        <v>Yes</v>
      </c>
      <c r="M969" t="str">
        <f>VLOOKUP(N969,'Products (2)'!A:G,2,0)</f>
        <v>Robusta</v>
      </c>
      <c r="N969" t="s">
        <v>101</v>
      </c>
      <c r="O969" t="str">
        <f>VLOOKUP(N969,'Products (2)'!A:G,3,0)</f>
        <v>Dark</v>
      </c>
      <c r="P969">
        <f>VLOOKUP(N969,'Products (2)'!A:G,7,0)</f>
        <v>0.16109999999999997</v>
      </c>
      <c r="Q969">
        <v>1</v>
      </c>
      <c r="R969">
        <f>INDEX([1]products!$A$1:$G$49,MATCH([1]orders!$D969,[1]products!$A$1:$A$49,0),MATCH([1]orders!K$1,[1]products!$A$1:$G$1,0))</f>
        <v>0.2</v>
      </c>
      <c r="S969">
        <f>INDEX([1]products!$A$1:$G$49,MATCH([1]orders!$D969,[1]products!$A$1:$A$49,0),MATCH([1]orders!L$1,[1]products!$A$1:$G$1,0))</f>
        <v>2.6849999999999996</v>
      </c>
      <c r="T969">
        <f t="shared" si="91"/>
        <v>2.6849999999999996</v>
      </c>
      <c r="U969">
        <f t="shared" si="94"/>
        <v>0.16109999999999997</v>
      </c>
      <c r="V969">
        <f t="shared" si="95"/>
        <v>6</v>
      </c>
    </row>
    <row r="970" spans="1:22" x14ac:dyDescent="0.25">
      <c r="A970" t="s">
        <v>1859</v>
      </c>
      <c r="B970">
        <v>44642</v>
      </c>
      <c r="C970" t="str">
        <f t="shared" si="92"/>
        <v>22</v>
      </c>
      <c r="D970" t="str">
        <f t="shared" si="90"/>
        <v>March</v>
      </c>
      <c r="E970" t="str">
        <f t="shared" si="93"/>
        <v>2022</v>
      </c>
      <c r="F970" t="s">
        <v>1860</v>
      </c>
      <c r="G970" t="str">
        <f>VLOOKUP(F970,'Customers (2)'!A:I,2,0)</f>
        <v>Wiley Leopold</v>
      </c>
      <c r="H970" t="str">
        <f>VLOOKUP(F970,'Customers (2)'!A:I,3,0)</f>
        <v>wleopoldqw@blogspot.com</v>
      </c>
      <c r="I970" t="str">
        <f>VLOOKUP(F970,'Customers (2)'!A:I,4,0)</f>
        <v>+1 (352) 173-9191</v>
      </c>
      <c r="J970" t="str">
        <f>VLOOKUP(F970,'Customers (2)'!A:I,6,0)</f>
        <v>Gainesville</v>
      </c>
      <c r="K970" t="str">
        <f>VLOOKUP(F970,'Customers (2)'!A:I,7,0)</f>
        <v>United States</v>
      </c>
      <c r="L970" t="str">
        <f>VLOOKUP(F970,'Customers (2)'!A:I,9,0)</f>
        <v>No</v>
      </c>
      <c r="M970" t="str">
        <f>VLOOKUP(N970,'Products (2)'!A:G,2,0)</f>
        <v>Robusta</v>
      </c>
      <c r="N970" t="s">
        <v>162</v>
      </c>
      <c r="O970" t="str">
        <f>VLOOKUP(N970,'Products (2)'!A:G,3,0)</f>
        <v>Medium</v>
      </c>
      <c r="P970">
        <f>VLOOKUP(N970,'Products (2)'!A:G,7,0)</f>
        <v>0.17909999999999998</v>
      </c>
      <c r="Q970">
        <v>2</v>
      </c>
      <c r="R970">
        <f>INDEX([1]products!$A$1:$G$49,MATCH([1]orders!$D970,[1]products!$A$1:$A$49,0),MATCH([1]orders!K$1,[1]products!$A$1:$G$1,0))</f>
        <v>0.2</v>
      </c>
      <c r="S970">
        <f>INDEX([1]products!$A$1:$G$49,MATCH([1]orders!$D970,[1]products!$A$1:$A$49,0),MATCH([1]orders!L$1,[1]products!$A$1:$G$1,0))</f>
        <v>2.9849999999999999</v>
      </c>
      <c r="T970">
        <f t="shared" si="91"/>
        <v>5.97</v>
      </c>
      <c r="U970">
        <f t="shared" si="94"/>
        <v>0.35819999999999996</v>
      </c>
      <c r="V970">
        <f t="shared" si="95"/>
        <v>6</v>
      </c>
    </row>
    <row r="971" spans="1:22" x14ac:dyDescent="0.25">
      <c r="A971" t="s">
        <v>1861</v>
      </c>
      <c r="B971">
        <v>43649</v>
      </c>
      <c r="C971" t="str">
        <f t="shared" si="92"/>
        <v>03</v>
      </c>
      <c r="D971" t="str">
        <f t="shared" si="90"/>
        <v>July</v>
      </c>
      <c r="E971" t="str">
        <f t="shared" si="93"/>
        <v>2019</v>
      </c>
      <c r="F971" t="s">
        <v>1862</v>
      </c>
      <c r="G971" t="str">
        <f>VLOOKUP(F971,'Customers (2)'!A:I,2,0)</f>
        <v>Chiarra Shalders</v>
      </c>
      <c r="H971" t="str">
        <f>VLOOKUP(F971,'Customers (2)'!A:I,3,0)</f>
        <v>cshaldersqx@cisco.com</v>
      </c>
      <c r="I971" t="str">
        <f>VLOOKUP(F971,'Customers (2)'!A:I,4,0)</f>
        <v>+1 (305) 787-2810</v>
      </c>
      <c r="J971" t="str">
        <f>VLOOKUP(F971,'Customers (2)'!A:I,6,0)</f>
        <v>Clearwater</v>
      </c>
      <c r="K971" t="str">
        <f>VLOOKUP(F971,'Customers (2)'!A:I,7,0)</f>
        <v>United States</v>
      </c>
      <c r="L971" t="str">
        <f>VLOOKUP(F971,'Customers (2)'!A:I,9,0)</f>
        <v>Yes</v>
      </c>
      <c r="M971" t="str">
        <f>VLOOKUP(N971,'Products (2)'!A:G,2,0)</f>
        <v>Liberica</v>
      </c>
      <c r="N971" t="s">
        <v>13</v>
      </c>
      <c r="O971" t="str">
        <f>VLOOKUP(N971,'Products (2)'!A:G,3,0)</f>
        <v>Dark</v>
      </c>
      <c r="P971">
        <f>VLOOKUP(N971,'Products (2)'!A:G,7,0)</f>
        <v>1.6835</v>
      </c>
      <c r="Q971">
        <v>1</v>
      </c>
      <c r="R971">
        <f>INDEX([1]products!$A$1:$G$49,MATCH([1]orders!$D971,[1]products!$A$1:$A$49,0),MATCH([1]orders!K$1,[1]products!$A$1:$G$1,0))</f>
        <v>1</v>
      </c>
      <c r="S971">
        <f>INDEX([1]products!$A$1:$G$49,MATCH([1]orders!$D971,[1]products!$A$1:$A$49,0),MATCH([1]orders!L$1,[1]products!$A$1:$G$1,0))</f>
        <v>12.95</v>
      </c>
      <c r="T971">
        <f t="shared" si="91"/>
        <v>12.95</v>
      </c>
      <c r="U971">
        <f t="shared" si="94"/>
        <v>1.6835</v>
      </c>
      <c r="V971">
        <f t="shared" si="95"/>
        <v>13</v>
      </c>
    </row>
    <row r="972" spans="1:22" x14ac:dyDescent="0.25">
      <c r="A972" t="s">
        <v>1863</v>
      </c>
      <c r="B972">
        <v>43729</v>
      </c>
      <c r="C972" t="str">
        <f t="shared" si="92"/>
        <v>21</v>
      </c>
      <c r="D972" t="str">
        <f t="shared" si="90"/>
        <v>September</v>
      </c>
      <c r="E972" t="str">
        <f t="shared" si="93"/>
        <v>2019</v>
      </c>
      <c r="F972" t="s">
        <v>1864</v>
      </c>
      <c r="G972" t="str">
        <f>VLOOKUP(F972,'Customers (2)'!A:I,2,0)</f>
        <v>Sharl Southerill</v>
      </c>
      <c r="H972">
        <f>VLOOKUP(F972,'Customers (2)'!A:I,3,0)</f>
        <v>0</v>
      </c>
      <c r="I972" t="str">
        <f>VLOOKUP(F972,'Customers (2)'!A:I,4,0)</f>
        <v>+1 (865) 959-4075</v>
      </c>
      <c r="J972" t="str">
        <f>VLOOKUP(F972,'Customers (2)'!A:I,6,0)</f>
        <v>Amarillo</v>
      </c>
      <c r="K972" t="str">
        <f>VLOOKUP(F972,'Customers (2)'!A:I,7,0)</f>
        <v>United States</v>
      </c>
      <c r="L972" t="str">
        <f>VLOOKUP(F972,'Customers (2)'!A:I,9,0)</f>
        <v>No</v>
      </c>
      <c r="M972" t="str">
        <f>VLOOKUP(N972,'Products (2)'!A:G,2,0)</f>
        <v>Excelsa</v>
      </c>
      <c r="N972" t="s">
        <v>3</v>
      </c>
      <c r="O972" t="str">
        <f>VLOOKUP(N972,'Products (2)'!A:G,3,0)</f>
        <v>Medium</v>
      </c>
      <c r="P972">
        <f>VLOOKUP(N972,'Products (2)'!A:G,7,0)</f>
        <v>0.90749999999999997</v>
      </c>
      <c r="Q972">
        <v>1</v>
      </c>
      <c r="R972">
        <f>INDEX([1]products!$A$1:$G$49,MATCH([1]orders!$D972,[1]products!$A$1:$A$49,0),MATCH([1]orders!K$1,[1]products!$A$1:$G$1,0))</f>
        <v>0.5</v>
      </c>
      <c r="S972">
        <f>INDEX([1]products!$A$1:$G$49,MATCH([1]orders!$D972,[1]products!$A$1:$A$49,0),MATCH([1]orders!L$1,[1]products!$A$1:$G$1,0))</f>
        <v>8.25</v>
      </c>
      <c r="T972">
        <f t="shared" si="91"/>
        <v>8.25</v>
      </c>
      <c r="U972">
        <f t="shared" si="94"/>
        <v>0.90749999999999997</v>
      </c>
      <c r="V972">
        <f t="shared" si="95"/>
        <v>11</v>
      </c>
    </row>
    <row r="973" spans="1:22" x14ac:dyDescent="0.25">
      <c r="A973" t="s">
        <v>1865</v>
      </c>
      <c r="B973">
        <v>43703</v>
      </c>
      <c r="C973" t="str">
        <f t="shared" si="92"/>
        <v>26</v>
      </c>
      <c r="D973" t="str">
        <f t="shared" si="90"/>
        <v>August</v>
      </c>
      <c r="E973" t="str">
        <f t="shared" si="93"/>
        <v>2019</v>
      </c>
      <c r="F973" t="s">
        <v>1866</v>
      </c>
      <c r="G973" t="str">
        <f>VLOOKUP(F973,'Customers (2)'!A:I,2,0)</f>
        <v>Noni Furber</v>
      </c>
      <c r="H973" t="str">
        <f>VLOOKUP(F973,'Customers (2)'!A:I,3,0)</f>
        <v>nfurberqz@jugem.jp</v>
      </c>
      <c r="I973" t="str">
        <f>VLOOKUP(F973,'Customers (2)'!A:I,4,0)</f>
        <v>+1 (817) 813-2784</v>
      </c>
      <c r="J973" t="str">
        <f>VLOOKUP(F973,'Customers (2)'!A:I,6,0)</f>
        <v>Fort Worth</v>
      </c>
      <c r="K973" t="str">
        <f>VLOOKUP(F973,'Customers (2)'!A:I,7,0)</f>
        <v>United States</v>
      </c>
      <c r="L973" t="str">
        <f>VLOOKUP(F973,'Customers (2)'!A:I,9,0)</f>
        <v>No</v>
      </c>
      <c r="M973" t="str">
        <f>VLOOKUP(N973,'Products (2)'!A:G,2,0)</f>
        <v>Arabica</v>
      </c>
      <c r="N973" t="s">
        <v>204</v>
      </c>
      <c r="O973" t="str">
        <f>VLOOKUP(N973,'Products (2)'!A:G,3,0)</f>
        <v>Light</v>
      </c>
      <c r="P973">
        <f>VLOOKUP(N973,'Products (2)'!A:G,7,0)</f>
        <v>2.6806499999999995</v>
      </c>
      <c r="Q973">
        <v>5</v>
      </c>
      <c r="R973">
        <f>INDEX([1]products!$A$1:$G$49,MATCH([1]orders!$D973,[1]products!$A$1:$A$49,0),MATCH([1]orders!K$1,[1]products!$A$1:$G$1,0))</f>
        <v>2.5</v>
      </c>
      <c r="S973">
        <f>INDEX([1]products!$A$1:$G$49,MATCH([1]orders!$D973,[1]products!$A$1:$A$49,0),MATCH([1]orders!L$1,[1]products!$A$1:$G$1,0))</f>
        <v>29.784999999999997</v>
      </c>
      <c r="T973">
        <f t="shared" si="91"/>
        <v>148.92499999999998</v>
      </c>
      <c r="U973">
        <f t="shared" si="94"/>
        <v>13.403249999999998</v>
      </c>
      <c r="V973">
        <f t="shared" si="95"/>
        <v>9</v>
      </c>
    </row>
    <row r="974" spans="1:22" x14ac:dyDescent="0.25">
      <c r="A974" t="s">
        <v>1867</v>
      </c>
      <c r="B974">
        <v>44411</v>
      </c>
      <c r="C974" t="str">
        <f t="shared" si="92"/>
        <v>03</v>
      </c>
      <c r="D974" t="str">
        <f t="shared" si="90"/>
        <v>August</v>
      </c>
      <c r="E974" t="str">
        <f t="shared" si="93"/>
        <v>2021</v>
      </c>
      <c r="F974" t="s">
        <v>1868</v>
      </c>
      <c r="G974" t="str">
        <f>VLOOKUP(F974,'Customers (2)'!A:I,2,0)</f>
        <v>Dinah Crutcher</v>
      </c>
      <c r="H974">
        <f>VLOOKUP(F974,'Customers (2)'!A:I,3,0)</f>
        <v>0</v>
      </c>
      <c r="I974" t="str">
        <f>VLOOKUP(F974,'Customers (2)'!A:I,4,0)</f>
        <v>+353 (706) 448-6304</v>
      </c>
      <c r="J974" t="str">
        <f>VLOOKUP(F974,'Customers (2)'!A:I,6,0)</f>
        <v>Lusk</v>
      </c>
      <c r="K974" t="str">
        <f>VLOOKUP(F974,'Customers (2)'!A:I,7,0)</f>
        <v>Ireland</v>
      </c>
      <c r="L974" t="str">
        <f>VLOOKUP(F974,'Customers (2)'!A:I,9,0)</f>
        <v>Yes</v>
      </c>
      <c r="M974" t="str">
        <f>VLOOKUP(N974,'Products (2)'!A:G,2,0)</f>
        <v>Arabica</v>
      </c>
      <c r="N974" t="s">
        <v>204</v>
      </c>
      <c r="O974" t="str">
        <f>VLOOKUP(N974,'Products (2)'!A:G,3,0)</f>
        <v>Light</v>
      </c>
      <c r="P974">
        <f>VLOOKUP(N974,'Products (2)'!A:G,7,0)</f>
        <v>2.6806499999999995</v>
      </c>
      <c r="Q974">
        <v>3</v>
      </c>
      <c r="R974">
        <f>INDEX([1]products!$A$1:$G$49,MATCH([1]orders!$D974,[1]products!$A$1:$A$49,0),MATCH([1]orders!K$1,[1]products!$A$1:$G$1,0))</f>
        <v>2.5</v>
      </c>
      <c r="S974">
        <f>INDEX([1]products!$A$1:$G$49,MATCH([1]orders!$D974,[1]products!$A$1:$A$49,0),MATCH([1]orders!L$1,[1]products!$A$1:$G$1,0))</f>
        <v>29.784999999999997</v>
      </c>
      <c r="T974">
        <f t="shared" si="91"/>
        <v>89.35499999999999</v>
      </c>
      <c r="U974">
        <f t="shared" si="94"/>
        <v>8.0419499999999982</v>
      </c>
      <c r="V974">
        <f t="shared" si="95"/>
        <v>8.9999999999999982</v>
      </c>
    </row>
    <row r="975" spans="1:22" x14ac:dyDescent="0.25">
      <c r="A975" t="s">
        <v>1869</v>
      </c>
      <c r="B975">
        <v>44493</v>
      </c>
      <c r="C975" t="str">
        <f t="shared" si="92"/>
        <v>24</v>
      </c>
      <c r="D975" t="str">
        <f t="shared" si="90"/>
        <v>October</v>
      </c>
      <c r="E975" t="str">
        <f t="shared" si="93"/>
        <v>2021</v>
      </c>
      <c r="F975" t="s">
        <v>1870</v>
      </c>
      <c r="G975" t="str">
        <f>VLOOKUP(F975,'Customers (2)'!A:I,2,0)</f>
        <v>Charlean Keave</v>
      </c>
      <c r="H975" t="str">
        <f>VLOOKUP(F975,'Customers (2)'!A:I,3,0)</f>
        <v>ckeaver1@ucoz.com</v>
      </c>
      <c r="I975" t="str">
        <f>VLOOKUP(F975,'Customers (2)'!A:I,4,0)</f>
        <v>+1 (850) 410-9647</v>
      </c>
      <c r="J975" t="str">
        <f>VLOOKUP(F975,'Customers (2)'!A:I,6,0)</f>
        <v>Pensacola</v>
      </c>
      <c r="K975" t="str">
        <f>VLOOKUP(F975,'Customers (2)'!A:I,7,0)</f>
        <v>United States</v>
      </c>
      <c r="L975" t="str">
        <f>VLOOKUP(F975,'Customers (2)'!A:I,9,0)</f>
        <v>No</v>
      </c>
      <c r="M975" t="str">
        <f>VLOOKUP(N975,'Products (2)'!A:G,2,0)</f>
        <v>Liberica</v>
      </c>
      <c r="N975" t="s">
        <v>96</v>
      </c>
      <c r="O975" t="str">
        <f>VLOOKUP(N975,'Products (2)'!A:G,3,0)</f>
        <v>Medium</v>
      </c>
      <c r="P975">
        <f>VLOOKUP(N975,'Products (2)'!A:G,7,0)</f>
        <v>1.8915000000000002</v>
      </c>
      <c r="Q975">
        <v>6</v>
      </c>
      <c r="R975">
        <f>INDEX([1]products!$A$1:$G$49,MATCH([1]orders!$D975,[1]products!$A$1:$A$49,0),MATCH([1]orders!K$1,[1]products!$A$1:$G$1,0))</f>
        <v>1</v>
      </c>
      <c r="S975">
        <f>INDEX([1]products!$A$1:$G$49,MATCH([1]orders!$D975,[1]products!$A$1:$A$49,0),MATCH([1]orders!L$1,[1]products!$A$1:$G$1,0))</f>
        <v>14.55</v>
      </c>
      <c r="T975">
        <f t="shared" si="91"/>
        <v>87.300000000000011</v>
      </c>
      <c r="U975">
        <f t="shared" si="94"/>
        <v>11.349</v>
      </c>
      <c r="V975">
        <f t="shared" si="95"/>
        <v>12.999999999999998</v>
      </c>
    </row>
    <row r="976" spans="1:22" x14ac:dyDescent="0.25">
      <c r="A976" t="s">
        <v>1871</v>
      </c>
      <c r="B976">
        <v>43556</v>
      </c>
      <c r="C976" t="str">
        <f t="shared" si="92"/>
        <v>01</v>
      </c>
      <c r="D976" t="str">
        <f t="shared" si="90"/>
        <v>April</v>
      </c>
      <c r="E976" t="str">
        <f t="shared" si="93"/>
        <v>2019</v>
      </c>
      <c r="F976" t="s">
        <v>1872</v>
      </c>
      <c r="G976" t="str">
        <f>VLOOKUP(F976,'Customers (2)'!A:I,2,0)</f>
        <v>Sada Roseborough</v>
      </c>
      <c r="H976" t="str">
        <f>VLOOKUP(F976,'Customers (2)'!A:I,3,0)</f>
        <v>sroseboroughr2@virginia.edu</v>
      </c>
      <c r="I976" t="str">
        <f>VLOOKUP(F976,'Customers (2)'!A:I,4,0)</f>
        <v>+1 (253) 735-5179</v>
      </c>
      <c r="J976" t="str">
        <f>VLOOKUP(F976,'Customers (2)'!A:I,6,0)</f>
        <v>Tacoma</v>
      </c>
      <c r="K976" t="str">
        <f>VLOOKUP(F976,'Customers (2)'!A:I,7,0)</f>
        <v>United States</v>
      </c>
      <c r="L976" t="str">
        <f>VLOOKUP(F976,'Customers (2)'!A:I,9,0)</f>
        <v>Yes</v>
      </c>
      <c r="M976" t="str">
        <f>VLOOKUP(N976,'Products (2)'!A:G,2,0)</f>
        <v>Robusta</v>
      </c>
      <c r="N976" t="s">
        <v>146</v>
      </c>
      <c r="O976" t="str">
        <f>VLOOKUP(N976,'Products (2)'!A:G,3,0)</f>
        <v>Dark</v>
      </c>
      <c r="P976">
        <f>VLOOKUP(N976,'Products (2)'!A:G,7,0)</f>
        <v>0.32219999999999993</v>
      </c>
      <c r="Q976">
        <v>1</v>
      </c>
      <c r="R976">
        <f>INDEX([1]products!$A$1:$G$49,MATCH([1]orders!$D976,[1]products!$A$1:$A$49,0),MATCH([1]orders!K$1,[1]products!$A$1:$G$1,0))</f>
        <v>0.5</v>
      </c>
      <c r="S976">
        <f>INDEX([1]products!$A$1:$G$49,MATCH([1]orders!$D976,[1]products!$A$1:$A$49,0),MATCH([1]orders!L$1,[1]products!$A$1:$G$1,0))</f>
        <v>5.3699999999999992</v>
      </c>
      <c r="T976">
        <f t="shared" si="91"/>
        <v>5.3699999999999992</v>
      </c>
      <c r="U976">
        <f t="shared" si="94"/>
        <v>0.32219999999999993</v>
      </c>
      <c r="V976">
        <f t="shared" si="95"/>
        <v>6</v>
      </c>
    </row>
    <row r="977" spans="1:22" x14ac:dyDescent="0.25">
      <c r="A977" t="s">
        <v>1873</v>
      </c>
      <c r="B977">
        <v>44538</v>
      </c>
      <c r="C977" t="str">
        <f t="shared" si="92"/>
        <v>08</v>
      </c>
      <c r="D977" t="str">
        <f t="shared" si="90"/>
        <v>December</v>
      </c>
      <c r="E977" t="str">
        <f t="shared" si="93"/>
        <v>2021</v>
      </c>
      <c r="F977" t="s">
        <v>1874</v>
      </c>
      <c r="G977" t="str">
        <f>VLOOKUP(F977,'Customers (2)'!A:I,2,0)</f>
        <v>Clayton Kingwell</v>
      </c>
      <c r="H977" t="str">
        <f>VLOOKUP(F977,'Customers (2)'!A:I,3,0)</f>
        <v>ckingwellr3@squarespace.com</v>
      </c>
      <c r="I977" t="str">
        <f>VLOOKUP(F977,'Customers (2)'!A:I,4,0)</f>
        <v>+353 (182) 469-0985</v>
      </c>
      <c r="J977" t="str">
        <f>VLOOKUP(F977,'Customers (2)'!A:I,6,0)</f>
        <v>Rathnew</v>
      </c>
      <c r="K977" t="str">
        <f>VLOOKUP(F977,'Customers (2)'!A:I,7,0)</f>
        <v>Ireland</v>
      </c>
      <c r="L977" t="str">
        <f>VLOOKUP(F977,'Customers (2)'!A:I,9,0)</f>
        <v>Yes</v>
      </c>
      <c r="M977" t="str">
        <f>VLOOKUP(N977,'Products (2)'!A:G,2,0)</f>
        <v>Arabica</v>
      </c>
      <c r="N977" t="s">
        <v>54</v>
      </c>
      <c r="O977" t="str">
        <f>VLOOKUP(N977,'Products (2)'!A:G,3,0)</f>
        <v>Dark</v>
      </c>
      <c r="P977">
        <f>VLOOKUP(N977,'Products (2)'!A:G,7,0)</f>
        <v>0.26865</v>
      </c>
      <c r="Q977">
        <v>3</v>
      </c>
      <c r="R977">
        <f>INDEX([1]products!$A$1:$G$49,MATCH([1]orders!$D977,[1]products!$A$1:$A$49,0),MATCH([1]orders!K$1,[1]products!$A$1:$G$1,0))</f>
        <v>0.2</v>
      </c>
      <c r="S977">
        <f>INDEX([1]products!$A$1:$G$49,MATCH([1]orders!$D977,[1]products!$A$1:$A$49,0),MATCH([1]orders!L$1,[1]products!$A$1:$G$1,0))</f>
        <v>2.9849999999999999</v>
      </c>
      <c r="T977">
        <f t="shared" si="91"/>
        <v>8.9550000000000001</v>
      </c>
      <c r="U977">
        <f t="shared" si="94"/>
        <v>0.80594999999999994</v>
      </c>
      <c r="V977">
        <f t="shared" si="95"/>
        <v>9</v>
      </c>
    </row>
    <row r="978" spans="1:22" x14ac:dyDescent="0.25">
      <c r="A978" t="s">
        <v>1875</v>
      </c>
      <c r="B978">
        <v>43643</v>
      </c>
      <c r="C978" t="str">
        <f t="shared" si="92"/>
        <v>27</v>
      </c>
      <c r="D978" t="str">
        <f t="shared" si="90"/>
        <v>June</v>
      </c>
      <c r="E978" t="str">
        <f t="shared" si="93"/>
        <v>2019</v>
      </c>
      <c r="F978" t="s">
        <v>1876</v>
      </c>
      <c r="G978" t="str">
        <f>VLOOKUP(F978,'Customers (2)'!A:I,2,0)</f>
        <v>Kacy Canto</v>
      </c>
      <c r="H978" t="str">
        <f>VLOOKUP(F978,'Customers (2)'!A:I,3,0)</f>
        <v>kcantor4@gmpg.org</v>
      </c>
      <c r="I978" t="str">
        <f>VLOOKUP(F978,'Customers (2)'!A:I,4,0)</f>
        <v>+1 (260) 735-9621</v>
      </c>
      <c r="J978" t="str">
        <f>VLOOKUP(F978,'Customers (2)'!A:I,6,0)</f>
        <v>Fort Wayne</v>
      </c>
      <c r="K978" t="str">
        <f>VLOOKUP(F978,'Customers (2)'!A:I,7,0)</f>
        <v>United States</v>
      </c>
      <c r="L978" t="str">
        <f>VLOOKUP(F978,'Customers (2)'!A:I,9,0)</f>
        <v>Yes</v>
      </c>
      <c r="M978" t="str">
        <f>VLOOKUP(N978,'Products (2)'!A:G,2,0)</f>
        <v>Robusta</v>
      </c>
      <c r="N978" t="s">
        <v>10</v>
      </c>
      <c r="O978" t="str">
        <f>VLOOKUP(N978,'Products (2)'!A:G,3,0)</f>
        <v>Light</v>
      </c>
      <c r="P978">
        <f>VLOOKUP(N978,'Products (2)'!A:G,7,0)</f>
        <v>1.6490999999999998</v>
      </c>
      <c r="Q978">
        <v>5</v>
      </c>
      <c r="R978">
        <f>INDEX([1]products!$A$1:$G$49,MATCH([1]orders!$D978,[1]products!$A$1:$A$49,0),MATCH([1]orders!K$1,[1]products!$A$1:$G$1,0))</f>
        <v>2.5</v>
      </c>
      <c r="S978">
        <f>INDEX([1]products!$A$1:$G$49,MATCH([1]orders!$D978,[1]products!$A$1:$A$49,0),MATCH([1]orders!L$1,[1]products!$A$1:$G$1,0))</f>
        <v>27.484999999999996</v>
      </c>
      <c r="T978">
        <f t="shared" si="91"/>
        <v>137.42499999999998</v>
      </c>
      <c r="U978">
        <f t="shared" si="94"/>
        <v>8.2454999999999998</v>
      </c>
      <c r="V978">
        <f t="shared" si="95"/>
        <v>6.0000000000000009</v>
      </c>
    </row>
    <row r="979" spans="1:22" x14ac:dyDescent="0.25">
      <c r="A979" t="s">
        <v>1877</v>
      </c>
      <c r="B979">
        <v>44026</v>
      </c>
      <c r="C979" t="str">
        <f t="shared" si="92"/>
        <v>14</v>
      </c>
      <c r="D979" t="str">
        <f t="shared" si="90"/>
        <v>July</v>
      </c>
      <c r="E979" t="str">
        <f t="shared" si="93"/>
        <v>2020</v>
      </c>
      <c r="F979" t="s">
        <v>1878</v>
      </c>
      <c r="G979" t="str">
        <f>VLOOKUP(F979,'Customers (2)'!A:I,2,0)</f>
        <v>Mab Blakemore</v>
      </c>
      <c r="H979" t="str">
        <f>VLOOKUP(F979,'Customers (2)'!A:I,3,0)</f>
        <v>mblakemorer5@nsw.gov.au</v>
      </c>
      <c r="I979" t="str">
        <f>VLOOKUP(F979,'Customers (2)'!A:I,4,0)</f>
        <v>+1 (806) 227-6812</v>
      </c>
      <c r="J979" t="str">
        <f>VLOOKUP(F979,'Customers (2)'!A:I,6,0)</f>
        <v>Amarillo</v>
      </c>
      <c r="K979" t="str">
        <f>VLOOKUP(F979,'Customers (2)'!A:I,7,0)</f>
        <v>United States</v>
      </c>
      <c r="L979" t="str">
        <f>VLOOKUP(F979,'Customers (2)'!A:I,9,0)</f>
        <v>No</v>
      </c>
      <c r="M979" t="str">
        <f>VLOOKUP(N979,'Products (2)'!A:G,2,0)</f>
        <v>Robusta</v>
      </c>
      <c r="N979" t="s">
        <v>189</v>
      </c>
      <c r="O979" t="str">
        <f>VLOOKUP(N979,'Products (2)'!A:G,3,0)</f>
        <v>Light</v>
      </c>
      <c r="P979">
        <f>VLOOKUP(N979,'Products (2)'!A:G,7,0)</f>
        <v>0.71699999999999997</v>
      </c>
      <c r="Q979">
        <v>5</v>
      </c>
      <c r="R979">
        <f>INDEX([1]products!$A$1:$G$49,MATCH([1]orders!$D979,[1]products!$A$1:$A$49,0),MATCH([1]orders!K$1,[1]products!$A$1:$G$1,0))</f>
        <v>1</v>
      </c>
      <c r="S979">
        <f>INDEX([1]products!$A$1:$G$49,MATCH([1]orders!$D979,[1]products!$A$1:$A$49,0),MATCH([1]orders!L$1,[1]products!$A$1:$G$1,0))</f>
        <v>11.95</v>
      </c>
      <c r="T979">
        <f t="shared" si="91"/>
        <v>59.75</v>
      </c>
      <c r="U979">
        <f t="shared" si="94"/>
        <v>3.585</v>
      </c>
      <c r="V979">
        <f t="shared" si="95"/>
        <v>6</v>
      </c>
    </row>
    <row r="980" spans="1:22" x14ac:dyDescent="0.25">
      <c r="A980" t="s">
        <v>1879</v>
      </c>
      <c r="B980">
        <v>43913</v>
      </c>
      <c r="C980" t="str">
        <f t="shared" si="92"/>
        <v>23</v>
      </c>
      <c r="D980" t="str">
        <f t="shared" si="90"/>
        <v>March</v>
      </c>
      <c r="E980" t="str">
        <f t="shared" si="93"/>
        <v>2020</v>
      </c>
      <c r="F980" t="s">
        <v>1870</v>
      </c>
      <c r="G980" t="str">
        <f>VLOOKUP(F980,'Customers (2)'!A:I,2,0)</f>
        <v>Charlean Keave</v>
      </c>
      <c r="H980" t="str">
        <f>VLOOKUP(F980,'Customers (2)'!A:I,3,0)</f>
        <v>ckeaver1@ucoz.com</v>
      </c>
      <c r="I980" t="str">
        <f>VLOOKUP(F980,'Customers (2)'!A:I,4,0)</f>
        <v>+1 (850) 410-9647</v>
      </c>
      <c r="J980" t="str">
        <f>VLOOKUP(F980,'Customers (2)'!A:I,6,0)</f>
        <v>Pensacola</v>
      </c>
      <c r="K980" t="str">
        <f>VLOOKUP(F980,'Customers (2)'!A:I,7,0)</f>
        <v>United States</v>
      </c>
      <c r="L980" t="str">
        <f>VLOOKUP(F980,'Customers (2)'!A:I,9,0)</f>
        <v>No</v>
      </c>
      <c r="M980" t="str">
        <f>VLOOKUP(N980,'Products (2)'!A:G,2,0)</f>
        <v>Arabica</v>
      </c>
      <c r="N980" t="s">
        <v>192</v>
      </c>
      <c r="O980" t="str">
        <f>VLOOKUP(N980,'Products (2)'!A:G,3,0)</f>
        <v>Light</v>
      </c>
      <c r="P980">
        <f>VLOOKUP(N980,'Products (2)'!A:G,7,0)</f>
        <v>0.69929999999999992</v>
      </c>
      <c r="Q980">
        <v>3</v>
      </c>
      <c r="R980">
        <f>INDEX([1]products!$A$1:$G$49,MATCH([1]orders!$D980,[1]products!$A$1:$A$49,0),MATCH([1]orders!K$1,[1]products!$A$1:$G$1,0))</f>
        <v>0.5</v>
      </c>
      <c r="S980">
        <f>INDEX([1]products!$A$1:$G$49,MATCH([1]orders!$D980,[1]products!$A$1:$A$49,0),MATCH([1]orders!L$1,[1]products!$A$1:$G$1,0))</f>
        <v>7.77</v>
      </c>
      <c r="T980">
        <f t="shared" si="91"/>
        <v>23.31</v>
      </c>
      <c r="U980">
        <f t="shared" si="94"/>
        <v>2.0978999999999997</v>
      </c>
      <c r="V980">
        <f t="shared" si="95"/>
        <v>9</v>
      </c>
    </row>
    <row r="981" spans="1:22" x14ac:dyDescent="0.25">
      <c r="A981" t="s">
        <v>1880</v>
      </c>
      <c r="B981">
        <v>43856</v>
      </c>
      <c r="C981" t="str">
        <f t="shared" si="92"/>
        <v>26</v>
      </c>
      <c r="D981" t="str">
        <f t="shared" si="90"/>
        <v>January</v>
      </c>
      <c r="E981" t="str">
        <f t="shared" si="93"/>
        <v>2020</v>
      </c>
      <c r="F981" t="s">
        <v>1881</v>
      </c>
      <c r="G981" t="str">
        <f>VLOOKUP(F981,'Customers (2)'!A:I,2,0)</f>
        <v>Javier Causnett</v>
      </c>
      <c r="H981">
        <f>VLOOKUP(F981,'Customers (2)'!A:I,3,0)</f>
        <v>0</v>
      </c>
      <c r="I981" t="str">
        <f>VLOOKUP(F981,'Customers (2)'!A:I,4,0)</f>
        <v>+1 (301) 396-9701</v>
      </c>
      <c r="J981" t="str">
        <f>VLOOKUP(F981,'Customers (2)'!A:I,6,0)</f>
        <v>Silver Spring</v>
      </c>
      <c r="K981" t="str">
        <f>VLOOKUP(F981,'Customers (2)'!A:I,7,0)</f>
        <v>United States</v>
      </c>
      <c r="L981" t="str">
        <f>VLOOKUP(F981,'Customers (2)'!A:I,9,0)</f>
        <v>No</v>
      </c>
      <c r="M981" t="str">
        <f>VLOOKUP(N981,'Products (2)'!A:G,2,0)</f>
        <v>Robusta</v>
      </c>
      <c r="N981" t="s">
        <v>146</v>
      </c>
      <c r="O981" t="str">
        <f>VLOOKUP(N981,'Products (2)'!A:G,3,0)</f>
        <v>Dark</v>
      </c>
      <c r="P981">
        <f>VLOOKUP(N981,'Products (2)'!A:G,7,0)</f>
        <v>0.32219999999999993</v>
      </c>
      <c r="Q981">
        <v>2</v>
      </c>
      <c r="R981">
        <f>INDEX([1]products!$A$1:$G$49,MATCH([1]orders!$D981,[1]products!$A$1:$A$49,0),MATCH([1]orders!K$1,[1]products!$A$1:$G$1,0))</f>
        <v>0.5</v>
      </c>
      <c r="S981">
        <f>INDEX([1]products!$A$1:$G$49,MATCH([1]orders!$D981,[1]products!$A$1:$A$49,0),MATCH([1]orders!L$1,[1]products!$A$1:$G$1,0))</f>
        <v>5.3699999999999992</v>
      </c>
      <c r="T981">
        <f t="shared" si="91"/>
        <v>10.739999999999998</v>
      </c>
      <c r="U981">
        <f t="shared" si="94"/>
        <v>0.64439999999999986</v>
      </c>
      <c r="V981">
        <f t="shared" si="95"/>
        <v>6</v>
      </c>
    </row>
    <row r="982" spans="1:22" x14ac:dyDescent="0.25">
      <c r="A982" t="s">
        <v>1882</v>
      </c>
      <c r="B982">
        <v>43982</v>
      </c>
      <c r="C982" t="str">
        <f t="shared" si="92"/>
        <v>31</v>
      </c>
      <c r="D982" t="str">
        <f t="shared" si="90"/>
        <v>May</v>
      </c>
      <c r="E982" t="str">
        <f t="shared" si="93"/>
        <v>2020</v>
      </c>
      <c r="F982" t="s">
        <v>1883</v>
      </c>
      <c r="G982" t="str">
        <f>VLOOKUP(F982,'Customers (2)'!A:I,2,0)</f>
        <v>Demetris Micheli</v>
      </c>
      <c r="H982">
        <f>VLOOKUP(F982,'Customers (2)'!A:I,3,0)</f>
        <v>0</v>
      </c>
      <c r="I982" t="str">
        <f>VLOOKUP(F982,'Customers (2)'!A:I,4,0)</f>
        <v>+1 (608) 138-8374</v>
      </c>
      <c r="J982" t="str">
        <f>VLOOKUP(F982,'Customers (2)'!A:I,6,0)</f>
        <v>Madison</v>
      </c>
      <c r="K982" t="str">
        <f>VLOOKUP(F982,'Customers (2)'!A:I,7,0)</f>
        <v>United States</v>
      </c>
      <c r="L982" t="str">
        <f>VLOOKUP(F982,'Customers (2)'!A:I,9,0)</f>
        <v>Yes</v>
      </c>
      <c r="M982" t="str">
        <f>VLOOKUP(N982,'Products (2)'!A:G,2,0)</f>
        <v>Excelsa</v>
      </c>
      <c r="N982" t="s">
        <v>530</v>
      </c>
      <c r="O982" t="str">
        <f>VLOOKUP(N982,'Products (2)'!A:G,3,0)</f>
        <v>Dark</v>
      </c>
      <c r="P982">
        <f>VLOOKUP(N982,'Products (2)'!A:G,7,0)</f>
        <v>3.07395</v>
      </c>
      <c r="Q982">
        <v>6</v>
      </c>
      <c r="R982">
        <f>INDEX([1]products!$A$1:$G$49,MATCH([1]orders!$D982,[1]products!$A$1:$A$49,0),MATCH([1]orders!K$1,[1]products!$A$1:$G$1,0))</f>
        <v>2.5</v>
      </c>
      <c r="S982">
        <f>INDEX([1]products!$A$1:$G$49,MATCH([1]orders!$D982,[1]products!$A$1:$A$49,0),MATCH([1]orders!L$1,[1]products!$A$1:$G$1,0))</f>
        <v>27.945</v>
      </c>
      <c r="T982">
        <f t="shared" si="91"/>
        <v>167.67000000000002</v>
      </c>
      <c r="U982">
        <f t="shared" si="94"/>
        <v>18.4437</v>
      </c>
      <c r="V982">
        <f t="shared" si="95"/>
        <v>10.999999999999998</v>
      </c>
    </row>
    <row r="983" spans="1:22" x14ac:dyDescent="0.25">
      <c r="A983" t="s">
        <v>1884</v>
      </c>
      <c r="B983">
        <v>44397</v>
      </c>
      <c r="C983" t="str">
        <f t="shared" si="92"/>
        <v>20</v>
      </c>
      <c r="D983" t="str">
        <f t="shared" si="90"/>
        <v>July</v>
      </c>
      <c r="E983" t="str">
        <f t="shared" si="93"/>
        <v>2021</v>
      </c>
      <c r="F983" t="s">
        <v>1885</v>
      </c>
      <c r="G983" t="str">
        <f>VLOOKUP(F983,'Customers (2)'!A:I,2,0)</f>
        <v>Chloette Bernardot</v>
      </c>
      <c r="H983" t="str">
        <f>VLOOKUP(F983,'Customers (2)'!A:I,3,0)</f>
        <v>cbernardotr9@wix.com</v>
      </c>
      <c r="I983" t="str">
        <f>VLOOKUP(F983,'Customers (2)'!A:I,4,0)</f>
        <v>+1 (936) 783-5732</v>
      </c>
      <c r="J983" t="str">
        <f>VLOOKUP(F983,'Customers (2)'!A:I,6,0)</f>
        <v>Conroe</v>
      </c>
      <c r="K983" t="str">
        <f>VLOOKUP(F983,'Customers (2)'!A:I,7,0)</f>
        <v>United States</v>
      </c>
      <c r="L983" t="str">
        <f>VLOOKUP(F983,'Customers (2)'!A:I,9,0)</f>
        <v>Yes</v>
      </c>
      <c r="M983" t="str">
        <f>VLOOKUP(N983,'Products (2)'!A:G,2,0)</f>
        <v>Excelsa</v>
      </c>
      <c r="N983" t="s">
        <v>51</v>
      </c>
      <c r="O983" t="str">
        <f>VLOOKUP(N983,'Products (2)'!A:G,3,0)</f>
        <v>Dark</v>
      </c>
      <c r="P983">
        <f>VLOOKUP(N983,'Products (2)'!A:G,7,0)</f>
        <v>0.40095000000000003</v>
      </c>
      <c r="Q983">
        <v>6</v>
      </c>
      <c r="R983">
        <f>INDEX([1]products!$A$1:$G$49,MATCH([1]orders!$D983,[1]products!$A$1:$A$49,0),MATCH([1]orders!K$1,[1]products!$A$1:$G$1,0))</f>
        <v>0.2</v>
      </c>
      <c r="S983">
        <f>INDEX([1]products!$A$1:$G$49,MATCH([1]orders!$D983,[1]products!$A$1:$A$49,0),MATCH([1]orders!L$1,[1]products!$A$1:$G$1,0))</f>
        <v>3.645</v>
      </c>
      <c r="T983">
        <f t="shared" si="91"/>
        <v>21.87</v>
      </c>
      <c r="U983">
        <f t="shared" si="94"/>
        <v>2.4057000000000004</v>
      </c>
      <c r="V983">
        <f t="shared" si="95"/>
        <v>11.000000000000002</v>
      </c>
    </row>
    <row r="984" spans="1:22" x14ac:dyDescent="0.25">
      <c r="A984" t="s">
        <v>1886</v>
      </c>
      <c r="B984">
        <v>44785</v>
      </c>
      <c r="C984" t="str">
        <f t="shared" si="92"/>
        <v>12</v>
      </c>
      <c r="D984" t="str">
        <f t="shared" si="90"/>
        <v>August</v>
      </c>
      <c r="E984" t="str">
        <f t="shared" si="93"/>
        <v>2022</v>
      </c>
      <c r="F984" t="s">
        <v>1887</v>
      </c>
      <c r="G984" t="str">
        <f>VLOOKUP(F984,'Customers (2)'!A:I,2,0)</f>
        <v>Kim Kemery</v>
      </c>
      <c r="H984" t="str">
        <f>VLOOKUP(F984,'Customers (2)'!A:I,3,0)</f>
        <v>kkemeryra@t.co</v>
      </c>
      <c r="I984" t="str">
        <f>VLOOKUP(F984,'Customers (2)'!A:I,4,0)</f>
        <v>+1 (817) 407-3513</v>
      </c>
      <c r="J984" t="str">
        <f>VLOOKUP(F984,'Customers (2)'!A:I,6,0)</f>
        <v>Denton</v>
      </c>
      <c r="K984" t="str">
        <f>VLOOKUP(F984,'Customers (2)'!A:I,7,0)</f>
        <v>United States</v>
      </c>
      <c r="L984" t="str">
        <f>VLOOKUP(F984,'Customers (2)'!A:I,9,0)</f>
        <v>Yes</v>
      </c>
      <c r="M984" t="str">
        <f>VLOOKUP(N984,'Products (2)'!A:G,2,0)</f>
        <v>Robusta</v>
      </c>
      <c r="N984" t="s">
        <v>189</v>
      </c>
      <c r="O984" t="str">
        <f>VLOOKUP(N984,'Products (2)'!A:G,3,0)</f>
        <v>Light</v>
      </c>
      <c r="P984">
        <f>VLOOKUP(N984,'Products (2)'!A:G,7,0)</f>
        <v>0.71699999999999997</v>
      </c>
      <c r="Q984">
        <v>2</v>
      </c>
      <c r="R984">
        <f>INDEX([1]products!$A$1:$G$49,MATCH([1]orders!$D984,[1]products!$A$1:$A$49,0),MATCH([1]orders!K$1,[1]products!$A$1:$G$1,0))</f>
        <v>1</v>
      </c>
      <c r="S984">
        <f>INDEX([1]products!$A$1:$G$49,MATCH([1]orders!$D984,[1]products!$A$1:$A$49,0),MATCH([1]orders!L$1,[1]products!$A$1:$G$1,0))</f>
        <v>11.95</v>
      </c>
      <c r="T984">
        <f t="shared" si="91"/>
        <v>23.9</v>
      </c>
      <c r="U984">
        <f t="shared" si="94"/>
        <v>1.4339999999999999</v>
      </c>
      <c r="V984">
        <f t="shared" si="95"/>
        <v>6</v>
      </c>
    </row>
    <row r="985" spans="1:22" x14ac:dyDescent="0.25">
      <c r="A985" t="s">
        <v>1888</v>
      </c>
      <c r="B985">
        <v>43831</v>
      </c>
      <c r="C985" t="str">
        <f t="shared" si="92"/>
        <v>01</v>
      </c>
      <c r="D985" t="str">
        <f t="shared" si="90"/>
        <v>January</v>
      </c>
      <c r="E985" t="str">
        <f t="shared" si="93"/>
        <v>2020</v>
      </c>
      <c r="F985" t="s">
        <v>1889</v>
      </c>
      <c r="G985" t="str">
        <f>VLOOKUP(F985,'Customers (2)'!A:I,2,0)</f>
        <v>Fanchette Parlot</v>
      </c>
      <c r="H985" t="str">
        <f>VLOOKUP(F985,'Customers (2)'!A:I,3,0)</f>
        <v>fparlotrb@forbes.com</v>
      </c>
      <c r="I985" t="str">
        <f>VLOOKUP(F985,'Customers (2)'!A:I,4,0)</f>
        <v>+1 (614) 706-1246</v>
      </c>
      <c r="J985" t="str">
        <f>VLOOKUP(F985,'Customers (2)'!A:I,6,0)</f>
        <v>Columbus</v>
      </c>
      <c r="K985" t="str">
        <f>VLOOKUP(F985,'Customers (2)'!A:I,7,0)</f>
        <v>United States</v>
      </c>
      <c r="L985" t="str">
        <f>VLOOKUP(F985,'Customers (2)'!A:I,9,0)</f>
        <v>Yes</v>
      </c>
      <c r="M985" t="str">
        <f>VLOOKUP(N985,'Products (2)'!A:G,2,0)</f>
        <v>Arabica</v>
      </c>
      <c r="N985" t="s">
        <v>44</v>
      </c>
      <c r="O985" t="str">
        <f>VLOOKUP(N985,'Products (2)'!A:G,3,0)</f>
        <v>Medium</v>
      </c>
      <c r="P985">
        <f>VLOOKUP(N985,'Products (2)'!A:G,7,0)</f>
        <v>0.30374999999999996</v>
      </c>
      <c r="Q985">
        <v>2</v>
      </c>
      <c r="R985">
        <f>INDEX([1]products!$A$1:$G$49,MATCH([1]orders!$D985,[1]products!$A$1:$A$49,0),MATCH([1]orders!K$1,[1]products!$A$1:$G$1,0))</f>
        <v>0.2</v>
      </c>
      <c r="S985">
        <f>INDEX([1]products!$A$1:$G$49,MATCH([1]orders!$D985,[1]products!$A$1:$A$49,0),MATCH([1]orders!L$1,[1]products!$A$1:$G$1,0))</f>
        <v>3.375</v>
      </c>
      <c r="T985">
        <f t="shared" si="91"/>
        <v>6.75</v>
      </c>
      <c r="U985">
        <f t="shared" si="94"/>
        <v>0.60749999999999993</v>
      </c>
      <c r="V985">
        <f t="shared" si="95"/>
        <v>8.9999999999999982</v>
      </c>
    </row>
    <row r="986" spans="1:22" x14ac:dyDescent="0.25">
      <c r="A986" t="s">
        <v>1890</v>
      </c>
      <c r="B986">
        <v>44214</v>
      </c>
      <c r="C986" t="str">
        <f t="shared" si="92"/>
        <v>18</v>
      </c>
      <c r="D986" t="str">
        <f t="shared" si="90"/>
        <v>January</v>
      </c>
      <c r="E986" t="str">
        <f t="shared" si="93"/>
        <v>2021</v>
      </c>
      <c r="F986" t="s">
        <v>1891</v>
      </c>
      <c r="G986" t="str">
        <f>VLOOKUP(F986,'Customers (2)'!A:I,2,0)</f>
        <v>Ramon Cheak</v>
      </c>
      <c r="H986" t="str">
        <f>VLOOKUP(F986,'Customers (2)'!A:I,3,0)</f>
        <v>rcheakrc@tripadvisor.com</v>
      </c>
      <c r="I986">
        <f>VLOOKUP(F986,'Customers (2)'!A:I,4,0)</f>
        <v>0</v>
      </c>
      <c r="J986" t="str">
        <f>VLOOKUP(F986,'Customers (2)'!A:I,6,0)</f>
        <v>Bundoran</v>
      </c>
      <c r="K986" t="str">
        <f>VLOOKUP(F986,'Customers (2)'!A:I,7,0)</f>
        <v>Ireland</v>
      </c>
      <c r="L986" t="str">
        <f>VLOOKUP(F986,'Customers (2)'!A:I,9,0)</f>
        <v>Yes</v>
      </c>
      <c r="M986" t="str">
        <f>VLOOKUP(N986,'Products (2)'!A:G,2,0)</f>
        <v>Excelsa</v>
      </c>
      <c r="N986" t="s">
        <v>112</v>
      </c>
      <c r="O986" t="str">
        <f>VLOOKUP(N986,'Products (2)'!A:G,3,0)</f>
        <v>Medium</v>
      </c>
      <c r="P986">
        <f>VLOOKUP(N986,'Products (2)'!A:G,7,0)</f>
        <v>3.4787499999999998</v>
      </c>
      <c r="Q986">
        <v>1</v>
      </c>
      <c r="R986">
        <f>INDEX([1]products!$A$1:$G$49,MATCH([1]orders!$D986,[1]products!$A$1:$A$49,0),MATCH([1]orders!K$1,[1]products!$A$1:$G$1,0))</f>
        <v>2.5</v>
      </c>
      <c r="S986">
        <f>INDEX([1]products!$A$1:$G$49,MATCH([1]orders!$D986,[1]products!$A$1:$A$49,0),MATCH([1]orders!L$1,[1]products!$A$1:$G$1,0))</f>
        <v>31.624999999999996</v>
      </c>
      <c r="T986">
        <f t="shared" si="91"/>
        <v>31.624999999999996</v>
      </c>
      <c r="U986">
        <f t="shared" si="94"/>
        <v>3.4787499999999998</v>
      </c>
      <c r="V986">
        <f t="shared" si="95"/>
        <v>11</v>
      </c>
    </row>
    <row r="987" spans="1:22" x14ac:dyDescent="0.25">
      <c r="A987" t="s">
        <v>1892</v>
      </c>
      <c r="B987">
        <v>44561</v>
      </c>
      <c r="C987" t="str">
        <f t="shared" si="92"/>
        <v>31</v>
      </c>
      <c r="D987" t="str">
        <f t="shared" si="90"/>
        <v>December</v>
      </c>
      <c r="E987" t="str">
        <f t="shared" si="93"/>
        <v>2021</v>
      </c>
      <c r="F987" t="s">
        <v>1893</v>
      </c>
      <c r="G987" t="str">
        <f>VLOOKUP(F987,'Customers (2)'!A:I,2,0)</f>
        <v>Koressa O'Geneay</v>
      </c>
      <c r="H987" t="str">
        <f>VLOOKUP(F987,'Customers (2)'!A:I,3,0)</f>
        <v>kogeneayrd@utexas.edu</v>
      </c>
      <c r="I987" t="str">
        <f>VLOOKUP(F987,'Customers (2)'!A:I,4,0)</f>
        <v>+1 (303) 637-0326</v>
      </c>
      <c r="J987" t="str">
        <f>VLOOKUP(F987,'Customers (2)'!A:I,6,0)</f>
        <v>Aurora</v>
      </c>
      <c r="K987" t="str">
        <f>VLOOKUP(F987,'Customers (2)'!A:I,7,0)</f>
        <v>United States</v>
      </c>
      <c r="L987" t="str">
        <f>VLOOKUP(F987,'Customers (2)'!A:I,9,0)</f>
        <v>No</v>
      </c>
      <c r="M987" t="str">
        <f>VLOOKUP(N987,'Products (2)'!A:G,2,0)</f>
        <v>Robusta</v>
      </c>
      <c r="N987" t="s">
        <v>189</v>
      </c>
      <c r="O987" t="str">
        <f>VLOOKUP(N987,'Products (2)'!A:G,3,0)</f>
        <v>Light</v>
      </c>
      <c r="P987">
        <f>VLOOKUP(N987,'Products (2)'!A:G,7,0)</f>
        <v>0.71699999999999997</v>
      </c>
      <c r="Q987">
        <v>4</v>
      </c>
      <c r="R987">
        <f>INDEX([1]products!$A$1:$G$49,MATCH([1]orders!$D987,[1]products!$A$1:$A$49,0),MATCH([1]orders!K$1,[1]products!$A$1:$G$1,0))</f>
        <v>1</v>
      </c>
      <c r="S987">
        <f>INDEX([1]products!$A$1:$G$49,MATCH([1]orders!$D987,[1]products!$A$1:$A$49,0),MATCH([1]orders!L$1,[1]products!$A$1:$G$1,0))</f>
        <v>11.95</v>
      </c>
      <c r="T987">
        <f t="shared" si="91"/>
        <v>47.8</v>
      </c>
      <c r="U987">
        <f t="shared" si="94"/>
        <v>2.8679999999999999</v>
      </c>
      <c r="V987">
        <f t="shared" si="95"/>
        <v>6</v>
      </c>
    </row>
    <row r="988" spans="1:22" x14ac:dyDescent="0.25">
      <c r="A988" t="s">
        <v>1894</v>
      </c>
      <c r="B988">
        <v>43955</v>
      </c>
      <c r="C988" t="str">
        <f t="shared" si="92"/>
        <v>04</v>
      </c>
      <c r="D988" t="str">
        <f t="shared" si="90"/>
        <v>May</v>
      </c>
      <c r="E988" t="str">
        <f t="shared" si="93"/>
        <v>2020</v>
      </c>
      <c r="F988" t="s">
        <v>1895</v>
      </c>
      <c r="G988" t="str">
        <f>VLOOKUP(F988,'Customers (2)'!A:I,2,0)</f>
        <v>Claudell Ayre</v>
      </c>
      <c r="H988" t="str">
        <f>VLOOKUP(F988,'Customers (2)'!A:I,3,0)</f>
        <v>cayrere@symantec.com</v>
      </c>
      <c r="I988" t="str">
        <f>VLOOKUP(F988,'Customers (2)'!A:I,4,0)</f>
        <v>+1 (386) 573-2575</v>
      </c>
      <c r="J988" t="str">
        <f>VLOOKUP(F988,'Customers (2)'!A:I,6,0)</f>
        <v>Daytona Beach</v>
      </c>
      <c r="K988" t="str">
        <f>VLOOKUP(F988,'Customers (2)'!A:I,7,0)</f>
        <v>United States</v>
      </c>
      <c r="L988" t="str">
        <f>VLOOKUP(F988,'Customers (2)'!A:I,9,0)</f>
        <v>No</v>
      </c>
      <c r="M988" t="str">
        <f>VLOOKUP(N988,'Products (2)'!A:G,2,0)</f>
        <v>Liberica</v>
      </c>
      <c r="N988" t="s">
        <v>197</v>
      </c>
      <c r="O988" t="str">
        <f>VLOOKUP(N988,'Products (2)'!A:G,3,0)</f>
        <v>Medium</v>
      </c>
      <c r="P988">
        <f>VLOOKUP(N988,'Products (2)'!A:G,7,0)</f>
        <v>4.3504499999999995</v>
      </c>
      <c r="Q988">
        <v>1</v>
      </c>
      <c r="R988">
        <f>INDEX([1]products!$A$1:$G$49,MATCH([1]orders!$D988,[1]products!$A$1:$A$49,0),MATCH([1]orders!K$1,[1]products!$A$1:$G$1,0))</f>
        <v>2.5</v>
      </c>
      <c r="S988">
        <f>INDEX([1]products!$A$1:$G$49,MATCH([1]orders!$D988,[1]products!$A$1:$A$49,0),MATCH([1]orders!L$1,[1]products!$A$1:$G$1,0))</f>
        <v>33.464999999999996</v>
      </c>
      <c r="T988">
        <f t="shared" si="91"/>
        <v>33.464999999999996</v>
      </c>
      <c r="U988">
        <f t="shared" si="94"/>
        <v>4.3504499999999995</v>
      </c>
      <c r="V988">
        <f t="shared" si="95"/>
        <v>13</v>
      </c>
    </row>
    <row r="989" spans="1:22" x14ac:dyDescent="0.25">
      <c r="A989" t="s">
        <v>1896</v>
      </c>
      <c r="B989">
        <v>44247</v>
      </c>
      <c r="C989" t="str">
        <f t="shared" si="92"/>
        <v>20</v>
      </c>
      <c r="D989" t="str">
        <f t="shared" si="90"/>
        <v>February</v>
      </c>
      <c r="E989" t="str">
        <f t="shared" si="93"/>
        <v>2021</v>
      </c>
      <c r="F989" t="s">
        <v>1897</v>
      </c>
      <c r="G989" t="str">
        <f>VLOOKUP(F989,'Customers (2)'!A:I,2,0)</f>
        <v>Lorianne Kyneton</v>
      </c>
      <c r="H989" t="str">
        <f>VLOOKUP(F989,'Customers (2)'!A:I,3,0)</f>
        <v>lkynetonrf@macromedia.com</v>
      </c>
      <c r="I989" t="str">
        <f>VLOOKUP(F989,'Customers (2)'!A:I,4,0)</f>
        <v>+44 (618) 634-9365</v>
      </c>
      <c r="J989" t="str">
        <f>VLOOKUP(F989,'Customers (2)'!A:I,6,0)</f>
        <v>Seaton</v>
      </c>
      <c r="K989" t="str">
        <f>VLOOKUP(F989,'Customers (2)'!A:I,7,0)</f>
        <v>United Kingdom</v>
      </c>
      <c r="L989" t="str">
        <f>VLOOKUP(F989,'Customers (2)'!A:I,9,0)</f>
        <v>Yes</v>
      </c>
      <c r="M989" t="str">
        <f>VLOOKUP(N989,'Products (2)'!A:G,2,0)</f>
        <v>Arabica</v>
      </c>
      <c r="N989" t="s">
        <v>72</v>
      </c>
      <c r="O989" t="str">
        <f>VLOOKUP(N989,'Products (2)'!A:G,3,0)</f>
        <v>Dark</v>
      </c>
      <c r="P989">
        <f>VLOOKUP(N989,'Products (2)'!A:G,7,0)</f>
        <v>0.5373</v>
      </c>
      <c r="Q989">
        <v>5</v>
      </c>
      <c r="R989">
        <f>INDEX([1]products!$A$1:$G$49,MATCH([1]orders!$D989,[1]products!$A$1:$A$49,0),MATCH([1]orders!K$1,[1]products!$A$1:$G$1,0))</f>
        <v>0.5</v>
      </c>
      <c r="S989">
        <f>INDEX([1]products!$A$1:$G$49,MATCH([1]orders!$D989,[1]products!$A$1:$A$49,0),MATCH([1]orders!L$1,[1]products!$A$1:$G$1,0))</f>
        <v>5.97</v>
      </c>
      <c r="T989">
        <f t="shared" si="91"/>
        <v>29.849999999999998</v>
      </c>
      <c r="U989">
        <f t="shared" si="94"/>
        <v>2.6865000000000001</v>
      </c>
      <c r="V989">
        <f t="shared" si="95"/>
        <v>9.0000000000000018</v>
      </c>
    </row>
    <row r="990" spans="1:22" x14ac:dyDescent="0.25">
      <c r="A990" t="s">
        <v>1898</v>
      </c>
      <c r="B990">
        <v>43897</v>
      </c>
      <c r="C990" t="str">
        <f t="shared" si="92"/>
        <v>07</v>
      </c>
      <c r="D990" t="str">
        <f t="shared" si="90"/>
        <v>March</v>
      </c>
      <c r="E990" t="str">
        <f t="shared" si="93"/>
        <v>2020</v>
      </c>
      <c r="F990" t="s">
        <v>1899</v>
      </c>
      <c r="G990" t="str">
        <f>VLOOKUP(F990,'Customers (2)'!A:I,2,0)</f>
        <v>Adele McFayden</v>
      </c>
      <c r="H990">
        <f>VLOOKUP(F990,'Customers (2)'!A:I,3,0)</f>
        <v>0</v>
      </c>
      <c r="I990" t="str">
        <f>VLOOKUP(F990,'Customers (2)'!A:I,4,0)</f>
        <v>+44 (123) 755-7484</v>
      </c>
      <c r="J990" t="str">
        <f>VLOOKUP(F990,'Customers (2)'!A:I,6,0)</f>
        <v>Wirral</v>
      </c>
      <c r="K990" t="str">
        <f>VLOOKUP(F990,'Customers (2)'!A:I,7,0)</f>
        <v>United Kingdom</v>
      </c>
      <c r="L990" t="str">
        <f>VLOOKUP(F990,'Customers (2)'!A:I,9,0)</f>
        <v>Yes</v>
      </c>
      <c r="M990" t="str">
        <f>VLOOKUP(N990,'Products (2)'!A:G,2,0)</f>
        <v>Robusta</v>
      </c>
      <c r="N990" t="s">
        <v>2</v>
      </c>
      <c r="O990" t="str">
        <f>VLOOKUP(N990,'Products (2)'!A:G,3,0)</f>
        <v>Medium</v>
      </c>
      <c r="P990">
        <f>VLOOKUP(N990,'Products (2)'!A:G,7,0)</f>
        <v>0.59699999999999998</v>
      </c>
      <c r="Q990">
        <v>3</v>
      </c>
      <c r="R990">
        <f>INDEX([1]products!$A$1:$G$49,MATCH([1]orders!$D990,[1]products!$A$1:$A$49,0),MATCH([1]orders!K$1,[1]products!$A$1:$G$1,0))</f>
        <v>1</v>
      </c>
      <c r="S990">
        <f>INDEX([1]products!$A$1:$G$49,MATCH([1]orders!$D990,[1]products!$A$1:$A$49,0),MATCH([1]orders!L$1,[1]products!$A$1:$G$1,0))</f>
        <v>9.9499999999999993</v>
      </c>
      <c r="T990">
        <f t="shared" si="91"/>
        <v>29.849999999999998</v>
      </c>
      <c r="U990">
        <f t="shared" si="94"/>
        <v>1.7909999999999999</v>
      </c>
      <c r="V990">
        <f t="shared" si="95"/>
        <v>6.0000000000000009</v>
      </c>
    </row>
    <row r="991" spans="1:22" x14ac:dyDescent="0.25">
      <c r="A991" t="s">
        <v>1900</v>
      </c>
      <c r="B991">
        <v>43560</v>
      </c>
      <c r="C991" t="str">
        <f t="shared" si="92"/>
        <v>05</v>
      </c>
      <c r="D991" t="str">
        <f t="shared" si="90"/>
        <v>April</v>
      </c>
      <c r="E991" t="str">
        <f t="shared" si="93"/>
        <v>2019</v>
      </c>
      <c r="F991" t="s">
        <v>1901</v>
      </c>
      <c r="G991" t="str">
        <f>VLOOKUP(F991,'Customers (2)'!A:I,2,0)</f>
        <v>Herta Layne</v>
      </c>
      <c r="H991">
        <f>VLOOKUP(F991,'Customers (2)'!A:I,3,0)</f>
        <v>0</v>
      </c>
      <c r="I991" t="str">
        <f>VLOOKUP(F991,'Customers (2)'!A:I,4,0)</f>
        <v>+1 (636) 143-8338</v>
      </c>
      <c r="J991" t="str">
        <f>VLOOKUP(F991,'Customers (2)'!A:I,6,0)</f>
        <v>Saint Louis</v>
      </c>
      <c r="K991" t="str">
        <f>VLOOKUP(F991,'Customers (2)'!A:I,7,0)</f>
        <v>United States</v>
      </c>
      <c r="L991" t="str">
        <f>VLOOKUP(F991,'Customers (2)'!A:I,9,0)</f>
        <v>Yes</v>
      </c>
      <c r="M991" t="str">
        <f>VLOOKUP(N991,'Products (2)'!A:G,2,0)</f>
        <v>Arabica</v>
      </c>
      <c r="N991" t="s">
        <v>171</v>
      </c>
      <c r="O991" t="str">
        <f>VLOOKUP(N991,'Products (2)'!A:G,3,0)</f>
        <v>Medium</v>
      </c>
      <c r="P991">
        <f>VLOOKUP(N991,'Products (2)'!A:G,7,0)</f>
        <v>2.3287499999999994</v>
      </c>
      <c r="Q991">
        <v>6</v>
      </c>
      <c r="R991">
        <f>INDEX([1]products!$A$1:$G$49,MATCH([1]orders!$D991,[1]products!$A$1:$A$49,0),MATCH([1]orders!K$1,[1]products!$A$1:$G$1,0))</f>
        <v>2.5</v>
      </c>
      <c r="S991">
        <f>INDEX([1]products!$A$1:$G$49,MATCH([1]orders!$D991,[1]products!$A$1:$A$49,0),MATCH([1]orders!L$1,[1]products!$A$1:$G$1,0))</f>
        <v>25.874999999999996</v>
      </c>
      <c r="T991">
        <f t="shared" si="91"/>
        <v>155.24999999999997</v>
      </c>
      <c r="U991">
        <f t="shared" si="94"/>
        <v>13.972499999999997</v>
      </c>
      <c r="V991">
        <f t="shared" si="95"/>
        <v>9</v>
      </c>
    </row>
    <row r="992" spans="1:22" x14ac:dyDescent="0.25">
      <c r="A992" t="s">
        <v>1902</v>
      </c>
      <c r="B992">
        <v>44718</v>
      </c>
      <c r="C992" t="str">
        <f t="shared" si="92"/>
        <v>06</v>
      </c>
      <c r="D992" t="str">
        <f t="shared" si="90"/>
        <v>June</v>
      </c>
      <c r="E992" t="str">
        <f t="shared" si="93"/>
        <v>2022</v>
      </c>
      <c r="F992" t="s">
        <v>1903</v>
      </c>
      <c r="G992" t="str">
        <f>VLOOKUP(F992,'Customers (2)'!A:I,2,0)</f>
        <v>Marguerite Graves</v>
      </c>
      <c r="H992">
        <f>VLOOKUP(F992,'Customers (2)'!A:I,3,0)</f>
        <v>0</v>
      </c>
      <c r="I992" t="str">
        <f>VLOOKUP(F992,'Customers (2)'!A:I,4,0)</f>
        <v>+1 (479) 204-9111</v>
      </c>
      <c r="J992" t="str">
        <f>VLOOKUP(F992,'Customers (2)'!A:I,6,0)</f>
        <v>Fort Smith</v>
      </c>
      <c r="K992" t="str">
        <f>VLOOKUP(F992,'Customers (2)'!A:I,7,0)</f>
        <v>United States</v>
      </c>
      <c r="L992" t="str">
        <f>VLOOKUP(F992,'Customers (2)'!A:I,9,0)</f>
        <v>No</v>
      </c>
      <c r="M992" t="str">
        <f>VLOOKUP(N992,'Products (2)'!A:G,2,0)</f>
        <v>Excelsa</v>
      </c>
      <c r="N992" t="s">
        <v>51</v>
      </c>
      <c r="O992" t="str">
        <f>VLOOKUP(N992,'Products (2)'!A:G,3,0)</f>
        <v>Dark</v>
      </c>
      <c r="P992">
        <f>VLOOKUP(N992,'Products (2)'!A:G,7,0)</f>
        <v>0.40095000000000003</v>
      </c>
      <c r="Q992">
        <v>5</v>
      </c>
      <c r="R992">
        <f>INDEX([1]products!$A$1:$G$49,MATCH([1]orders!$D992,[1]products!$A$1:$A$49,0),MATCH([1]orders!K$1,[1]products!$A$1:$G$1,0))</f>
        <v>0.2</v>
      </c>
      <c r="S992">
        <f>INDEX([1]products!$A$1:$G$49,MATCH([1]orders!$D992,[1]products!$A$1:$A$49,0),MATCH([1]orders!L$1,[1]products!$A$1:$G$1,0))</f>
        <v>3.645</v>
      </c>
      <c r="T992">
        <f t="shared" si="91"/>
        <v>18.225000000000001</v>
      </c>
      <c r="U992">
        <f t="shared" si="94"/>
        <v>2.00475</v>
      </c>
      <c r="V992">
        <f t="shared" si="95"/>
        <v>10.999999999999998</v>
      </c>
    </row>
    <row r="993" spans="1:22" x14ac:dyDescent="0.25">
      <c r="A993" t="s">
        <v>1902</v>
      </c>
      <c r="B993">
        <v>44718</v>
      </c>
      <c r="C993" t="str">
        <f t="shared" si="92"/>
        <v>06</v>
      </c>
      <c r="D993" t="str">
        <f t="shared" si="90"/>
        <v>June</v>
      </c>
      <c r="E993" t="str">
        <f t="shared" si="93"/>
        <v>2022</v>
      </c>
      <c r="F993" t="s">
        <v>1903</v>
      </c>
      <c r="G993" t="str">
        <f>VLOOKUP(F993,'Customers (2)'!A:I,2,0)</f>
        <v>Marguerite Graves</v>
      </c>
      <c r="H993">
        <f>VLOOKUP(F993,'Customers (2)'!A:I,3,0)</f>
        <v>0</v>
      </c>
      <c r="I993" t="str">
        <f>VLOOKUP(F993,'Customers (2)'!A:I,4,0)</f>
        <v>+1 (479) 204-9111</v>
      </c>
      <c r="J993" t="str">
        <f>VLOOKUP(F993,'Customers (2)'!A:I,6,0)</f>
        <v>Fort Smith</v>
      </c>
      <c r="K993" t="str">
        <f>VLOOKUP(F993,'Customers (2)'!A:I,7,0)</f>
        <v>United States</v>
      </c>
      <c r="L993" t="str">
        <f>VLOOKUP(F993,'Customers (2)'!A:I,9,0)</f>
        <v>No</v>
      </c>
      <c r="M993" t="str">
        <f>VLOOKUP(N993,'Products (2)'!A:G,2,0)</f>
        <v>Liberica</v>
      </c>
      <c r="N993" t="s">
        <v>123</v>
      </c>
      <c r="O993" t="str">
        <f>VLOOKUP(N993,'Products (2)'!A:G,3,0)</f>
        <v>Dark</v>
      </c>
      <c r="P993">
        <f>VLOOKUP(N993,'Products (2)'!A:G,7,0)</f>
        <v>1.0101</v>
      </c>
      <c r="Q993">
        <v>2</v>
      </c>
      <c r="R993">
        <f>INDEX([1]products!$A$1:$G$49,MATCH([1]orders!$D993,[1]products!$A$1:$A$49,0),MATCH([1]orders!K$1,[1]products!$A$1:$G$1,0))</f>
        <v>0.5</v>
      </c>
      <c r="S993">
        <f>INDEX([1]products!$A$1:$G$49,MATCH([1]orders!$D993,[1]products!$A$1:$A$49,0),MATCH([1]orders!L$1,[1]products!$A$1:$G$1,0))</f>
        <v>7.77</v>
      </c>
      <c r="T993">
        <f t="shared" si="91"/>
        <v>15.54</v>
      </c>
      <c r="U993">
        <f t="shared" si="94"/>
        <v>2.0202</v>
      </c>
      <c r="V993">
        <f t="shared" si="95"/>
        <v>13</v>
      </c>
    </row>
    <row r="994" spans="1:22" x14ac:dyDescent="0.25">
      <c r="A994" t="s">
        <v>1904</v>
      </c>
      <c r="B994">
        <v>44276</v>
      </c>
      <c r="C994" t="str">
        <f t="shared" si="92"/>
        <v>21</v>
      </c>
      <c r="D994" t="str">
        <f t="shared" si="90"/>
        <v>March</v>
      </c>
      <c r="E994" t="str">
        <f t="shared" si="93"/>
        <v>2021</v>
      </c>
      <c r="F994" t="s">
        <v>1905</v>
      </c>
      <c r="G994" t="str">
        <f>VLOOKUP(F994,'Customers (2)'!A:I,2,0)</f>
        <v>Desdemona Eye</v>
      </c>
      <c r="H994">
        <f>VLOOKUP(F994,'Customers (2)'!A:I,3,0)</f>
        <v>0</v>
      </c>
      <c r="I994" t="str">
        <f>VLOOKUP(F994,'Customers (2)'!A:I,4,0)</f>
        <v>+353 (252) 896-2096</v>
      </c>
      <c r="J994" t="str">
        <f>VLOOKUP(F994,'Customers (2)'!A:I,6,0)</f>
        <v>Bagenalstown</v>
      </c>
      <c r="K994" t="str">
        <f>VLOOKUP(F994,'Customers (2)'!A:I,7,0)</f>
        <v>Ireland</v>
      </c>
      <c r="L994" t="str">
        <f>VLOOKUP(F994,'Customers (2)'!A:I,9,0)</f>
        <v>No</v>
      </c>
      <c r="M994" t="str">
        <f>VLOOKUP(N994,'Products (2)'!A:G,2,0)</f>
        <v>Liberica</v>
      </c>
      <c r="N994" t="s">
        <v>104</v>
      </c>
      <c r="O994" t="str">
        <f>VLOOKUP(N994,'Products (2)'!A:G,3,0)</f>
        <v>Light</v>
      </c>
      <c r="P994">
        <f>VLOOKUP(N994,'Products (2)'!A:G,7,0)</f>
        <v>4.7391499999999995</v>
      </c>
      <c r="Q994">
        <v>3</v>
      </c>
      <c r="R994">
        <f>INDEX([1]products!$A$1:$G$49,MATCH([1]orders!$D994,[1]products!$A$1:$A$49,0),MATCH([1]orders!K$1,[1]products!$A$1:$G$1,0))</f>
        <v>2.5</v>
      </c>
      <c r="S994">
        <f>INDEX([1]products!$A$1:$G$49,MATCH([1]orders!$D994,[1]products!$A$1:$A$49,0),MATCH([1]orders!L$1,[1]products!$A$1:$G$1,0))</f>
        <v>36.454999999999998</v>
      </c>
      <c r="T994">
        <f t="shared" si="91"/>
        <v>109.36499999999999</v>
      </c>
      <c r="U994">
        <f t="shared" si="94"/>
        <v>14.217449999999999</v>
      </c>
      <c r="V994">
        <f t="shared" si="95"/>
        <v>13</v>
      </c>
    </row>
    <row r="995" spans="1:22" x14ac:dyDescent="0.25">
      <c r="A995" t="s">
        <v>1906</v>
      </c>
      <c r="B995">
        <v>44549</v>
      </c>
      <c r="C995" t="str">
        <f t="shared" si="92"/>
        <v>19</v>
      </c>
      <c r="D995" t="str">
        <f t="shared" si="90"/>
        <v>December</v>
      </c>
      <c r="E995" t="str">
        <f t="shared" si="93"/>
        <v>2021</v>
      </c>
      <c r="F995" t="s">
        <v>1907</v>
      </c>
      <c r="G995" t="str">
        <f>VLOOKUP(F995,'Customers (2)'!A:I,2,0)</f>
        <v>Margarette Sterland</v>
      </c>
      <c r="H995">
        <f>VLOOKUP(F995,'Customers (2)'!A:I,3,0)</f>
        <v>0</v>
      </c>
      <c r="I995" t="str">
        <f>VLOOKUP(F995,'Customers (2)'!A:I,4,0)</f>
        <v>+1 (215) 872-6809</v>
      </c>
      <c r="J995" t="str">
        <f>VLOOKUP(F995,'Customers (2)'!A:I,6,0)</f>
        <v>Philadelphia</v>
      </c>
      <c r="K995" t="str">
        <f>VLOOKUP(F995,'Customers (2)'!A:I,7,0)</f>
        <v>United States</v>
      </c>
      <c r="L995" t="str">
        <f>VLOOKUP(F995,'Customers (2)'!A:I,9,0)</f>
        <v>No</v>
      </c>
      <c r="M995" t="str">
        <f>VLOOKUP(N995,'Products (2)'!A:G,2,0)</f>
        <v>Arabica</v>
      </c>
      <c r="N995" t="s">
        <v>6</v>
      </c>
      <c r="O995" t="str">
        <f>VLOOKUP(N995,'Products (2)'!A:G,3,0)</f>
        <v>Light</v>
      </c>
      <c r="P995">
        <f>VLOOKUP(N995,'Products (2)'!A:G,7,0)</f>
        <v>1.1655</v>
      </c>
      <c r="Q995">
        <v>6</v>
      </c>
      <c r="R995">
        <f>INDEX([1]products!$A$1:$G$49,MATCH([1]orders!$D995,[1]products!$A$1:$A$49,0),MATCH([1]orders!K$1,[1]products!$A$1:$G$1,0))</f>
        <v>1</v>
      </c>
      <c r="S995">
        <f>INDEX([1]products!$A$1:$G$49,MATCH([1]orders!$D995,[1]products!$A$1:$A$49,0),MATCH([1]orders!L$1,[1]products!$A$1:$G$1,0))</f>
        <v>12.95</v>
      </c>
      <c r="T995">
        <f t="shared" si="91"/>
        <v>77.699999999999989</v>
      </c>
      <c r="U995">
        <f t="shared" si="94"/>
        <v>6.9930000000000003</v>
      </c>
      <c r="V995">
        <f t="shared" si="95"/>
        <v>9.0000000000000018</v>
      </c>
    </row>
    <row r="996" spans="1:22" x14ac:dyDescent="0.25">
      <c r="A996" t="s">
        <v>1908</v>
      </c>
      <c r="B996">
        <v>44244</v>
      </c>
      <c r="C996" t="str">
        <f t="shared" si="92"/>
        <v>17</v>
      </c>
      <c r="D996" t="str">
        <f t="shared" si="90"/>
        <v>February</v>
      </c>
      <c r="E996" t="str">
        <f t="shared" si="93"/>
        <v>2021</v>
      </c>
      <c r="F996" t="s">
        <v>1909</v>
      </c>
      <c r="G996" t="str">
        <f>VLOOKUP(F996,'Customers (2)'!A:I,2,0)</f>
        <v>Catharine Scoines</v>
      </c>
      <c r="H996">
        <f>VLOOKUP(F996,'Customers (2)'!A:I,3,0)</f>
        <v>0</v>
      </c>
      <c r="I996" t="str">
        <f>VLOOKUP(F996,'Customers (2)'!A:I,4,0)</f>
        <v>+353 (693) 290-4775</v>
      </c>
      <c r="J996" t="str">
        <f>VLOOKUP(F996,'Customers (2)'!A:I,6,0)</f>
        <v>Watergrasshill</v>
      </c>
      <c r="K996" t="str">
        <f>VLOOKUP(F996,'Customers (2)'!A:I,7,0)</f>
        <v>Ireland</v>
      </c>
      <c r="L996" t="str">
        <f>VLOOKUP(F996,'Customers (2)'!A:I,9,0)</f>
        <v>No</v>
      </c>
      <c r="M996" t="str">
        <f>VLOOKUP(N996,'Products (2)'!A:G,2,0)</f>
        <v>Arabica</v>
      </c>
      <c r="N996" t="s">
        <v>54</v>
      </c>
      <c r="O996" t="str">
        <f>VLOOKUP(N996,'Products (2)'!A:G,3,0)</f>
        <v>Dark</v>
      </c>
      <c r="P996">
        <f>VLOOKUP(N996,'Products (2)'!A:G,7,0)</f>
        <v>0.26865</v>
      </c>
      <c r="Q996">
        <v>3</v>
      </c>
      <c r="R996">
        <f>INDEX([1]products!$A$1:$G$49,MATCH([1]orders!$D996,[1]products!$A$1:$A$49,0),MATCH([1]orders!K$1,[1]products!$A$1:$G$1,0))</f>
        <v>0.2</v>
      </c>
      <c r="S996">
        <f>INDEX([1]products!$A$1:$G$49,MATCH([1]orders!$D996,[1]products!$A$1:$A$49,0),MATCH([1]orders!L$1,[1]products!$A$1:$G$1,0))</f>
        <v>2.9849999999999999</v>
      </c>
      <c r="T996">
        <f t="shared" si="91"/>
        <v>8.9550000000000001</v>
      </c>
      <c r="U996">
        <f t="shared" si="94"/>
        <v>0.80594999999999994</v>
      </c>
      <c r="V996">
        <f t="shared" si="95"/>
        <v>9</v>
      </c>
    </row>
    <row r="997" spans="1:22" x14ac:dyDescent="0.25">
      <c r="A997" t="s">
        <v>1910</v>
      </c>
      <c r="B997">
        <v>43836</v>
      </c>
      <c r="C997" t="str">
        <f t="shared" si="92"/>
        <v>06</v>
      </c>
      <c r="D997" t="str">
        <f t="shared" si="90"/>
        <v>January</v>
      </c>
      <c r="E997" t="str">
        <f t="shared" si="93"/>
        <v>2020</v>
      </c>
      <c r="F997" t="s">
        <v>1911</v>
      </c>
      <c r="G997" t="str">
        <f>VLOOKUP(F997,'Customers (2)'!A:I,2,0)</f>
        <v>Jennica Tewelson</v>
      </c>
      <c r="H997" t="str">
        <f>VLOOKUP(F997,'Customers (2)'!A:I,3,0)</f>
        <v>jtewelsonrn@samsung.com</v>
      </c>
      <c r="I997" t="str">
        <f>VLOOKUP(F997,'Customers (2)'!A:I,4,0)</f>
        <v>+1 (469) 573-8379</v>
      </c>
      <c r="J997" t="str">
        <f>VLOOKUP(F997,'Customers (2)'!A:I,6,0)</f>
        <v>Dallas</v>
      </c>
      <c r="K997" t="str">
        <f>VLOOKUP(F997,'Customers (2)'!A:I,7,0)</f>
        <v>United States</v>
      </c>
      <c r="L997" t="str">
        <f>VLOOKUP(F997,'Customers (2)'!A:I,9,0)</f>
        <v>No</v>
      </c>
      <c r="M997" t="str">
        <f>VLOOKUP(N997,'Products (2)'!A:G,2,0)</f>
        <v>Robusta</v>
      </c>
      <c r="N997" t="s">
        <v>10</v>
      </c>
      <c r="O997" t="str">
        <f>VLOOKUP(N997,'Products (2)'!A:G,3,0)</f>
        <v>Light</v>
      </c>
      <c r="P997">
        <f>VLOOKUP(N997,'Products (2)'!A:G,7,0)</f>
        <v>1.6490999999999998</v>
      </c>
      <c r="Q997">
        <v>1</v>
      </c>
      <c r="R997">
        <f>INDEX([1]products!$A$1:$G$49,MATCH([1]orders!$D997,[1]products!$A$1:$A$49,0),MATCH([1]orders!K$1,[1]products!$A$1:$G$1,0))</f>
        <v>2.5</v>
      </c>
      <c r="S997">
        <f>INDEX([1]products!$A$1:$G$49,MATCH([1]orders!$D997,[1]products!$A$1:$A$49,0),MATCH([1]orders!L$1,[1]products!$A$1:$G$1,0))</f>
        <v>27.484999999999996</v>
      </c>
      <c r="T997">
        <f t="shared" si="91"/>
        <v>27.484999999999996</v>
      </c>
      <c r="U997">
        <f t="shared" si="94"/>
        <v>1.6490999999999998</v>
      </c>
      <c r="V997">
        <f t="shared" si="95"/>
        <v>6.0000000000000009</v>
      </c>
    </row>
    <row r="998" spans="1:22" x14ac:dyDescent="0.25">
      <c r="A998" t="s">
        <v>1912</v>
      </c>
      <c r="B998">
        <v>44685</v>
      </c>
      <c r="C998" t="str">
        <f t="shared" si="92"/>
        <v>04</v>
      </c>
      <c r="D998" t="str">
        <f t="shared" si="90"/>
        <v>May</v>
      </c>
      <c r="E998" t="str">
        <f t="shared" si="93"/>
        <v>2022</v>
      </c>
      <c r="F998" t="s">
        <v>1903</v>
      </c>
      <c r="G998" t="str">
        <f>VLOOKUP(F998,'Customers (2)'!A:I,2,0)</f>
        <v>Marguerite Graves</v>
      </c>
      <c r="H998">
        <f>VLOOKUP(F998,'Customers (2)'!A:I,3,0)</f>
        <v>0</v>
      </c>
      <c r="I998" t="str">
        <f>VLOOKUP(F998,'Customers (2)'!A:I,4,0)</f>
        <v>+1 (479) 204-9111</v>
      </c>
      <c r="J998" t="str">
        <f>VLOOKUP(F998,'Customers (2)'!A:I,6,0)</f>
        <v>Fort Smith</v>
      </c>
      <c r="K998" t="str">
        <f>VLOOKUP(F998,'Customers (2)'!A:I,7,0)</f>
        <v>United States</v>
      </c>
      <c r="L998" t="str">
        <f>VLOOKUP(F998,'Customers (2)'!A:I,9,0)</f>
        <v>No</v>
      </c>
      <c r="M998" t="str">
        <f>VLOOKUP(N998,'Products (2)'!A:G,2,0)</f>
        <v>Robusta</v>
      </c>
      <c r="N998" t="s">
        <v>22</v>
      </c>
      <c r="O998" t="str">
        <f>VLOOKUP(N998,'Products (2)'!A:G,3,0)</f>
        <v>Medium</v>
      </c>
      <c r="P998">
        <f>VLOOKUP(N998,'Products (2)'!A:G,7,0)</f>
        <v>0.35819999999999996</v>
      </c>
      <c r="Q998">
        <v>5</v>
      </c>
      <c r="R998">
        <f>INDEX([1]products!$A$1:$G$49,MATCH([1]orders!$D998,[1]products!$A$1:$A$49,0),MATCH([1]orders!K$1,[1]products!$A$1:$G$1,0))</f>
        <v>0.5</v>
      </c>
      <c r="S998">
        <f>INDEX([1]products!$A$1:$G$49,MATCH([1]orders!$D998,[1]products!$A$1:$A$49,0),MATCH([1]orders!L$1,[1]products!$A$1:$G$1,0))</f>
        <v>5.97</v>
      </c>
      <c r="T998">
        <f t="shared" si="91"/>
        <v>29.849999999999998</v>
      </c>
      <c r="U998">
        <f t="shared" si="94"/>
        <v>1.7909999999999999</v>
      </c>
      <c r="V998">
        <f t="shared" si="95"/>
        <v>6.0000000000000009</v>
      </c>
    </row>
    <row r="999" spans="1:22" x14ac:dyDescent="0.25">
      <c r="A999" t="s">
        <v>1913</v>
      </c>
      <c r="B999">
        <v>43749</v>
      </c>
      <c r="C999" t="str">
        <f t="shared" si="92"/>
        <v>11</v>
      </c>
      <c r="D999" t="str">
        <f t="shared" si="90"/>
        <v>October</v>
      </c>
      <c r="E999" t="str">
        <f t="shared" si="93"/>
        <v>2019</v>
      </c>
      <c r="F999" t="s">
        <v>1903</v>
      </c>
      <c r="G999" t="str">
        <f>VLOOKUP(F999,'Customers (2)'!A:I,2,0)</f>
        <v>Marguerite Graves</v>
      </c>
      <c r="H999">
        <f>VLOOKUP(F999,'Customers (2)'!A:I,3,0)</f>
        <v>0</v>
      </c>
      <c r="I999" t="str">
        <f>VLOOKUP(F999,'Customers (2)'!A:I,4,0)</f>
        <v>+1 (479) 204-9111</v>
      </c>
      <c r="J999" t="str">
        <f>VLOOKUP(F999,'Customers (2)'!A:I,6,0)</f>
        <v>Fort Smith</v>
      </c>
      <c r="K999" t="str">
        <f>VLOOKUP(F999,'Customers (2)'!A:I,7,0)</f>
        <v>United States</v>
      </c>
      <c r="L999" t="str">
        <f>VLOOKUP(F999,'Customers (2)'!A:I,9,0)</f>
        <v>No</v>
      </c>
      <c r="M999" t="str">
        <f>VLOOKUP(N999,'Products (2)'!A:G,2,0)</f>
        <v>Arabica</v>
      </c>
      <c r="N999" t="s">
        <v>67</v>
      </c>
      <c r="O999" t="str">
        <f>VLOOKUP(N999,'Products (2)'!A:G,3,0)</f>
        <v>Medium</v>
      </c>
      <c r="P999">
        <f>VLOOKUP(N999,'Products (2)'!A:G,7,0)</f>
        <v>0.60749999999999993</v>
      </c>
      <c r="Q999">
        <v>4</v>
      </c>
      <c r="R999">
        <f>INDEX([1]products!$A$1:$G$49,MATCH([1]orders!$D999,[1]products!$A$1:$A$49,0),MATCH([1]orders!K$1,[1]products!$A$1:$G$1,0))</f>
        <v>0.5</v>
      </c>
      <c r="S999">
        <f>INDEX([1]products!$A$1:$G$49,MATCH([1]orders!$D999,[1]products!$A$1:$A$49,0),MATCH([1]orders!L$1,[1]products!$A$1:$G$1,0))</f>
        <v>6.75</v>
      </c>
      <c r="T999">
        <f t="shared" si="91"/>
        <v>27</v>
      </c>
      <c r="U999">
        <f t="shared" si="94"/>
        <v>2.4299999999999997</v>
      </c>
      <c r="V999">
        <f t="shared" si="95"/>
        <v>8.9999999999999982</v>
      </c>
    </row>
    <row r="1000" spans="1:22" x14ac:dyDescent="0.25">
      <c r="A1000" t="s">
        <v>1914</v>
      </c>
      <c r="B1000">
        <v>44411</v>
      </c>
      <c r="C1000" t="str">
        <f t="shared" si="92"/>
        <v>03</v>
      </c>
      <c r="D1000" t="str">
        <f t="shared" si="90"/>
        <v>August</v>
      </c>
      <c r="E1000" t="str">
        <f t="shared" si="93"/>
        <v>2021</v>
      </c>
      <c r="F1000" t="s">
        <v>1915</v>
      </c>
      <c r="G1000" t="str">
        <f>VLOOKUP(F1000,'Customers (2)'!A:I,2,0)</f>
        <v>Nicolina Jenny</v>
      </c>
      <c r="H1000" t="str">
        <f>VLOOKUP(F1000,'Customers (2)'!A:I,3,0)</f>
        <v>njennyrq@bigcartel.com</v>
      </c>
      <c r="I1000" t="str">
        <f>VLOOKUP(F1000,'Customers (2)'!A:I,4,0)</f>
        <v>+1 (562) 679-4750</v>
      </c>
      <c r="J1000" t="str">
        <f>VLOOKUP(F1000,'Customers (2)'!A:I,6,0)</f>
        <v>Whittier</v>
      </c>
      <c r="K1000" t="str">
        <f>VLOOKUP(F1000,'Customers (2)'!A:I,7,0)</f>
        <v>United States</v>
      </c>
      <c r="L1000" t="str">
        <f>VLOOKUP(F1000,'Customers (2)'!A:I,9,0)</f>
        <v>No</v>
      </c>
      <c r="M1000" t="str">
        <f>VLOOKUP(N1000,'Products (2)'!A:G,2,0)</f>
        <v>Arabica</v>
      </c>
      <c r="N1000" t="s">
        <v>27</v>
      </c>
      <c r="O1000" t="str">
        <f>VLOOKUP(N1000,'Products (2)'!A:G,3,0)</f>
        <v>Dark</v>
      </c>
      <c r="P1000">
        <f>VLOOKUP(N1000,'Products (2)'!A:G,7,0)</f>
        <v>0.89549999999999985</v>
      </c>
      <c r="Q1000">
        <v>1</v>
      </c>
      <c r="R1000">
        <f>INDEX([1]products!$A$1:$G$49,MATCH([1]orders!$D1000,[1]products!$A$1:$A$49,0),MATCH([1]orders!K$1,[1]products!$A$1:$G$1,0))</f>
        <v>1</v>
      </c>
      <c r="S1000">
        <f>INDEX([1]products!$A$1:$G$49,MATCH([1]orders!$D1000,[1]products!$A$1:$A$49,0),MATCH([1]orders!L$1,[1]products!$A$1:$G$1,0))</f>
        <v>9.9499999999999993</v>
      </c>
      <c r="T1000">
        <f t="shared" si="91"/>
        <v>9.9499999999999993</v>
      </c>
      <c r="U1000">
        <f t="shared" si="94"/>
        <v>0.89549999999999985</v>
      </c>
      <c r="V1000">
        <f t="shared" si="95"/>
        <v>9</v>
      </c>
    </row>
    <row r="1001" spans="1:22" x14ac:dyDescent="0.25">
      <c r="A1001" t="s">
        <v>1916</v>
      </c>
      <c r="B1001">
        <v>44119</v>
      </c>
      <c r="C1001" t="str">
        <f t="shared" si="92"/>
        <v>15</v>
      </c>
      <c r="D1001" t="str">
        <f t="shared" si="90"/>
        <v>October</v>
      </c>
      <c r="E1001" t="str">
        <f t="shared" si="93"/>
        <v>2020</v>
      </c>
      <c r="F1001" t="s">
        <v>1917</v>
      </c>
      <c r="G1001" t="str">
        <f>VLOOKUP(F1001,'Customers (2)'!A:I,2,0)</f>
        <v>Vidovic Antonelli</v>
      </c>
      <c r="H1001">
        <f>VLOOKUP(F1001,'Customers (2)'!A:I,3,0)</f>
        <v>0</v>
      </c>
      <c r="I1001" t="str">
        <f>VLOOKUP(F1001,'Customers (2)'!A:I,4,0)</f>
        <v>+44 (810) 927-9266</v>
      </c>
      <c r="J1001" t="str">
        <f>VLOOKUP(F1001,'Customers (2)'!A:I,6,0)</f>
        <v>London</v>
      </c>
      <c r="K1001" t="str">
        <f>VLOOKUP(F1001,'Customers (2)'!A:I,7,0)</f>
        <v>United Kingdom</v>
      </c>
      <c r="L1001" t="str">
        <f>VLOOKUP(F1001,'Customers (2)'!A:I,9,0)</f>
        <v>Yes</v>
      </c>
      <c r="M1001" t="str">
        <f>VLOOKUP(N1001,'Products (2)'!A:G,2,0)</f>
        <v>Excelsa</v>
      </c>
      <c r="N1001" t="s">
        <v>64</v>
      </c>
      <c r="O1001" t="str">
        <f>VLOOKUP(N1001,'Products (2)'!A:G,3,0)</f>
        <v>Medium</v>
      </c>
      <c r="P1001">
        <f>VLOOKUP(N1001,'Products (2)'!A:G,7,0)</f>
        <v>0.45374999999999999</v>
      </c>
      <c r="Q1001">
        <v>3</v>
      </c>
      <c r="R1001">
        <f>INDEX([1]products!$A$1:$G$49,MATCH([1]orders!$D1001,[1]products!$A$1:$A$49,0),MATCH([1]orders!K$1,[1]products!$A$1:$G$1,0))</f>
        <v>0.2</v>
      </c>
      <c r="S1001">
        <f>INDEX([1]products!$A$1:$G$49,MATCH([1]orders!$D1001,[1]products!$A$1:$A$49,0),MATCH([1]orders!L$1,[1]products!$A$1:$G$1,0))</f>
        <v>4.125</v>
      </c>
      <c r="T1001">
        <f t="shared" si="91"/>
        <v>12.375</v>
      </c>
      <c r="U1001">
        <f t="shared" si="94"/>
        <v>1.3612500000000001</v>
      </c>
      <c r="V1001">
        <f t="shared" si="95"/>
        <v>11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001"/>
  <sheetViews>
    <sheetView workbookViewId="0">
      <selection activeCell="E1" sqref="E1:E1048576"/>
    </sheetView>
  </sheetViews>
  <sheetFormatPr defaultRowHeight="15" x14ac:dyDescent="0.25"/>
  <cols>
    <col min="1" max="1" width="15.140625" bestFit="1" customWidth="1"/>
    <col min="2" max="2" width="12.140625" bestFit="1" customWidth="1"/>
    <col min="3" max="3" width="15.85546875" bestFit="1" customWidth="1"/>
    <col min="4" max="4" width="15.85546875" customWidth="1"/>
    <col min="5" max="5" width="9.7109375" bestFit="1" customWidth="1"/>
    <col min="6" max="6" width="8.140625" bestFit="1" customWidth="1"/>
    <col min="7" max="7" width="6.7109375" bestFit="1" customWidth="1"/>
    <col min="8" max="8" width="8.85546875" bestFit="1" customWidth="1"/>
    <col min="9" max="9" width="7.42578125" bestFit="1" customWidth="1"/>
  </cols>
  <sheetData>
    <row r="1" spans="1:9" x14ac:dyDescent="0.25">
      <c r="A1" t="s">
        <v>1918</v>
      </c>
      <c r="B1" t="s">
        <v>1919</v>
      </c>
      <c r="C1" t="s">
        <v>1920</v>
      </c>
      <c r="D1" t="str">
        <f>INDEX('Customers (2)'!B:B,MATCH('Customers (2)'!A1,'Customers (2)'!A:A,0))</f>
        <v>Customer Name</v>
      </c>
      <c r="E1" t="s">
        <v>1921</v>
      </c>
      <c r="F1" t="s">
        <v>1922</v>
      </c>
      <c r="G1" t="s">
        <v>1928</v>
      </c>
      <c r="H1" t="s">
        <v>1929</v>
      </c>
      <c r="I1" t="s">
        <v>1930</v>
      </c>
    </row>
    <row r="2" spans="1:9" x14ac:dyDescent="0.25">
      <c r="A2" t="s">
        <v>0</v>
      </c>
      <c r="B2">
        <v>43713</v>
      </c>
      <c r="C2" t="s">
        <v>1</v>
      </c>
      <c r="D2" t="str">
        <f>INDEX('Customers (2)'!B:B,MATCH('Customers (2)'!A2,'Customers (2)'!A:A,0))</f>
        <v>Aloisia Allner</v>
      </c>
      <c r="E2" t="s">
        <v>2</v>
      </c>
      <c r="F2">
        <v>2</v>
      </c>
      <c r="G2">
        <f>INDEX([1]products!$A$1:$G$49,MATCH([1]orders!$D2,[1]products!$A$1:$A$49,0),MATCH([1]orders!K$1,[1]products!$A$1:$G$1,0))</f>
        <v>1</v>
      </c>
      <c r="H2">
        <f>INDEX([1]products!$A$1:$G$49,MATCH([1]orders!$D2,[1]products!$A$1:$A$49,0),MATCH([1]orders!L$1,[1]products!$A$1:$G$1,0))</f>
        <v>9.9499999999999993</v>
      </c>
      <c r="I2">
        <f t="shared" ref="I2:I65" si="0">F2*H2</f>
        <v>19.899999999999999</v>
      </c>
    </row>
    <row r="3" spans="1:9" x14ac:dyDescent="0.25">
      <c r="A3" t="s">
        <v>0</v>
      </c>
      <c r="B3">
        <v>43713</v>
      </c>
      <c r="C3" t="s">
        <v>1</v>
      </c>
      <c r="D3" t="str">
        <f>INDEX('Customers (2)'!B:B,MATCH('Customers (2)'!A3,'Customers (2)'!A:A,0))</f>
        <v>Piotr Bote</v>
      </c>
      <c r="E3" t="s">
        <v>3</v>
      </c>
      <c r="F3">
        <v>5</v>
      </c>
      <c r="G3">
        <f>INDEX([1]products!$A$1:$G$49,MATCH([1]orders!$D3,[1]products!$A$1:$A$49,0),MATCH([1]orders!K$1,[1]products!$A$1:$G$1,0))</f>
        <v>0.5</v>
      </c>
      <c r="H3">
        <f>INDEX([1]products!$A$1:$G$49,MATCH([1]orders!$D3,[1]products!$A$1:$A$49,0),MATCH([1]orders!L$1,[1]products!$A$1:$G$1,0))</f>
        <v>8.25</v>
      </c>
      <c r="I3">
        <f t="shared" si="0"/>
        <v>41.25</v>
      </c>
    </row>
    <row r="4" spans="1:9" x14ac:dyDescent="0.25">
      <c r="A4" t="s">
        <v>4</v>
      </c>
      <c r="B4">
        <v>44364</v>
      </c>
      <c r="C4" t="s">
        <v>5</v>
      </c>
      <c r="D4" t="str">
        <f>INDEX('Customers (2)'!B:B,MATCH('Customers (2)'!A4,'Customers (2)'!A:A,0))</f>
        <v>Jami Redholes</v>
      </c>
      <c r="E4" t="s">
        <v>6</v>
      </c>
      <c r="F4">
        <v>1</v>
      </c>
      <c r="G4">
        <f>INDEX([1]products!$A$1:$G$49,MATCH([1]orders!$D4,[1]products!$A$1:$A$49,0),MATCH([1]orders!K$1,[1]products!$A$1:$G$1,0))</f>
        <v>1</v>
      </c>
      <c r="H4">
        <f>INDEX([1]products!$A$1:$G$49,MATCH([1]orders!$D4,[1]products!$A$1:$A$49,0),MATCH([1]orders!L$1,[1]products!$A$1:$G$1,0))</f>
        <v>12.95</v>
      </c>
      <c r="I4">
        <f t="shared" si="0"/>
        <v>12.95</v>
      </c>
    </row>
    <row r="5" spans="1:9" x14ac:dyDescent="0.25">
      <c r="A5" t="s">
        <v>7</v>
      </c>
      <c r="B5">
        <v>44392</v>
      </c>
      <c r="C5" t="s">
        <v>8</v>
      </c>
      <c r="D5" t="str">
        <f>INDEX('Customers (2)'!B:B,MATCH('Customers (2)'!A5,'Customers (2)'!A:A,0))</f>
        <v>Dene Azema</v>
      </c>
      <c r="E5" t="s">
        <v>9</v>
      </c>
      <c r="F5">
        <v>2</v>
      </c>
      <c r="G5">
        <f>INDEX([1]products!$A$1:$G$49,MATCH([1]orders!$D5,[1]products!$A$1:$A$49,0),MATCH([1]orders!K$1,[1]products!$A$1:$G$1,0))</f>
        <v>1</v>
      </c>
      <c r="H5">
        <f>INDEX([1]products!$A$1:$G$49,MATCH([1]orders!$D5,[1]products!$A$1:$A$49,0),MATCH([1]orders!L$1,[1]products!$A$1:$G$1,0))</f>
        <v>13.75</v>
      </c>
      <c r="I5">
        <f t="shared" si="0"/>
        <v>27.5</v>
      </c>
    </row>
    <row r="6" spans="1:9" x14ac:dyDescent="0.25">
      <c r="A6" t="s">
        <v>7</v>
      </c>
      <c r="B6">
        <v>44392</v>
      </c>
      <c r="C6" t="s">
        <v>8</v>
      </c>
      <c r="D6" t="str">
        <f>INDEX('Customers (2)'!B:B,MATCH('Customers (2)'!A6,'Customers (2)'!A:A,0))</f>
        <v>Christoffer O' Shea</v>
      </c>
      <c r="E6" t="s">
        <v>10</v>
      </c>
      <c r="F6">
        <v>2</v>
      </c>
      <c r="G6">
        <f>INDEX([1]products!$A$1:$G$49,MATCH([1]orders!$D6,[1]products!$A$1:$A$49,0),MATCH([1]orders!K$1,[1]products!$A$1:$G$1,0))</f>
        <v>2.5</v>
      </c>
      <c r="H6">
        <f>INDEX([1]products!$A$1:$G$49,MATCH([1]orders!$D6,[1]products!$A$1:$A$49,0),MATCH([1]orders!L$1,[1]products!$A$1:$G$1,0))</f>
        <v>27.484999999999996</v>
      </c>
      <c r="I6">
        <f t="shared" si="0"/>
        <v>54.969999999999992</v>
      </c>
    </row>
    <row r="7" spans="1:9" x14ac:dyDescent="0.25">
      <c r="A7" t="s">
        <v>11</v>
      </c>
      <c r="B7">
        <v>44412</v>
      </c>
      <c r="C7" t="s">
        <v>12</v>
      </c>
      <c r="D7" t="str">
        <f>INDEX('Customers (2)'!B:B,MATCH('Customers (2)'!A7,'Customers (2)'!A:A,0))</f>
        <v>Beryle Cottier</v>
      </c>
      <c r="E7" t="s">
        <v>13</v>
      </c>
      <c r="F7">
        <v>3</v>
      </c>
      <c r="G7">
        <f>INDEX([1]products!$A$1:$G$49,MATCH([1]orders!$D7,[1]products!$A$1:$A$49,0),MATCH([1]orders!K$1,[1]products!$A$1:$G$1,0))</f>
        <v>1</v>
      </c>
      <c r="H7">
        <f>INDEX([1]products!$A$1:$G$49,MATCH([1]orders!$D7,[1]products!$A$1:$A$49,0),MATCH([1]orders!L$1,[1]products!$A$1:$G$1,0))</f>
        <v>12.95</v>
      </c>
      <c r="I7">
        <f t="shared" si="0"/>
        <v>38.849999999999994</v>
      </c>
    </row>
    <row r="8" spans="1:9" x14ac:dyDescent="0.25">
      <c r="A8" t="s">
        <v>14</v>
      </c>
      <c r="B8">
        <v>44582</v>
      </c>
      <c r="C8" t="s">
        <v>15</v>
      </c>
      <c r="D8" t="str">
        <f>INDEX('Customers (2)'!B:B,MATCH('Customers (2)'!A8,'Customers (2)'!A:A,0))</f>
        <v>Shaylynn Lobe</v>
      </c>
      <c r="E8" t="s">
        <v>16</v>
      </c>
      <c r="F8">
        <v>3</v>
      </c>
      <c r="G8">
        <f>INDEX([1]products!$A$1:$G$49,MATCH([1]orders!$D8,[1]products!$A$1:$A$49,0),MATCH([1]orders!K$1,[1]products!$A$1:$G$1,0))</f>
        <v>0.5</v>
      </c>
      <c r="H8">
        <f>INDEX([1]products!$A$1:$G$49,MATCH([1]orders!$D8,[1]products!$A$1:$A$49,0),MATCH([1]orders!L$1,[1]products!$A$1:$G$1,0))</f>
        <v>7.29</v>
      </c>
      <c r="I8">
        <f t="shared" si="0"/>
        <v>21.87</v>
      </c>
    </row>
    <row r="9" spans="1:9" x14ac:dyDescent="0.25">
      <c r="A9" t="s">
        <v>17</v>
      </c>
      <c r="B9">
        <v>44701</v>
      </c>
      <c r="C9" t="s">
        <v>18</v>
      </c>
      <c r="D9" t="str">
        <f>INDEX('Customers (2)'!B:B,MATCH('Customers (2)'!A9,'Customers (2)'!A:A,0))</f>
        <v>Melvin Wharfe</v>
      </c>
      <c r="E9" t="s">
        <v>19</v>
      </c>
      <c r="F9">
        <v>1</v>
      </c>
      <c r="G9">
        <f>INDEX([1]products!$A$1:$G$49,MATCH([1]orders!$D9,[1]products!$A$1:$A$49,0),MATCH([1]orders!K$1,[1]products!$A$1:$G$1,0))</f>
        <v>0.2</v>
      </c>
      <c r="H9">
        <f>INDEX([1]products!$A$1:$G$49,MATCH([1]orders!$D9,[1]products!$A$1:$A$49,0),MATCH([1]orders!L$1,[1]products!$A$1:$G$1,0))</f>
        <v>4.7549999999999999</v>
      </c>
      <c r="I9">
        <f t="shared" si="0"/>
        <v>4.7549999999999999</v>
      </c>
    </row>
    <row r="10" spans="1:9" x14ac:dyDescent="0.25">
      <c r="A10" t="s">
        <v>20</v>
      </c>
      <c r="B10">
        <v>43467</v>
      </c>
      <c r="C10" t="s">
        <v>21</v>
      </c>
      <c r="D10" t="str">
        <f>INDEX('Customers (2)'!B:B,MATCH('Customers (2)'!A10,'Customers (2)'!A:A,0))</f>
        <v>Guthrey Petracci</v>
      </c>
      <c r="E10" t="s">
        <v>22</v>
      </c>
      <c r="F10">
        <v>3</v>
      </c>
      <c r="G10">
        <f>INDEX([1]products!$A$1:$G$49,MATCH([1]orders!$D10,[1]products!$A$1:$A$49,0),MATCH([1]orders!K$1,[1]products!$A$1:$G$1,0))</f>
        <v>0.5</v>
      </c>
      <c r="H10">
        <f>INDEX([1]products!$A$1:$G$49,MATCH([1]orders!$D10,[1]products!$A$1:$A$49,0),MATCH([1]orders!L$1,[1]products!$A$1:$G$1,0))</f>
        <v>5.97</v>
      </c>
      <c r="I10">
        <f t="shared" si="0"/>
        <v>17.91</v>
      </c>
    </row>
    <row r="11" spans="1:9" x14ac:dyDescent="0.25">
      <c r="A11" t="s">
        <v>23</v>
      </c>
      <c r="B11">
        <v>43713</v>
      </c>
      <c r="C11" t="s">
        <v>24</v>
      </c>
      <c r="D11" t="str">
        <f>INDEX('Customers (2)'!B:B,MATCH('Customers (2)'!A11,'Customers (2)'!A:A,0))</f>
        <v>Rodger Raven</v>
      </c>
      <c r="E11" t="s">
        <v>22</v>
      </c>
      <c r="F11">
        <v>1</v>
      </c>
      <c r="G11">
        <f>INDEX([1]products!$A$1:$G$49,MATCH([1]orders!$D11,[1]products!$A$1:$A$49,0),MATCH([1]orders!K$1,[1]products!$A$1:$G$1,0))</f>
        <v>0.5</v>
      </c>
      <c r="H11">
        <f>INDEX([1]products!$A$1:$G$49,MATCH([1]orders!$D11,[1]products!$A$1:$A$49,0),MATCH([1]orders!L$1,[1]products!$A$1:$G$1,0))</f>
        <v>5.97</v>
      </c>
      <c r="I11">
        <f t="shared" si="0"/>
        <v>5.97</v>
      </c>
    </row>
    <row r="12" spans="1:9" x14ac:dyDescent="0.25">
      <c r="A12" t="s">
        <v>25</v>
      </c>
      <c r="B12">
        <v>44263</v>
      </c>
      <c r="C12" t="s">
        <v>26</v>
      </c>
      <c r="D12" t="str">
        <f>INDEX('Customers (2)'!B:B,MATCH('Customers (2)'!A12,'Customers (2)'!A:A,0))</f>
        <v>Ferrell Ferber</v>
      </c>
      <c r="E12" t="s">
        <v>27</v>
      </c>
      <c r="F12">
        <v>4</v>
      </c>
      <c r="G12">
        <f>INDEX([1]products!$A$1:$G$49,MATCH([1]orders!$D12,[1]products!$A$1:$A$49,0),MATCH([1]orders!K$1,[1]products!$A$1:$G$1,0))</f>
        <v>1</v>
      </c>
      <c r="H12">
        <f>INDEX([1]products!$A$1:$G$49,MATCH([1]orders!$D12,[1]products!$A$1:$A$49,0),MATCH([1]orders!L$1,[1]products!$A$1:$G$1,0))</f>
        <v>9.9499999999999993</v>
      </c>
      <c r="I12">
        <f t="shared" si="0"/>
        <v>39.799999999999997</v>
      </c>
    </row>
    <row r="13" spans="1:9" x14ac:dyDescent="0.25">
      <c r="A13" t="s">
        <v>28</v>
      </c>
      <c r="B13">
        <v>44132</v>
      </c>
      <c r="C13" t="s">
        <v>29</v>
      </c>
      <c r="D13" t="str">
        <f>INDEX('Customers (2)'!B:B,MATCH('Customers (2)'!A13,'Customers (2)'!A:A,0))</f>
        <v>Duky Phizackerly</v>
      </c>
      <c r="E13" t="s">
        <v>30</v>
      </c>
      <c r="F13">
        <v>5</v>
      </c>
      <c r="G13">
        <f>INDEX([1]products!$A$1:$G$49,MATCH([1]orders!$D13,[1]products!$A$1:$A$49,0),MATCH([1]orders!K$1,[1]products!$A$1:$G$1,0))</f>
        <v>2.5</v>
      </c>
      <c r="H13">
        <f>INDEX([1]products!$A$1:$G$49,MATCH([1]orders!$D13,[1]products!$A$1:$A$49,0),MATCH([1]orders!L$1,[1]products!$A$1:$G$1,0))</f>
        <v>34.154999999999994</v>
      </c>
      <c r="I13">
        <f t="shared" si="0"/>
        <v>170.77499999999998</v>
      </c>
    </row>
    <row r="14" spans="1:9" x14ac:dyDescent="0.25">
      <c r="A14" t="s">
        <v>31</v>
      </c>
      <c r="B14">
        <v>44744</v>
      </c>
      <c r="C14" t="s">
        <v>32</v>
      </c>
      <c r="D14" t="str">
        <f>INDEX('Customers (2)'!B:B,MATCH('Customers (2)'!A14,'Customers (2)'!A:A,0))</f>
        <v>Rosaleen Scholar</v>
      </c>
      <c r="E14" t="s">
        <v>2</v>
      </c>
      <c r="F14">
        <v>5</v>
      </c>
      <c r="G14">
        <f>INDEX([1]products!$A$1:$G$49,MATCH([1]orders!$D14,[1]products!$A$1:$A$49,0),MATCH([1]orders!K$1,[1]products!$A$1:$G$1,0))</f>
        <v>1</v>
      </c>
      <c r="H14">
        <f>INDEX([1]products!$A$1:$G$49,MATCH([1]orders!$D14,[1]products!$A$1:$A$49,0),MATCH([1]orders!L$1,[1]products!$A$1:$G$1,0))</f>
        <v>9.9499999999999993</v>
      </c>
      <c r="I14">
        <f t="shared" si="0"/>
        <v>49.75</v>
      </c>
    </row>
    <row r="15" spans="1:9" x14ac:dyDescent="0.25">
      <c r="A15" t="s">
        <v>33</v>
      </c>
      <c r="B15">
        <v>43973</v>
      </c>
      <c r="C15" t="s">
        <v>34</v>
      </c>
      <c r="D15" t="str">
        <f>INDEX('Customers (2)'!B:B,MATCH('Customers (2)'!A15,'Customers (2)'!A:A,0))</f>
        <v>Terence Vanyutin</v>
      </c>
      <c r="E15" t="s">
        <v>35</v>
      </c>
      <c r="F15">
        <v>2</v>
      </c>
      <c r="G15">
        <f>INDEX([1]products!$A$1:$G$49,MATCH([1]orders!$D15,[1]products!$A$1:$A$49,0),MATCH([1]orders!K$1,[1]products!$A$1:$G$1,0))</f>
        <v>2.5</v>
      </c>
      <c r="H15">
        <f>INDEX([1]products!$A$1:$G$49,MATCH([1]orders!$D15,[1]products!$A$1:$A$49,0),MATCH([1]orders!L$1,[1]products!$A$1:$G$1,0))</f>
        <v>20.584999999999997</v>
      </c>
      <c r="I15">
        <f t="shared" si="0"/>
        <v>41.169999999999995</v>
      </c>
    </row>
    <row r="16" spans="1:9" x14ac:dyDescent="0.25">
      <c r="A16" t="s">
        <v>36</v>
      </c>
      <c r="B16">
        <v>44656</v>
      </c>
      <c r="C16" t="s">
        <v>37</v>
      </c>
      <c r="D16" t="str">
        <f>INDEX('Customers (2)'!B:B,MATCH('Customers (2)'!A16,'Customers (2)'!A:A,0))</f>
        <v>Patrice Trobe</v>
      </c>
      <c r="E16" t="s">
        <v>38</v>
      </c>
      <c r="F16">
        <v>3</v>
      </c>
      <c r="G16">
        <f>INDEX([1]products!$A$1:$G$49,MATCH([1]orders!$D16,[1]products!$A$1:$A$49,0),MATCH([1]orders!K$1,[1]products!$A$1:$G$1,0))</f>
        <v>0.2</v>
      </c>
      <c r="H16">
        <f>INDEX([1]products!$A$1:$G$49,MATCH([1]orders!$D16,[1]products!$A$1:$A$49,0),MATCH([1]orders!L$1,[1]products!$A$1:$G$1,0))</f>
        <v>3.8849999999999998</v>
      </c>
      <c r="I16">
        <f t="shared" si="0"/>
        <v>11.654999999999999</v>
      </c>
    </row>
    <row r="17" spans="1:9" x14ac:dyDescent="0.25">
      <c r="A17" t="s">
        <v>39</v>
      </c>
      <c r="B17">
        <v>44719</v>
      </c>
      <c r="C17" t="s">
        <v>40</v>
      </c>
      <c r="D17" t="str">
        <f>INDEX('Customers (2)'!B:B,MATCH('Customers (2)'!A17,'Customers (2)'!A:A,0))</f>
        <v>Llywellyn Oscroft</v>
      </c>
      <c r="E17" t="s">
        <v>41</v>
      </c>
      <c r="F17">
        <v>5</v>
      </c>
      <c r="G17">
        <f>INDEX([1]products!$A$1:$G$49,MATCH([1]orders!$D17,[1]products!$A$1:$A$49,0),MATCH([1]orders!K$1,[1]products!$A$1:$G$1,0))</f>
        <v>2.5</v>
      </c>
      <c r="H17">
        <f>INDEX([1]products!$A$1:$G$49,MATCH([1]orders!$D17,[1]products!$A$1:$A$49,0),MATCH([1]orders!L$1,[1]products!$A$1:$G$1,0))</f>
        <v>22.884999999999998</v>
      </c>
      <c r="I17">
        <f t="shared" si="0"/>
        <v>114.42499999999998</v>
      </c>
    </row>
    <row r="18" spans="1:9" x14ac:dyDescent="0.25">
      <c r="A18" t="s">
        <v>42</v>
      </c>
      <c r="B18">
        <v>43544</v>
      </c>
      <c r="C18" t="s">
        <v>43</v>
      </c>
      <c r="D18" t="str">
        <f>INDEX('Customers (2)'!B:B,MATCH('Customers (2)'!A18,'Customers (2)'!A:A,0))</f>
        <v>Minni Alabaster</v>
      </c>
      <c r="E18" t="s">
        <v>44</v>
      </c>
      <c r="F18">
        <v>6</v>
      </c>
      <c r="G18">
        <f>INDEX([1]products!$A$1:$G$49,MATCH([1]orders!$D18,[1]products!$A$1:$A$49,0),MATCH([1]orders!K$1,[1]products!$A$1:$G$1,0))</f>
        <v>0.2</v>
      </c>
      <c r="H18">
        <f>INDEX([1]products!$A$1:$G$49,MATCH([1]orders!$D18,[1]products!$A$1:$A$49,0),MATCH([1]orders!L$1,[1]products!$A$1:$G$1,0))</f>
        <v>3.375</v>
      </c>
      <c r="I18">
        <f t="shared" si="0"/>
        <v>20.25</v>
      </c>
    </row>
    <row r="19" spans="1:9" x14ac:dyDescent="0.25">
      <c r="A19" t="s">
        <v>45</v>
      </c>
      <c r="B19">
        <v>43757</v>
      </c>
      <c r="C19" t="s">
        <v>46</v>
      </c>
      <c r="D19" t="str">
        <f>INDEX('Customers (2)'!B:B,MATCH('Customers (2)'!A19,'Customers (2)'!A:A,0))</f>
        <v>Rhianon Broxup</v>
      </c>
      <c r="E19" t="s">
        <v>6</v>
      </c>
      <c r="F19">
        <v>6</v>
      </c>
      <c r="G19">
        <f>INDEX([1]products!$A$1:$G$49,MATCH([1]orders!$D19,[1]products!$A$1:$A$49,0),MATCH([1]orders!K$1,[1]products!$A$1:$G$1,0))</f>
        <v>1</v>
      </c>
      <c r="H19">
        <f>INDEX([1]products!$A$1:$G$49,MATCH([1]orders!$D19,[1]products!$A$1:$A$49,0),MATCH([1]orders!L$1,[1]products!$A$1:$G$1,0))</f>
        <v>12.95</v>
      </c>
      <c r="I19">
        <f t="shared" si="0"/>
        <v>77.699999999999989</v>
      </c>
    </row>
    <row r="20" spans="1:9" x14ac:dyDescent="0.25">
      <c r="A20" t="s">
        <v>47</v>
      </c>
      <c r="B20">
        <v>43629</v>
      </c>
      <c r="C20" t="s">
        <v>48</v>
      </c>
      <c r="D20" t="str">
        <f>INDEX('Customers (2)'!B:B,MATCH('Customers (2)'!A20,'Customers (2)'!A:A,0))</f>
        <v>Pall Redford</v>
      </c>
      <c r="E20" t="s">
        <v>35</v>
      </c>
      <c r="F20">
        <v>4</v>
      </c>
      <c r="G20">
        <f>INDEX([1]products!$A$1:$G$49,MATCH([1]orders!$D20,[1]products!$A$1:$A$49,0),MATCH([1]orders!K$1,[1]products!$A$1:$G$1,0))</f>
        <v>2.5</v>
      </c>
      <c r="H20">
        <f>INDEX([1]products!$A$1:$G$49,MATCH([1]orders!$D20,[1]products!$A$1:$A$49,0),MATCH([1]orders!L$1,[1]products!$A$1:$G$1,0))</f>
        <v>20.584999999999997</v>
      </c>
      <c r="I20">
        <f t="shared" si="0"/>
        <v>82.339999999999989</v>
      </c>
    </row>
    <row r="21" spans="1:9" x14ac:dyDescent="0.25">
      <c r="A21" t="s">
        <v>49</v>
      </c>
      <c r="B21">
        <v>44169</v>
      </c>
      <c r="C21" t="s">
        <v>50</v>
      </c>
      <c r="D21" t="str">
        <f>INDEX('Customers (2)'!B:B,MATCH('Customers (2)'!A21,'Customers (2)'!A:A,0))</f>
        <v>Aurea Corradino</v>
      </c>
      <c r="E21" t="s">
        <v>44</v>
      </c>
      <c r="F21">
        <v>5</v>
      </c>
      <c r="G21">
        <f>INDEX([1]products!$A$1:$G$49,MATCH([1]orders!$D21,[1]products!$A$1:$A$49,0),MATCH([1]orders!K$1,[1]products!$A$1:$G$1,0))</f>
        <v>0.2</v>
      </c>
      <c r="H21">
        <f>INDEX([1]products!$A$1:$G$49,MATCH([1]orders!$D21,[1]products!$A$1:$A$49,0),MATCH([1]orders!L$1,[1]products!$A$1:$G$1,0))</f>
        <v>3.375</v>
      </c>
      <c r="I21">
        <f t="shared" si="0"/>
        <v>16.875</v>
      </c>
    </row>
    <row r="22" spans="1:9" x14ac:dyDescent="0.25">
      <c r="A22" t="s">
        <v>49</v>
      </c>
      <c r="B22">
        <v>44169</v>
      </c>
      <c r="C22" t="s">
        <v>50</v>
      </c>
      <c r="D22" t="str">
        <f>INDEX('Customers (2)'!B:B,MATCH('Customers (2)'!A22,'Customers (2)'!A:A,0))</f>
        <v>Kendal Scardefield</v>
      </c>
      <c r="E22" t="s">
        <v>51</v>
      </c>
      <c r="F22">
        <v>4</v>
      </c>
      <c r="G22">
        <f>INDEX([1]products!$A$1:$G$49,MATCH([1]orders!$D22,[1]products!$A$1:$A$49,0),MATCH([1]orders!K$1,[1]products!$A$1:$G$1,0))</f>
        <v>0.2</v>
      </c>
      <c r="H22">
        <f>INDEX([1]products!$A$1:$G$49,MATCH([1]orders!$D22,[1]products!$A$1:$A$49,0),MATCH([1]orders!L$1,[1]products!$A$1:$G$1,0))</f>
        <v>3.645</v>
      </c>
      <c r="I22">
        <f t="shared" si="0"/>
        <v>14.58</v>
      </c>
    </row>
    <row r="23" spans="1:9" x14ac:dyDescent="0.25">
      <c r="A23" t="s">
        <v>52</v>
      </c>
      <c r="B23">
        <v>44169</v>
      </c>
      <c r="C23" t="s">
        <v>53</v>
      </c>
      <c r="D23" t="str">
        <f>INDEX('Customers (2)'!B:B,MATCH('Customers (2)'!A23,'Customers (2)'!A:A,0))</f>
        <v>Avrit Davidowsky</v>
      </c>
      <c r="E23" t="s">
        <v>54</v>
      </c>
      <c r="F23">
        <v>6</v>
      </c>
      <c r="G23">
        <f>INDEX([1]products!$A$1:$G$49,MATCH([1]orders!$D23,[1]products!$A$1:$A$49,0),MATCH([1]orders!K$1,[1]products!$A$1:$G$1,0))</f>
        <v>0.2</v>
      </c>
      <c r="H23">
        <f>INDEX([1]products!$A$1:$G$49,MATCH([1]orders!$D23,[1]products!$A$1:$A$49,0),MATCH([1]orders!L$1,[1]products!$A$1:$G$1,0))</f>
        <v>2.9849999999999999</v>
      </c>
      <c r="I23">
        <f t="shared" si="0"/>
        <v>17.91</v>
      </c>
    </row>
    <row r="24" spans="1:9" x14ac:dyDescent="0.25">
      <c r="A24" t="s">
        <v>55</v>
      </c>
      <c r="B24">
        <v>44218</v>
      </c>
      <c r="C24" t="s">
        <v>56</v>
      </c>
      <c r="D24" t="str">
        <f>INDEX('Customers (2)'!B:B,MATCH('Customers (2)'!A24,'Customers (2)'!A:A,0))</f>
        <v>Annabel Antuk</v>
      </c>
      <c r="E24" t="s">
        <v>41</v>
      </c>
      <c r="F24">
        <v>4</v>
      </c>
      <c r="G24">
        <f>INDEX([1]products!$A$1:$G$49,MATCH([1]orders!$D24,[1]products!$A$1:$A$49,0),MATCH([1]orders!K$1,[1]products!$A$1:$G$1,0))</f>
        <v>2.5</v>
      </c>
      <c r="H24">
        <f>INDEX([1]products!$A$1:$G$49,MATCH([1]orders!$D24,[1]products!$A$1:$A$49,0),MATCH([1]orders!L$1,[1]products!$A$1:$G$1,0))</f>
        <v>22.884999999999998</v>
      </c>
      <c r="I24">
        <f t="shared" si="0"/>
        <v>91.539999999999992</v>
      </c>
    </row>
    <row r="25" spans="1:9" x14ac:dyDescent="0.25">
      <c r="A25" t="s">
        <v>57</v>
      </c>
      <c r="B25">
        <v>44603</v>
      </c>
      <c r="C25" t="s">
        <v>58</v>
      </c>
      <c r="D25" t="str">
        <f>INDEX('Customers (2)'!B:B,MATCH('Customers (2)'!A25,'Customers (2)'!A:A,0))</f>
        <v>Iorgo Kleinert</v>
      </c>
      <c r="E25" t="s">
        <v>54</v>
      </c>
      <c r="F25">
        <v>4</v>
      </c>
      <c r="G25">
        <f>INDEX([1]products!$A$1:$G$49,MATCH([1]orders!$D25,[1]products!$A$1:$A$49,0),MATCH([1]orders!K$1,[1]products!$A$1:$G$1,0))</f>
        <v>0.2</v>
      </c>
      <c r="H25">
        <f>INDEX([1]products!$A$1:$G$49,MATCH([1]orders!$D25,[1]products!$A$1:$A$49,0),MATCH([1]orders!L$1,[1]products!$A$1:$G$1,0))</f>
        <v>2.9849999999999999</v>
      </c>
      <c r="I25">
        <f t="shared" si="0"/>
        <v>11.94</v>
      </c>
    </row>
    <row r="26" spans="1:9" x14ac:dyDescent="0.25">
      <c r="A26" t="s">
        <v>59</v>
      </c>
      <c r="B26">
        <v>44454</v>
      </c>
      <c r="C26" t="s">
        <v>60</v>
      </c>
      <c r="D26" t="str">
        <f>INDEX('Customers (2)'!B:B,MATCH('Customers (2)'!A26,'Customers (2)'!A:A,0))</f>
        <v>Chrisy Blofeld</v>
      </c>
      <c r="E26" t="s">
        <v>61</v>
      </c>
      <c r="F26">
        <v>1</v>
      </c>
      <c r="G26">
        <f>INDEX([1]products!$A$1:$G$49,MATCH([1]orders!$D26,[1]products!$A$1:$A$49,0),MATCH([1]orders!K$1,[1]products!$A$1:$G$1,0))</f>
        <v>1</v>
      </c>
      <c r="H26">
        <f>INDEX([1]products!$A$1:$G$49,MATCH([1]orders!$D26,[1]products!$A$1:$A$49,0),MATCH([1]orders!L$1,[1]products!$A$1:$G$1,0))</f>
        <v>11.25</v>
      </c>
      <c r="I26">
        <f t="shared" si="0"/>
        <v>11.25</v>
      </c>
    </row>
    <row r="27" spans="1:9" x14ac:dyDescent="0.25">
      <c r="A27" t="s">
        <v>62</v>
      </c>
      <c r="B27">
        <v>44128</v>
      </c>
      <c r="C27" t="s">
        <v>63</v>
      </c>
      <c r="D27" t="str">
        <f>INDEX('Customers (2)'!B:B,MATCH('Customers (2)'!A27,'Customers (2)'!A:A,0))</f>
        <v>Culley Farris</v>
      </c>
      <c r="E27" t="s">
        <v>64</v>
      </c>
      <c r="F27">
        <v>3</v>
      </c>
      <c r="G27">
        <f>INDEX([1]products!$A$1:$G$49,MATCH([1]orders!$D27,[1]products!$A$1:$A$49,0),MATCH([1]orders!K$1,[1]products!$A$1:$G$1,0))</f>
        <v>0.2</v>
      </c>
      <c r="H27">
        <f>INDEX([1]products!$A$1:$G$49,MATCH([1]orders!$D27,[1]products!$A$1:$A$49,0),MATCH([1]orders!L$1,[1]products!$A$1:$G$1,0))</f>
        <v>4.125</v>
      </c>
      <c r="I27">
        <f t="shared" si="0"/>
        <v>12.375</v>
      </c>
    </row>
    <row r="28" spans="1:9" x14ac:dyDescent="0.25">
      <c r="A28" t="s">
        <v>65</v>
      </c>
      <c r="B28">
        <v>43516</v>
      </c>
      <c r="C28" t="s">
        <v>66</v>
      </c>
      <c r="D28" t="str">
        <f>INDEX('Customers (2)'!B:B,MATCH('Customers (2)'!A28,'Customers (2)'!A:A,0))</f>
        <v>Selene Shales</v>
      </c>
      <c r="E28" t="s">
        <v>67</v>
      </c>
      <c r="F28">
        <v>4</v>
      </c>
      <c r="G28">
        <f>INDEX([1]products!$A$1:$G$49,MATCH([1]orders!$D28,[1]products!$A$1:$A$49,0),MATCH([1]orders!K$1,[1]products!$A$1:$G$1,0))</f>
        <v>0.5</v>
      </c>
      <c r="H28">
        <f>INDEX([1]products!$A$1:$G$49,MATCH([1]orders!$D28,[1]products!$A$1:$A$49,0),MATCH([1]orders!L$1,[1]products!$A$1:$G$1,0))</f>
        <v>6.75</v>
      </c>
      <c r="I28">
        <f t="shared" si="0"/>
        <v>27</v>
      </c>
    </row>
    <row r="29" spans="1:9" x14ac:dyDescent="0.25">
      <c r="A29" t="s">
        <v>68</v>
      </c>
      <c r="B29">
        <v>43746</v>
      </c>
      <c r="C29" t="s">
        <v>69</v>
      </c>
      <c r="D29" t="str">
        <f>INDEX('Customers (2)'!B:B,MATCH('Customers (2)'!A29,'Customers (2)'!A:A,0))</f>
        <v>Vivie Danneil</v>
      </c>
      <c r="E29" t="s">
        <v>44</v>
      </c>
      <c r="F29">
        <v>5</v>
      </c>
      <c r="G29">
        <f>INDEX([1]products!$A$1:$G$49,MATCH([1]orders!$D29,[1]products!$A$1:$A$49,0),MATCH([1]orders!K$1,[1]products!$A$1:$G$1,0))</f>
        <v>0.2</v>
      </c>
      <c r="H29">
        <f>INDEX([1]products!$A$1:$G$49,MATCH([1]orders!$D29,[1]products!$A$1:$A$49,0),MATCH([1]orders!L$1,[1]products!$A$1:$G$1,0))</f>
        <v>3.375</v>
      </c>
      <c r="I29">
        <f t="shared" si="0"/>
        <v>16.875</v>
      </c>
    </row>
    <row r="30" spans="1:9" x14ac:dyDescent="0.25">
      <c r="A30" t="s">
        <v>70</v>
      </c>
      <c r="B30">
        <v>44775</v>
      </c>
      <c r="C30" t="s">
        <v>71</v>
      </c>
      <c r="D30" t="str">
        <f>INDEX('Customers (2)'!B:B,MATCH('Customers (2)'!A30,'Customers (2)'!A:A,0))</f>
        <v>Theresita Newbury</v>
      </c>
      <c r="E30" t="s">
        <v>72</v>
      </c>
      <c r="F30">
        <v>3</v>
      </c>
      <c r="G30">
        <f>INDEX([1]products!$A$1:$G$49,MATCH([1]orders!$D30,[1]products!$A$1:$A$49,0),MATCH([1]orders!K$1,[1]products!$A$1:$G$1,0))</f>
        <v>0.5</v>
      </c>
      <c r="H30">
        <f>INDEX([1]products!$A$1:$G$49,MATCH([1]orders!$D30,[1]products!$A$1:$A$49,0),MATCH([1]orders!L$1,[1]products!$A$1:$G$1,0))</f>
        <v>5.97</v>
      </c>
      <c r="I30">
        <f t="shared" si="0"/>
        <v>17.91</v>
      </c>
    </row>
    <row r="31" spans="1:9" x14ac:dyDescent="0.25">
      <c r="A31" t="s">
        <v>73</v>
      </c>
      <c r="B31">
        <v>43516</v>
      </c>
      <c r="C31" t="s">
        <v>74</v>
      </c>
      <c r="D31" t="str">
        <f>INDEX('Customers (2)'!B:B,MATCH('Customers (2)'!A31,'Customers (2)'!A:A,0))</f>
        <v>Mozelle Calcutt</v>
      </c>
      <c r="E31" t="s">
        <v>27</v>
      </c>
      <c r="F31">
        <v>4</v>
      </c>
      <c r="G31">
        <f>INDEX([1]products!$A$1:$G$49,MATCH([1]orders!$D31,[1]products!$A$1:$A$49,0),MATCH([1]orders!K$1,[1]products!$A$1:$G$1,0))</f>
        <v>1</v>
      </c>
      <c r="H31">
        <f>INDEX([1]products!$A$1:$G$49,MATCH([1]orders!$D31,[1]products!$A$1:$A$49,0),MATCH([1]orders!L$1,[1]products!$A$1:$G$1,0))</f>
        <v>9.9499999999999993</v>
      </c>
      <c r="I31">
        <f t="shared" si="0"/>
        <v>39.799999999999997</v>
      </c>
    </row>
    <row r="32" spans="1:9" x14ac:dyDescent="0.25">
      <c r="A32" t="s">
        <v>75</v>
      </c>
      <c r="B32">
        <v>44464</v>
      </c>
      <c r="C32" t="s">
        <v>76</v>
      </c>
      <c r="D32" t="str">
        <f>INDEX('Customers (2)'!B:B,MATCH('Customers (2)'!A32,'Customers (2)'!A:A,0))</f>
        <v>Adrian Swaine</v>
      </c>
      <c r="E32" t="s">
        <v>77</v>
      </c>
      <c r="F32">
        <v>5</v>
      </c>
      <c r="G32">
        <f>INDEX([1]products!$A$1:$G$49,MATCH([1]orders!$D32,[1]products!$A$1:$A$49,0),MATCH([1]orders!K$1,[1]products!$A$1:$G$1,0))</f>
        <v>0.2</v>
      </c>
      <c r="H32">
        <f>INDEX([1]products!$A$1:$G$49,MATCH([1]orders!$D32,[1]products!$A$1:$A$49,0),MATCH([1]orders!L$1,[1]products!$A$1:$G$1,0))</f>
        <v>4.3650000000000002</v>
      </c>
      <c r="I32">
        <f t="shared" si="0"/>
        <v>21.825000000000003</v>
      </c>
    </row>
    <row r="33" spans="1:9" x14ac:dyDescent="0.25">
      <c r="A33" t="s">
        <v>75</v>
      </c>
      <c r="B33">
        <v>44464</v>
      </c>
      <c r="C33" t="s">
        <v>76</v>
      </c>
      <c r="D33" t="str">
        <f>INDEX('Customers (2)'!B:B,MATCH('Customers (2)'!A33,'Customers (2)'!A:A,0))</f>
        <v>Ray Leivesley</v>
      </c>
      <c r="E33" t="s">
        <v>72</v>
      </c>
      <c r="F33">
        <v>6</v>
      </c>
      <c r="G33">
        <f>INDEX([1]products!$A$1:$G$49,MATCH([1]orders!$D33,[1]products!$A$1:$A$49,0),MATCH([1]orders!K$1,[1]products!$A$1:$G$1,0))</f>
        <v>0.5</v>
      </c>
      <c r="H33">
        <f>INDEX([1]products!$A$1:$G$49,MATCH([1]orders!$D33,[1]products!$A$1:$A$49,0),MATCH([1]orders!L$1,[1]products!$A$1:$G$1,0))</f>
        <v>5.97</v>
      </c>
      <c r="I33">
        <f t="shared" si="0"/>
        <v>35.82</v>
      </c>
    </row>
    <row r="34" spans="1:9" x14ac:dyDescent="0.25">
      <c r="A34" t="s">
        <v>75</v>
      </c>
      <c r="B34">
        <v>44464</v>
      </c>
      <c r="C34" t="s">
        <v>76</v>
      </c>
      <c r="D34" t="str">
        <f>INDEX('Customers (2)'!B:B,MATCH('Customers (2)'!A34,'Customers (2)'!A:A,0))</f>
        <v>Nelly Basezzi</v>
      </c>
      <c r="E34" t="s">
        <v>78</v>
      </c>
      <c r="F34">
        <v>6</v>
      </c>
      <c r="G34">
        <f>INDEX([1]products!$A$1:$G$49,MATCH([1]orders!$D34,[1]products!$A$1:$A$49,0),MATCH([1]orders!K$1,[1]products!$A$1:$G$1,0))</f>
        <v>0.5</v>
      </c>
      <c r="H34">
        <f>INDEX([1]products!$A$1:$G$49,MATCH([1]orders!$D34,[1]products!$A$1:$A$49,0),MATCH([1]orders!L$1,[1]products!$A$1:$G$1,0))</f>
        <v>8.73</v>
      </c>
      <c r="I34">
        <f t="shared" si="0"/>
        <v>52.38</v>
      </c>
    </row>
    <row r="35" spans="1:9" x14ac:dyDescent="0.25">
      <c r="A35" t="s">
        <v>79</v>
      </c>
      <c r="B35">
        <v>44394</v>
      </c>
      <c r="C35" t="s">
        <v>80</v>
      </c>
      <c r="D35" t="str">
        <f>INDEX('Customers (2)'!B:B,MATCH('Customers (2)'!A35,'Customers (2)'!A:A,0))</f>
        <v>Gallard Gatheral</v>
      </c>
      <c r="E35" t="s">
        <v>19</v>
      </c>
      <c r="F35">
        <v>5</v>
      </c>
      <c r="G35">
        <f>INDEX([1]products!$A$1:$G$49,MATCH([1]orders!$D35,[1]products!$A$1:$A$49,0),MATCH([1]orders!K$1,[1]products!$A$1:$G$1,0))</f>
        <v>0.2</v>
      </c>
      <c r="H35">
        <f>INDEX([1]products!$A$1:$G$49,MATCH([1]orders!$D35,[1]products!$A$1:$A$49,0),MATCH([1]orders!L$1,[1]products!$A$1:$G$1,0))</f>
        <v>4.7549999999999999</v>
      </c>
      <c r="I35">
        <f t="shared" si="0"/>
        <v>23.774999999999999</v>
      </c>
    </row>
    <row r="36" spans="1:9" x14ac:dyDescent="0.25">
      <c r="A36" t="s">
        <v>81</v>
      </c>
      <c r="B36">
        <v>44011</v>
      </c>
      <c r="C36" t="s">
        <v>82</v>
      </c>
      <c r="D36" t="str">
        <f>INDEX('Customers (2)'!B:B,MATCH('Customers (2)'!A36,'Customers (2)'!A:A,0))</f>
        <v>Una Welberry</v>
      </c>
      <c r="E36" t="s">
        <v>83</v>
      </c>
      <c r="F36">
        <v>6</v>
      </c>
      <c r="G36">
        <f>INDEX([1]products!$A$1:$G$49,MATCH([1]orders!$D36,[1]products!$A$1:$A$49,0),MATCH([1]orders!K$1,[1]products!$A$1:$G$1,0))</f>
        <v>0.5</v>
      </c>
      <c r="H36">
        <f>INDEX([1]products!$A$1:$G$49,MATCH([1]orders!$D36,[1]products!$A$1:$A$49,0),MATCH([1]orders!L$1,[1]products!$A$1:$G$1,0))</f>
        <v>9.51</v>
      </c>
      <c r="I36">
        <f t="shared" si="0"/>
        <v>57.06</v>
      </c>
    </row>
    <row r="37" spans="1:9" x14ac:dyDescent="0.25">
      <c r="A37" t="s">
        <v>84</v>
      </c>
      <c r="B37">
        <v>44348</v>
      </c>
      <c r="C37" t="s">
        <v>85</v>
      </c>
      <c r="D37" t="str">
        <f>INDEX('Customers (2)'!B:B,MATCH('Customers (2)'!A37,'Customers (2)'!A:A,0))</f>
        <v>Faber Eilhart</v>
      </c>
      <c r="E37" t="s">
        <v>72</v>
      </c>
      <c r="F37">
        <v>6</v>
      </c>
      <c r="G37">
        <f>INDEX([1]products!$A$1:$G$49,MATCH([1]orders!$D37,[1]products!$A$1:$A$49,0),MATCH([1]orders!K$1,[1]products!$A$1:$G$1,0))</f>
        <v>0.5</v>
      </c>
      <c r="H37">
        <f>INDEX([1]products!$A$1:$G$49,MATCH([1]orders!$D37,[1]products!$A$1:$A$49,0),MATCH([1]orders!L$1,[1]products!$A$1:$G$1,0))</f>
        <v>5.97</v>
      </c>
      <c r="I37">
        <f t="shared" si="0"/>
        <v>35.82</v>
      </c>
    </row>
    <row r="38" spans="1:9" x14ac:dyDescent="0.25">
      <c r="A38" t="s">
        <v>86</v>
      </c>
      <c r="B38">
        <v>44233</v>
      </c>
      <c r="C38" t="s">
        <v>87</v>
      </c>
      <c r="D38" t="str">
        <f>INDEX('Customers (2)'!B:B,MATCH('Customers (2)'!A38,'Customers (2)'!A:A,0))</f>
        <v>Zorina Ponting</v>
      </c>
      <c r="E38" t="s">
        <v>77</v>
      </c>
      <c r="F38">
        <v>2</v>
      </c>
      <c r="G38">
        <f>INDEX([1]products!$A$1:$G$49,MATCH([1]orders!$D38,[1]products!$A$1:$A$49,0),MATCH([1]orders!K$1,[1]products!$A$1:$G$1,0))</f>
        <v>0.2</v>
      </c>
      <c r="H38">
        <f>INDEX([1]products!$A$1:$G$49,MATCH([1]orders!$D38,[1]products!$A$1:$A$49,0),MATCH([1]orders!L$1,[1]products!$A$1:$G$1,0))</f>
        <v>4.3650000000000002</v>
      </c>
      <c r="I38">
        <f t="shared" si="0"/>
        <v>8.73</v>
      </c>
    </row>
    <row r="39" spans="1:9" x14ac:dyDescent="0.25">
      <c r="A39" t="s">
        <v>88</v>
      </c>
      <c r="B39">
        <v>43580</v>
      </c>
      <c r="C39" t="s">
        <v>89</v>
      </c>
      <c r="D39" t="str">
        <f>INDEX('Customers (2)'!B:B,MATCH('Customers (2)'!A39,'Customers (2)'!A:A,0))</f>
        <v>Silvio Strase</v>
      </c>
      <c r="E39" t="s">
        <v>83</v>
      </c>
      <c r="F39">
        <v>3</v>
      </c>
      <c r="G39">
        <f>INDEX([1]products!$A$1:$G$49,MATCH([1]orders!$D39,[1]products!$A$1:$A$49,0),MATCH([1]orders!K$1,[1]products!$A$1:$G$1,0))</f>
        <v>0.5</v>
      </c>
      <c r="H39">
        <f>INDEX([1]products!$A$1:$G$49,MATCH([1]orders!$D39,[1]products!$A$1:$A$49,0),MATCH([1]orders!L$1,[1]products!$A$1:$G$1,0))</f>
        <v>9.51</v>
      </c>
      <c r="I39">
        <f t="shared" si="0"/>
        <v>28.53</v>
      </c>
    </row>
    <row r="40" spans="1:9" x14ac:dyDescent="0.25">
      <c r="A40" t="s">
        <v>90</v>
      </c>
      <c r="B40">
        <v>43946</v>
      </c>
      <c r="C40" t="s">
        <v>91</v>
      </c>
      <c r="D40" t="str">
        <f>INDEX('Customers (2)'!B:B,MATCH('Customers (2)'!A40,'Customers (2)'!A:A,0))</f>
        <v>Dorie de la Tremoille</v>
      </c>
      <c r="E40" t="s">
        <v>41</v>
      </c>
      <c r="F40">
        <v>5</v>
      </c>
      <c r="G40">
        <f>INDEX([1]products!$A$1:$G$49,MATCH([1]orders!$D40,[1]products!$A$1:$A$49,0),MATCH([1]orders!K$1,[1]products!$A$1:$G$1,0))</f>
        <v>2.5</v>
      </c>
      <c r="H40">
        <f>INDEX([1]products!$A$1:$G$49,MATCH([1]orders!$D40,[1]products!$A$1:$A$49,0),MATCH([1]orders!L$1,[1]products!$A$1:$G$1,0))</f>
        <v>22.884999999999998</v>
      </c>
      <c r="I40">
        <f t="shared" si="0"/>
        <v>114.42499999999998</v>
      </c>
    </row>
    <row r="41" spans="1:9" x14ac:dyDescent="0.25">
      <c r="A41" t="s">
        <v>92</v>
      </c>
      <c r="B41">
        <v>44524</v>
      </c>
      <c r="C41" t="s">
        <v>93</v>
      </c>
      <c r="D41" t="str">
        <f>INDEX('Customers (2)'!B:B,MATCH('Customers (2)'!A41,'Customers (2)'!A:A,0))</f>
        <v>Hy Zanetto</v>
      </c>
      <c r="E41" t="s">
        <v>2</v>
      </c>
      <c r="F41">
        <v>6</v>
      </c>
      <c r="G41">
        <f>INDEX([1]products!$A$1:$G$49,MATCH([1]orders!$D41,[1]products!$A$1:$A$49,0),MATCH([1]orders!K$1,[1]products!$A$1:$G$1,0))</f>
        <v>1</v>
      </c>
      <c r="H41">
        <f>INDEX([1]products!$A$1:$G$49,MATCH([1]orders!$D41,[1]products!$A$1:$A$49,0),MATCH([1]orders!L$1,[1]products!$A$1:$G$1,0))</f>
        <v>9.9499999999999993</v>
      </c>
      <c r="I41">
        <f t="shared" si="0"/>
        <v>59.699999999999996</v>
      </c>
    </row>
    <row r="42" spans="1:9" x14ac:dyDescent="0.25">
      <c r="A42" t="s">
        <v>94</v>
      </c>
      <c r="B42">
        <v>44305</v>
      </c>
      <c r="C42" t="s">
        <v>95</v>
      </c>
      <c r="D42" t="str">
        <f>INDEX('Customers (2)'!B:B,MATCH('Customers (2)'!A42,'Customers (2)'!A:A,0))</f>
        <v>Jessica McNess</v>
      </c>
      <c r="E42" t="s">
        <v>96</v>
      </c>
      <c r="F42">
        <v>3</v>
      </c>
      <c r="G42">
        <f>INDEX([1]products!$A$1:$G$49,MATCH([1]orders!$D42,[1]products!$A$1:$A$49,0),MATCH([1]orders!K$1,[1]products!$A$1:$G$1,0))</f>
        <v>1</v>
      </c>
      <c r="H42">
        <f>INDEX([1]products!$A$1:$G$49,MATCH([1]orders!$D42,[1]products!$A$1:$A$49,0),MATCH([1]orders!L$1,[1]products!$A$1:$G$1,0))</f>
        <v>14.55</v>
      </c>
      <c r="I42">
        <f t="shared" si="0"/>
        <v>43.650000000000006</v>
      </c>
    </row>
    <row r="43" spans="1:9" x14ac:dyDescent="0.25">
      <c r="A43" t="s">
        <v>97</v>
      </c>
      <c r="B43">
        <v>44749</v>
      </c>
      <c r="C43" t="s">
        <v>98</v>
      </c>
      <c r="D43" t="str">
        <f>INDEX('Customers (2)'!B:B,MATCH('Customers (2)'!A43,'Customers (2)'!A:A,0))</f>
        <v>Lorenzo Yeoland</v>
      </c>
      <c r="E43" t="s">
        <v>51</v>
      </c>
      <c r="F43">
        <v>2</v>
      </c>
      <c r="G43">
        <f>INDEX([1]products!$A$1:$G$49,MATCH([1]orders!$D43,[1]products!$A$1:$A$49,0),MATCH([1]orders!K$1,[1]products!$A$1:$G$1,0))</f>
        <v>0.2</v>
      </c>
      <c r="H43">
        <f>INDEX([1]products!$A$1:$G$49,MATCH([1]orders!$D43,[1]products!$A$1:$A$49,0),MATCH([1]orders!L$1,[1]products!$A$1:$G$1,0))</f>
        <v>3.645</v>
      </c>
      <c r="I43">
        <f t="shared" si="0"/>
        <v>7.29</v>
      </c>
    </row>
    <row r="44" spans="1:9" x14ac:dyDescent="0.25">
      <c r="A44" t="s">
        <v>99</v>
      </c>
      <c r="B44">
        <v>43607</v>
      </c>
      <c r="C44" t="s">
        <v>100</v>
      </c>
      <c r="D44" t="str">
        <f>INDEX('Customers (2)'!B:B,MATCH('Customers (2)'!A44,'Customers (2)'!A:A,0))</f>
        <v>Abigail Tolworthy</v>
      </c>
      <c r="E44" t="s">
        <v>101</v>
      </c>
      <c r="F44">
        <v>3</v>
      </c>
      <c r="G44">
        <f>INDEX([1]products!$A$1:$G$49,MATCH([1]orders!$D44,[1]products!$A$1:$A$49,0),MATCH([1]orders!K$1,[1]products!$A$1:$G$1,0))</f>
        <v>0.2</v>
      </c>
      <c r="H44">
        <f>INDEX([1]products!$A$1:$G$49,MATCH([1]orders!$D44,[1]products!$A$1:$A$49,0),MATCH([1]orders!L$1,[1]products!$A$1:$G$1,0))</f>
        <v>2.6849999999999996</v>
      </c>
      <c r="I44">
        <f t="shared" si="0"/>
        <v>8.0549999999999997</v>
      </c>
    </row>
    <row r="45" spans="1:9" x14ac:dyDescent="0.25">
      <c r="A45" t="s">
        <v>102</v>
      </c>
      <c r="B45">
        <v>44473</v>
      </c>
      <c r="C45" t="s">
        <v>103</v>
      </c>
      <c r="D45" t="str">
        <f>INDEX('Customers (2)'!B:B,MATCH('Customers (2)'!A45,'Customers (2)'!A:A,0))</f>
        <v>Maurie Bartol</v>
      </c>
      <c r="E45" t="s">
        <v>104</v>
      </c>
      <c r="F45">
        <v>2</v>
      </c>
      <c r="G45">
        <f>INDEX([1]products!$A$1:$G$49,MATCH([1]orders!$D45,[1]products!$A$1:$A$49,0),MATCH([1]orders!K$1,[1]products!$A$1:$G$1,0))</f>
        <v>2.5</v>
      </c>
      <c r="H45">
        <f>INDEX([1]products!$A$1:$G$49,MATCH([1]orders!$D45,[1]products!$A$1:$A$49,0),MATCH([1]orders!L$1,[1]products!$A$1:$G$1,0))</f>
        <v>36.454999999999998</v>
      </c>
      <c r="I45">
        <f t="shared" si="0"/>
        <v>72.91</v>
      </c>
    </row>
    <row r="46" spans="1:9" x14ac:dyDescent="0.25">
      <c r="A46" t="s">
        <v>105</v>
      </c>
      <c r="B46">
        <v>43932</v>
      </c>
      <c r="C46" t="s">
        <v>106</v>
      </c>
      <c r="D46" t="str">
        <f>INDEX('Customers (2)'!B:B,MATCH('Customers (2)'!A46,'Customers (2)'!A:A,0))</f>
        <v>Olag Baudassi</v>
      </c>
      <c r="E46" t="s">
        <v>3</v>
      </c>
      <c r="F46">
        <v>2</v>
      </c>
      <c r="G46">
        <f>INDEX([1]products!$A$1:$G$49,MATCH([1]orders!$D46,[1]products!$A$1:$A$49,0),MATCH([1]orders!K$1,[1]products!$A$1:$G$1,0))</f>
        <v>0.5</v>
      </c>
      <c r="H46">
        <f>INDEX([1]products!$A$1:$G$49,MATCH([1]orders!$D46,[1]products!$A$1:$A$49,0),MATCH([1]orders!L$1,[1]products!$A$1:$G$1,0))</f>
        <v>8.25</v>
      </c>
      <c r="I46">
        <f t="shared" si="0"/>
        <v>16.5</v>
      </c>
    </row>
    <row r="47" spans="1:9" x14ac:dyDescent="0.25">
      <c r="A47" t="s">
        <v>107</v>
      </c>
      <c r="B47">
        <v>44592</v>
      </c>
      <c r="C47" t="s">
        <v>108</v>
      </c>
      <c r="D47" t="str">
        <f>INDEX('Customers (2)'!B:B,MATCH('Customers (2)'!A47,'Customers (2)'!A:A,0))</f>
        <v>Petey Kingsbury</v>
      </c>
      <c r="E47" t="s">
        <v>109</v>
      </c>
      <c r="F47">
        <v>6</v>
      </c>
      <c r="G47">
        <f>INDEX([1]products!$A$1:$G$49,MATCH([1]orders!$D47,[1]products!$A$1:$A$49,0),MATCH([1]orders!K$1,[1]products!$A$1:$G$1,0))</f>
        <v>2.5</v>
      </c>
      <c r="H47">
        <f>INDEX([1]products!$A$1:$G$49,MATCH([1]orders!$D47,[1]products!$A$1:$A$49,0),MATCH([1]orders!L$1,[1]products!$A$1:$G$1,0))</f>
        <v>29.784999999999997</v>
      </c>
      <c r="I47">
        <f t="shared" si="0"/>
        <v>178.70999999999998</v>
      </c>
    </row>
    <row r="48" spans="1:9" x14ac:dyDescent="0.25">
      <c r="A48" t="s">
        <v>110</v>
      </c>
      <c r="B48">
        <v>43776</v>
      </c>
      <c r="C48" t="s">
        <v>111</v>
      </c>
      <c r="D48" t="str">
        <f>INDEX('Customers (2)'!B:B,MATCH('Customers (2)'!A48,'Customers (2)'!A:A,0))</f>
        <v>Donna Baskeyfied</v>
      </c>
      <c r="E48" t="s">
        <v>112</v>
      </c>
      <c r="F48">
        <v>2</v>
      </c>
      <c r="G48">
        <f>INDEX([1]products!$A$1:$G$49,MATCH([1]orders!$D48,[1]products!$A$1:$A$49,0),MATCH([1]orders!K$1,[1]products!$A$1:$G$1,0))</f>
        <v>2.5</v>
      </c>
      <c r="H48">
        <f>INDEX([1]products!$A$1:$G$49,MATCH([1]orders!$D48,[1]products!$A$1:$A$49,0),MATCH([1]orders!L$1,[1]products!$A$1:$G$1,0))</f>
        <v>31.624999999999996</v>
      </c>
      <c r="I48">
        <f t="shared" si="0"/>
        <v>63.249999999999993</v>
      </c>
    </row>
    <row r="49" spans="1:9" x14ac:dyDescent="0.25">
      <c r="A49" t="s">
        <v>113</v>
      </c>
      <c r="B49">
        <v>43644</v>
      </c>
      <c r="C49" t="s">
        <v>114</v>
      </c>
      <c r="D49" t="str">
        <f>INDEX('Customers (2)'!B:B,MATCH('Customers (2)'!A49,'Customers (2)'!A:A,0))</f>
        <v>Arda Curley</v>
      </c>
      <c r="E49" t="s">
        <v>115</v>
      </c>
      <c r="F49">
        <v>2</v>
      </c>
      <c r="G49">
        <f>INDEX([1]products!$A$1:$G$49,MATCH([1]orders!$D49,[1]products!$A$1:$A$49,0),MATCH([1]orders!K$1,[1]products!$A$1:$G$1,0))</f>
        <v>0.2</v>
      </c>
      <c r="H49">
        <f>INDEX([1]products!$A$1:$G$49,MATCH([1]orders!$D49,[1]products!$A$1:$A$49,0),MATCH([1]orders!L$1,[1]products!$A$1:$G$1,0))</f>
        <v>3.8849999999999998</v>
      </c>
      <c r="I49">
        <f t="shared" si="0"/>
        <v>7.77</v>
      </c>
    </row>
    <row r="50" spans="1:9" x14ac:dyDescent="0.25">
      <c r="A50" t="s">
        <v>116</v>
      </c>
      <c r="B50">
        <v>44085</v>
      </c>
      <c r="C50" t="s">
        <v>117</v>
      </c>
      <c r="D50" t="str">
        <f>INDEX('Customers (2)'!B:B,MATCH('Customers (2)'!A50,'Customers (2)'!A:A,0))</f>
        <v>Raynor McGilvary</v>
      </c>
      <c r="E50" t="s">
        <v>118</v>
      </c>
      <c r="F50">
        <v>4</v>
      </c>
      <c r="G50">
        <f>INDEX([1]products!$A$1:$G$49,MATCH([1]orders!$D50,[1]products!$A$1:$A$49,0),MATCH([1]orders!K$1,[1]products!$A$1:$G$1,0))</f>
        <v>2.5</v>
      </c>
      <c r="H50">
        <f>INDEX([1]products!$A$1:$G$49,MATCH([1]orders!$D50,[1]products!$A$1:$A$49,0),MATCH([1]orders!L$1,[1]products!$A$1:$G$1,0))</f>
        <v>22.884999999999998</v>
      </c>
      <c r="I50">
        <f t="shared" si="0"/>
        <v>91.539999999999992</v>
      </c>
    </row>
    <row r="51" spans="1:9" x14ac:dyDescent="0.25">
      <c r="A51" t="s">
        <v>119</v>
      </c>
      <c r="B51">
        <v>44790</v>
      </c>
      <c r="C51" t="s">
        <v>120</v>
      </c>
      <c r="D51" t="str">
        <f>INDEX('Customers (2)'!B:B,MATCH('Customers (2)'!A51,'Customers (2)'!A:A,0))</f>
        <v>Isis Pikett</v>
      </c>
      <c r="E51" t="s">
        <v>6</v>
      </c>
      <c r="F51">
        <v>3</v>
      </c>
      <c r="G51">
        <f>INDEX([1]products!$A$1:$G$49,MATCH([1]orders!$D51,[1]products!$A$1:$A$49,0),MATCH([1]orders!K$1,[1]products!$A$1:$G$1,0))</f>
        <v>1</v>
      </c>
      <c r="H51">
        <f>INDEX([1]products!$A$1:$G$49,MATCH([1]orders!$D51,[1]products!$A$1:$A$49,0),MATCH([1]orders!L$1,[1]products!$A$1:$G$1,0))</f>
        <v>12.95</v>
      </c>
      <c r="I51">
        <f t="shared" si="0"/>
        <v>38.849999999999994</v>
      </c>
    </row>
    <row r="52" spans="1:9" x14ac:dyDescent="0.25">
      <c r="A52" t="s">
        <v>121</v>
      </c>
      <c r="B52">
        <v>44792</v>
      </c>
      <c r="C52" t="s">
        <v>122</v>
      </c>
      <c r="D52" t="str">
        <f>INDEX('Customers (2)'!B:B,MATCH('Customers (2)'!A52,'Customers (2)'!A:A,0))</f>
        <v>Inger Bouldon</v>
      </c>
      <c r="E52" t="s">
        <v>123</v>
      </c>
      <c r="F52">
        <v>2</v>
      </c>
      <c r="G52">
        <f>INDEX([1]products!$A$1:$G$49,MATCH([1]orders!$D52,[1]products!$A$1:$A$49,0),MATCH([1]orders!K$1,[1]products!$A$1:$G$1,0))</f>
        <v>0.5</v>
      </c>
      <c r="H52">
        <f>INDEX([1]products!$A$1:$G$49,MATCH([1]orders!$D52,[1]products!$A$1:$A$49,0),MATCH([1]orders!L$1,[1]products!$A$1:$G$1,0))</f>
        <v>7.77</v>
      </c>
      <c r="I52">
        <f t="shared" si="0"/>
        <v>15.54</v>
      </c>
    </row>
    <row r="53" spans="1:9" x14ac:dyDescent="0.25">
      <c r="A53" t="s">
        <v>124</v>
      </c>
      <c r="B53">
        <v>43600</v>
      </c>
      <c r="C53" t="s">
        <v>125</v>
      </c>
      <c r="D53" t="str">
        <f>INDEX('Customers (2)'!B:B,MATCH('Customers (2)'!A53,'Customers (2)'!A:A,0))</f>
        <v>Karry Flanders</v>
      </c>
      <c r="E53" t="s">
        <v>104</v>
      </c>
      <c r="F53">
        <v>4</v>
      </c>
      <c r="G53">
        <f>INDEX([1]products!$A$1:$G$49,MATCH([1]orders!$D53,[1]products!$A$1:$A$49,0),MATCH([1]orders!K$1,[1]products!$A$1:$G$1,0))</f>
        <v>2.5</v>
      </c>
      <c r="H53">
        <f>INDEX([1]products!$A$1:$G$49,MATCH([1]orders!$D53,[1]products!$A$1:$A$49,0),MATCH([1]orders!L$1,[1]products!$A$1:$G$1,0))</f>
        <v>36.454999999999998</v>
      </c>
      <c r="I53">
        <f t="shared" si="0"/>
        <v>145.82</v>
      </c>
    </row>
    <row r="54" spans="1:9" x14ac:dyDescent="0.25">
      <c r="A54" t="s">
        <v>126</v>
      </c>
      <c r="B54">
        <v>43719</v>
      </c>
      <c r="C54" t="s">
        <v>127</v>
      </c>
      <c r="D54" t="str">
        <f>INDEX('Customers (2)'!B:B,MATCH('Customers (2)'!A54,'Customers (2)'!A:A,0))</f>
        <v>Hartley Mattioli</v>
      </c>
      <c r="E54" t="s">
        <v>22</v>
      </c>
      <c r="F54">
        <v>5</v>
      </c>
      <c r="G54">
        <f>INDEX([1]products!$A$1:$G$49,MATCH([1]orders!$D54,[1]products!$A$1:$A$49,0),MATCH([1]orders!K$1,[1]products!$A$1:$G$1,0))</f>
        <v>0.5</v>
      </c>
      <c r="H54">
        <f>INDEX([1]products!$A$1:$G$49,MATCH([1]orders!$D54,[1]products!$A$1:$A$49,0),MATCH([1]orders!L$1,[1]products!$A$1:$G$1,0))</f>
        <v>5.97</v>
      </c>
      <c r="I54">
        <f t="shared" si="0"/>
        <v>29.849999999999998</v>
      </c>
    </row>
    <row r="55" spans="1:9" x14ac:dyDescent="0.25">
      <c r="A55" t="s">
        <v>126</v>
      </c>
      <c r="B55">
        <v>43719</v>
      </c>
      <c r="C55" t="s">
        <v>127</v>
      </c>
      <c r="D55" t="str">
        <f>INDEX('Customers (2)'!B:B,MATCH('Customers (2)'!A55,'Customers (2)'!A:A,0))</f>
        <v>Horatio Rubberts</v>
      </c>
      <c r="E55" t="s">
        <v>104</v>
      </c>
      <c r="F55">
        <v>2</v>
      </c>
      <c r="G55">
        <f>INDEX([1]products!$A$1:$G$49,MATCH([1]orders!$D55,[1]products!$A$1:$A$49,0),MATCH([1]orders!K$1,[1]products!$A$1:$G$1,0))</f>
        <v>2.5</v>
      </c>
      <c r="H55">
        <f>INDEX([1]products!$A$1:$G$49,MATCH([1]orders!$D55,[1]products!$A$1:$A$49,0),MATCH([1]orders!L$1,[1]products!$A$1:$G$1,0))</f>
        <v>36.454999999999998</v>
      </c>
      <c r="I55">
        <f t="shared" si="0"/>
        <v>72.91</v>
      </c>
    </row>
    <row r="56" spans="1:9" x14ac:dyDescent="0.25">
      <c r="A56" t="s">
        <v>128</v>
      </c>
      <c r="B56">
        <v>44271</v>
      </c>
      <c r="C56" t="s">
        <v>129</v>
      </c>
      <c r="D56" t="str">
        <f>INDEX('Customers (2)'!B:B,MATCH('Customers (2)'!A56,'Customers (2)'!A:A,0))</f>
        <v>Archambault Gillard</v>
      </c>
      <c r="E56" t="s">
        <v>96</v>
      </c>
      <c r="F56">
        <v>5</v>
      </c>
      <c r="G56">
        <f>INDEX([1]products!$A$1:$G$49,MATCH([1]orders!$D56,[1]products!$A$1:$A$49,0),MATCH([1]orders!K$1,[1]products!$A$1:$G$1,0))</f>
        <v>1</v>
      </c>
      <c r="H56">
        <f>INDEX([1]products!$A$1:$G$49,MATCH([1]orders!$D56,[1]products!$A$1:$A$49,0),MATCH([1]orders!L$1,[1]products!$A$1:$G$1,0))</f>
        <v>14.55</v>
      </c>
      <c r="I56">
        <f t="shared" si="0"/>
        <v>72.75</v>
      </c>
    </row>
    <row r="57" spans="1:9" x14ac:dyDescent="0.25">
      <c r="A57" t="s">
        <v>130</v>
      </c>
      <c r="B57">
        <v>44168</v>
      </c>
      <c r="C57" t="s">
        <v>131</v>
      </c>
      <c r="D57" t="str">
        <f>INDEX('Customers (2)'!B:B,MATCH('Customers (2)'!A57,'Customers (2)'!A:A,0))</f>
        <v>Salomo Cushworth</v>
      </c>
      <c r="E57" t="s">
        <v>132</v>
      </c>
      <c r="F57">
        <v>3</v>
      </c>
      <c r="G57">
        <f>INDEX([1]products!$A$1:$G$49,MATCH([1]orders!$D57,[1]products!$A$1:$A$49,0),MATCH([1]orders!K$1,[1]products!$A$1:$G$1,0))</f>
        <v>1</v>
      </c>
      <c r="H57">
        <f>INDEX([1]products!$A$1:$G$49,MATCH([1]orders!$D57,[1]products!$A$1:$A$49,0),MATCH([1]orders!L$1,[1]products!$A$1:$G$1,0))</f>
        <v>15.85</v>
      </c>
      <c r="I57">
        <f t="shared" si="0"/>
        <v>47.55</v>
      </c>
    </row>
    <row r="58" spans="1:9" x14ac:dyDescent="0.25">
      <c r="A58" t="s">
        <v>133</v>
      </c>
      <c r="B58">
        <v>43857</v>
      </c>
      <c r="C58" t="s">
        <v>134</v>
      </c>
      <c r="D58" t="str">
        <f>INDEX('Customers (2)'!B:B,MATCH('Customers (2)'!A58,'Customers (2)'!A:A,0))</f>
        <v>Theda Grizard</v>
      </c>
      <c r="E58" t="s">
        <v>51</v>
      </c>
      <c r="F58">
        <v>3</v>
      </c>
      <c r="G58">
        <f>INDEX([1]products!$A$1:$G$49,MATCH([1]orders!$D58,[1]products!$A$1:$A$49,0),MATCH([1]orders!K$1,[1]products!$A$1:$G$1,0))</f>
        <v>0.2</v>
      </c>
      <c r="H58">
        <f>INDEX([1]products!$A$1:$G$49,MATCH([1]orders!$D58,[1]products!$A$1:$A$49,0),MATCH([1]orders!L$1,[1]products!$A$1:$G$1,0))</f>
        <v>3.645</v>
      </c>
      <c r="I58">
        <f t="shared" si="0"/>
        <v>10.935</v>
      </c>
    </row>
    <row r="59" spans="1:9" x14ac:dyDescent="0.25">
      <c r="A59" t="s">
        <v>135</v>
      </c>
      <c r="B59">
        <v>44759</v>
      </c>
      <c r="C59" t="s">
        <v>136</v>
      </c>
      <c r="D59" t="str">
        <f>INDEX('Customers (2)'!B:B,MATCH('Customers (2)'!A59,'Customers (2)'!A:A,0))</f>
        <v>Rozele Relton</v>
      </c>
      <c r="E59" t="s">
        <v>137</v>
      </c>
      <c r="F59">
        <v>4</v>
      </c>
      <c r="G59">
        <f>INDEX([1]products!$A$1:$G$49,MATCH([1]orders!$D59,[1]products!$A$1:$A$49,0),MATCH([1]orders!K$1,[1]products!$A$1:$G$1,0))</f>
        <v>1</v>
      </c>
      <c r="H59">
        <f>INDEX([1]products!$A$1:$G$49,MATCH([1]orders!$D59,[1]products!$A$1:$A$49,0),MATCH([1]orders!L$1,[1]products!$A$1:$G$1,0))</f>
        <v>14.85</v>
      </c>
      <c r="I59">
        <f t="shared" si="0"/>
        <v>59.4</v>
      </c>
    </row>
    <row r="60" spans="1:9" x14ac:dyDescent="0.25">
      <c r="A60" t="s">
        <v>138</v>
      </c>
      <c r="B60">
        <v>44624</v>
      </c>
      <c r="C60" t="s">
        <v>139</v>
      </c>
      <c r="D60" t="str">
        <f>INDEX('Customers (2)'!B:B,MATCH('Customers (2)'!A60,'Customers (2)'!A:A,0))</f>
        <v>Willa Rolling</v>
      </c>
      <c r="E60" t="s">
        <v>109</v>
      </c>
      <c r="F60">
        <v>3</v>
      </c>
      <c r="G60">
        <f>INDEX([1]products!$A$1:$G$49,MATCH([1]orders!$D60,[1]products!$A$1:$A$49,0),MATCH([1]orders!K$1,[1]products!$A$1:$G$1,0))</f>
        <v>2.5</v>
      </c>
      <c r="H60">
        <f>INDEX([1]products!$A$1:$G$49,MATCH([1]orders!$D60,[1]products!$A$1:$A$49,0),MATCH([1]orders!L$1,[1]products!$A$1:$G$1,0))</f>
        <v>29.784999999999997</v>
      </c>
      <c r="I60">
        <f t="shared" si="0"/>
        <v>89.35499999999999</v>
      </c>
    </row>
    <row r="61" spans="1:9" x14ac:dyDescent="0.25">
      <c r="A61" t="s">
        <v>140</v>
      </c>
      <c r="B61">
        <v>44537</v>
      </c>
      <c r="C61" t="s">
        <v>141</v>
      </c>
      <c r="D61" t="str">
        <f>INDEX('Customers (2)'!B:B,MATCH('Customers (2)'!A61,'Customers (2)'!A:A,0))</f>
        <v>Stanislaus Gilroy</v>
      </c>
      <c r="E61" t="s">
        <v>78</v>
      </c>
      <c r="F61">
        <v>3</v>
      </c>
      <c r="G61">
        <f>INDEX([1]products!$A$1:$G$49,MATCH([1]orders!$D61,[1]products!$A$1:$A$49,0),MATCH([1]orders!K$1,[1]products!$A$1:$G$1,0))</f>
        <v>0.5</v>
      </c>
      <c r="H61">
        <f>INDEX([1]products!$A$1:$G$49,MATCH([1]orders!$D61,[1]products!$A$1:$A$49,0),MATCH([1]orders!L$1,[1]products!$A$1:$G$1,0))</f>
        <v>8.73</v>
      </c>
      <c r="I61">
        <f t="shared" si="0"/>
        <v>26.19</v>
      </c>
    </row>
    <row r="62" spans="1:9" x14ac:dyDescent="0.25">
      <c r="A62" t="s">
        <v>142</v>
      </c>
      <c r="B62">
        <v>44252</v>
      </c>
      <c r="C62" t="s">
        <v>143</v>
      </c>
      <c r="D62" t="str">
        <f>INDEX('Customers (2)'!B:B,MATCH('Customers (2)'!A62,'Customers (2)'!A:A,0))</f>
        <v>Correy Cottingham</v>
      </c>
      <c r="E62" t="s">
        <v>118</v>
      </c>
      <c r="F62">
        <v>5</v>
      </c>
      <c r="G62">
        <f>INDEX([1]products!$A$1:$G$49,MATCH([1]orders!$D62,[1]products!$A$1:$A$49,0),MATCH([1]orders!K$1,[1]products!$A$1:$G$1,0))</f>
        <v>2.5</v>
      </c>
      <c r="H62">
        <f>INDEX([1]products!$A$1:$G$49,MATCH([1]orders!$D62,[1]products!$A$1:$A$49,0),MATCH([1]orders!L$1,[1]products!$A$1:$G$1,0))</f>
        <v>22.884999999999998</v>
      </c>
      <c r="I62">
        <f t="shared" si="0"/>
        <v>114.42499999999998</v>
      </c>
    </row>
    <row r="63" spans="1:9" x14ac:dyDescent="0.25">
      <c r="A63" t="s">
        <v>144</v>
      </c>
      <c r="B63">
        <v>43521</v>
      </c>
      <c r="C63" t="s">
        <v>145</v>
      </c>
      <c r="D63" t="str">
        <f>INDEX('Customers (2)'!B:B,MATCH('Customers (2)'!A63,'Customers (2)'!A:A,0))</f>
        <v>Pammi Endacott</v>
      </c>
      <c r="E63" t="s">
        <v>146</v>
      </c>
      <c r="F63">
        <v>5</v>
      </c>
      <c r="G63">
        <f>INDEX([1]products!$A$1:$G$49,MATCH([1]orders!$D63,[1]products!$A$1:$A$49,0),MATCH([1]orders!K$1,[1]products!$A$1:$G$1,0))</f>
        <v>0.5</v>
      </c>
      <c r="H63">
        <f>INDEX([1]products!$A$1:$G$49,MATCH([1]orders!$D63,[1]products!$A$1:$A$49,0),MATCH([1]orders!L$1,[1]products!$A$1:$G$1,0))</f>
        <v>5.3699999999999992</v>
      </c>
      <c r="I63">
        <f t="shared" si="0"/>
        <v>26.849999999999994</v>
      </c>
    </row>
    <row r="64" spans="1:9" x14ac:dyDescent="0.25">
      <c r="A64" t="s">
        <v>147</v>
      </c>
      <c r="B64">
        <v>43505</v>
      </c>
      <c r="C64" t="s">
        <v>148</v>
      </c>
      <c r="D64" t="str">
        <f>INDEX('Customers (2)'!B:B,MATCH('Customers (2)'!A64,'Customers (2)'!A:A,0))</f>
        <v>Nona Linklater</v>
      </c>
      <c r="E64" t="s">
        <v>19</v>
      </c>
      <c r="F64">
        <v>5</v>
      </c>
      <c r="G64">
        <f>INDEX([1]products!$A$1:$G$49,MATCH([1]orders!$D64,[1]products!$A$1:$A$49,0),MATCH([1]orders!K$1,[1]products!$A$1:$G$1,0))</f>
        <v>0.2</v>
      </c>
      <c r="H64">
        <f>INDEX([1]products!$A$1:$G$49,MATCH([1]orders!$D64,[1]products!$A$1:$A$49,0),MATCH([1]orders!L$1,[1]products!$A$1:$G$1,0))</f>
        <v>4.7549999999999999</v>
      </c>
      <c r="I64">
        <f t="shared" si="0"/>
        <v>23.774999999999999</v>
      </c>
    </row>
    <row r="65" spans="1:9" x14ac:dyDescent="0.25">
      <c r="A65" t="s">
        <v>149</v>
      </c>
      <c r="B65">
        <v>43868</v>
      </c>
      <c r="C65" t="s">
        <v>150</v>
      </c>
      <c r="D65" t="str">
        <f>INDEX('Customers (2)'!B:B,MATCH('Customers (2)'!A65,'Customers (2)'!A:A,0))</f>
        <v>Annadiane Dykes</v>
      </c>
      <c r="E65" t="s">
        <v>67</v>
      </c>
      <c r="F65">
        <v>1</v>
      </c>
      <c r="G65">
        <f>INDEX([1]products!$A$1:$G$49,MATCH([1]orders!$D65,[1]products!$A$1:$A$49,0),MATCH([1]orders!K$1,[1]products!$A$1:$G$1,0))</f>
        <v>0.5</v>
      </c>
      <c r="H65">
        <f>INDEX([1]products!$A$1:$G$49,MATCH([1]orders!$D65,[1]products!$A$1:$A$49,0),MATCH([1]orders!L$1,[1]products!$A$1:$G$1,0))</f>
        <v>6.75</v>
      </c>
      <c r="I65">
        <f t="shared" si="0"/>
        <v>6.75</v>
      </c>
    </row>
    <row r="66" spans="1:9" x14ac:dyDescent="0.25">
      <c r="A66" t="s">
        <v>151</v>
      </c>
      <c r="B66">
        <v>43913</v>
      </c>
      <c r="C66" t="s">
        <v>152</v>
      </c>
      <c r="D66" t="str">
        <f>INDEX('Customers (2)'!B:B,MATCH('Customers (2)'!A66,'Customers (2)'!A:A,0))</f>
        <v>Felecia Dodgson</v>
      </c>
      <c r="E66" t="s">
        <v>22</v>
      </c>
      <c r="F66">
        <v>6</v>
      </c>
      <c r="G66">
        <f>INDEX([1]products!$A$1:$G$49,MATCH([1]orders!$D66,[1]products!$A$1:$A$49,0),MATCH([1]orders!K$1,[1]products!$A$1:$G$1,0))</f>
        <v>0.5</v>
      </c>
      <c r="H66">
        <f>INDEX([1]products!$A$1:$G$49,MATCH([1]orders!$D66,[1]products!$A$1:$A$49,0),MATCH([1]orders!L$1,[1]products!$A$1:$G$1,0))</f>
        <v>5.97</v>
      </c>
      <c r="I66">
        <f t="shared" ref="I66:I129" si="1">F66*H66</f>
        <v>35.82</v>
      </c>
    </row>
    <row r="67" spans="1:9" x14ac:dyDescent="0.25">
      <c r="A67" t="s">
        <v>153</v>
      </c>
      <c r="B67">
        <v>44626</v>
      </c>
      <c r="C67" t="s">
        <v>154</v>
      </c>
      <c r="D67" t="str">
        <f>INDEX('Customers (2)'!B:B,MATCH('Customers (2)'!A67,'Customers (2)'!A:A,0))</f>
        <v>Angelia Cockrem</v>
      </c>
      <c r="E67" t="s">
        <v>35</v>
      </c>
      <c r="F67">
        <v>4</v>
      </c>
      <c r="G67">
        <f>INDEX([1]products!$A$1:$G$49,MATCH([1]orders!$D67,[1]products!$A$1:$A$49,0),MATCH([1]orders!K$1,[1]products!$A$1:$G$1,0))</f>
        <v>2.5</v>
      </c>
      <c r="H67">
        <f>INDEX([1]products!$A$1:$G$49,MATCH([1]orders!$D67,[1]products!$A$1:$A$49,0),MATCH([1]orders!L$1,[1]products!$A$1:$G$1,0))</f>
        <v>20.584999999999997</v>
      </c>
      <c r="I67">
        <f t="shared" si="1"/>
        <v>82.339999999999989</v>
      </c>
    </row>
    <row r="68" spans="1:9" x14ac:dyDescent="0.25">
      <c r="A68" t="s">
        <v>155</v>
      </c>
      <c r="B68">
        <v>44666</v>
      </c>
      <c r="C68" t="s">
        <v>156</v>
      </c>
      <c r="D68" t="str">
        <f>INDEX('Customers (2)'!B:B,MATCH('Customers (2)'!A68,'Customers (2)'!A:A,0))</f>
        <v>Belvia Umpleby</v>
      </c>
      <c r="E68" t="s">
        <v>157</v>
      </c>
      <c r="F68">
        <v>1</v>
      </c>
      <c r="G68">
        <f>INDEX([1]products!$A$1:$G$49,MATCH([1]orders!$D68,[1]products!$A$1:$A$49,0),MATCH([1]orders!K$1,[1]products!$A$1:$G$1,0))</f>
        <v>0.5</v>
      </c>
      <c r="H68">
        <f>INDEX([1]products!$A$1:$G$49,MATCH([1]orders!$D68,[1]products!$A$1:$A$49,0),MATCH([1]orders!L$1,[1]products!$A$1:$G$1,0))</f>
        <v>7.169999999999999</v>
      </c>
      <c r="I68">
        <f t="shared" si="1"/>
        <v>7.169999999999999</v>
      </c>
    </row>
    <row r="69" spans="1:9" x14ac:dyDescent="0.25">
      <c r="A69" t="s">
        <v>158</v>
      </c>
      <c r="B69">
        <v>44519</v>
      </c>
      <c r="C69" t="s">
        <v>159</v>
      </c>
      <c r="D69" t="str">
        <f>INDEX('Customers (2)'!B:B,MATCH('Customers (2)'!A69,'Customers (2)'!A:A,0))</f>
        <v>Nat Saleway</v>
      </c>
      <c r="E69" t="s">
        <v>19</v>
      </c>
      <c r="F69">
        <v>2</v>
      </c>
      <c r="G69">
        <f>INDEX([1]products!$A$1:$G$49,MATCH([1]orders!$D69,[1]products!$A$1:$A$49,0),MATCH([1]orders!K$1,[1]products!$A$1:$G$1,0))</f>
        <v>0.2</v>
      </c>
      <c r="H69">
        <f>INDEX([1]products!$A$1:$G$49,MATCH([1]orders!$D69,[1]products!$A$1:$A$49,0),MATCH([1]orders!L$1,[1]products!$A$1:$G$1,0))</f>
        <v>4.7549999999999999</v>
      </c>
      <c r="I69">
        <f t="shared" si="1"/>
        <v>9.51</v>
      </c>
    </row>
    <row r="70" spans="1:9" x14ac:dyDescent="0.25">
      <c r="A70" t="s">
        <v>160</v>
      </c>
      <c r="B70">
        <v>43754</v>
      </c>
      <c r="C70" t="s">
        <v>161</v>
      </c>
      <c r="D70" t="str">
        <f>INDEX('Customers (2)'!B:B,MATCH('Customers (2)'!A70,'Customers (2)'!A:A,0))</f>
        <v>Hayward Goulter</v>
      </c>
      <c r="E70" t="s">
        <v>162</v>
      </c>
      <c r="F70">
        <v>1</v>
      </c>
      <c r="G70">
        <f>INDEX([1]products!$A$1:$G$49,MATCH([1]orders!$D70,[1]products!$A$1:$A$49,0),MATCH([1]orders!K$1,[1]products!$A$1:$G$1,0))</f>
        <v>0.2</v>
      </c>
      <c r="H70">
        <f>INDEX([1]products!$A$1:$G$49,MATCH([1]orders!$D70,[1]products!$A$1:$A$49,0),MATCH([1]orders!L$1,[1]products!$A$1:$G$1,0))</f>
        <v>2.9849999999999999</v>
      </c>
      <c r="I70">
        <f t="shared" si="1"/>
        <v>2.9849999999999999</v>
      </c>
    </row>
    <row r="71" spans="1:9" x14ac:dyDescent="0.25">
      <c r="A71" t="s">
        <v>163</v>
      </c>
      <c r="B71">
        <v>43795</v>
      </c>
      <c r="C71" t="s">
        <v>164</v>
      </c>
      <c r="D71" t="str">
        <f>INDEX('Customers (2)'!B:B,MATCH('Customers (2)'!A71,'Customers (2)'!A:A,0))</f>
        <v>Gay Rizzello</v>
      </c>
      <c r="E71" t="s">
        <v>2</v>
      </c>
      <c r="F71">
        <v>6</v>
      </c>
      <c r="G71">
        <f>INDEX([1]products!$A$1:$G$49,MATCH([1]orders!$D71,[1]products!$A$1:$A$49,0),MATCH([1]orders!K$1,[1]products!$A$1:$G$1,0))</f>
        <v>1</v>
      </c>
      <c r="H71">
        <f>INDEX([1]products!$A$1:$G$49,MATCH([1]orders!$D71,[1]products!$A$1:$A$49,0),MATCH([1]orders!L$1,[1]products!$A$1:$G$1,0))</f>
        <v>9.9499999999999993</v>
      </c>
      <c r="I71">
        <f t="shared" si="1"/>
        <v>59.699999999999996</v>
      </c>
    </row>
    <row r="72" spans="1:9" x14ac:dyDescent="0.25">
      <c r="A72" t="s">
        <v>165</v>
      </c>
      <c r="B72">
        <v>43646</v>
      </c>
      <c r="C72" t="s">
        <v>166</v>
      </c>
      <c r="D72" t="str">
        <f>INDEX('Customers (2)'!B:B,MATCH('Customers (2)'!A72,'Customers (2)'!A:A,0))</f>
        <v>Shannon List</v>
      </c>
      <c r="E72" t="s">
        <v>30</v>
      </c>
      <c r="F72">
        <v>4</v>
      </c>
      <c r="G72">
        <f>INDEX([1]products!$A$1:$G$49,MATCH([1]orders!$D72,[1]products!$A$1:$A$49,0),MATCH([1]orders!K$1,[1]products!$A$1:$G$1,0))</f>
        <v>2.5</v>
      </c>
      <c r="H72">
        <f>INDEX([1]products!$A$1:$G$49,MATCH([1]orders!$D72,[1]products!$A$1:$A$49,0),MATCH([1]orders!L$1,[1]products!$A$1:$G$1,0))</f>
        <v>34.154999999999994</v>
      </c>
      <c r="I72">
        <f t="shared" si="1"/>
        <v>136.61999999999998</v>
      </c>
    </row>
    <row r="73" spans="1:9" x14ac:dyDescent="0.25">
      <c r="A73" t="s">
        <v>167</v>
      </c>
      <c r="B73">
        <v>44200</v>
      </c>
      <c r="C73" t="s">
        <v>168</v>
      </c>
      <c r="D73" t="str">
        <f>INDEX('Customers (2)'!B:B,MATCH('Customers (2)'!A73,'Customers (2)'!A:A,0))</f>
        <v>Shirlene Edmondson</v>
      </c>
      <c r="E73" t="s">
        <v>19</v>
      </c>
      <c r="F73">
        <v>2</v>
      </c>
      <c r="G73">
        <f>INDEX([1]products!$A$1:$G$49,MATCH([1]orders!$D73,[1]products!$A$1:$A$49,0),MATCH([1]orders!K$1,[1]products!$A$1:$G$1,0))</f>
        <v>0.2</v>
      </c>
      <c r="H73">
        <f>INDEX([1]products!$A$1:$G$49,MATCH([1]orders!$D73,[1]products!$A$1:$A$49,0),MATCH([1]orders!L$1,[1]products!$A$1:$G$1,0))</f>
        <v>4.7549999999999999</v>
      </c>
      <c r="I73">
        <f t="shared" si="1"/>
        <v>9.51</v>
      </c>
    </row>
    <row r="74" spans="1:9" x14ac:dyDescent="0.25">
      <c r="A74" t="s">
        <v>169</v>
      </c>
      <c r="B74">
        <v>44131</v>
      </c>
      <c r="C74" t="s">
        <v>170</v>
      </c>
      <c r="D74" t="str">
        <f>INDEX('Customers (2)'!B:B,MATCH('Customers (2)'!A74,'Customers (2)'!A:A,0))</f>
        <v>Aurlie McCarl</v>
      </c>
      <c r="E74" t="s">
        <v>171</v>
      </c>
      <c r="F74">
        <v>3</v>
      </c>
      <c r="G74">
        <f>INDEX([1]products!$A$1:$G$49,MATCH([1]orders!$D74,[1]products!$A$1:$A$49,0),MATCH([1]orders!K$1,[1]products!$A$1:$G$1,0))</f>
        <v>2.5</v>
      </c>
      <c r="H74">
        <f>INDEX([1]products!$A$1:$G$49,MATCH([1]orders!$D74,[1]products!$A$1:$A$49,0),MATCH([1]orders!L$1,[1]products!$A$1:$G$1,0))</f>
        <v>25.874999999999996</v>
      </c>
      <c r="I74">
        <f t="shared" si="1"/>
        <v>77.624999999999986</v>
      </c>
    </row>
    <row r="75" spans="1:9" x14ac:dyDescent="0.25">
      <c r="A75" t="s">
        <v>172</v>
      </c>
      <c r="B75">
        <v>44362</v>
      </c>
      <c r="C75" t="s">
        <v>173</v>
      </c>
      <c r="D75" t="str">
        <f>INDEX('Customers (2)'!B:B,MATCH('Customers (2)'!A75,'Customers (2)'!A:A,0))</f>
        <v>Alikee Carryer</v>
      </c>
      <c r="E75" t="s">
        <v>77</v>
      </c>
      <c r="F75">
        <v>5</v>
      </c>
      <c r="G75">
        <f>INDEX([1]products!$A$1:$G$49,MATCH([1]orders!$D75,[1]products!$A$1:$A$49,0),MATCH([1]orders!K$1,[1]products!$A$1:$G$1,0))</f>
        <v>0.2</v>
      </c>
      <c r="H75">
        <f>INDEX([1]products!$A$1:$G$49,MATCH([1]orders!$D75,[1]products!$A$1:$A$49,0),MATCH([1]orders!L$1,[1]products!$A$1:$G$1,0))</f>
        <v>4.3650000000000002</v>
      </c>
      <c r="I75">
        <f t="shared" si="1"/>
        <v>21.825000000000003</v>
      </c>
    </row>
    <row r="76" spans="1:9" x14ac:dyDescent="0.25">
      <c r="A76" t="s">
        <v>174</v>
      </c>
      <c r="B76">
        <v>44396</v>
      </c>
      <c r="C76" t="s">
        <v>175</v>
      </c>
      <c r="D76" t="str">
        <f>INDEX('Customers (2)'!B:B,MATCH('Customers (2)'!A76,'Customers (2)'!A:A,0))</f>
        <v>Jennifer Rangall</v>
      </c>
      <c r="E76" t="s">
        <v>176</v>
      </c>
      <c r="F76">
        <v>2</v>
      </c>
      <c r="G76">
        <f>INDEX([1]products!$A$1:$G$49,MATCH([1]orders!$D76,[1]products!$A$1:$A$49,0),MATCH([1]orders!K$1,[1]products!$A$1:$G$1,0))</f>
        <v>0.5</v>
      </c>
      <c r="H76">
        <f>INDEX([1]products!$A$1:$G$49,MATCH([1]orders!$D76,[1]products!$A$1:$A$49,0),MATCH([1]orders!L$1,[1]products!$A$1:$G$1,0))</f>
        <v>8.91</v>
      </c>
      <c r="I76">
        <f t="shared" si="1"/>
        <v>17.82</v>
      </c>
    </row>
    <row r="77" spans="1:9" x14ac:dyDescent="0.25">
      <c r="A77" t="s">
        <v>177</v>
      </c>
      <c r="B77">
        <v>44400</v>
      </c>
      <c r="C77" t="s">
        <v>178</v>
      </c>
      <c r="D77" t="str">
        <f>INDEX('Customers (2)'!B:B,MATCH('Customers (2)'!A77,'Customers (2)'!A:A,0))</f>
        <v>Kipper Boorn</v>
      </c>
      <c r="E77" t="s">
        <v>179</v>
      </c>
      <c r="F77">
        <v>6</v>
      </c>
      <c r="G77">
        <f>INDEX([1]products!$A$1:$G$49,MATCH([1]orders!$D77,[1]products!$A$1:$A$49,0),MATCH([1]orders!K$1,[1]products!$A$1:$G$1,0))</f>
        <v>1</v>
      </c>
      <c r="H77">
        <f>INDEX([1]products!$A$1:$G$49,MATCH([1]orders!$D77,[1]products!$A$1:$A$49,0),MATCH([1]orders!L$1,[1]products!$A$1:$G$1,0))</f>
        <v>8.9499999999999993</v>
      </c>
      <c r="I77">
        <f t="shared" si="1"/>
        <v>53.699999999999996</v>
      </c>
    </row>
    <row r="78" spans="1:9" x14ac:dyDescent="0.25">
      <c r="A78" t="s">
        <v>180</v>
      </c>
      <c r="B78">
        <v>43855</v>
      </c>
      <c r="C78" t="s">
        <v>181</v>
      </c>
      <c r="D78" t="str">
        <f>INDEX('Customers (2)'!B:B,MATCH('Customers (2)'!A78,'Customers (2)'!A:A,0))</f>
        <v>Melania Beadle</v>
      </c>
      <c r="E78" t="s">
        <v>182</v>
      </c>
      <c r="F78">
        <v>1</v>
      </c>
      <c r="G78">
        <f>INDEX([1]products!$A$1:$G$49,MATCH([1]orders!$D78,[1]products!$A$1:$A$49,0),MATCH([1]orders!K$1,[1]products!$A$1:$G$1,0))</f>
        <v>0.2</v>
      </c>
      <c r="H78">
        <f>INDEX([1]products!$A$1:$G$49,MATCH([1]orders!$D78,[1]products!$A$1:$A$49,0),MATCH([1]orders!L$1,[1]products!$A$1:$G$1,0))</f>
        <v>3.5849999999999995</v>
      </c>
      <c r="I78">
        <f t="shared" si="1"/>
        <v>3.5849999999999995</v>
      </c>
    </row>
    <row r="79" spans="1:9" x14ac:dyDescent="0.25">
      <c r="A79" t="s">
        <v>183</v>
      </c>
      <c r="B79">
        <v>43594</v>
      </c>
      <c r="C79" t="s">
        <v>184</v>
      </c>
      <c r="D79" t="str">
        <f>INDEX('Customers (2)'!B:B,MATCH('Customers (2)'!A79,'Customers (2)'!A:A,0))</f>
        <v>Colene Elgey</v>
      </c>
      <c r="E79" t="s">
        <v>51</v>
      </c>
      <c r="F79">
        <v>2</v>
      </c>
      <c r="G79">
        <f>INDEX([1]products!$A$1:$G$49,MATCH([1]orders!$D79,[1]products!$A$1:$A$49,0),MATCH([1]orders!K$1,[1]products!$A$1:$G$1,0))</f>
        <v>0.2</v>
      </c>
      <c r="H79">
        <f>INDEX([1]products!$A$1:$G$49,MATCH([1]orders!$D79,[1]products!$A$1:$A$49,0),MATCH([1]orders!L$1,[1]products!$A$1:$G$1,0))</f>
        <v>3.645</v>
      </c>
      <c r="I79">
        <f t="shared" si="1"/>
        <v>7.29</v>
      </c>
    </row>
    <row r="80" spans="1:9" x14ac:dyDescent="0.25">
      <c r="A80" t="s">
        <v>185</v>
      </c>
      <c r="B80">
        <v>43920</v>
      </c>
      <c r="C80" t="s">
        <v>186</v>
      </c>
      <c r="D80" t="str">
        <f>INDEX('Customers (2)'!B:B,MATCH('Customers (2)'!A80,'Customers (2)'!A:A,0))</f>
        <v>Lothaire Mizzi</v>
      </c>
      <c r="E80" t="s">
        <v>67</v>
      </c>
      <c r="F80">
        <v>6</v>
      </c>
      <c r="G80">
        <f>INDEX([1]products!$A$1:$G$49,MATCH([1]orders!$D80,[1]products!$A$1:$A$49,0),MATCH([1]orders!K$1,[1]products!$A$1:$G$1,0))</f>
        <v>0.5</v>
      </c>
      <c r="H80">
        <f>INDEX([1]products!$A$1:$G$49,MATCH([1]orders!$D80,[1]products!$A$1:$A$49,0),MATCH([1]orders!L$1,[1]products!$A$1:$G$1,0))</f>
        <v>6.75</v>
      </c>
      <c r="I80">
        <f t="shared" si="1"/>
        <v>40.5</v>
      </c>
    </row>
    <row r="81" spans="1:9" x14ac:dyDescent="0.25">
      <c r="A81" t="s">
        <v>187</v>
      </c>
      <c r="B81">
        <v>44633</v>
      </c>
      <c r="C81" t="s">
        <v>188</v>
      </c>
      <c r="D81" t="str">
        <f>INDEX('Customers (2)'!B:B,MATCH('Customers (2)'!A81,'Customers (2)'!A:A,0))</f>
        <v>Cletis Giacomazzo</v>
      </c>
      <c r="E81" t="s">
        <v>189</v>
      </c>
      <c r="F81">
        <v>4</v>
      </c>
      <c r="G81">
        <f>INDEX([1]products!$A$1:$G$49,MATCH([1]orders!$D81,[1]products!$A$1:$A$49,0),MATCH([1]orders!K$1,[1]products!$A$1:$G$1,0))</f>
        <v>1</v>
      </c>
      <c r="H81">
        <f>INDEX([1]products!$A$1:$G$49,MATCH([1]orders!$D81,[1]products!$A$1:$A$49,0),MATCH([1]orders!L$1,[1]products!$A$1:$G$1,0))</f>
        <v>11.95</v>
      </c>
      <c r="I81">
        <f t="shared" si="1"/>
        <v>47.8</v>
      </c>
    </row>
    <row r="82" spans="1:9" x14ac:dyDescent="0.25">
      <c r="A82" t="s">
        <v>190</v>
      </c>
      <c r="B82">
        <v>43572</v>
      </c>
      <c r="C82" t="s">
        <v>191</v>
      </c>
      <c r="D82" t="str">
        <f>INDEX('Customers (2)'!B:B,MATCH('Customers (2)'!A82,'Customers (2)'!A:A,0))</f>
        <v>Ami Arnow</v>
      </c>
      <c r="E82" t="s">
        <v>192</v>
      </c>
      <c r="F82">
        <v>5</v>
      </c>
      <c r="G82">
        <f>INDEX([1]products!$A$1:$G$49,MATCH([1]orders!$D82,[1]products!$A$1:$A$49,0),MATCH([1]orders!K$1,[1]products!$A$1:$G$1,0))</f>
        <v>0.5</v>
      </c>
      <c r="H82">
        <f>INDEX([1]products!$A$1:$G$49,MATCH([1]orders!$D82,[1]products!$A$1:$A$49,0),MATCH([1]orders!L$1,[1]products!$A$1:$G$1,0))</f>
        <v>7.77</v>
      </c>
      <c r="I82">
        <f t="shared" si="1"/>
        <v>38.849999999999994</v>
      </c>
    </row>
    <row r="83" spans="1:9" x14ac:dyDescent="0.25">
      <c r="A83" t="s">
        <v>193</v>
      </c>
      <c r="B83">
        <v>43763</v>
      </c>
      <c r="C83" t="s">
        <v>194</v>
      </c>
      <c r="D83" t="str">
        <f>INDEX('Customers (2)'!B:B,MATCH('Customers (2)'!A83,'Customers (2)'!A:A,0))</f>
        <v>Sheppard Yann</v>
      </c>
      <c r="E83" t="s">
        <v>104</v>
      </c>
      <c r="F83">
        <v>3</v>
      </c>
      <c r="G83">
        <f>INDEX([1]products!$A$1:$G$49,MATCH([1]orders!$D83,[1]products!$A$1:$A$49,0),MATCH([1]orders!K$1,[1]products!$A$1:$G$1,0))</f>
        <v>2.5</v>
      </c>
      <c r="H83">
        <f>INDEX([1]products!$A$1:$G$49,MATCH([1]orders!$D83,[1]products!$A$1:$A$49,0),MATCH([1]orders!L$1,[1]products!$A$1:$G$1,0))</f>
        <v>36.454999999999998</v>
      </c>
      <c r="I83">
        <f t="shared" si="1"/>
        <v>109.36499999999999</v>
      </c>
    </row>
    <row r="84" spans="1:9" x14ac:dyDescent="0.25">
      <c r="A84" t="s">
        <v>195</v>
      </c>
      <c r="B84">
        <v>43721</v>
      </c>
      <c r="C84" t="s">
        <v>196</v>
      </c>
      <c r="D84" t="str">
        <f>INDEX('Customers (2)'!B:B,MATCH('Customers (2)'!A84,'Customers (2)'!A:A,0))</f>
        <v>Bunny Naulls</v>
      </c>
      <c r="E84" t="s">
        <v>197</v>
      </c>
      <c r="F84">
        <v>3</v>
      </c>
      <c r="G84">
        <f>INDEX([1]products!$A$1:$G$49,MATCH([1]orders!$D84,[1]products!$A$1:$A$49,0),MATCH([1]orders!K$1,[1]products!$A$1:$G$1,0))</f>
        <v>2.5</v>
      </c>
      <c r="H84">
        <f>INDEX([1]products!$A$1:$G$49,MATCH([1]orders!$D84,[1]products!$A$1:$A$49,0),MATCH([1]orders!L$1,[1]products!$A$1:$G$1,0))</f>
        <v>33.464999999999996</v>
      </c>
      <c r="I84">
        <f t="shared" si="1"/>
        <v>100.39499999999998</v>
      </c>
    </row>
    <row r="85" spans="1:9" x14ac:dyDescent="0.25">
      <c r="A85" t="s">
        <v>198</v>
      </c>
      <c r="B85">
        <v>43933</v>
      </c>
      <c r="C85" t="s">
        <v>199</v>
      </c>
      <c r="D85" t="str">
        <f>INDEX('Customers (2)'!B:B,MATCH('Customers (2)'!A85,'Customers (2)'!A:A,0))</f>
        <v>Hally Lorait</v>
      </c>
      <c r="E85" t="s">
        <v>35</v>
      </c>
      <c r="F85">
        <v>4</v>
      </c>
      <c r="G85">
        <f>INDEX([1]products!$A$1:$G$49,MATCH([1]orders!$D85,[1]products!$A$1:$A$49,0),MATCH([1]orders!K$1,[1]products!$A$1:$G$1,0))</f>
        <v>2.5</v>
      </c>
      <c r="H85">
        <f>INDEX([1]products!$A$1:$G$49,MATCH([1]orders!$D85,[1]products!$A$1:$A$49,0),MATCH([1]orders!L$1,[1]products!$A$1:$G$1,0))</f>
        <v>20.584999999999997</v>
      </c>
      <c r="I85">
        <f t="shared" si="1"/>
        <v>82.339999999999989</v>
      </c>
    </row>
    <row r="86" spans="1:9" x14ac:dyDescent="0.25">
      <c r="A86" t="s">
        <v>200</v>
      </c>
      <c r="B86">
        <v>43783</v>
      </c>
      <c r="C86" t="s">
        <v>201</v>
      </c>
      <c r="D86" t="str">
        <f>INDEX('Customers (2)'!B:B,MATCH('Customers (2)'!A86,'Customers (2)'!A:A,0))</f>
        <v>Zaccaria Sherewood</v>
      </c>
      <c r="E86" t="s">
        <v>83</v>
      </c>
      <c r="F86">
        <v>1</v>
      </c>
      <c r="G86">
        <f>INDEX([1]products!$A$1:$G$49,MATCH([1]orders!$D86,[1]products!$A$1:$A$49,0),MATCH([1]orders!K$1,[1]products!$A$1:$G$1,0))</f>
        <v>0.5</v>
      </c>
      <c r="H86">
        <f>INDEX([1]products!$A$1:$G$49,MATCH([1]orders!$D86,[1]products!$A$1:$A$49,0),MATCH([1]orders!L$1,[1]products!$A$1:$G$1,0))</f>
        <v>9.51</v>
      </c>
      <c r="I86">
        <f t="shared" si="1"/>
        <v>9.51</v>
      </c>
    </row>
    <row r="87" spans="1:9" x14ac:dyDescent="0.25">
      <c r="A87" t="s">
        <v>202</v>
      </c>
      <c r="B87">
        <v>43664</v>
      </c>
      <c r="C87" t="s">
        <v>203</v>
      </c>
      <c r="D87" t="str">
        <f>INDEX('Customers (2)'!B:B,MATCH('Customers (2)'!A87,'Customers (2)'!A:A,0))</f>
        <v>Jeffrey Dufaire</v>
      </c>
      <c r="E87" t="s">
        <v>204</v>
      </c>
      <c r="F87">
        <v>3</v>
      </c>
      <c r="G87">
        <f>INDEX([1]products!$A$1:$G$49,MATCH([1]orders!$D87,[1]products!$A$1:$A$49,0),MATCH([1]orders!K$1,[1]products!$A$1:$G$1,0))</f>
        <v>2.5</v>
      </c>
      <c r="H87">
        <f>INDEX([1]products!$A$1:$G$49,MATCH([1]orders!$D87,[1]products!$A$1:$A$49,0),MATCH([1]orders!L$1,[1]products!$A$1:$G$1,0))</f>
        <v>29.784999999999997</v>
      </c>
      <c r="I87">
        <f t="shared" si="1"/>
        <v>89.35499999999999</v>
      </c>
    </row>
    <row r="88" spans="1:9" x14ac:dyDescent="0.25">
      <c r="A88" t="s">
        <v>202</v>
      </c>
      <c r="B88">
        <v>43664</v>
      </c>
      <c r="C88" t="s">
        <v>203</v>
      </c>
      <c r="D88" t="str">
        <f>INDEX('Customers (2)'!B:B,MATCH('Customers (2)'!A88,'Customers (2)'!A:A,0))</f>
        <v>Blancha McAmish</v>
      </c>
      <c r="E88" t="s">
        <v>54</v>
      </c>
      <c r="F88">
        <v>4</v>
      </c>
      <c r="G88">
        <f>INDEX([1]products!$A$1:$G$49,MATCH([1]orders!$D88,[1]products!$A$1:$A$49,0),MATCH([1]orders!K$1,[1]products!$A$1:$G$1,0))</f>
        <v>0.2</v>
      </c>
      <c r="H88">
        <f>INDEX([1]products!$A$1:$G$49,MATCH([1]orders!$D88,[1]products!$A$1:$A$49,0),MATCH([1]orders!L$1,[1]products!$A$1:$G$1,0))</f>
        <v>2.9849999999999999</v>
      </c>
      <c r="I88">
        <f t="shared" si="1"/>
        <v>11.94</v>
      </c>
    </row>
    <row r="89" spans="1:9" x14ac:dyDescent="0.25">
      <c r="A89" t="s">
        <v>205</v>
      </c>
      <c r="B89">
        <v>44289</v>
      </c>
      <c r="C89" t="s">
        <v>206</v>
      </c>
      <c r="D89" t="str">
        <f>INDEX('Customers (2)'!B:B,MATCH('Customers (2)'!A89,'Customers (2)'!A:A,0))</f>
        <v>Beitris Keaveney</v>
      </c>
      <c r="E89" t="s">
        <v>61</v>
      </c>
      <c r="F89">
        <v>3</v>
      </c>
      <c r="G89">
        <f>INDEX([1]products!$A$1:$G$49,MATCH([1]orders!$D89,[1]products!$A$1:$A$49,0),MATCH([1]orders!K$1,[1]products!$A$1:$G$1,0))</f>
        <v>1</v>
      </c>
      <c r="H89">
        <f>INDEX([1]products!$A$1:$G$49,MATCH([1]orders!$D89,[1]products!$A$1:$A$49,0),MATCH([1]orders!L$1,[1]products!$A$1:$G$1,0))</f>
        <v>11.25</v>
      </c>
      <c r="I89">
        <f t="shared" si="1"/>
        <v>33.75</v>
      </c>
    </row>
    <row r="90" spans="1:9" x14ac:dyDescent="0.25">
      <c r="A90" t="s">
        <v>207</v>
      </c>
      <c r="B90">
        <v>44284</v>
      </c>
      <c r="C90" t="s">
        <v>208</v>
      </c>
      <c r="D90" t="str">
        <f>INDEX('Customers (2)'!B:B,MATCH('Customers (2)'!A90,'Customers (2)'!A:A,0))</f>
        <v>Elna Grise</v>
      </c>
      <c r="E90" t="s">
        <v>189</v>
      </c>
      <c r="F90">
        <v>3</v>
      </c>
      <c r="G90">
        <f>INDEX([1]products!$A$1:$G$49,MATCH([1]orders!$D90,[1]products!$A$1:$A$49,0),MATCH([1]orders!K$1,[1]products!$A$1:$G$1,0))</f>
        <v>1</v>
      </c>
      <c r="H90">
        <f>INDEX([1]products!$A$1:$G$49,MATCH([1]orders!$D90,[1]products!$A$1:$A$49,0),MATCH([1]orders!L$1,[1]products!$A$1:$G$1,0))</f>
        <v>11.95</v>
      </c>
      <c r="I90">
        <f t="shared" si="1"/>
        <v>35.849999999999994</v>
      </c>
    </row>
    <row r="91" spans="1:9" x14ac:dyDescent="0.25">
      <c r="A91" t="s">
        <v>209</v>
      </c>
      <c r="B91">
        <v>44545</v>
      </c>
      <c r="C91" t="s">
        <v>210</v>
      </c>
      <c r="D91" t="str">
        <f>INDEX('Customers (2)'!B:B,MATCH('Customers (2)'!A91,'Customers (2)'!A:A,0))</f>
        <v>Torie Gottelier</v>
      </c>
      <c r="E91" t="s">
        <v>6</v>
      </c>
      <c r="F91">
        <v>6</v>
      </c>
      <c r="G91">
        <f>INDEX([1]products!$A$1:$G$49,MATCH([1]orders!$D91,[1]products!$A$1:$A$49,0),MATCH([1]orders!K$1,[1]products!$A$1:$G$1,0))</f>
        <v>1</v>
      </c>
      <c r="H91">
        <f>INDEX([1]products!$A$1:$G$49,MATCH([1]orders!$D91,[1]products!$A$1:$A$49,0),MATCH([1]orders!L$1,[1]products!$A$1:$G$1,0))</f>
        <v>12.95</v>
      </c>
      <c r="I91">
        <f t="shared" si="1"/>
        <v>77.699999999999989</v>
      </c>
    </row>
    <row r="92" spans="1:9" x14ac:dyDescent="0.25">
      <c r="A92" t="s">
        <v>211</v>
      </c>
      <c r="B92">
        <v>43971</v>
      </c>
      <c r="C92" t="s">
        <v>212</v>
      </c>
      <c r="D92" t="str">
        <f>INDEX('Customers (2)'!B:B,MATCH('Customers (2)'!A92,'Customers (2)'!A:A,0))</f>
        <v>Loydie Langlais</v>
      </c>
      <c r="E92" t="s">
        <v>6</v>
      </c>
      <c r="F92">
        <v>4</v>
      </c>
      <c r="G92">
        <f>INDEX([1]products!$A$1:$G$49,MATCH([1]orders!$D92,[1]products!$A$1:$A$49,0),MATCH([1]orders!K$1,[1]products!$A$1:$G$1,0))</f>
        <v>1</v>
      </c>
      <c r="H92">
        <f>INDEX([1]products!$A$1:$G$49,MATCH([1]orders!$D92,[1]products!$A$1:$A$49,0),MATCH([1]orders!L$1,[1]products!$A$1:$G$1,0))</f>
        <v>12.95</v>
      </c>
      <c r="I92">
        <f t="shared" si="1"/>
        <v>51.8</v>
      </c>
    </row>
    <row r="93" spans="1:9" x14ac:dyDescent="0.25">
      <c r="A93" t="s">
        <v>213</v>
      </c>
      <c r="B93">
        <v>44137</v>
      </c>
      <c r="C93" t="s">
        <v>214</v>
      </c>
      <c r="D93" t="str">
        <f>INDEX('Customers (2)'!B:B,MATCH('Customers (2)'!A93,'Customers (2)'!A:A,0))</f>
        <v>Adham Greenhead</v>
      </c>
      <c r="E93" t="s">
        <v>171</v>
      </c>
      <c r="F93">
        <v>4</v>
      </c>
      <c r="G93">
        <f>INDEX([1]products!$A$1:$G$49,MATCH([1]orders!$D93,[1]products!$A$1:$A$49,0),MATCH([1]orders!K$1,[1]products!$A$1:$G$1,0))</f>
        <v>2.5</v>
      </c>
      <c r="H93">
        <f>INDEX([1]products!$A$1:$G$49,MATCH([1]orders!$D93,[1]products!$A$1:$A$49,0),MATCH([1]orders!L$1,[1]products!$A$1:$G$1,0))</f>
        <v>25.874999999999996</v>
      </c>
      <c r="I93">
        <f t="shared" si="1"/>
        <v>103.49999999999999</v>
      </c>
    </row>
    <row r="94" spans="1:9" x14ac:dyDescent="0.25">
      <c r="A94" t="s">
        <v>215</v>
      </c>
      <c r="B94">
        <v>44037</v>
      </c>
      <c r="C94" t="s">
        <v>216</v>
      </c>
      <c r="D94" t="str">
        <f>INDEX('Customers (2)'!B:B,MATCH('Customers (2)'!A94,'Customers (2)'!A:A,0))</f>
        <v>Hamish MacSherry</v>
      </c>
      <c r="E94" t="s">
        <v>137</v>
      </c>
      <c r="F94">
        <v>3</v>
      </c>
      <c r="G94">
        <f>INDEX([1]products!$A$1:$G$49,MATCH([1]orders!$D94,[1]products!$A$1:$A$49,0),MATCH([1]orders!K$1,[1]products!$A$1:$G$1,0))</f>
        <v>1</v>
      </c>
      <c r="H94">
        <f>INDEX([1]products!$A$1:$G$49,MATCH([1]orders!$D94,[1]products!$A$1:$A$49,0),MATCH([1]orders!L$1,[1]products!$A$1:$G$1,0))</f>
        <v>14.85</v>
      </c>
      <c r="I94">
        <f t="shared" si="1"/>
        <v>44.55</v>
      </c>
    </row>
    <row r="95" spans="1:9" x14ac:dyDescent="0.25">
      <c r="A95" t="s">
        <v>217</v>
      </c>
      <c r="B95">
        <v>43538</v>
      </c>
      <c r="C95" t="s">
        <v>218</v>
      </c>
      <c r="D95" t="str">
        <f>INDEX('Customers (2)'!B:B,MATCH('Customers (2)'!A95,'Customers (2)'!A:A,0))</f>
        <v>Else Langcaster</v>
      </c>
      <c r="E95" t="s">
        <v>176</v>
      </c>
      <c r="F95">
        <v>4</v>
      </c>
      <c r="G95">
        <f>INDEX([1]products!$A$1:$G$49,MATCH([1]orders!$D95,[1]products!$A$1:$A$49,0),MATCH([1]orders!K$1,[1]products!$A$1:$G$1,0))</f>
        <v>0.5</v>
      </c>
      <c r="H95">
        <f>INDEX([1]products!$A$1:$G$49,MATCH([1]orders!$D95,[1]products!$A$1:$A$49,0),MATCH([1]orders!L$1,[1]products!$A$1:$G$1,0))</f>
        <v>8.91</v>
      </c>
      <c r="I95">
        <f t="shared" si="1"/>
        <v>35.64</v>
      </c>
    </row>
    <row r="96" spans="1:9" x14ac:dyDescent="0.25">
      <c r="A96" t="s">
        <v>219</v>
      </c>
      <c r="B96">
        <v>44014</v>
      </c>
      <c r="C96" t="s">
        <v>220</v>
      </c>
      <c r="D96" t="str">
        <f>INDEX('Customers (2)'!B:B,MATCH('Customers (2)'!A96,'Customers (2)'!A:A,0))</f>
        <v>Rudy Farquharson</v>
      </c>
      <c r="E96" t="s">
        <v>54</v>
      </c>
      <c r="F96">
        <v>6</v>
      </c>
      <c r="G96">
        <f>INDEX([1]products!$A$1:$G$49,MATCH([1]orders!$D96,[1]products!$A$1:$A$49,0),MATCH([1]orders!K$1,[1]products!$A$1:$G$1,0))</f>
        <v>0.2</v>
      </c>
      <c r="H96">
        <f>INDEX([1]products!$A$1:$G$49,MATCH([1]orders!$D96,[1]products!$A$1:$A$49,0),MATCH([1]orders!L$1,[1]products!$A$1:$G$1,0))</f>
        <v>2.9849999999999999</v>
      </c>
      <c r="I96">
        <f t="shared" si="1"/>
        <v>17.91</v>
      </c>
    </row>
    <row r="97" spans="1:9" x14ac:dyDescent="0.25">
      <c r="A97" t="s">
        <v>221</v>
      </c>
      <c r="B97">
        <v>43816</v>
      </c>
      <c r="C97" t="s">
        <v>222</v>
      </c>
      <c r="D97" t="str">
        <f>INDEX('Customers (2)'!B:B,MATCH('Customers (2)'!A97,'Customers (2)'!A:A,0))</f>
        <v>Norene Magauran</v>
      </c>
      <c r="E97" t="s">
        <v>171</v>
      </c>
      <c r="F97">
        <v>6</v>
      </c>
      <c r="G97">
        <f>INDEX([1]products!$A$1:$G$49,MATCH([1]orders!$D97,[1]products!$A$1:$A$49,0),MATCH([1]orders!K$1,[1]products!$A$1:$G$1,0))</f>
        <v>2.5</v>
      </c>
      <c r="H97">
        <f>INDEX([1]products!$A$1:$G$49,MATCH([1]orders!$D97,[1]products!$A$1:$A$49,0),MATCH([1]orders!L$1,[1]products!$A$1:$G$1,0))</f>
        <v>25.874999999999996</v>
      </c>
      <c r="I97">
        <f t="shared" si="1"/>
        <v>155.24999999999997</v>
      </c>
    </row>
    <row r="98" spans="1:9" x14ac:dyDescent="0.25">
      <c r="A98" t="s">
        <v>223</v>
      </c>
      <c r="B98">
        <v>44171</v>
      </c>
      <c r="C98" t="s">
        <v>224</v>
      </c>
      <c r="D98" t="str">
        <f>INDEX('Customers (2)'!B:B,MATCH('Customers (2)'!A98,'Customers (2)'!A:A,0))</f>
        <v>Vicki Kirdsch</v>
      </c>
      <c r="E98" t="s">
        <v>54</v>
      </c>
      <c r="F98">
        <v>2</v>
      </c>
      <c r="G98">
        <f>INDEX([1]products!$A$1:$G$49,MATCH([1]orders!$D98,[1]products!$A$1:$A$49,0),MATCH([1]orders!K$1,[1]products!$A$1:$G$1,0))</f>
        <v>0.2</v>
      </c>
      <c r="H98">
        <f>INDEX([1]products!$A$1:$G$49,MATCH([1]orders!$D98,[1]products!$A$1:$A$49,0),MATCH([1]orders!L$1,[1]products!$A$1:$G$1,0))</f>
        <v>2.9849999999999999</v>
      </c>
      <c r="I98">
        <f t="shared" si="1"/>
        <v>5.97</v>
      </c>
    </row>
    <row r="99" spans="1:9" x14ac:dyDescent="0.25">
      <c r="A99" t="s">
        <v>225</v>
      </c>
      <c r="B99">
        <v>44259</v>
      </c>
      <c r="C99" t="s">
        <v>226</v>
      </c>
      <c r="D99" t="str">
        <f>INDEX('Customers (2)'!B:B,MATCH('Customers (2)'!A99,'Customers (2)'!A:A,0))</f>
        <v>Ilysa Whapple</v>
      </c>
      <c r="E99" t="s">
        <v>67</v>
      </c>
      <c r="F99">
        <v>2</v>
      </c>
      <c r="G99">
        <f>INDEX([1]products!$A$1:$G$49,MATCH([1]orders!$D99,[1]products!$A$1:$A$49,0),MATCH([1]orders!K$1,[1]products!$A$1:$G$1,0))</f>
        <v>0.5</v>
      </c>
      <c r="H99">
        <f>INDEX([1]products!$A$1:$G$49,MATCH([1]orders!$D99,[1]products!$A$1:$A$49,0),MATCH([1]orders!L$1,[1]products!$A$1:$G$1,0))</f>
        <v>6.75</v>
      </c>
      <c r="I99">
        <f t="shared" si="1"/>
        <v>13.5</v>
      </c>
    </row>
    <row r="100" spans="1:9" x14ac:dyDescent="0.25">
      <c r="A100" t="s">
        <v>227</v>
      </c>
      <c r="B100">
        <v>44394</v>
      </c>
      <c r="C100" t="s">
        <v>228</v>
      </c>
      <c r="D100" t="str">
        <f>INDEX('Customers (2)'!B:B,MATCH('Customers (2)'!A100,'Customers (2)'!A:A,0))</f>
        <v>Ruy Cancellieri</v>
      </c>
      <c r="E100" t="s">
        <v>54</v>
      </c>
      <c r="F100">
        <v>1</v>
      </c>
      <c r="G100">
        <f>INDEX([1]products!$A$1:$G$49,MATCH([1]orders!$D100,[1]products!$A$1:$A$49,0),MATCH([1]orders!K$1,[1]products!$A$1:$G$1,0))</f>
        <v>0.2</v>
      </c>
      <c r="H100">
        <f>INDEX([1]products!$A$1:$G$49,MATCH([1]orders!$D100,[1]products!$A$1:$A$49,0),MATCH([1]orders!L$1,[1]products!$A$1:$G$1,0))</f>
        <v>2.9849999999999999</v>
      </c>
      <c r="I100">
        <f t="shared" si="1"/>
        <v>2.9849999999999999</v>
      </c>
    </row>
    <row r="101" spans="1:9" x14ac:dyDescent="0.25">
      <c r="A101" t="s">
        <v>229</v>
      </c>
      <c r="B101">
        <v>44139</v>
      </c>
      <c r="C101" t="s">
        <v>230</v>
      </c>
      <c r="D101" t="str">
        <f>INDEX('Customers (2)'!B:B,MATCH('Customers (2)'!A101,'Customers (2)'!A:A,0))</f>
        <v>Aube Follett</v>
      </c>
      <c r="E101" t="s">
        <v>77</v>
      </c>
      <c r="F101">
        <v>3</v>
      </c>
      <c r="G101">
        <f>INDEX([1]products!$A$1:$G$49,MATCH([1]orders!$D101,[1]products!$A$1:$A$49,0),MATCH([1]orders!K$1,[1]products!$A$1:$G$1,0))</f>
        <v>0.2</v>
      </c>
      <c r="H101">
        <f>INDEX([1]products!$A$1:$G$49,MATCH([1]orders!$D101,[1]products!$A$1:$A$49,0),MATCH([1]orders!L$1,[1]products!$A$1:$G$1,0))</f>
        <v>4.3650000000000002</v>
      </c>
      <c r="I101">
        <f t="shared" si="1"/>
        <v>13.095000000000001</v>
      </c>
    </row>
    <row r="102" spans="1:9" x14ac:dyDescent="0.25">
      <c r="A102" t="s">
        <v>231</v>
      </c>
      <c r="B102">
        <v>44291</v>
      </c>
      <c r="C102" t="s">
        <v>232</v>
      </c>
      <c r="D102" t="str">
        <f>INDEX('Customers (2)'!B:B,MATCH('Customers (2)'!A102,'Customers (2)'!A:A,0))</f>
        <v>Rudiger Di Bartolomeo</v>
      </c>
      <c r="E102" t="s">
        <v>115</v>
      </c>
      <c r="F102">
        <v>2</v>
      </c>
      <c r="G102">
        <f>INDEX([1]products!$A$1:$G$49,MATCH([1]orders!$D102,[1]products!$A$1:$A$49,0),MATCH([1]orders!K$1,[1]products!$A$1:$G$1,0))</f>
        <v>0.2</v>
      </c>
      <c r="H102">
        <f>INDEX([1]products!$A$1:$G$49,MATCH([1]orders!$D102,[1]products!$A$1:$A$49,0),MATCH([1]orders!L$1,[1]products!$A$1:$G$1,0))</f>
        <v>3.8849999999999998</v>
      </c>
      <c r="I102">
        <f t="shared" si="1"/>
        <v>7.77</v>
      </c>
    </row>
    <row r="103" spans="1:9" x14ac:dyDescent="0.25">
      <c r="A103" t="s">
        <v>233</v>
      </c>
      <c r="B103">
        <v>43891</v>
      </c>
      <c r="C103" t="s">
        <v>234</v>
      </c>
      <c r="D103" t="str">
        <f>INDEX('Customers (2)'!B:B,MATCH('Customers (2)'!A103,'Customers (2)'!A:A,0))</f>
        <v>Nickey Youles</v>
      </c>
      <c r="E103" t="s">
        <v>109</v>
      </c>
      <c r="F103">
        <v>5</v>
      </c>
      <c r="G103">
        <f>INDEX([1]products!$A$1:$G$49,MATCH([1]orders!$D103,[1]products!$A$1:$A$49,0),MATCH([1]orders!K$1,[1]products!$A$1:$G$1,0))</f>
        <v>2.5</v>
      </c>
      <c r="H103">
        <f>INDEX([1]products!$A$1:$G$49,MATCH([1]orders!$D103,[1]products!$A$1:$A$49,0),MATCH([1]orders!L$1,[1]products!$A$1:$G$1,0))</f>
        <v>29.784999999999997</v>
      </c>
      <c r="I103">
        <f t="shared" si="1"/>
        <v>148.92499999999998</v>
      </c>
    </row>
    <row r="104" spans="1:9" x14ac:dyDescent="0.25">
      <c r="A104" t="s">
        <v>235</v>
      </c>
      <c r="B104">
        <v>44488</v>
      </c>
      <c r="C104" t="s">
        <v>236</v>
      </c>
      <c r="D104" t="str">
        <f>INDEX('Customers (2)'!B:B,MATCH('Customers (2)'!A104,'Customers (2)'!A:A,0))</f>
        <v>Dyanna Aizikovitz</v>
      </c>
      <c r="E104" t="s">
        <v>13</v>
      </c>
      <c r="F104">
        <v>3</v>
      </c>
      <c r="G104">
        <f>INDEX([1]products!$A$1:$G$49,MATCH([1]orders!$D104,[1]products!$A$1:$A$49,0),MATCH([1]orders!K$1,[1]products!$A$1:$G$1,0))</f>
        <v>1</v>
      </c>
      <c r="H104">
        <f>INDEX([1]products!$A$1:$G$49,MATCH([1]orders!$D104,[1]products!$A$1:$A$49,0),MATCH([1]orders!L$1,[1]products!$A$1:$G$1,0))</f>
        <v>12.95</v>
      </c>
      <c r="I104">
        <f t="shared" si="1"/>
        <v>38.849999999999994</v>
      </c>
    </row>
    <row r="105" spans="1:9" x14ac:dyDescent="0.25">
      <c r="A105" t="s">
        <v>237</v>
      </c>
      <c r="B105">
        <v>44750</v>
      </c>
      <c r="C105" t="s">
        <v>238</v>
      </c>
      <c r="D105" t="str">
        <f>INDEX('Customers (2)'!B:B,MATCH('Customers (2)'!A105,'Customers (2)'!A:A,0))</f>
        <v>Bram Revel</v>
      </c>
      <c r="E105" t="s">
        <v>162</v>
      </c>
      <c r="F105">
        <v>4</v>
      </c>
      <c r="G105">
        <f>INDEX([1]products!$A$1:$G$49,MATCH([1]orders!$D105,[1]products!$A$1:$A$49,0),MATCH([1]orders!K$1,[1]products!$A$1:$G$1,0))</f>
        <v>0.2</v>
      </c>
      <c r="H105">
        <f>INDEX([1]products!$A$1:$G$49,MATCH([1]orders!$D105,[1]products!$A$1:$A$49,0),MATCH([1]orders!L$1,[1]products!$A$1:$G$1,0))</f>
        <v>2.9849999999999999</v>
      </c>
      <c r="I105">
        <f t="shared" si="1"/>
        <v>11.94</v>
      </c>
    </row>
    <row r="106" spans="1:9" x14ac:dyDescent="0.25">
      <c r="A106" t="s">
        <v>239</v>
      </c>
      <c r="B106">
        <v>43694</v>
      </c>
      <c r="C106" t="s">
        <v>240</v>
      </c>
      <c r="D106" t="str">
        <f>INDEX('Customers (2)'!B:B,MATCH('Customers (2)'!A106,'Customers (2)'!A:A,0))</f>
        <v>Emiline Priddis</v>
      </c>
      <c r="E106" t="s">
        <v>96</v>
      </c>
      <c r="F106">
        <v>6</v>
      </c>
      <c r="G106">
        <f>INDEX([1]products!$A$1:$G$49,MATCH([1]orders!$D106,[1]products!$A$1:$A$49,0),MATCH([1]orders!K$1,[1]products!$A$1:$G$1,0))</f>
        <v>1</v>
      </c>
      <c r="H106">
        <f>INDEX([1]products!$A$1:$G$49,MATCH([1]orders!$D106,[1]products!$A$1:$A$49,0),MATCH([1]orders!L$1,[1]products!$A$1:$G$1,0))</f>
        <v>14.55</v>
      </c>
      <c r="I106">
        <f t="shared" si="1"/>
        <v>87.300000000000011</v>
      </c>
    </row>
    <row r="107" spans="1:9" x14ac:dyDescent="0.25">
      <c r="A107" t="s">
        <v>241</v>
      </c>
      <c r="B107">
        <v>43982</v>
      </c>
      <c r="C107" t="s">
        <v>242</v>
      </c>
      <c r="D107" t="str">
        <f>INDEX('Customers (2)'!B:B,MATCH('Customers (2)'!A107,'Customers (2)'!A:A,0))</f>
        <v>Queenie Veel</v>
      </c>
      <c r="E107" t="s">
        <v>67</v>
      </c>
      <c r="F107">
        <v>6</v>
      </c>
      <c r="G107">
        <f>INDEX([1]products!$A$1:$G$49,MATCH([1]orders!$D107,[1]products!$A$1:$A$49,0),MATCH([1]orders!K$1,[1]products!$A$1:$G$1,0))</f>
        <v>0.5</v>
      </c>
      <c r="H107">
        <f>INDEX([1]products!$A$1:$G$49,MATCH([1]orders!$D107,[1]products!$A$1:$A$49,0),MATCH([1]orders!L$1,[1]products!$A$1:$G$1,0))</f>
        <v>6.75</v>
      </c>
      <c r="I107">
        <f t="shared" si="1"/>
        <v>40.5</v>
      </c>
    </row>
    <row r="108" spans="1:9" x14ac:dyDescent="0.25">
      <c r="A108" t="s">
        <v>243</v>
      </c>
      <c r="B108">
        <v>43956</v>
      </c>
      <c r="C108" t="s">
        <v>244</v>
      </c>
      <c r="D108" t="str">
        <f>INDEX('Customers (2)'!B:B,MATCH('Customers (2)'!A108,'Customers (2)'!A:A,0))</f>
        <v>Lind Conyers</v>
      </c>
      <c r="E108" t="s">
        <v>245</v>
      </c>
      <c r="F108">
        <v>2</v>
      </c>
      <c r="G108">
        <f>INDEX([1]products!$A$1:$G$49,MATCH([1]orders!$D108,[1]products!$A$1:$A$49,0),MATCH([1]orders!K$1,[1]products!$A$1:$G$1,0))</f>
        <v>1</v>
      </c>
      <c r="H108">
        <f>INDEX([1]products!$A$1:$G$49,MATCH([1]orders!$D108,[1]products!$A$1:$A$49,0),MATCH([1]orders!L$1,[1]products!$A$1:$G$1,0))</f>
        <v>12.15</v>
      </c>
      <c r="I108">
        <f t="shared" si="1"/>
        <v>24.3</v>
      </c>
    </row>
    <row r="109" spans="1:9" x14ac:dyDescent="0.25">
      <c r="A109" t="s">
        <v>246</v>
      </c>
      <c r="B109">
        <v>43569</v>
      </c>
      <c r="C109" t="s">
        <v>247</v>
      </c>
      <c r="D109" t="str">
        <f>INDEX('Customers (2)'!B:B,MATCH('Customers (2)'!A109,'Customers (2)'!A:A,0))</f>
        <v>Pen Wye</v>
      </c>
      <c r="E109" t="s">
        <v>22</v>
      </c>
      <c r="F109">
        <v>3</v>
      </c>
      <c r="G109">
        <f>INDEX([1]products!$A$1:$G$49,MATCH([1]orders!$D109,[1]products!$A$1:$A$49,0),MATCH([1]orders!K$1,[1]products!$A$1:$G$1,0))</f>
        <v>0.5</v>
      </c>
      <c r="H109">
        <f>INDEX([1]products!$A$1:$G$49,MATCH([1]orders!$D109,[1]products!$A$1:$A$49,0),MATCH([1]orders!L$1,[1]products!$A$1:$G$1,0))</f>
        <v>5.97</v>
      </c>
      <c r="I109">
        <f t="shared" si="1"/>
        <v>17.91</v>
      </c>
    </row>
    <row r="110" spans="1:9" x14ac:dyDescent="0.25">
      <c r="A110" t="s">
        <v>248</v>
      </c>
      <c r="B110">
        <v>44041</v>
      </c>
      <c r="C110" t="s">
        <v>249</v>
      </c>
      <c r="D110" t="str">
        <f>INDEX('Customers (2)'!B:B,MATCH('Customers (2)'!A110,'Customers (2)'!A:A,0))</f>
        <v>Isahella Hagland</v>
      </c>
      <c r="E110" t="s">
        <v>67</v>
      </c>
      <c r="F110">
        <v>4</v>
      </c>
      <c r="G110">
        <f>INDEX([1]products!$A$1:$G$49,MATCH([1]orders!$D110,[1]products!$A$1:$A$49,0),MATCH([1]orders!K$1,[1]products!$A$1:$G$1,0))</f>
        <v>0.5</v>
      </c>
      <c r="H110">
        <f>INDEX([1]products!$A$1:$G$49,MATCH([1]orders!$D110,[1]products!$A$1:$A$49,0),MATCH([1]orders!L$1,[1]products!$A$1:$G$1,0))</f>
        <v>6.75</v>
      </c>
      <c r="I110">
        <f t="shared" si="1"/>
        <v>27</v>
      </c>
    </row>
    <row r="111" spans="1:9" x14ac:dyDescent="0.25">
      <c r="A111" t="s">
        <v>250</v>
      </c>
      <c r="B111">
        <v>43811</v>
      </c>
      <c r="C111" t="s">
        <v>251</v>
      </c>
      <c r="D111" t="str">
        <f>INDEX('Customers (2)'!B:B,MATCH('Customers (2)'!A111,'Customers (2)'!A:A,0))</f>
        <v>Terry Sheryn</v>
      </c>
      <c r="E111" t="s">
        <v>123</v>
      </c>
      <c r="F111">
        <v>1</v>
      </c>
      <c r="G111">
        <f>INDEX([1]products!$A$1:$G$49,MATCH([1]orders!$D111,[1]products!$A$1:$A$49,0),MATCH([1]orders!K$1,[1]products!$A$1:$G$1,0))</f>
        <v>0.5</v>
      </c>
      <c r="H111">
        <f>INDEX([1]products!$A$1:$G$49,MATCH([1]orders!$D111,[1]products!$A$1:$A$49,0),MATCH([1]orders!L$1,[1]products!$A$1:$G$1,0))</f>
        <v>7.77</v>
      </c>
      <c r="I111">
        <f t="shared" si="1"/>
        <v>7.77</v>
      </c>
    </row>
    <row r="112" spans="1:9" x14ac:dyDescent="0.25">
      <c r="A112" t="s">
        <v>252</v>
      </c>
      <c r="B112">
        <v>44727</v>
      </c>
      <c r="C112" t="s">
        <v>253</v>
      </c>
      <c r="D112" t="str">
        <f>INDEX('Customers (2)'!B:B,MATCH('Customers (2)'!A112,'Customers (2)'!A:A,0))</f>
        <v>Marie-jeanne Redgrave</v>
      </c>
      <c r="E112" t="s">
        <v>254</v>
      </c>
      <c r="F112">
        <v>3</v>
      </c>
      <c r="G112">
        <f>INDEX([1]products!$A$1:$G$49,MATCH([1]orders!$D112,[1]products!$A$1:$A$49,0),MATCH([1]orders!K$1,[1]products!$A$1:$G$1,0))</f>
        <v>0.2</v>
      </c>
      <c r="H112">
        <f>INDEX([1]products!$A$1:$G$49,MATCH([1]orders!$D112,[1]products!$A$1:$A$49,0),MATCH([1]orders!L$1,[1]products!$A$1:$G$1,0))</f>
        <v>4.4550000000000001</v>
      </c>
      <c r="I112">
        <f t="shared" si="1"/>
        <v>13.365</v>
      </c>
    </row>
    <row r="113" spans="1:9" x14ac:dyDescent="0.25">
      <c r="A113" t="s">
        <v>255</v>
      </c>
      <c r="B113">
        <v>43642</v>
      </c>
      <c r="C113" t="s">
        <v>256</v>
      </c>
      <c r="D113" t="str">
        <f>INDEX('Customers (2)'!B:B,MATCH('Customers (2)'!A113,'Customers (2)'!A:A,0))</f>
        <v>Betty Fominov</v>
      </c>
      <c r="E113" t="s">
        <v>146</v>
      </c>
      <c r="F113">
        <v>5</v>
      </c>
      <c r="G113">
        <f>INDEX([1]products!$A$1:$G$49,MATCH([1]orders!$D113,[1]products!$A$1:$A$49,0),MATCH([1]orders!K$1,[1]products!$A$1:$G$1,0))</f>
        <v>0.5</v>
      </c>
      <c r="H113">
        <f>INDEX([1]products!$A$1:$G$49,MATCH([1]orders!$D113,[1]products!$A$1:$A$49,0),MATCH([1]orders!L$1,[1]products!$A$1:$G$1,0))</f>
        <v>5.3699999999999992</v>
      </c>
      <c r="I113">
        <f t="shared" si="1"/>
        <v>26.849999999999994</v>
      </c>
    </row>
    <row r="114" spans="1:9" x14ac:dyDescent="0.25">
      <c r="A114" t="s">
        <v>257</v>
      </c>
      <c r="B114">
        <v>44481</v>
      </c>
      <c r="C114" t="s">
        <v>258</v>
      </c>
      <c r="D114" t="str">
        <f>INDEX('Customers (2)'!B:B,MATCH('Customers (2)'!A114,'Customers (2)'!A:A,0))</f>
        <v>Shawnee Critchlow</v>
      </c>
      <c r="E114" t="s">
        <v>61</v>
      </c>
      <c r="F114">
        <v>1</v>
      </c>
      <c r="G114">
        <f>INDEX([1]products!$A$1:$G$49,MATCH([1]orders!$D114,[1]products!$A$1:$A$49,0),MATCH([1]orders!K$1,[1]products!$A$1:$G$1,0))</f>
        <v>1</v>
      </c>
      <c r="H114">
        <f>INDEX([1]products!$A$1:$G$49,MATCH([1]orders!$D114,[1]products!$A$1:$A$49,0),MATCH([1]orders!L$1,[1]products!$A$1:$G$1,0))</f>
        <v>11.25</v>
      </c>
      <c r="I114">
        <f t="shared" si="1"/>
        <v>11.25</v>
      </c>
    </row>
    <row r="115" spans="1:9" x14ac:dyDescent="0.25">
      <c r="A115" t="s">
        <v>259</v>
      </c>
      <c r="B115">
        <v>43556</v>
      </c>
      <c r="C115" t="s">
        <v>260</v>
      </c>
      <c r="D115" t="str">
        <f>INDEX('Customers (2)'!B:B,MATCH('Customers (2)'!A115,'Customers (2)'!A:A,0))</f>
        <v>Merrel Steptow</v>
      </c>
      <c r="E115" t="s">
        <v>96</v>
      </c>
      <c r="F115">
        <v>1</v>
      </c>
      <c r="G115">
        <f>INDEX([1]products!$A$1:$G$49,MATCH([1]orders!$D115,[1]products!$A$1:$A$49,0),MATCH([1]orders!K$1,[1]products!$A$1:$G$1,0))</f>
        <v>1</v>
      </c>
      <c r="H115">
        <f>INDEX([1]products!$A$1:$G$49,MATCH([1]orders!$D115,[1]products!$A$1:$A$49,0),MATCH([1]orders!L$1,[1]products!$A$1:$G$1,0))</f>
        <v>14.55</v>
      </c>
      <c r="I115">
        <f t="shared" si="1"/>
        <v>14.55</v>
      </c>
    </row>
    <row r="116" spans="1:9" x14ac:dyDescent="0.25">
      <c r="A116" t="s">
        <v>261</v>
      </c>
      <c r="B116">
        <v>44265</v>
      </c>
      <c r="C116" t="s">
        <v>262</v>
      </c>
      <c r="D116" t="str">
        <f>INDEX('Customers (2)'!B:B,MATCH('Customers (2)'!A116,'Customers (2)'!A:A,0))</f>
        <v>Carmina Hubbuck</v>
      </c>
      <c r="E116" t="s">
        <v>182</v>
      </c>
      <c r="F116">
        <v>4</v>
      </c>
      <c r="G116">
        <f>INDEX([1]products!$A$1:$G$49,MATCH([1]orders!$D116,[1]products!$A$1:$A$49,0),MATCH([1]orders!K$1,[1]products!$A$1:$G$1,0))</f>
        <v>0.2</v>
      </c>
      <c r="H116">
        <f>INDEX([1]products!$A$1:$G$49,MATCH([1]orders!$D116,[1]products!$A$1:$A$49,0),MATCH([1]orders!L$1,[1]products!$A$1:$G$1,0))</f>
        <v>3.5849999999999995</v>
      </c>
      <c r="I116">
        <f t="shared" si="1"/>
        <v>14.339999999999998</v>
      </c>
    </row>
    <row r="117" spans="1:9" x14ac:dyDescent="0.25">
      <c r="A117" t="s">
        <v>263</v>
      </c>
      <c r="B117">
        <v>43693</v>
      </c>
      <c r="C117" t="s">
        <v>264</v>
      </c>
      <c r="D117" t="str">
        <f>INDEX('Customers (2)'!B:B,MATCH('Customers (2)'!A117,'Customers (2)'!A:A,0))</f>
        <v>Ingeberg Mulliner</v>
      </c>
      <c r="E117" t="s">
        <v>132</v>
      </c>
      <c r="F117">
        <v>1</v>
      </c>
      <c r="G117">
        <f>INDEX([1]products!$A$1:$G$49,MATCH([1]orders!$D117,[1]products!$A$1:$A$49,0),MATCH([1]orders!K$1,[1]products!$A$1:$G$1,0))</f>
        <v>1</v>
      </c>
      <c r="H117">
        <f>INDEX([1]products!$A$1:$G$49,MATCH([1]orders!$D117,[1]products!$A$1:$A$49,0),MATCH([1]orders!L$1,[1]products!$A$1:$G$1,0))</f>
        <v>15.85</v>
      </c>
      <c r="I117">
        <f t="shared" si="1"/>
        <v>15.85</v>
      </c>
    </row>
    <row r="118" spans="1:9" x14ac:dyDescent="0.25">
      <c r="A118" t="s">
        <v>265</v>
      </c>
      <c r="B118">
        <v>44054</v>
      </c>
      <c r="C118" t="s">
        <v>266</v>
      </c>
      <c r="D118" t="str">
        <f>INDEX('Customers (2)'!B:B,MATCH('Customers (2)'!A118,'Customers (2)'!A:A,0))</f>
        <v>Geneva Standley</v>
      </c>
      <c r="E118" t="s">
        <v>19</v>
      </c>
      <c r="F118">
        <v>4</v>
      </c>
      <c r="G118">
        <f>INDEX([1]products!$A$1:$G$49,MATCH([1]orders!$D118,[1]products!$A$1:$A$49,0),MATCH([1]orders!K$1,[1]products!$A$1:$G$1,0))</f>
        <v>0.2</v>
      </c>
      <c r="H118">
        <f>INDEX([1]products!$A$1:$G$49,MATCH([1]orders!$D118,[1]products!$A$1:$A$49,0),MATCH([1]orders!L$1,[1]products!$A$1:$G$1,0))</f>
        <v>4.7549999999999999</v>
      </c>
      <c r="I118">
        <f t="shared" si="1"/>
        <v>19.02</v>
      </c>
    </row>
    <row r="119" spans="1:9" x14ac:dyDescent="0.25">
      <c r="A119" t="s">
        <v>267</v>
      </c>
      <c r="B119">
        <v>44656</v>
      </c>
      <c r="C119" t="s">
        <v>268</v>
      </c>
      <c r="D119" t="str">
        <f>INDEX('Customers (2)'!B:B,MATCH('Customers (2)'!A119,'Customers (2)'!A:A,0))</f>
        <v>Brook Drage</v>
      </c>
      <c r="E119" t="s">
        <v>83</v>
      </c>
      <c r="F119">
        <v>4</v>
      </c>
      <c r="G119">
        <f>INDEX([1]products!$A$1:$G$49,MATCH([1]orders!$D119,[1]products!$A$1:$A$49,0),MATCH([1]orders!K$1,[1]products!$A$1:$G$1,0))</f>
        <v>0.5</v>
      </c>
      <c r="H119">
        <f>INDEX([1]products!$A$1:$G$49,MATCH([1]orders!$D119,[1]products!$A$1:$A$49,0),MATCH([1]orders!L$1,[1]products!$A$1:$G$1,0))</f>
        <v>9.51</v>
      </c>
      <c r="I119">
        <f t="shared" si="1"/>
        <v>38.04</v>
      </c>
    </row>
    <row r="120" spans="1:9" x14ac:dyDescent="0.25">
      <c r="A120" t="s">
        <v>269</v>
      </c>
      <c r="B120">
        <v>43760</v>
      </c>
      <c r="C120" t="s">
        <v>270</v>
      </c>
      <c r="D120" t="str">
        <f>INDEX('Customers (2)'!B:B,MATCH('Customers (2)'!A120,'Customers (2)'!A:A,0))</f>
        <v>Muffin Yallop</v>
      </c>
      <c r="E120" t="s">
        <v>16</v>
      </c>
      <c r="F120">
        <v>3</v>
      </c>
      <c r="G120">
        <f>INDEX([1]products!$A$1:$G$49,MATCH([1]orders!$D120,[1]products!$A$1:$A$49,0),MATCH([1]orders!K$1,[1]products!$A$1:$G$1,0))</f>
        <v>0.5</v>
      </c>
      <c r="H120">
        <f>INDEX([1]products!$A$1:$G$49,MATCH([1]orders!$D120,[1]products!$A$1:$A$49,0),MATCH([1]orders!L$1,[1]products!$A$1:$G$1,0))</f>
        <v>7.29</v>
      </c>
      <c r="I120">
        <f t="shared" si="1"/>
        <v>21.87</v>
      </c>
    </row>
    <row r="121" spans="1:9" x14ac:dyDescent="0.25">
      <c r="A121" t="s">
        <v>271</v>
      </c>
      <c r="B121">
        <v>44471</v>
      </c>
      <c r="C121" t="s">
        <v>272</v>
      </c>
      <c r="D121" t="str">
        <f>INDEX('Customers (2)'!B:B,MATCH('Customers (2)'!A121,'Customers (2)'!A:A,0))</f>
        <v>Cordi Switsur</v>
      </c>
      <c r="E121" t="s">
        <v>64</v>
      </c>
      <c r="F121">
        <v>1</v>
      </c>
      <c r="G121">
        <f>INDEX([1]products!$A$1:$G$49,MATCH([1]orders!$D121,[1]products!$A$1:$A$49,0),MATCH([1]orders!K$1,[1]products!$A$1:$G$1,0))</f>
        <v>0.2</v>
      </c>
      <c r="H121">
        <f>INDEX([1]products!$A$1:$G$49,MATCH([1]orders!$D121,[1]products!$A$1:$A$49,0),MATCH([1]orders!L$1,[1]products!$A$1:$G$1,0))</f>
        <v>4.125</v>
      </c>
      <c r="I121">
        <f t="shared" si="1"/>
        <v>4.125</v>
      </c>
    </row>
    <row r="122" spans="1:9" x14ac:dyDescent="0.25">
      <c r="A122" t="s">
        <v>271</v>
      </c>
      <c r="B122">
        <v>44471</v>
      </c>
      <c r="C122" t="s">
        <v>272</v>
      </c>
      <c r="D122" t="str">
        <f>INDEX('Customers (2)'!B:B,MATCH('Customers (2)'!A122,'Customers (2)'!A:A,0))</f>
        <v>Ezri Hows</v>
      </c>
      <c r="E122" t="s">
        <v>115</v>
      </c>
      <c r="F122">
        <v>1</v>
      </c>
      <c r="G122">
        <f>INDEX([1]products!$A$1:$G$49,MATCH([1]orders!$D122,[1]products!$A$1:$A$49,0),MATCH([1]orders!K$1,[1]products!$A$1:$G$1,0))</f>
        <v>0.2</v>
      </c>
      <c r="H122">
        <f>INDEX([1]products!$A$1:$G$49,MATCH([1]orders!$D122,[1]products!$A$1:$A$49,0),MATCH([1]orders!L$1,[1]products!$A$1:$G$1,0))</f>
        <v>3.8849999999999998</v>
      </c>
      <c r="I122">
        <f t="shared" si="1"/>
        <v>3.8849999999999998</v>
      </c>
    </row>
    <row r="123" spans="1:9" x14ac:dyDescent="0.25">
      <c r="A123" t="s">
        <v>271</v>
      </c>
      <c r="B123">
        <v>44471</v>
      </c>
      <c r="C123" t="s">
        <v>272</v>
      </c>
      <c r="D123" t="str">
        <f>INDEX('Customers (2)'!B:B,MATCH('Customers (2)'!A123,'Customers (2)'!A:A,0))</f>
        <v>Sylas Becaris</v>
      </c>
      <c r="E123" t="s">
        <v>9</v>
      </c>
      <c r="F123">
        <v>5</v>
      </c>
      <c r="G123">
        <f>INDEX([1]products!$A$1:$G$49,MATCH([1]orders!$D123,[1]products!$A$1:$A$49,0),MATCH([1]orders!K$1,[1]products!$A$1:$G$1,0))</f>
        <v>1</v>
      </c>
      <c r="H123">
        <f>INDEX([1]products!$A$1:$G$49,MATCH([1]orders!$D123,[1]products!$A$1:$A$49,0),MATCH([1]orders!L$1,[1]products!$A$1:$G$1,0))</f>
        <v>13.75</v>
      </c>
      <c r="I123">
        <f t="shared" si="1"/>
        <v>68.75</v>
      </c>
    </row>
    <row r="124" spans="1:9" x14ac:dyDescent="0.25">
      <c r="A124" t="s">
        <v>273</v>
      </c>
      <c r="B124">
        <v>44268</v>
      </c>
      <c r="C124" t="s">
        <v>274</v>
      </c>
      <c r="D124" t="str">
        <f>INDEX('Customers (2)'!B:B,MATCH('Customers (2)'!A124,'Customers (2)'!A:A,0))</f>
        <v>Mahala Ludwell</v>
      </c>
      <c r="E124" t="s">
        <v>72</v>
      </c>
      <c r="F124">
        <v>4</v>
      </c>
      <c r="G124">
        <f>INDEX([1]products!$A$1:$G$49,MATCH([1]orders!$D124,[1]products!$A$1:$A$49,0),MATCH([1]orders!K$1,[1]products!$A$1:$G$1,0))</f>
        <v>0.5</v>
      </c>
      <c r="H124">
        <f>INDEX([1]products!$A$1:$G$49,MATCH([1]orders!$D124,[1]products!$A$1:$A$49,0),MATCH([1]orders!L$1,[1]products!$A$1:$G$1,0))</f>
        <v>5.97</v>
      </c>
      <c r="I124">
        <f t="shared" si="1"/>
        <v>23.88</v>
      </c>
    </row>
    <row r="125" spans="1:9" x14ac:dyDescent="0.25">
      <c r="A125" t="s">
        <v>275</v>
      </c>
      <c r="B125">
        <v>44724</v>
      </c>
      <c r="C125" t="s">
        <v>276</v>
      </c>
      <c r="D125" t="str">
        <f>INDEX('Customers (2)'!B:B,MATCH('Customers (2)'!A125,'Customers (2)'!A:A,0))</f>
        <v>Doll Beauchamp</v>
      </c>
      <c r="E125" t="s">
        <v>104</v>
      </c>
      <c r="F125">
        <v>4</v>
      </c>
      <c r="G125">
        <f>INDEX([1]products!$A$1:$G$49,MATCH([1]orders!$D125,[1]products!$A$1:$A$49,0),MATCH([1]orders!K$1,[1]products!$A$1:$G$1,0))</f>
        <v>2.5</v>
      </c>
      <c r="H125">
        <f>INDEX([1]products!$A$1:$G$49,MATCH([1]orders!$D125,[1]products!$A$1:$A$49,0),MATCH([1]orders!L$1,[1]products!$A$1:$G$1,0))</f>
        <v>36.454999999999998</v>
      </c>
      <c r="I125">
        <f t="shared" si="1"/>
        <v>145.82</v>
      </c>
    </row>
    <row r="126" spans="1:9" x14ac:dyDescent="0.25">
      <c r="A126" t="s">
        <v>277</v>
      </c>
      <c r="B126">
        <v>43582</v>
      </c>
      <c r="C126" t="s">
        <v>278</v>
      </c>
      <c r="D126" t="str">
        <f>INDEX('Customers (2)'!B:B,MATCH('Customers (2)'!A126,'Customers (2)'!A:A,0))</f>
        <v>Stanford Rodliff</v>
      </c>
      <c r="E126" t="s">
        <v>77</v>
      </c>
      <c r="F126">
        <v>5</v>
      </c>
      <c r="G126">
        <f>INDEX([1]products!$A$1:$G$49,MATCH([1]orders!$D126,[1]products!$A$1:$A$49,0),MATCH([1]orders!K$1,[1]products!$A$1:$G$1,0))</f>
        <v>0.2</v>
      </c>
      <c r="H126">
        <f>INDEX([1]products!$A$1:$G$49,MATCH([1]orders!$D126,[1]products!$A$1:$A$49,0),MATCH([1]orders!L$1,[1]products!$A$1:$G$1,0))</f>
        <v>4.3650000000000002</v>
      </c>
      <c r="I126">
        <f t="shared" si="1"/>
        <v>21.825000000000003</v>
      </c>
    </row>
    <row r="127" spans="1:9" x14ac:dyDescent="0.25">
      <c r="A127" t="s">
        <v>279</v>
      </c>
      <c r="B127">
        <v>43608</v>
      </c>
      <c r="C127" t="s">
        <v>280</v>
      </c>
      <c r="D127" t="str">
        <f>INDEX('Customers (2)'!B:B,MATCH('Customers (2)'!A127,'Customers (2)'!A:A,0))</f>
        <v>Stevana Woodham</v>
      </c>
      <c r="E127" t="s">
        <v>78</v>
      </c>
      <c r="F127">
        <v>3</v>
      </c>
      <c r="G127">
        <f>INDEX([1]products!$A$1:$G$49,MATCH([1]orders!$D127,[1]products!$A$1:$A$49,0),MATCH([1]orders!K$1,[1]products!$A$1:$G$1,0))</f>
        <v>0.5</v>
      </c>
      <c r="H127">
        <f>INDEX([1]products!$A$1:$G$49,MATCH([1]orders!$D127,[1]products!$A$1:$A$49,0),MATCH([1]orders!L$1,[1]products!$A$1:$G$1,0))</f>
        <v>8.73</v>
      </c>
      <c r="I127">
        <f t="shared" si="1"/>
        <v>26.19</v>
      </c>
    </row>
    <row r="128" spans="1:9" x14ac:dyDescent="0.25">
      <c r="A128" t="s">
        <v>281</v>
      </c>
      <c r="B128">
        <v>44026</v>
      </c>
      <c r="C128" t="s">
        <v>282</v>
      </c>
      <c r="D128" t="str">
        <f>INDEX('Customers (2)'!B:B,MATCH('Customers (2)'!A128,'Customers (2)'!A:A,0))</f>
        <v>Hewet Synnot</v>
      </c>
      <c r="E128" t="s">
        <v>61</v>
      </c>
      <c r="F128">
        <v>1</v>
      </c>
      <c r="G128">
        <f>INDEX([1]products!$A$1:$G$49,MATCH([1]orders!$D128,[1]products!$A$1:$A$49,0),MATCH([1]orders!K$1,[1]products!$A$1:$G$1,0))</f>
        <v>1</v>
      </c>
      <c r="H128">
        <f>INDEX([1]products!$A$1:$G$49,MATCH([1]orders!$D128,[1]products!$A$1:$A$49,0),MATCH([1]orders!L$1,[1]products!$A$1:$G$1,0))</f>
        <v>11.25</v>
      </c>
      <c r="I128">
        <f t="shared" si="1"/>
        <v>11.25</v>
      </c>
    </row>
    <row r="129" spans="1:9" x14ac:dyDescent="0.25">
      <c r="A129" t="s">
        <v>283</v>
      </c>
      <c r="B129">
        <v>44510</v>
      </c>
      <c r="C129" t="s">
        <v>284</v>
      </c>
      <c r="D129" t="str">
        <f>INDEX('Customers (2)'!B:B,MATCH('Customers (2)'!A129,'Customers (2)'!A:A,0))</f>
        <v>Raleigh Lepere</v>
      </c>
      <c r="E129" t="s">
        <v>13</v>
      </c>
      <c r="F129">
        <v>6</v>
      </c>
      <c r="G129">
        <f>INDEX([1]products!$A$1:$G$49,MATCH([1]orders!$D129,[1]products!$A$1:$A$49,0),MATCH([1]orders!K$1,[1]products!$A$1:$G$1,0))</f>
        <v>1</v>
      </c>
      <c r="H129">
        <f>INDEX([1]products!$A$1:$G$49,MATCH([1]orders!$D129,[1]products!$A$1:$A$49,0),MATCH([1]orders!L$1,[1]products!$A$1:$G$1,0))</f>
        <v>12.95</v>
      </c>
      <c r="I129">
        <f t="shared" si="1"/>
        <v>77.699999999999989</v>
      </c>
    </row>
    <row r="130" spans="1:9" x14ac:dyDescent="0.25">
      <c r="A130" t="s">
        <v>285</v>
      </c>
      <c r="B130">
        <v>44439</v>
      </c>
      <c r="C130" t="s">
        <v>286</v>
      </c>
      <c r="D130" t="str">
        <f>INDEX('Customers (2)'!B:B,MATCH('Customers (2)'!A130,'Customers (2)'!A:A,0))</f>
        <v>Timofei Woofinden</v>
      </c>
      <c r="E130" t="s">
        <v>67</v>
      </c>
      <c r="F130">
        <v>1</v>
      </c>
      <c r="G130">
        <f>INDEX([1]products!$A$1:$G$49,MATCH([1]orders!$D130,[1]products!$A$1:$A$49,0),MATCH([1]orders!K$1,[1]products!$A$1:$G$1,0))</f>
        <v>0.5</v>
      </c>
      <c r="H130">
        <f>INDEX([1]products!$A$1:$G$49,MATCH([1]orders!$D130,[1]products!$A$1:$A$49,0),MATCH([1]orders!L$1,[1]products!$A$1:$G$1,0))</f>
        <v>6.75</v>
      </c>
      <c r="I130">
        <f t="shared" ref="I130:I193" si="2">F130*H130</f>
        <v>6.75</v>
      </c>
    </row>
    <row r="131" spans="1:9" x14ac:dyDescent="0.25">
      <c r="A131" t="s">
        <v>287</v>
      </c>
      <c r="B131">
        <v>43652</v>
      </c>
      <c r="C131" t="s">
        <v>288</v>
      </c>
      <c r="D131" t="str">
        <f>INDEX('Customers (2)'!B:B,MATCH('Customers (2)'!A131,'Customers (2)'!A:A,0))</f>
        <v>Evelina Dacca</v>
      </c>
      <c r="E131" t="s">
        <v>245</v>
      </c>
      <c r="F131">
        <v>1</v>
      </c>
      <c r="G131">
        <f>INDEX([1]products!$A$1:$G$49,MATCH([1]orders!$D131,[1]products!$A$1:$A$49,0),MATCH([1]orders!K$1,[1]products!$A$1:$G$1,0))</f>
        <v>1</v>
      </c>
      <c r="H131">
        <f>INDEX([1]products!$A$1:$G$49,MATCH([1]orders!$D131,[1]products!$A$1:$A$49,0),MATCH([1]orders!L$1,[1]products!$A$1:$G$1,0))</f>
        <v>12.15</v>
      </c>
      <c r="I131">
        <f t="shared" si="2"/>
        <v>12.15</v>
      </c>
    </row>
    <row r="132" spans="1:9" x14ac:dyDescent="0.25">
      <c r="A132" t="s">
        <v>289</v>
      </c>
      <c r="B132">
        <v>44624</v>
      </c>
      <c r="C132" t="s">
        <v>290</v>
      </c>
      <c r="D132" t="str">
        <f>INDEX('Customers (2)'!B:B,MATCH('Customers (2)'!A132,'Customers (2)'!A:A,0))</f>
        <v>Bidget Tremellier</v>
      </c>
      <c r="E132" t="s">
        <v>204</v>
      </c>
      <c r="F132">
        <v>5</v>
      </c>
      <c r="G132">
        <f>INDEX([1]products!$A$1:$G$49,MATCH([1]orders!$D132,[1]products!$A$1:$A$49,0),MATCH([1]orders!K$1,[1]products!$A$1:$G$1,0))</f>
        <v>2.5</v>
      </c>
      <c r="H132">
        <f>INDEX([1]products!$A$1:$G$49,MATCH([1]orders!$D132,[1]products!$A$1:$A$49,0),MATCH([1]orders!L$1,[1]products!$A$1:$G$1,0))</f>
        <v>29.784999999999997</v>
      </c>
      <c r="I132">
        <f t="shared" si="2"/>
        <v>148.92499999999998</v>
      </c>
    </row>
    <row r="133" spans="1:9" x14ac:dyDescent="0.25">
      <c r="A133" t="s">
        <v>291</v>
      </c>
      <c r="B133">
        <v>44196</v>
      </c>
      <c r="C133" t="s">
        <v>292</v>
      </c>
      <c r="D133" t="str">
        <f>INDEX('Customers (2)'!B:B,MATCH('Customers (2)'!A133,'Customers (2)'!A:A,0))</f>
        <v>Bobinette Hindsberg</v>
      </c>
      <c r="E133" t="s">
        <v>16</v>
      </c>
      <c r="F133">
        <v>2</v>
      </c>
      <c r="G133">
        <f>INDEX([1]products!$A$1:$G$49,MATCH([1]orders!$D133,[1]products!$A$1:$A$49,0),MATCH([1]orders!K$1,[1]products!$A$1:$G$1,0))</f>
        <v>0.5</v>
      </c>
      <c r="H133">
        <f>INDEX([1]products!$A$1:$G$49,MATCH([1]orders!$D133,[1]products!$A$1:$A$49,0),MATCH([1]orders!L$1,[1]products!$A$1:$G$1,0))</f>
        <v>7.29</v>
      </c>
      <c r="I133">
        <f t="shared" si="2"/>
        <v>14.58</v>
      </c>
    </row>
    <row r="134" spans="1:9" x14ac:dyDescent="0.25">
      <c r="A134" t="s">
        <v>293</v>
      </c>
      <c r="B134">
        <v>44043</v>
      </c>
      <c r="C134" t="s">
        <v>294</v>
      </c>
      <c r="D134" t="str">
        <f>INDEX('Customers (2)'!B:B,MATCH('Customers (2)'!A134,'Customers (2)'!A:A,0))</f>
        <v>Osbert Robins</v>
      </c>
      <c r="E134" t="s">
        <v>204</v>
      </c>
      <c r="F134">
        <v>5</v>
      </c>
      <c r="G134">
        <f>INDEX([1]products!$A$1:$G$49,MATCH([1]orders!$D134,[1]products!$A$1:$A$49,0),MATCH([1]orders!K$1,[1]products!$A$1:$G$1,0))</f>
        <v>2.5</v>
      </c>
      <c r="H134">
        <f>INDEX([1]products!$A$1:$G$49,MATCH([1]orders!$D134,[1]products!$A$1:$A$49,0),MATCH([1]orders!L$1,[1]products!$A$1:$G$1,0))</f>
        <v>29.784999999999997</v>
      </c>
      <c r="I134">
        <f t="shared" si="2"/>
        <v>148.92499999999998</v>
      </c>
    </row>
    <row r="135" spans="1:9" x14ac:dyDescent="0.25">
      <c r="A135" t="s">
        <v>295</v>
      </c>
      <c r="B135">
        <v>44340</v>
      </c>
      <c r="C135" t="s">
        <v>296</v>
      </c>
      <c r="D135" t="str">
        <f>INDEX('Customers (2)'!B:B,MATCH('Customers (2)'!A135,'Customers (2)'!A:A,0))</f>
        <v>Othello Syseland</v>
      </c>
      <c r="E135" t="s">
        <v>13</v>
      </c>
      <c r="F135">
        <v>1</v>
      </c>
      <c r="G135">
        <f>INDEX([1]products!$A$1:$G$49,MATCH([1]orders!$D135,[1]products!$A$1:$A$49,0),MATCH([1]orders!K$1,[1]products!$A$1:$G$1,0))</f>
        <v>1</v>
      </c>
      <c r="H135">
        <f>INDEX([1]products!$A$1:$G$49,MATCH([1]orders!$D135,[1]products!$A$1:$A$49,0),MATCH([1]orders!L$1,[1]products!$A$1:$G$1,0))</f>
        <v>12.95</v>
      </c>
      <c r="I135">
        <f t="shared" si="2"/>
        <v>12.95</v>
      </c>
    </row>
    <row r="136" spans="1:9" x14ac:dyDescent="0.25">
      <c r="A136" t="s">
        <v>297</v>
      </c>
      <c r="B136">
        <v>44758</v>
      </c>
      <c r="C136" t="s">
        <v>298</v>
      </c>
      <c r="D136" t="str">
        <f>INDEX('Customers (2)'!B:B,MATCH('Customers (2)'!A136,'Customers (2)'!A:A,0))</f>
        <v>Ewell Hanby</v>
      </c>
      <c r="E136" t="s">
        <v>112</v>
      </c>
      <c r="F136">
        <v>3</v>
      </c>
      <c r="G136">
        <f>INDEX([1]products!$A$1:$G$49,MATCH([1]orders!$D136,[1]products!$A$1:$A$49,0),MATCH([1]orders!K$1,[1]products!$A$1:$G$1,0))</f>
        <v>2.5</v>
      </c>
      <c r="H136">
        <f>INDEX([1]products!$A$1:$G$49,MATCH([1]orders!$D136,[1]products!$A$1:$A$49,0),MATCH([1]orders!L$1,[1]products!$A$1:$G$1,0))</f>
        <v>31.624999999999996</v>
      </c>
      <c r="I136">
        <f t="shared" si="2"/>
        <v>94.874999999999986</v>
      </c>
    </row>
    <row r="137" spans="1:9" x14ac:dyDescent="0.25">
      <c r="A137" t="s">
        <v>299</v>
      </c>
      <c r="B137">
        <v>44232</v>
      </c>
      <c r="C137" t="s">
        <v>300</v>
      </c>
      <c r="D137" t="str">
        <f>INDEX('Customers (2)'!B:B,MATCH('Customers (2)'!A137,'Customers (2)'!A:A,0))</f>
        <v>Chalmers Havenhand</v>
      </c>
      <c r="E137" t="s">
        <v>192</v>
      </c>
      <c r="F137">
        <v>5</v>
      </c>
      <c r="G137">
        <f>INDEX([1]products!$A$1:$G$49,MATCH([1]orders!$D137,[1]products!$A$1:$A$49,0),MATCH([1]orders!K$1,[1]products!$A$1:$G$1,0))</f>
        <v>0.5</v>
      </c>
      <c r="H137">
        <f>INDEX([1]products!$A$1:$G$49,MATCH([1]orders!$D137,[1]products!$A$1:$A$49,0),MATCH([1]orders!L$1,[1]products!$A$1:$G$1,0))</f>
        <v>7.77</v>
      </c>
      <c r="I137">
        <f t="shared" si="2"/>
        <v>38.849999999999994</v>
      </c>
    </row>
    <row r="138" spans="1:9" x14ac:dyDescent="0.25">
      <c r="A138" t="s">
        <v>301</v>
      </c>
      <c r="B138">
        <v>44406</v>
      </c>
      <c r="C138" t="s">
        <v>302</v>
      </c>
      <c r="D138" t="str">
        <f>INDEX('Customers (2)'!B:B,MATCH('Customers (2)'!A138,'Customers (2)'!A:A,0))</f>
        <v>Lowell Keenleyside</v>
      </c>
      <c r="E138" t="s">
        <v>54</v>
      </c>
      <c r="F138">
        <v>4</v>
      </c>
      <c r="G138">
        <f>INDEX([1]products!$A$1:$G$49,MATCH([1]orders!$D138,[1]products!$A$1:$A$49,0),MATCH([1]orders!K$1,[1]products!$A$1:$G$1,0))</f>
        <v>0.2</v>
      </c>
      <c r="H138">
        <f>INDEX([1]products!$A$1:$G$49,MATCH([1]orders!$D138,[1]products!$A$1:$A$49,0),MATCH([1]orders!L$1,[1]products!$A$1:$G$1,0))</f>
        <v>2.9849999999999999</v>
      </c>
      <c r="I138">
        <f t="shared" si="2"/>
        <v>11.94</v>
      </c>
    </row>
    <row r="139" spans="1:9" x14ac:dyDescent="0.25">
      <c r="A139" t="s">
        <v>303</v>
      </c>
      <c r="B139">
        <v>44637</v>
      </c>
      <c r="C139" t="s">
        <v>304</v>
      </c>
      <c r="D139" t="str">
        <f>INDEX('Customers (2)'!B:B,MATCH('Customers (2)'!A139,'Customers (2)'!A:A,0))</f>
        <v>Elonore Joliffe</v>
      </c>
      <c r="E139" t="s">
        <v>30</v>
      </c>
      <c r="F139">
        <v>3</v>
      </c>
      <c r="G139">
        <f>INDEX([1]products!$A$1:$G$49,MATCH([1]orders!$D139,[1]products!$A$1:$A$49,0),MATCH([1]orders!K$1,[1]products!$A$1:$G$1,0))</f>
        <v>2.5</v>
      </c>
      <c r="H139">
        <f>INDEX([1]products!$A$1:$G$49,MATCH([1]orders!$D139,[1]products!$A$1:$A$49,0),MATCH([1]orders!L$1,[1]products!$A$1:$G$1,0))</f>
        <v>34.154999999999994</v>
      </c>
      <c r="I139">
        <f t="shared" si="2"/>
        <v>102.46499999999997</v>
      </c>
    </row>
    <row r="140" spans="1:9" x14ac:dyDescent="0.25">
      <c r="A140" t="s">
        <v>305</v>
      </c>
      <c r="B140">
        <v>44238</v>
      </c>
      <c r="C140" t="s">
        <v>306</v>
      </c>
      <c r="D140" t="str">
        <f>INDEX('Customers (2)'!B:B,MATCH('Customers (2)'!A140,'Customers (2)'!A:A,0))</f>
        <v>Abraham Coleman</v>
      </c>
      <c r="E140" t="s">
        <v>245</v>
      </c>
      <c r="F140">
        <v>4</v>
      </c>
      <c r="G140">
        <f>INDEX([1]products!$A$1:$G$49,MATCH([1]orders!$D140,[1]products!$A$1:$A$49,0),MATCH([1]orders!K$1,[1]products!$A$1:$G$1,0))</f>
        <v>1</v>
      </c>
      <c r="H140">
        <f>INDEX([1]products!$A$1:$G$49,MATCH([1]orders!$D140,[1]products!$A$1:$A$49,0),MATCH([1]orders!L$1,[1]products!$A$1:$G$1,0))</f>
        <v>12.15</v>
      </c>
      <c r="I140">
        <f t="shared" si="2"/>
        <v>48.6</v>
      </c>
    </row>
    <row r="141" spans="1:9" x14ac:dyDescent="0.25">
      <c r="A141" t="s">
        <v>307</v>
      </c>
      <c r="B141">
        <v>43509</v>
      </c>
      <c r="C141" t="s">
        <v>308</v>
      </c>
      <c r="D141" t="str">
        <f>INDEX('Customers (2)'!B:B,MATCH('Customers (2)'!A141,'Customers (2)'!A:A,0))</f>
        <v>Rivy Farington</v>
      </c>
      <c r="E141" t="s">
        <v>13</v>
      </c>
      <c r="F141">
        <v>6</v>
      </c>
      <c r="G141">
        <f>INDEX([1]products!$A$1:$G$49,MATCH([1]orders!$D141,[1]products!$A$1:$A$49,0),MATCH([1]orders!K$1,[1]products!$A$1:$G$1,0))</f>
        <v>1</v>
      </c>
      <c r="H141">
        <f>INDEX([1]products!$A$1:$G$49,MATCH([1]orders!$D141,[1]products!$A$1:$A$49,0),MATCH([1]orders!L$1,[1]products!$A$1:$G$1,0))</f>
        <v>12.95</v>
      </c>
      <c r="I141">
        <f t="shared" si="2"/>
        <v>77.699999999999989</v>
      </c>
    </row>
    <row r="142" spans="1:9" x14ac:dyDescent="0.25">
      <c r="A142" t="s">
        <v>309</v>
      </c>
      <c r="B142">
        <v>44694</v>
      </c>
      <c r="C142" t="s">
        <v>310</v>
      </c>
      <c r="D142" t="str">
        <f>INDEX('Customers (2)'!B:B,MATCH('Customers (2)'!A142,'Customers (2)'!A:A,0))</f>
        <v>Vallie Kundt</v>
      </c>
      <c r="E142" t="s">
        <v>109</v>
      </c>
      <c r="F142">
        <v>1</v>
      </c>
      <c r="G142">
        <f>INDEX([1]products!$A$1:$G$49,MATCH([1]orders!$D142,[1]products!$A$1:$A$49,0),MATCH([1]orders!K$1,[1]products!$A$1:$G$1,0))</f>
        <v>2.5</v>
      </c>
      <c r="H142">
        <f>INDEX([1]products!$A$1:$G$49,MATCH([1]orders!$D142,[1]products!$A$1:$A$49,0),MATCH([1]orders!L$1,[1]products!$A$1:$G$1,0))</f>
        <v>29.784999999999997</v>
      </c>
      <c r="I142">
        <f t="shared" si="2"/>
        <v>29.784999999999997</v>
      </c>
    </row>
    <row r="143" spans="1:9" x14ac:dyDescent="0.25">
      <c r="A143" t="s">
        <v>311</v>
      </c>
      <c r="B143">
        <v>43970</v>
      </c>
      <c r="C143" t="s">
        <v>312</v>
      </c>
      <c r="D143" t="str">
        <f>INDEX('Customers (2)'!B:B,MATCH('Customers (2)'!A143,'Customers (2)'!A:A,0))</f>
        <v>Boyd Bett</v>
      </c>
      <c r="E143" t="s">
        <v>115</v>
      </c>
      <c r="F143">
        <v>4</v>
      </c>
      <c r="G143">
        <f>INDEX([1]products!$A$1:$G$49,MATCH([1]orders!$D143,[1]products!$A$1:$A$49,0),MATCH([1]orders!K$1,[1]products!$A$1:$G$1,0))</f>
        <v>0.2</v>
      </c>
      <c r="H143">
        <f>INDEX([1]products!$A$1:$G$49,MATCH([1]orders!$D143,[1]products!$A$1:$A$49,0),MATCH([1]orders!L$1,[1]products!$A$1:$G$1,0))</f>
        <v>3.8849999999999998</v>
      </c>
      <c r="I143">
        <f t="shared" si="2"/>
        <v>15.54</v>
      </c>
    </row>
    <row r="144" spans="1:9" x14ac:dyDescent="0.25">
      <c r="A144" t="s">
        <v>313</v>
      </c>
      <c r="B144">
        <v>44678</v>
      </c>
      <c r="C144" t="s">
        <v>314</v>
      </c>
      <c r="D144" t="str">
        <f>INDEX('Customers (2)'!B:B,MATCH('Customers (2)'!A144,'Customers (2)'!A:A,0))</f>
        <v>Julio Armytage</v>
      </c>
      <c r="E144" t="s">
        <v>30</v>
      </c>
      <c r="F144">
        <v>4</v>
      </c>
      <c r="G144">
        <f>INDEX([1]products!$A$1:$G$49,MATCH([1]orders!$D144,[1]products!$A$1:$A$49,0),MATCH([1]orders!K$1,[1]products!$A$1:$G$1,0))</f>
        <v>2.5</v>
      </c>
      <c r="H144">
        <f>INDEX([1]products!$A$1:$G$49,MATCH([1]orders!$D144,[1]products!$A$1:$A$49,0),MATCH([1]orders!L$1,[1]products!$A$1:$G$1,0))</f>
        <v>34.154999999999994</v>
      </c>
      <c r="I144">
        <f t="shared" si="2"/>
        <v>136.61999999999998</v>
      </c>
    </row>
    <row r="145" spans="1:9" x14ac:dyDescent="0.25">
      <c r="A145" t="s">
        <v>315</v>
      </c>
      <c r="B145">
        <v>44083</v>
      </c>
      <c r="C145" t="s">
        <v>316</v>
      </c>
      <c r="D145" t="str">
        <f>INDEX('Customers (2)'!B:B,MATCH('Customers (2)'!A145,'Customers (2)'!A:A,0))</f>
        <v>Deana Staite</v>
      </c>
      <c r="E145" t="s">
        <v>78</v>
      </c>
      <c r="F145">
        <v>2</v>
      </c>
      <c r="G145">
        <f>INDEX([1]products!$A$1:$G$49,MATCH([1]orders!$D145,[1]products!$A$1:$A$49,0),MATCH([1]orders!K$1,[1]products!$A$1:$G$1,0))</f>
        <v>0.5</v>
      </c>
      <c r="H145">
        <f>INDEX([1]products!$A$1:$G$49,MATCH([1]orders!$D145,[1]products!$A$1:$A$49,0),MATCH([1]orders!L$1,[1]products!$A$1:$G$1,0))</f>
        <v>8.73</v>
      </c>
      <c r="I145">
        <f t="shared" si="2"/>
        <v>17.46</v>
      </c>
    </row>
    <row r="146" spans="1:9" x14ac:dyDescent="0.25">
      <c r="A146" t="s">
        <v>317</v>
      </c>
      <c r="B146">
        <v>44265</v>
      </c>
      <c r="C146" t="s">
        <v>318</v>
      </c>
      <c r="D146" t="str">
        <f>INDEX('Customers (2)'!B:B,MATCH('Customers (2)'!A146,'Customers (2)'!A:A,0))</f>
        <v>Winn Keyse</v>
      </c>
      <c r="E146" t="s">
        <v>30</v>
      </c>
      <c r="F146">
        <v>2</v>
      </c>
      <c r="G146">
        <f>INDEX([1]products!$A$1:$G$49,MATCH([1]orders!$D146,[1]products!$A$1:$A$49,0),MATCH([1]orders!K$1,[1]products!$A$1:$G$1,0))</f>
        <v>2.5</v>
      </c>
      <c r="H146">
        <f>INDEX([1]products!$A$1:$G$49,MATCH([1]orders!$D146,[1]products!$A$1:$A$49,0),MATCH([1]orders!L$1,[1]products!$A$1:$G$1,0))</f>
        <v>34.154999999999994</v>
      </c>
      <c r="I146">
        <f t="shared" si="2"/>
        <v>68.309999999999988</v>
      </c>
    </row>
    <row r="147" spans="1:9" x14ac:dyDescent="0.25">
      <c r="A147" t="s">
        <v>319</v>
      </c>
      <c r="B147">
        <v>43562</v>
      </c>
      <c r="C147" t="s">
        <v>320</v>
      </c>
      <c r="D147" t="str">
        <f>INDEX('Customers (2)'!B:B,MATCH('Customers (2)'!A147,'Customers (2)'!A:A,0))</f>
        <v>Osmund Clausen-Thue</v>
      </c>
      <c r="E147" t="s">
        <v>77</v>
      </c>
      <c r="F147">
        <v>4</v>
      </c>
      <c r="G147">
        <f>INDEX([1]products!$A$1:$G$49,MATCH([1]orders!$D147,[1]products!$A$1:$A$49,0),MATCH([1]orders!K$1,[1]products!$A$1:$G$1,0))</f>
        <v>0.2</v>
      </c>
      <c r="H147">
        <f>INDEX([1]products!$A$1:$G$49,MATCH([1]orders!$D147,[1]products!$A$1:$A$49,0),MATCH([1]orders!L$1,[1]products!$A$1:$G$1,0))</f>
        <v>4.3650000000000002</v>
      </c>
      <c r="I147">
        <f t="shared" si="2"/>
        <v>17.46</v>
      </c>
    </row>
    <row r="148" spans="1:9" x14ac:dyDescent="0.25">
      <c r="A148" t="s">
        <v>321</v>
      </c>
      <c r="B148">
        <v>44024</v>
      </c>
      <c r="C148" t="s">
        <v>322</v>
      </c>
      <c r="D148" t="str">
        <f>INDEX('Customers (2)'!B:B,MATCH('Customers (2)'!A148,'Customers (2)'!A:A,0))</f>
        <v>Leonore Francisco</v>
      </c>
      <c r="E148" t="s">
        <v>96</v>
      </c>
      <c r="F148">
        <v>3</v>
      </c>
      <c r="G148">
        <f>INDEX([1]products!$A$1:$G$49,MATCH([1]orders!$D148,[1]products!$A$1:$A$49,0),MATCH([1]orders!K$1,[1]products!$A$1:$G$1,0))</f>
        <v>1</v>
      </c>
      <c r="H148">
        <f>INDEX([1]products!$A$1:$G$49,MATCH([1]orders!$D148,[1]products!$A$1:$A$49,0),MATCH([1]orders!L$1,[1]products!$A$1:$G$1,0))</f>
        <v>14.55</v>
      </c>
      <c r="I148">
        <f t="shared" si="2"/>
        <v>43.650000000000006</v>
      </c>
    </row>
    <row r="149" spans="1:9" x14ac:dyDescent="0.25">
      <c r="A149" t="s">
        <v>321</v>
      </c>
      <c r="B149">
        <v>44024</v>
      </c>
      <c r="C149" t="s">
        <v>322</v>
      </c>
      <c r="D149" t="str">
        <f>INDEX('Customers (2)'!B:B,MATCH('Customers (2)'!A149,'Customers (2)'!A:A,0))</f>
        <v>Adey Lowseley</v>
      </c>
      <c r="E149" t="s">
        <v>9</v>
      </c>
      <c r="F149">
        <v>2</v>
      </c>
      <c r="G149">
        <f>INDEX([1]products!$A$1:$G$49,MATCH([1]orders!$D149,[1]products!$A$1:$A$49,0),MATCH([1]orders!K$1,[1]products!$A$1:$G$1,0))</f>
        <v>1</v>
      </c>
      <c r="H149">
        <f>INDEX([1]products!$A$1:$G$49,MATCH([1]orders!$D149,[1]products!$A$1:$A$49,0),MATCH([1]orders!L$1,[1]products!$A$1:$G$1,0))</f>
        <v>13.75</v>
      </c>
      <c r="I149">
        <f t="shared" si="2"/>
        <v>27.5</v>
      </c>
    </row>
    <row r="150" spans="1:9" x14ac:dyDescent="0.25">
      <c r="A150" t="s">
        <v>323</v>
      </c>
      <c r="B150">
        <v>44551</v>
      </c>
      <c r="C150" t="s">
        <v>324</v>
      </c>
      <c r="D150" t="str">
        <f>INDEX('Customers (2)'!B:B,MATCH('Customers (2)'!A150,'Customers (2)'!A:A,0))</f>
        <v>Giacobo Skingle</v>
      </c>
      <c r="E150" t="s">
        <v>51</v>
      </c>
      <c r="F150">
        <v>5</v>
      </c>
      <c r="G150">
        <f>INDEX([1]products!$A$1:$G$49,MATCH([1]orders!$D150,[1]products!$A$1:$A$49,0),MATCH([1]orders!K$1,[1]products!$A$1:$G$1,0))</f>
        <v>0.2</v>
      </c>
      <c r="H150">
        <f>INDEX([1]products!$A$1:$G$49,MATCH([1]orders!$D150,[1]products!$A$1:$A$49,0),MATCH([1]orders!L$1,[1]products!$A$1:$G$1,0))</f>
        <v>3.645</v>
      </c>
      <c r="I150">
        <f t="shared" si="2"/>
        <v>18.225000000000001</v>
      </c>
    </row>
    <row r="151" spans="1:9" x14ac:dyDescent="0.25">
      <c r="A151" t="s">
        <v>325</v>
      </c>
      <c r="B151">
        <v>44108</v>
      </c>
      <c r="C151" t="s">
        <v>326</v>
      </c>
      <c r="D151" t="str">
        <f>INDEX('Customers (2)'!B:B,MATCH('Customers (2)'!A151,'Customers (2)'!A:A,0))</f>
        <v>Gerard Pirdy</v>
      </c>
      <c r="E151" t="s">
        <v>171</v>
      </c>
      <c r="F151">
        <v>2</v>
      </c>
      <c r="G151">
        <f>INDEX([1]products!$A$1:$G$49,MATCH([1]orders!$D151,[1]products!$A$1:$A$49,0),MATCH([1]orders!K$1,[1]products!$A$1:$G$1,0))</f>
        <v>2.5</v>
      </c>
      <c r="H151">
        <f>INDEX([1]products!$A$1:$G$49,MATCH([1]orders!$D151,[1]products!$A$1:$A$49,0),MATCH([1]orders!L$1,[1]products!$A$1:$G$1,0))</f>
        <v>25.874999999999996</v>
      </c>
      <c r="I151">
        <f t="shared" si="2"/>
        <v>51.749999999999993</v>
      </c>
    </row>
    <row r="152" spans="1:9" x14ac:dyDescent="0.25">
      <c r="A152" t="s">
        <v>327</v>
      </c>
      <c r="B152">
        <v>44051</v>
      </c>
      <c r="C152" t="s">
        <v>328</v>
      </c>
      <c r="D152" t="str">
        <f>INDEX('Customers (2)'!B:B,MATCH('Customers (2)'!A152,'Customers (2)'!A:A,0))</f>
        <v>Jacinthe Balsillie</v>
      </c>
      <c r="E152" t="s">
        <v>13</v>
      </c>
      <c r="F152">
        <v>1</v>
      </c>
      <c r="G152">
        <f>INDEX([1]products!$A$1:$G$49,MATCH([1]orders!$D152,[1]products!$A$1:$A$49,0),MATCH([1]orders!K$1,[1]products!$A$1:$G$1,0))</f>
        <v>1</v>
      </c>
      <c r="H152">
        <f>INDEX([1]products!$A$1:$G$49,MATCH([1]orders!$D152,[1]products!$A$1:$A$49,0),MATCH([1]orders!L$1,[1]products!$A$1:$G$1,0))</f>
        <v>12.95</v>
      </c>
      <c r="I152">
        <f t="shared" si="2"/>
        <v>12.95</v>
      </c>
    </row>
    <row r="153" spans="1:9" x14ac:dyDescent="0.25">
      <c r="A153" t="s">
        <v>329</v>
      </c>
      <c r="B153">
        <v>44115</v>
      </c>
      <c r="C153" t="s">
        <v>330</v>
      </c>
      <c r="D153" t="str">
        <f>INDEX('Customers (2)'!B:B,MATCH('Customers (2)'!A153,'Customers (2)'!A:A,0))</f>
        <v>Quinton Fouracres</v>
      </c>
      <c r="E153" t="s">
        <v>61</v>
      </c>
      <c r="F153">
        <v>3</v>
      </c>
      <c r="G153">
        <f>INDEX([1]products!$A$1:$G$49,MATCH([1]orders!$D153,[1]products!$A$1:$A$49,0),MATCH([1]orders!K$1,[1]products!$A$1:$G$1,0))</f>
        <v>1</v>
      </c>
      <c r="H153">
        <f>INDEX([1]products!$A$1:$G$49,MATCH([1]orders!$D153,[1]products!$A$1:$A$49,0),MATCH([1]orders!L$1,[1]products!$A$1:$G$1,0))</f>
        <v>11.25</v>
      </c>
      <c r="I153">
        <f t="shared" si="2"/>
        <v>33.75</v>
      </c>
    </row>
    <row r="154" spans="1:9" x14ac:dyDescent="0.25">
      <c r="A154" t="s">
        <v>331</v>
      </c>
      <c r="B154">
        <v>44510</v>
      </c>
      <c r="C154" t="s">
        <v>332</v>
      </c>
      <c r="D154" t="str">
        <f>INDEX('Customers (2)'!B:B,MATCH('Customers (2)'!A154,'Customers (2)'!A:A,0))</f>
        <v>Bettina Leffek</v>
      </c>
      <c r="E154" t="s">
        <v>41</v>
      </c>
      <c r="F154">
        <v>3</v>
      </c>
      <c r="G154">
        <f>INDEX([1]products!$A$1:$G$49,MATCH([1]orders!$D154,[1]products!$A$1:$A$49,0),MATCH([1]orders!K$1,[1]products!$A$1:$G$1,0))</f>
        <v>2.5</v>
      </c>
      <c r="H154">
        <f>INDEX([1]products!$A$1:$G$49,MATCH([1]orders!$D154,[1]products!$A$1:$A$49,0),MATCH([1]orders!L$1,[1]products!$A$1:$G$1,0))</f>
        <v>22.884999999999998</v>
      </c>
      <c r="I154">
        <f t="shared" si="2"/>
        <v>68.655000000000001</v>
      </c>
    </row>
    <row r="155" spans="1:9" x14ac:dyDescent="0.25">
      <c r="A155" t="s">
        <v>333</v>
      </c>
      <c r="B155">
        <v>44367</v>
      </c>
      <c r="C155" t="s">
        <v>334</v>
      </c>
      <c r="D155" t="str">
        <f>INDEX('Customers (2)'!B:B,MATCH('Customers (2)'!A155,'Customers (2)'!A:A,0))</f>
        <v>Hetti Penson</v>
      </c>
      <c r="E155" t="s">
        <v>101</v>
      </c>
      <c r="F155">
        <v>1</v>
      </c>
      <c r="G155">
        <f>INDEX([1]products!$A$1:$G$49,MATCH([1]orders!$D155,[1]products!$A$1:$A$49,0),MATCH([1]orders!K$1,[1]products!$A$1:$G$1,0))</f>
        <v>0.2</v>
      </c>
      <c r="H155">
        <f>INDEX([1]products!$A$1:$G$49,MATCH([1]orders!$D155,[1]products!$A$1:$A$49,0),MATCH([1]orders!L$1,[1]products!$A$1:$G$1,0))</f>
        <v>2.6849999999999996</v>
      </c>
      <c r="I155">
        <f t="shared" si="2"/>
        <v>2.6849999999999996</v>
      </c>
    </row>
    <row r="156" spans="1:9" x14ac:dyDescent="0.25">
      <c r="A156" t="s">
        <v>335</v>
      </c>
      <c r="B156">
        <v>44473</v>
      </c>
      <c r="C156" t="s">
        <v>336</v>
      </c>
      <c r="D156" t="str">
        <f>INDEX('Customers (2)'!B:B,MATCH('Customers (2)'!A156,'Customers (2)'!A:A,0))</f>
        <v>Jocko Pray</v>
      </c>
      <c r="E156" t="s">
        <v>118</v>
      </c>
      <c r="F156">
        <v>5</v>
      </c>
      <c r="G156">
        <f>INDEX([1]products!$A$1:$G$49,MATCH([1]orders!$D156,[1]products!$A$1:$A$49,0),MATCH([1]orders!K$1,[1]products!$A$1:$G$1,0))</f>
        <v>2.5</v>
      </c>
      <c r="H156">
        <f>INDEX([1]products!$A$1:$G$49,MATCH([1]orders!$D156,[1]products!$A$1:$A$49,0),MATCH([1]orders!L$1,[1]products!$A$1:$G$1,0))</f>
        <v>22.884999999999998</v>
      </c>
      <c r="I156">
        <f t="shared" si="2"/>
        <v>114.42499999999998</v>
      </c>
    </row>
    <row r="157" spans="1:9" x14ac:dyDescent="0.25">
      <c r="A157" t="s">
        <v>337</v>
      </c>
      <c r="B157">
        <v>43640</v>
      </c>
      <c r="C157" t="s">
        <v>338</v>
      </c>
      <c r="D157" t="str">
        <f>INDEX('Customers (2)'!B:B,MATCH('Customers (2)'!A157,'Customers (2)'!A:A,0))</f>
        <v>Grete Holborn</v>
      </c>
      <c r="E157" t="s">
        <v>171</v>
      </c>
      <c r="F157">
        <v>6</v>
      </c>
      <c r="G157">
        <f>INDEX([1]products!$A$1:$G$49,MATCH([1]orders!$D157,[1]products!$A$1:$A$49,0),MATCH([1]orders!K$1,[1]products!$A$1:$G$1,0))</f>
        <v>2.5</v>
      </c>
      <c r="H157">
        <f>INDEX([1]products!$A$1:$G$49,MATCH([1]orders!$D157,[1]products!$A$1:$A$49,0),MATCH([1]orders!L$1,[1]products!$A$1:$G$1,0))</f>
        <v>25.874999999999996</v>
      </c>
      <c r="I157">
        <f t="shared" si="2"/>
        <v>155.24999999999997</v>
      </c>
    </row>
    <row r="158" spans="1:9" x14ac:dyDescent="0.25">
      <c r="A158" t="s">
        <v>339</v>
      </c>
      <c r="B158">
        <v>43764</v>
      </c>
      <c r="C158" t="s">
        <v>340</v>
      </c>
      <c r="D158" t="str">
        <f>INDEX('Customers (2)'!B:B,MATCH('Customers (2)'!A158,'Customers (2)'!A:A,0))</f>
        <v>Fielding Keinrat</v>
      </c>
      <c r="E158" t="s">
        <v>171</v>
      </c>
      <c r="F158">
        <v>3</v>
      </c>
      <c r="G158">
        <f>INDEX([1]products!$A$1:$G$49,MATCH([1]orders!$D158,[1]products!$A$1:$A$49,0),MATCH([1]orders!K$1,[1]products!$A$1:$G$1,0))</f>
        <v>2.5</v>
      </c>
      <c r="H158">
        <f>INDEX([1]products!$A$1:$G$49,MATCH([1]orders!$D158,[1]products!$A$1:$A$49,0),MATCH([1]orders!L$1,[1]products!$A$1:$G$1,0))</f>
        <v>25.874999999999996</v>
      </c>
      <c r="I158">
        <f t="shared" si="2"/>
        <v>77.624999999999986</v>
      </c>
    </row>
    <row r="159" spans="1:9" x14ac:dyDescent="0.25">
      <c r="A159" t="s">
        <v>341</v>
      </c>
      <c r="B159">
        <v>44374</v>
      </c>
      <c r="C159" t="s">
        <v>342</v>
      </c>
      <c r="D159" t="str">
        <f>INDEX('Customers (2)'!B:B,MATCH('Customers (2)'!A159,'Customers (2)'!A:A,0))</f>
        <v>Paulo Yea</v>
      </c>
      <c r="E159" t="s">
        <v>35</v>
      </c>
      <c r="F159">
        <v>3</v>
      </c>
      <c r="G159">
        <f>INDEX([1]products!$A$1:$G$49,MATCH([1]orders!$D159,[1]products!$A$1:$A$49,0),MATCH([1]orders!K$1,[1]products!$A$1:$G$1,0))</f>
        <v>2.5</v>
      </c>
      <c r="H159">
        <f>INDEX([1]products!$A$1:$G$49,MATCH([1]orders!$D159,[1]products!$A$1:$A$49,0),MATCH([1]orders!L$1,[1]products!$A$1:$G$1,0))</f>
        <v>20.584999999999997</v>
      </c>
      <c r="I159">
        <f t="shared" si="2"/>
        <v>61.754999999999995</v>
      </c>
    </row>
    <row r="160" spans="1:9" x14ac:dyDescent="0.25">
      <c r="A160" t="s">
        <v>343</v>
      </c>
      <c r="B160">
        <v>43714</v>
      </c>
      <c r="C160" t="s">
        <v>344</v>
      </c>
      <c r="D160" t="str">
        <f>INDEX('Customers (2)'!B:B,MATCH('Customers (2)'!A160,'Customers (2)'!A:A,0))</f>
        <v>Say Risborough</v>
      </c>
      <c r="E160" t="s">
        <v>35</v>
      </c>
      <c r="F160">
        <v>6</v>
      </c>
      <c r="G160">
        <f>INDEX([1]products!$A$1:$G$49,MATCH([1]orders!$D160,[1]products!$A$1:$A$49,0),MATCH([1]orders!K$1,[1]products!$A$1:$G$1,0))</f>
        <v>2.5</v>
      </c>
      <c r="H160">
        <f>INDEX([1]products!$A$1:$G$49,MATCH([1]orders!$D160,[1]products!$A$1:$A$49,0),MATCH([1]orders!L$1,[1]products!$A$1:$G$1,0))</f>
        <v>20.584999999999997</v>
      </c>
      <c r="I160">
        <f t="shared" si="2"/>
        <v>123.50999999999999</v>
      </c>
    </row>
    <row r="161" spans="1:9" x14ac:dyDescent="0.25">
      <c r="A161" t="s">
        <v>345</v>
      </c>
      <c r="B161">
        <v>44316</v>
      </c>
      <c r="C161" t="s">
        <v>346</v>
      </c>
      <c r="D161" t="str">
        <f>INDEX('Customers (2)'!B:B,MATCH('Customers (2)'!A161,'Customers (2)'!A:A,0))</f>
        <v>Alexa Sizey</v>
      </c>
      <c r="E161" t="s">
        <v>104</v>
      </c>
      <c r="F161">
        <v>6</v>
      </c>
      <c r="G161">
        <f>INDEX([1]products!$A$1:$G$49,MATCH([1]orders!$D161,[1]products!$A$1:$A$49,0),MATCH([1]orders!K$1,[1]products!$A$1:$G$1,0))</f>
        <v>2.5</v>
      </c>
      <c r="H161">
        <f>INDEX([1]products!$A$1:$G$49,MATCH([1]orders!$D161,[1]products!$A$1:$A$49,0),MATCH([1]orders!L$1,[1]products!$A$1:$G$1,0))</f>
        <v>36.454999999999998</v>
      </c>
      <c r="I161">
        <f t="shared" si="2"/>
        <v>218.73</v>
      </c>
    </row>
    <row r="162" spans="1:9" x14ac:dyDescent="0.25">
      <c r="A162" t="s">
        <v>347</v>
      </c>
      <c r="B162">
        <v>43837</v>
      </c>
      <c r="C162" t="s">
        <v>348</v>
      </c>
      <c r="D162" t="str">
        <f>INDEX('Customers (2)'!B:B,MATCH('Customers (2)'!A162,'Customers (2)'!A:A,0))</f>
        <v>Kari Swede</v>
      </c>
      <c r="E162" t="s">
        <v>3</v>
      </c>
      <c r="F162">
        <v>4</v>
      </c>
      <c r="G162">
        <f>INDEX([1]products!$A$1:$G$49,MATCH([1]orders!$D162,[1]products!$A$1:$A$49,0),MATCH([1]orders!K$1,[1]products!$A$1:$G$1,0))</f>
        <v>0.5</v>
      </c>
      <c r="H162">
        <f>INDEX([1]products!$A$1:$G$49,MATCH([1]orders!$D162,[1]products!$A$1:$A$49,0),MATCH([1]orders!L$1,[1]products!$A$1:$G$1,0))</f>
        <v>8.25</v>
      </c>
      <c r="I162">
        <f t="shared" si="2"/>
        <v>33</v>
      </c>
    </row>
    <row r="163" spans="1:9" x14ac:dyDescent="0.25">
      <c r="A163" t="s">
        <v>349</v>
      </c>
      <c r="B163">
        <v>44207</v>
      </c>
      <c r="C163" t="s">
        <v>350</v>
      </c>
      <c r="D163" t="str">
        <f>INDEX('Customers (2)'!B:B,MATCH('Customers (2)'!A163,'Customers (2)'!A:A,0))</f>
        <v>Leontine Rubrow</v>
      </c>
      <c r="E163" t="s">
        <v>192</v>
      </c>
      <c r="F163">
        <v>3</v>
      </c>
      <c r="G163">
        <f>INDEX([1]products!$A$1:$G$49,MATCH([1]orders!$D163,[1]products!$A$1:$A$49,0),MATCH([1]orders!K$1,[1]products!$A$1:$G$1,0))</f>
        <v>0.5</v>
      </c>
      <c r="H163">
        <f>INDEX([1]products!$A$1:$G$49,MATCH([1]orders!$D163,[1]products!$A$1:$A$49,0),MATCH([1]orders!L$1,[1]products!$A$1:$G$1,0))</f>
        <v>7.77</v>
      </c>
      <c r="I163">
        <f t="shared" si="2"/>
        <v>23.31</v>
      </c>
    </row>
    <row r="164" spans="1:9" x14ac:dyDescent="0.25">
      <c r="A164" t="s">
        <v>351</v>
      </c>
      <c r="B164">
        <v>44515</v>
      </c>
      <c r="C164" t="s">
        <v>352</v>
      </c>
      <c r="D164" t="str">
        <f>INDEX('Customers (2)'!B:B,MATCH('Customers (2)'!A164,'Customers (2)'!A:A,0))</f>
        <v>Dottie Tift</v>
      </c>
      <c r="E164" t="s">
        <v>16</v>
      </c>
      <c r="F164">
        <v>3</v>
      </c>
      <c r="G164">
        <f>INDEX([1]products!$A$1:$G$49,MATCH([1]orders!$D164,[1]products!$A$1:$A$49,0),MATCH([1]orders!K$1,[1]products!$A$1:$G$1,0))</f>
        <v>0.5</v>
      </c>
      <c r="H164">
        <f>INDEX([1]products!$A$1:$G$49,MATCH([1]orders!$D164,[1]products!$A$1:$A$49,0),MATCH([1]orders!L$1,[1]products!$A$1:$G$1,0))</f>
        <v>7.29</v>
      </c>
      <c r="I164">
        <f t="shared" si="2"/>
        <v>21.87</v>
      </c>
    </row>
    <row r="165" spans="1:9" x14ac:dyDescent="0.25">
      <c r="A165" t="s">
        <v>353</v>
      </c>
      <c r="B165">
        <v>43619</v>
      </c>
      <c r="C165" t="s">
        <v>354</v>
      </c>
      <c r="D165" t="str">
        <f>INDEX('Customers (2)'!B:B,MATCH('Customers (2)'!A165,'Customers (2)'!A:A,0))</f>
        <v>Gerardo Schonfeld</v>
      </c>
      <c r="E165" t="s">
        <v>101</v>
      </c>
      <c r="F165">
        <v>6</v>
      </c>
      <c r="G165">
        <f>INDEX([1]products!$A$1:$G$49,MATCH([1]orders!$D165,[1]products!$A$1:$A$49,0),MATCH([1]orders!K$1,[1]products!$A$1:$G$1,0))</f>
        <v>0.2</v>
      </c>
      <c r="H165">
        <f>INDEX([1]products!$A$1:$G$49,MATCH([1]orders!$D165,[1]products!$A$1:$A$49,0),MATCH([1]orders!L$1,[1]products!$A$1:$G$1,0))</f>
        <v>2.6849999999999996</v>
      </c>
      <c r="I165">
        <f t="shared" si="2"/>
        <v>16.11</v>
      </c>
    </row>
    <row r="166" spans="1:9" x14ac:dyDescent="0.25">
      <c r="A166" t="s">
        <v>355</v>
      </c>
      <c r="B166">
        <v>44182</v>
      </c>
      <c r="C166" t="s">
        <v>356</v>
      </c>
      <c r="D166" t="str">
        <f>INDEX('Customers (2)'!B:B,MATCH('Customers (2)'!A166,'Customers (2)'!A:A,0))</f>
        <v>Claiborne Feye</v>
      </c>
      <c r="E166" t="s">
        <v>16</v>
      </c>
      <c r="F166">
        <v>4</v>
      </c>
      <c r="G166">
        <f>INDEX([1]products!$A$1:$G$49,MATCH([1]orders!$D166,[1]products!$A$1:$A$49,0),MATCH([1]orders!K$1,[1]products!$A$1:$G$1,0))</f>
        <v>0.5</v>
      </c>
      <c r="H166">
        <f>INDEX([1]products!$A$1:$G$49,MATCH([1]orders!$D166,[1]products!$A$1:$A$49,0),MATCH([1]orders!L$1,[1]products!$A$1:$G$1,0))</f>
        <v>7.29</v>
      </c>
      <c r="I166">
        <f t="shared" si="2"/>
        <v>29.16</v>
      </c>
    </row>
    <row r="167" spans="1:9" x14ac:dyDescent="0.25">
      <c r="A167" t="s">
        <v>357</v>
      </c>
      <c r="B167">
        <v>44234</v>
      </c>
      <c r="C167" t="s">
        <v>358</v>
      </c>
      <c r="D167" t="str">
        <f>INDEX('Customers (2)'!B:B,MATCH('Customers (2)'!A167,'Customers (2)'!A:A,0))</f>
        <v>Mina Elstone</v>
      </c>
      <c r="E167" t="s">
        <v>179</v>
      </c>
      <c r="F167">
        <v>6</v>
      </c>
      <c r="G167">
        <f>INDEX([1]products!$A$1:$G$49,MATCH([1]orders!$D167,[1]products!$A$1:$A$49,0),MATCH([1]orders!K$1,[1]products!$A$1:$G$1,0))</f>
        <v>1</v>
      </c>
      <c r="H167">
        <f>INDEX([1]products!$A$1:$G$49,MATCH([1]orders!$D167,[1]products!$A$1:$A$49,0),MATCH([1]orders!L$1,[1]products!$A$1:$G$1,0))</f>
        <v>8.9499999999999993</v>
      </c>
      <c r="I167">
        <f t="shared" si="2"/>
        <v>53.699999999999996</v>
      </c>
    </row>
    <row r="168" spans="1:9" x14ac:dyDescent="0.25">
      <c r="A168" t="s">
        <v>359</v>
      </c>
      <c r="B168">
        <v>44270</v>
      </c>
      <c r="C168" t="s">
        <v>360</v>
      </c>
      <c r="D168" t="str">
        <f>INDEX('Customers (2)'!B:B,MATCH('Customers (2)'!A168,'Customers (2)'!A:A,0))</f>
        <v>Sherman Mewrcik</v>
      </c>
      <c r="E168" t="s">
        <v>146</v>
      </c>
      <c r="F168">
        <v>5</v>
      </c>
      <c r="G168">
        <f>INDEX([1]products!$A$1:$G$49,MATCH([1]orders!$D168,[1]products!$A$1:$A$49,0),MATCH([1]orders!K$1,[1]products!$A$1:$G$1,0))</f>
        <v>0.5</v>
      </c>
      <c r="H168">
        <f>INDEX([1]products!$A$1:$G$49,MATCH([1]orders!$D168,[1]products!$A$1:$A$49,0),MATCH([1]orders!L$1,[1]products!$A$1:$G$1,0))</f>
        <v>5.3699999999999992</v>
      </c>
      <c r="I168">
        <f t="shared" si="2"/>
        <v>26.849999999999994</v>
      </c>
    </row>
    <row r="169" spans="1:9" x14ac:dyDescent="0.25">
      <c r="A169" t="s">
        <v>361</v>
      </c>
      <c r="B169">
        <v>44777</v>
      </c>
      <c r="C169" t="s">
        <v>362</v>
      </c>
      <c r="D169" t="str">
        <f>INDEX('Customers (2)'!B:B,MATCH('Customers (2)'!A169,'Customers (2)'!A:A,0))</f>
        <v>Tamarah Fero</v>
      </c>
      <c r="E169" t="s">
        <v>3</v>
      </c>
      <c r="F169">
        <v>5</v>
      </c>
      <c r="G169">
        <f>INDEX([1]products!$A$1:$G$49,MATCH([1]orders!$D169,[1]products!$A$1:$A$49,0),MATCH([1]orders!K$1,[1]products!$A$1:$G$1,0))</f>
        <v>0.5</v>
      </c>
      <c r="H169">
        <f>INDEX([1]products!$A$1:$G$49,MATCH([1]orders!$D169,[1]products!$A$1:$A$49,0),MATCH([1]orders!L$1,[1]products!$A$1:$G$1,0))</f>
        <v>8.25</v>
      </c>
      <c r="I169">
        <f t="shared" si="2"/>
        <v>41.25</v>
      </c>
    </row>
    <row r="170" spans="1:9" x14ac:dyDescent="0.25">
      <c r="A170" t="s">
        <v>363</v>
      </c>
      <c r="B170">
        <v>43484</v>
      </c>
      <c r="C170" t="s">
        <v>364</v>
      </c>
      <c r="D170" t="str">
        <f>INDEX('Customers (2)'!B:B,MATCH('Customers (2)'!A170,'Customers (2)'!A:A,0))</f>
        <v>Stanislaus Valsler</v>
      </c>
      <c r="E170" t="s">
        <v>67</v>
      </c>
      <c r="F170">
        <v>6</v>
      </c>
      <c r="G170">
        <f>INDEX([1]products!$A$1:$G$49,MATCH([1]orders!$D170,[1]products!$A$1:$A$49,0),MATCH([1]orders!K$1,[1]products!$A$1:$G$1,0))</f>
        <v>0.5</v>
      </c>
      <c r="H170">
        <f>INDEX([1]products!$A$1:$G$49,MATCH([1]orders!$D170,[1]products!$A$1:$A$49,0),MATCH([1]orders!L$1,[1]products!$A$1:$G$1,0))</f>
        <v>6.75</v>
      </c>
      <c r="I170">
        <f t="shared" si="2"/>
        <v>40.5</v>
      </c>
    </row>
    <row r="171" spans="1:9" x14ac:dyDescent="0.25">
      <c r="A171" t="s">
        <v>365</v>
      </c>
      <c r="B171">
        <v>44643</v>
      </c>
      <c r="C171" t="s">
        <v>366</v>
      </c>
      <c r="D171" t="str">
        <f>INDEX('Customers (2)'!B:B,MATCH('Customers (2)'!A171,'Customers (2)'!A:A,0))</f>
        <v>Felita Dauney</v>
      </c>
      <c r="E171" t="s">
        <v>179</v>
      </c>
      <c r="F171">
        <v>2</v>
      </c>
      <c r="G171">
        <f>INDEX([1]products!$A$1:$G$49,MATCH([1]orders!$D171,[1]products!$A$1:$A$49,0),MATCH([1]orders!K$1,[1]products!$A$1:$G$1,0))</f>
        <v>1</v>
      </c>
      <c r="H171">
        <f>INDEX([1]products!$A$1:$G$49,MATCH([1]orders!$D171,[1]products!$A$1:$A$49,0),MATCH([1]orders!L$1,[1]products!$A$1:$G$1,0))</f>
        <v>8.9499999999999993</v>
      </c>
      <c r="I171">
        <f t="shared" si="2"/>
        <v>17.899999999999999</v>
      </c>
    </row>
    <row r="172" spans="1:9" x14ac:dyDescent="0.25">
      <c r="A172" t="s">
        <v>367</v>
      </c>
      <c r="B172">
        <v>44476</v>
      </c>
      <c r="C172" t="s">
        <v>368</v>
      </c>
      <c r="D172" t="str">
        <f>INDEX('Customers (2)'!B:B,MATCH('Customers (2)'!A172,'Customers (2)'!A:A,0))</f>
        <v>Serena Earley</v>
      </c>
      <c r="E172" t="s">
        <v>30</v>
      </c>
      <c r="F172">
        <v>2</v>
      </c>
      <c r="G172">
        <f>INDEX([1]products!$A$1:$G$49,MATCH([1]orders!$D172,[1]products!$A$1:$A$49,0),MATCH([1]orders!K$1,[1]products!$A$1:$G$1,0))</f>
        <v>2.5</v>
      </c>
      <c r="H172">
        <f>INDEX([1]products!$A$1:$G$49,MATCH([1]orders!$D172,[1]products!$A$1:$A$49,0),MATCH([1]orders!L$1,[1]products!$A$1:$G$1,0))</f>
        <v>34.154999999999994</v>
      </c>
      <c r="I172">
        <f t="shared" si="2"/>
        <v>68.309999999999988</v>
      </c>
    </row>
    <row r="173" spans="1:9" x14ac:dyDescent="0.25">
      <c r="A173" t="s">
        <v>369</v>
      </c>
      <c r="B173">
        <v>43544</v>
      </c>
      <c r="C173" t="s">
        <v>370</v>
      </c>
      <c r="D173" t="str">
        <f>INDEX('Customers (2)'!B:B,MATCH('Customers (2)'!A173,'Customers (2)'!A:A,0))</f>
        <v>Minny Chamberlayne</v>
      </c>
      <c r="E173" t="s">
        <v>112</v>
      </c>
      <c r="F173">
        <v>2</v>
      </c>
      <c r="G173">
        <f>INDEX([1]products!$A$1:$G$49,MATCH([1]orders!$D173,[1]products!$A$1:$A$49,0),MATCH([1]orders!K$1,[1]products!$A$1:$G$1,0))</f>
        <v>2.5</v>
      </c>
      <c r="H173">
        <f>INDEX([1]products!$A$1:$G$49,MATCH([1]orders!$D173,[1]products!$A$1:$A$49,0),MATCH([1]orders!L$1,[1]products!$A$1:$G$1,0))</f>
        <v>31.624999999999996</v>
      </c>
      <c r="I173">
        <f t="shared" si="2"/>
        <v>63.249999999999993</v>
      </c>
    </row>
    <row r="174" spans="1:9" x14ac:dyDescent="0.25">
      <c r="A174" t="s">
        <v>371</v>
      </c>
      <c r="B174">
        <v>44545</v>
      </c>
      <c r="C174" t="s">
        <v>372</v>
      </c>
      <c r="D174" t="str">
        <f>INDEX('Customers (2)'!B:B,MATCH('Customers (2)'!A174,'Customers (2)'!A:A,0))</f>
        <v>Bartholemy Flaherty</v>
      </c>
      <c r="E174" t="s">
        <v>16</v>
      </c>
      <c r="F174">
        <v>3</v>
      </c>
      <c r="G174">
        <f>INDEX([1]products!$A$1:$G$49,MATCH([1]orders!$D174,[1]products!$A$1:$A$49,0),MATCH([1]orders!K$1,[1]products!$A$1:$G$1,0))</f>
        <v>0.5</v>
      </c>
      <c r="H174">
        <f>INDEX([1]products!$A$1:$G$49,MATCH([1]orders!$D174,[1]products!$A$1:$A$49,0),MATCH([1]orders!L$1,[1]products!$A$1:$G$1,0))</f>
        <v>7.29</v>
      </c>
      <c r="I174">
        <f t="shared" si="2"/>
        <v>21.87</v>
      </c>
    </row>
    <row r="175" spans="1:9" x14ac:dyDescent="0.25">
      <c r="A175" t="s">
        <v>373</v>
      </c>
      <c r="B175">
        <v>44720</v>
      </c>
      <c r="C175" t="s">
        <v>374</v>
      </c>
      <c r="D175" t="str">
        <f>INDEX('Customers (2)'!B:B,MATCH('Customers (2)'!A175,'Customers (2)'!A:A,0))</f>
        <v>Oran Colbeck</v>
      </c>
      <c r="E175" t="s">
        <v>41</v>
      </c>
      <c r="F175">
        <v>4</v>
      </c>
      <c r="G175">
        <f>INDEX([1]products!$A$1:$G$49,MATCH([1]orders!$D175,[1]products!$A$1:$A$49,0),MATCH([1]orders!K$1,[1]products!$A$1:$G$1,0))</f>
        <v>2.5</v>
      </c>
      <c r="H175">
        <f>INDEX([1]products!$A$1:$G$49,MATCH([1]orders!$D175,[1]products!$A$1:$A$49,0),MATCH([1]orders!L$1,[1]products!$A$1:$G$1,0))</f>
        <v>22.884999999999998</v>
      </c>
      <c r="I175">
        <f t="shared" si="2"/>
        <v>91.539999999999992</v>
      </c>
    </row>
    <row r="176" spans="1:9" x14ac:dyDescent="0.25">
      <c r="A176" t="s">
        <v>375</v>
      </c>
      <c r="B176">
        <v>43813</v>
      </c>
      <c r="C176" t="s">
        <v>376</v>
      </c>
      <c r="D176" t="str">
        <f>INDEX('Customers (2)'!B:B,MATCH('Customers (2)'!A176,'Customers (2)'!A:A,0))</f>
        <v>Elysee Sketch</v>
      </c>
      <c r="E176" t="s">
        <v>30</v>
      </c>
      <c r="F176">
        <v>6</v>
      </c>
      <c r="G176">
        <f>INDEX([1]products!$A$1:$G$49,MATCH([1]orders!$D176,[1]products!$A$1:$A$49,0),MATCH([1]orders!K$1,[1]products!$A$1:$G$1,0))</f>
        <v>2.5</v>
      </c>
      <c r="H176">
        <f>INDEX([1]products!$A$1:$G$49,MATCH([1]orders!$D176,[1]products!$A$1:$A$49,0),MATCH([1]orders!L$1,[1]products!$A$1:$G$1,0))</f>
        <v>34.154999999999994</v>
      </c>
      <c r="I176">
        <f t="shared" si="2"/>
        <v>204.92999999999995</v>
      </c>
    </row>
    <row r="177" spans="1:9" x14ac:dyDescent="0.25">
      <c r="A177" t="s">
        <v>377</v>
      </c>
      <c r="B177">
        <v>44296</v>
      </c>
      <c r="C177" t="s">
        <v>378</v>
      </c>
      <c r="D177" t="str">
        <f>INDEX('Customers (2)'!B:B,MATCH('Customers (2)'!A177,'Customers (2)'!A:A,0))</f>
        <v>Ethelda Hobbing</v>
      </c>
      <c r="E177" t="s">
        <v>112</v>
      </c>
      <c r="F177">
        <v>2</v>
      </c>
      <c r="G177">
        <f>INDEX([1]products!$A$1:$G$49,MATCH([1]orders!$D177,[1]products!$A$1:$A$49,0),MATCH([1]orders!K$1,[1]products!$A$1:$G$1,0))</f>
        <v>2.5</v>
      </c>
      <c r="H177">
        <f>INDEX([1]products!$A$1:$G$49,MATCH([1]orders!$D177,[1]products!$A$1:$A$49,0),MATCH([1]orders!L$1,[1]products!$A$1:$G$1,0))</f>
        <v>31.624999999999996</v>
      </c>
      <c r="I177">
        <f t="shared" si="2"/>
        <v>63.249999999999993</v>
      </c>
    </row>
    <row r="178" spans="1:9" x14ac:dyDescent="0.25">
      <c r="A178" t="s">
        <v>379</v>
      </c>
      <c r="B178">
        <v>43900</v>
      </c>
      <c r="C178" t="s">
        <v>380</v>
      </c>
      <c r="D178" t="str">
        <f>INDEX('Customers (2)'!B:B,MATCH('Customers (2)'!A178,'Customers (2)'!A:A,0))</f>
        <v>Odille Thynne</v>
      </c>
      <c r="E178" t="s">
        <v>30</v>
      </c>
      <c r="F178">
        <v>1</v>
      </c>
      <c r="G178">
        <f>INDEX([1]products!$A$1:$G$49,MATCH([1]orders!$D178,[1]products!$A$1:$A$49,0),MATCH([1]orders!K$1,[1]products!$A$1:$G$1,0))</f>
        <v>2.5</v>
      </c>
      <c r="H178">
        <f>INDEX([1]products!$A$1:$G$49,MATCH([1]orders!$D178,[1]products!$A$1:$A$49,0),MATCH([1]orders!L$1,[1]products!$A$1:$G$1,0))</f>
        <v>34.154999999999994</v>
      </c>
      <c r="I178">
        <f t="shared" si="2"/>
        <v>34.154999999999994</v>
      </c>
    </row>
    <row r="179" spans="1:9" x14ac:dyDescent="0.25">
      <c r="A179" t="s">
        <v>381</v>
      </c>
      <c r="B179">
        <v>44120</v>
      </c>
      <c r="C179" t="s">
        <v>382</v>
      </c>
      <c r="D179" t="str">
        <f>INDEX('Customers (2)'!B:B,MATCH('Customers (2)'!A179,'Customers (2)'!A:A,0))</f>
        <v>Emlynne Heining</v>
      </c>
      <c r="E179" t="s">
        <v>10</v>
      </c>
      <c r="F179">
        <v>4</v>
      </c>
      <c r="G179">
        <f>INDEX([1]products!$A$1:$G$49,MATCH([1]orders!$D179,[1]products!$A$1:$A$49,0),MATCH([1]orders!K$1,[1]products!$A$1:$G$1,0))</f>
        <v>2.5</v>
      </c>
      <c r="H179">
        <f>INDEX([1]products!$A$1:$G$49,MATCH([1]orders!$D179,[1]products!$A$1:$A$49,0),MATCH([1]orders!L$1,[1]products!$A$1:$G$1,0))</f>
        <v>27.484999999999996</v>
      </c>
      <c r="I179">
        <f t="shared" si="2"/>
        <v>109.93999999999998</v>
      </c>
    </row>
    <row r="180" spans="1:9" x14ac:dyDescent="0.25">
      <c r="A180" t="s">
        <v>383</v>
      </c>
      <c r="B180">
        <v>43746</v>
      </c>
      <c r="C180" t="s">
        <v>384</v>
      </c>
      <c r="D180" t="str">
        <f>INDEX('Customers (2)'!B:B,MATCH('Customers (2)'!A180,'Customers (2)'!A:A,0))</f>
        <v>Katerina Melloi</v>
      </c>
      <c r="E180" t="s">
        <v>6</v>
      </c>
      <c r="F180">
        <v>2</v>
      </c>
      <c r="G180">
        <f>INDEX([1]products!$A$1:$G$49,MATCH([1]orders!$D180,[1]products!$A$1:$A$49,0),MATCH([1]orders!K$1,[1]products!$A$1:$G$1,0))</f>
        <v>1</v>
      </c>
      <c r="H180">
        <f>INDEX([1]products!$A$1:$G$49,MATCH([1]orders!$D180,[1]products!$A$1:$A$49,0),MATCH([1]orders!L$1,[1]products!$A$1:$G$1,0))</f>
        <v>12.95</v>
      </c>
      <c r="I180">
        <f t="shared" si="2"/>
        <v>25.9</v>
      </c>
    </row>
    <row r="181" spans="1:9" x14ac:dyDescent="0.25">
      <c r="A181" t="s">
        <v>385</v>
      </c>
      <c r="B181">
        <v>43830</v>
      </c>
      <c r="C181" t="s">
        <v>386</v>
      </c>
      <c r="D181" t="str">
        <f>INDEX('Customers (2)'!B:B,MATCH('Customers (2)'!A181,'Customers (2)'!A:A,0))</f>
        <v>Tiffany Scardafield</v>
      </c>
      <c r="E181" t="s">
        <v>54</v>
      </c>
      <c r="F181">
        <v>1</v>
      </c>
      <c r="G181">
        <f>INDEX([1]products!$A$1:$G$49,MATCH([1]orders!$D181,[1]products!$A$1:$A$49,0),MATCH([1]orders!K$1,[1]products!$A$1:$G$1,0))</f>
        <v>0.2</v>
      </c>
      <c r="H181">
        <f>INDEX([1]products!$A$1:$G$49,MATCH([1]orders!$D181,[1]products!$A$1:$A$49,0),MATCH([1]orders!L$1,[1]products!$A$1:$G$1,0))</f>
        <v>2.9849999999999999</v>
      </c>
      <c r="I181">
        <f t="shared" si="2"/>
        <v>2.9849999999999999</v>
      </c>
    </row>
    <row r="182" spans="1:9" x14ac:dyDescent="0.25">
      <c r="A182" t="s">
        <v>387</v>
      </c>
      <c r="B182">
        <v>43910</v>
      </c>
      <c r="C182" t="s">
        <v>388</v>
      </c>
      <c r="D182" t="str">
        <f>INDEX('Customers (2)'!B:B,MATCH('Customers (2)'!A182,'Customers (2)'!A:A,0))</f>
        <v>Abrahan Mussen</v>
      </c>
      <c r="E182" t="s">
        <v>254</v>
      </c>
      <c r="F182">
        <v>5</v>
      </c>
      <c r="G182">
        <f>INDEX([1]products!$A$1:$G$49,MATCH([1]orders!$D182,[1]products!$A$1:$A$49,0),MATCH([1]orders!K$1,[1]products!$A$1:$G$1,0))</f>
        <v>0.2</v>
      </c>
      <c r="H182">
        <f>INDEX([1]products!$A$1:$G$49,MATCH([1]orders!$D182,[1]products!$A$1:$A$49,0),MATCH([1]orders!L$1,[1]products!$A$1:$G$1,0))</f>
        <v>4.4550000000000001</v>
      </c>
      <c r="I182">
        <f t="shared" si="2"/>
        <v>22.274999999999999</v>
      </c>
    </row>
    <row r="183" spans="1:9" x14ac:dyDescent="0.25">
      <c r="A183" t="s">
        <v>387</v>
      </c>
      <c r="B183">
        <v>43910</v>
      </c>
      <c r="C183" t="s">
        <v>388</v>
      </c>
      <c r="D183" t="str">
        <f>INDEX('Customers (2)'!B:B,MATCH('Customers (2)'!A183,'Customers (2)'!A:A,0))</f>
        <v>Essie Nellies</v>
      </c>
      <c r="E183" t="s">
        <v>72</v>
      </c>
      <c r="F183">
        <v>5</v>
      </c>
      <c r="G183">
        <f>INDEX([1]products!$A$1:$G$49,MATCH([1]orders!$D183,[1]products!$A$1:$A$49,0),MATCH([1]orders!K$1,[1]products!$A$1:$G$1,0))</f>
        <v>0.5</v>
      </c>
      <c r="H183">
        <f>INDEX([1]products!$A$1:$G$49,MATCH([1]orders!$D183,[1]products!$A$1:$A$49,0),MATCH([1]orders!L$1,[1]products!$A$1:$G$1,0))</f>
        <v>5.97</v>
      </c>
      <c r="I183">
        <f t="shared" si="2"/>
        <v>29.849999999999998</v>
      </c>
    </row>
    <row r="184" spans="1:9" x14ac:dyDescent="0.25">
      <c r="A184" t="s">
        <v>389</v>
      </c>
      <c r="B184">
        <v>44284</v>
      </c>
      <c r="C184" t="s">
        <v>390</v>
      </c>
      <c r="D184" t="str">
        <f>INDEX('Customers (2)'!B:B,MATCH('Customers (2)'!A184,'Customers (2)'!A:A,0))</f>
        <v>Anny Mundford</v>
      </c>
      <c r="E184" t="s">
        <v>146</v>
      </c>
      <c r="F184">
        <v>6</v>
      </c>
      <c r="G184">
        <f>INDEX([1]products!$A$1:$G$49,MATCH([1]orders!$D184,[1]products!$A$1:$A$49,0),MATCH([1]orders!K$1,[1]products!$A$1:$G$1,0))</f>
        <v>0.5</v>
      </c>
      <c r="H184">
        <f>INDEX([1]products!$A$1:$G$49,MATCH([1]orders!$D184,[1]products!$A$1:$A$49,0),MATCH([1]orders!L$1,[1]products!$A$1:$G$1,0))</f>
        <v>5.3699999999999992</v>
      </c>
      <c r="I184">
        <f t="shared" si="2"/>
        <v>32.22</v>
      </c>
    </row>
    <row r="185" spans="1:9" x14ac:dyDescent="0.25">
      <c r="A185" t="s">
        <v>391</v>
      </c>
      <c r="B185">
        <v>44512</v>
      </c>
      <c r="C185" t="s">
        <v>392</v>
      </c>
      <c r="D185" t="str">
        <f>INDEX('Customers (2)'!B:B,MATCH('Customers (2)'!A185,'Customers (2)'!A:A,0))</f>
        <v>Tory Walas</v>
      </c>
      <c r="E185" t="s">
        <v>64</v>
      </c>
      <c r="F185">
        <v>2</v>
      </c>
      <c r="G185">
        <f>INDEX([1]products!$A$1:$G$49,MATCH([1]orders!$D185,[1]products!$A$1:$A$49,0),MATCH([1]orders!K$1,[1]products!$A$1:$G$1,0))</f>
        <v>0.2</v>
      </c>
      <c r="H185">
        <f>INDEX([1]products!$A$1:$G$49,MATCH([1]orders!$D185,[1]products!$A$1:$A$49,0),MATCH([1]orders!L$1,[1]products!$A$1:$G$1,0))</f>
        <v>4.125</v>
      </c>
      <c r="I185">
        <f t="shared" si="2"/>
        <v>8.25</v>
      </c>
    </row>
    <row r="186" spans="1:9" x14ac:dyDescent="0.25">
      <c r="A186" t="s">
        <v>393</v>
      </c>
      <c r="B186">
        <v>44397</v>
      </c>
      <c r="C186" t="s">
        <v>394</v>
      </c>
      <c r="D186" t="str">
        <f>INDEX('Customers (2)'!B:B,MATCH('Customers (2)'!A186,'Customers (2)'!A:A,0))</f>
        <v>Isa Blazewicz</v>
      </c>
      <c r="E186" t="s">
        <v>192</v>
      </c>
      <c r="F186">
        <v>4</v>
      </c>
      <c r="G186">
        <f>INDEX([1]products!$A$1:$G$49,MATCH([1]orders!$D186,[1]products!$A$1:$A$49,0),MATCH([1]orders!K$1,[1]products!$A$1:$G$1,0))</f>
        <v>0.5</v>
      </c>
      <c r="H186">
        <f>INDEX([1]products!$A$1:$G$49,MATCH([1]orders!$D186,[1]products!$A$1:$A$49,0),MATCH([1]orders!L$1,[1]products!$A$1:$G$1,0))</f>
        <v>7.77</v>
      </c>
      <c r="I186">
        <f t="shared" si="2"/>
        <v>31.08</v>
      </c>
    </row>
    <row r="187" spans="1:9" x14ac:dyDescent="0.25">
      <c r="A187" t="s">
        <v>395</v>
      </c>
      <c r="B187">
        <v>43483</v>
      </c>
      <c r="C187" t="s">
        <v>396</v>
      </c>
      <c r="D187" t="str">
        <f>INDEX('Customers (2)'!B:B,MATCH('Customers (2)'!A187,'Customers (2)'!A:A,0))</f>
        <v>Angie Rizzetti</v>
      </c>
      <c r="E187" t="s">
        <v>16</v>
      </c>
      <c r="F187">
        <v>5</v>
      </c>
      <c r="G187">
        <f>INDEX([1]products!$A$1:$G$49,MATCH([1]orders!$D187,[1]products!$A$1:$A$49,0),MATCH([1]orders!K$1,[1]products!$A$1:$G$1,0))</f>
        <v>0.5</v>
      </c>
      <c r="H187">
        <f>INDEX([1]products!$A$1:$G$49,MATCH([1]orders!$D187,[1]products!$A$1:$A$49,0),MATCH([1]orders!L$1,[1]products!$A$1:$G$1,0))</f>
        <v>7.29</v>
      </c>
      <c r="I187">
        <f t="shared" si="2"/>
        <v>36.450000000000003</v>
      </c>
    </row>
    <row r="188" spans="1:9" x14ac:dyDescent="0.25">
      <c r="A188" t="s">
        <v>397</v>
      </c>
      <c r="B188">
        <v>43684</v>
      </c>
      <c r="C188" t="s">
        <v>398</v>
      </c>
      <c r="D188" t="str">
        <f>INDEX('Customers (2)'!B:B,MATCH('Customers (2)'!A188,'Customers (2)'!A:A,0))</f>
        <v>Mord Meriet</v>
      </c>
      <c r="E188" t="s">
        <v>41</v>
      </c>
      <c r="F188">
        <v>3</v>
      </c>
      <c r="G188">
        <f>INDEX([1]products!$A$1:$G$49,MATCH([1]orders!$D188,[1]products!$A$1:$A$49,0),MATCH([1]orders!K$1,[1]products!$A$1:$G$1,0))</f>
        <v>2.5</v>
      </c>
      <c r="H188">
        <f>INDEX([1]products!$A$1:$G$49,MATCH([1]orders!$D188,[1]products!$A$1:$A$49,0),MATCH([1]orders!L$1,[1]products!$A$1:$G$1,0))</f>
        <v>22.884999999999998</v>
      </c>
      <c r="I188">
        <f t="shared" si="2"/>
        <v>68.655000000000001</v>
      </c>
    </row>
    <row r="189" spans="1:9" x14ac:dyDescent="0.25">
      <c r="A189" t="s">
        <v>399</v>
      </c>
      <c r="B189">
        <v>44633</v>
      </c>
      <c r="C189" t="s">
        <v>400</v>
      </c>
      <c r="D189" t="str">
        <f>INDEX('Customers (2)'!B:B,MATCH('Customers (2)'!A189,'Customers (2)'!A:A,0))</f>
        <v>Lawrence Pratt</v>
      </c>
      <c r="E189" t="s">
        <v>78</v>
      </c>
      <c r="F189">
        <v>5</v>
      </c>
      <c r="G189">
        <f>INDEX([1]products!$A$1:$G$49,MATCH([1]orders!$D189,[1]products!$A$1:$A$49,0),MATCH([1]orders!K$1,[1]products!$A$1:$G$1,0))</f>
        <v>0.5</v>
      </c>
      <c r="H189">
        <f>INDEX([1]products!$A$1:$G$49,MATCH([1]orders!$D189,[1]products!$A$1:$A$49,0),MATCH([1]orders!L$1,[1]products!$A$1:$G$1,0))</f>
        <v>8.73</v>
      </c>
      <c r="I189">
        <f t="shared" si="2"/>
        <v>43.650000000000006</v>
      </c>
    </row>
    <row r="190" spans="1:9" x14ac:dyDescent="0.25">
      <c r="A190" t="s">
        <v>401</v>
      </c>
      <c r="B190">
        <v>44698</v>
      </c>
      <c r="C190" t="s">
        <v>402</v>
      </c>
      <c r="D190" t="str">
        <f>INDEX('Customers (2)'!B:B,MATCH('Customers (2)'!A190,'Customers (2)'!A:A,0))</f>
        <v>Astrix Kitchingham</v>
      </c>
      <c r="E190" t="s">
        <v>254</v>
      </c>
      <c r="F190">
        <v>1</v>
      </c>
      <c r="G190">
        <f>INDEX([1]products!$A$1:$G$49,MATCH([1]orders!$D190,[1]products!$A$1:$A$49,0),MATCH([1]orders!K$1,[1]products!$A$1:$G$1,0))</f>
        <v>0.2</v>
      </c>
      <c r="H190">
        <f>INDEX([1]products!$A$1:$G$49,MATCH([1]orders!$D190,[1]products!$A$1:$A$49,0),MATCH([1]orders!L$1,[1]products!$A$1:$G$1,0))</f>
        <v>4.4550000000000001</v>
      </c>
      <c r="I190">
        <f t="shared" si="2"/>
        <v>4.4550000000000001</v>
      </c>
    </row>
    <row r="191" spans="1:9" x14ac:dyDescent="0.25">
      <c r="A191" t="s">
        <v>403</v>
      </c>
      <c r="B191">
        <v>43813</v>
      </c>
      <c r="C191" t="s">
        <v>404</v>
      </c>
      <c r="D191" t="str">
        <f>INDEX('Customers (2)'!B:B,MATCH('Customers (2)'!A191,'Customers (2)'!A:A,0))</f>
        <v>Burnard Bartholin</v>
      </c>
      <c r="E191" t="s">
        <v>96</v>
      </c>
      <c r="F191">
        <v>3</v>
      </c>
      <c r="G191">
        <f>INDEX([1]products!$A$1:$G$49,MATCH([1]orders!$D191,[1]products!$A$1:$A$49,0),MATCH([1]orders!K$1,[1]products!$A$1:$G$1,0))</f>
        <v>1</v>
      </c>
      <c r="H191">
        <f>INDEX([1]products!$A$1:$G$49,MATCH([1]orders!$D191,[1]products!$A$1:$A$49,0),MATCH([1]orders!L$1,[1]products!$A$1:$G$1,0))</f>
        <v>14.55</v>
      </c>
      <c r="I191">
        <f t="shared" si="2"/>
        <v>43.650000000000006</v>
      </c>
    </row>
    <row r="192" spans="1:9" x14ac:dyDescent="0.25">
      <c r="A192" t="s">
        <v>405</v>
      </c>
      <c r="B192">
        <v>43845</v>
      </c>
      <c r="C192" t="s">
        <v>406</v>
      </c>
      <c r="D192" t="str">
        <f>INDEX('Customers (2)'!B:B,MATCH('Customers (2)'!A192,'Customers (2)'!A:A,0))</f>
        <v>Madelene Prinn</v>
      </c>
      <c r="E192" t="s">
        <v>197</v>
      </c>
      <c r="F192">
        <v>1</v>
      </c>
      <c r="G192">
        <f>INDEX([1]products!$A$1:$G$49,MATCH([1]orders!$D192,[1]products!$A$1:$A$49,0),MATCH([1]orders!K$1,[1]products!$A$1:$G$1,0))</f>
        <v>2.5</v>
      </c>
      <c r="H192">
        <f>INDEX([1]products!$A$1:$G$49,MATCH([1]orders!$D192,[1]products!$A$1:$A$49,0),MATCH([1]orders!L$1,[1]products!$A$1:$G$1,0))</f>
        <v>33.464999999999996</v>
      </c>
      <c r="I192">
        <f t="shared" si="2"/>
        <v>33.464999999999996</v>
      </c>
    </row>
    <row r="193" spans="1:9" x14ac:dyDescent="0.25">
      <c r="A193" t="s">
        <v>407</v>
      </c>
      <c r="B193">
        <v>43567</v>
      </c>
      <c r="C193" t="s">
        <v>408</v>
      </c>
      <c r="D193" t="str">
        <f>INDEX('Customers (2)'!B:B,MATCH('Customers (2)'!A193,'Customers (2)'!A:A,0))</f>
        <v>Alisun Baudino</v>
      </c>
      <c r="E193" t="s">
        <v>38</v>
      </c>
      <c r="F193">
        <v>5</v>
      </c>
      <c r="G193">
        <f>INDEX([1]products!$A$1:$G$49,MATCH([1]orders!$D193,[1]products!$A$1:$A$49,0),MATCH([1]orders!K$1,[1]products!$A$1:$G$1,0))</f>
        <v>0.2</v>
      </c>
      <c r="H193">
        <f>INDEX([1]products!$A$1:$G$49,MATCH([1]orders!$D193,[1]products!$A$1:$A$49,0),MATCH([1]orders!L$1,[1]products!$A$1:$G$1,0))</f>
        <v>3.8849999999999998</v>
      </c>
      <c r="I193">
        <f t="shared" si="2"/>
        <v>19.424999999999997</v>
      </c>
    </row>
    <row r="194" spans="1:9" x14ac:dyDescent="0.25">
      <c r="A194" t="s">
        <v>409</v>
      </c>
      <c r="B194">
        <v>43919</v>
      </c>
      <c r="C194" t="s">
        <v>410</v>
      </c>
      <c r="D194" t="str">
        <f>INDEX('Customers (2)'!B:B,MATCH('Customers (2)'!A194,'Customers (2)'!A:A,0))</f>
        <v>Philipa Petrushanko</v>
      </c>
      <c r="E194" t="s">
        <v>245</v>
      </c>
      <c r="F194">
        <v>6</v>
      </c>
      <c r="G194">
        <f>INDEX([1]products!$A$1:$G$49,MATCH([1]orders!$D194,[1]products!$A$1:$A$49,0),MATCH([1]orders!K$1,[1]products!$A$1:$G$1,0))</f>
        <v>1</v>
      </c>
      <c r="H194">
        <f>INDEX([1]products!$A$1:$G$49,MATCH([1]orders!$D194,[1]products!$A$1:$A$49,0),MATCH([1]orders!L$1,[1]products!$A$1:$G$1,0))</f>
        <v>12.15</v>
      </c>
      <c r="I194">
        <f t="shared" ref="I194:I257" si="3">F194*H194</f>
        <v>72.900000000000006</v>
      </c>
    </row>
    <row r="195" spans="1:9" x14ac:dyDescent="0.25">
      <c r="A195" t="s">
        <v>411</v>
      </c>
      <c r="B195">
        <v>44644</v>
      </c>
      <c r="C195" t="s">
        <v>412</v>
      </c>
      <c r="D195" t="str">
        <f>INDEX('Customers (2)'!B:B,MATCH('Customers (2)'!A195,'Customers (2)'!A:A,0))</f>
        <v>Kimberli Mustchin</v>
      </c>
      <c r="E195" t="s">
        <v>137</v>
      </c>
      <c r="F195">
        <v>3</v>
      </c>
      <c r="G195">
        <f>INDEX([1]products!$A$1:$G$49,MATCH([1]orders!$D195,[1]products!$A$1:$A$49,0),MATCH([1]orders!K$1,[1]products!$A$1:$G$1,0))</f>
        <v>1</v>
      </c>
      <c r="H195">
        <f>INDEX([1]products!$A$1:$G$49,MATCH([1]orders!$D195,[1]products!$A$1:$A$49,0),MATCH([1]orders!L$1,[1]products!$A$1:$G$1,0))</f>
        <v>14.85</v>
      </c>
      <c r="I195">
        <f t="shared" si="3"/>
        <v>44.55</v>
      </c>
    </row>
    <row r="196" spans="1:9" x14ac:dyDescent="0.25">
      <c r="A196" t="s">
        <v>413</v>
      </c>
      <c r="B196">
        <v>44398</v>
      </c>
      <c r="C196" t="s">
        <v>414</v>
      </c>
      <c r="D196" t="str">
        <f>INDEX('Customers (2)'!B:B,MATCH('Customers (2)'!A196,'Customers (2)'!A:A,0))</f>
        <v>Emlynne Laird</v>
      </c>
      <c r="E196" t="s">
        <v>16</v>
      </c>
      <c r="F196">
        <v>5</v>
      </c>
      <c r="G196">
        <f>INDEX([1]products!$A$1:$G$49,MATCH([1]orders!$D196,[1]products!$A$1:$A$49,0),MATCH([1]orders!K$1,[1]products!$A$1:$G$1,0))</f>
        <v>0.5</v>
      </c>
      <c r="H196">
        <f>INDEX([1]products!$A$1:$G$49,MATCH([1]orders!$D196,[1]products!$A$1:$A$49,0),MATCH([1]orders!L$1,[1]products!$A$1:$G$1,0))</f>
        <v>7.29</v>
      </c>
      <c r="I196">
        <f t="shared" si="3"/>
        <v>36.450000000000003</v>
      </c>
    </row>
    <row r="197" spans="1:9" x14ac:dyDescent="0.25">
      <c r="A197" t="s">
        <v>415</v>
      </c>
      <c r="B197">
        <v>43683</v>
      </c>
      <c r="C197" t="s">
        <v>416</v>
      </c>
      <c r="D197" t="str">
        <f>INDEX('Customers (2)'!B:B,MATCH('Customers (2)'!A197,'Customers (2)'!A:A,0))</f>
        <v>Marlena Howsden</v>
      </c>
      <c r="E197" t="s">
        <v>6</v>
      </c>
      <c r="F197">
        <v>3</v>
      </c>
      <c r="G197">
        <f>INDEX([1]products!$A$1:$G$49,MATCH([1]orders!$D197,[1]products!$A$1:$A$49,0),MATCH([1]orders!K$1,[1]products!$A$1:$G$1,0))</f>
        <v>1</v>
      </c>
      <c r="H197">
        <f>INDEX([1]products!$A$1:$G$49,MATCH([1]orders!$D197,[1]products!$A$1:$A$49,0),MATCH([1]orders!L$1,[1]products!$A$1:$G$1,0))</f>
        <v>12.95</v>
      </c>
      <c r="I197">
        <f t="shared" si="3"/>
        <v>38.849999999999994</v>
      </c>
    </row>
    <row r="198" spans="1:9" x14ac:dyDescent="0.25">
      <c r="A198" t="s">
        <v>417</v>
      </c>
      <c r="B198">
        <v>44339</v>
      </c>
      <c r="C198" t="s">
        <v>418</v>
      </c>
      <c r="D198" t="str">
        <f>INDEX('Customers (2)'!B:B,MATCH('Customers (2)'!A198,'Customers (2)'!A:A,0))</f>
        <v>Nealson Cuttler</v>
      </c>
      <c r="E198" t="s">
        <v>176</v>
      </c>
      <c r="F198">
        <v>6</v>
      </c>
      <c r="G198">
        <f>INDEX([1]products!$A$1:$G$49,MATCH([1]orders!$D198,[1]products!$A$1:$A$49,0),MATCH([1]orders!K$1,[1]products!$A$1:$G$1,0))</f>
        <v>0.5</v>
      </c>
      <c r="H198">
        <f>INDEX([1]products!$A$1:$G$49,MATCH([1]orders!$D198,[1]products!$A$1:$A$49,0),MATCH([1]orders!L$1,[1]products!$A$1:$G$1,0))</f>
        <v>8.91</v>
      </c>
      <c r="I198">
        <f t="shared" si="3"/>
        <v>53.46</v>
      </c>
    </row>
    <row r="199" spans="1:9" x14ac:dyDescent="0.25">
      <c r="A199" t="s">
        <v>417</v>
      </c>
      <c r="B199">
        <v>44339</v>
      </c>
      <c r="C199" t="s">
        <v>418</v>
      </c>
      <c r="D199" t="str">
        <f>INDEX('Customers (2)'!B:B,MATCH('Customers (2)'!A199,'Customers (2)'!A:A,0))</f>
        <v>Crin Vernham</v>
      </c>
      <c r="E199" t="s">
        <v>109</v>
      </c>
      <c r="F199">
        <v>2</v>
      </c>
      <c r="G199">
        <f>INDEX([1]products!$A$1:$G$49,MATCH([1]orders!$D199,[1]products!$A$1:$A$49,0),MATCH([1]orders!K$1,[1]products!$A$1:$G$1,0))</f>
        <v>2.5</v>
      </c>
      <c r="H199">
        <f>INDEX([1]products!$A$1:$G$49,MATCH([1]orders!$D199,[1]products!$A$1:$A$49,0),MATCH([1]orders!L$1,[1]products!$A$1:$G$1,0))</f>
        <v>29.784999999999997</v>
      </c>
      <c r="I199">
        <f t="shared" si="3"/>
        <v>59.569999999999993</v>
      </c>
    </row>
    <row r="200" spans="1:9" x14ac:dyDescent="0.25">
      <c r="A200" t="s">
        <v>417</v>
      </c>
      <c r="B200">
        <v>44339</v>
      </c>
      <c r="C200" t="s">
        <v>418</v>
      </c>
      <c r="D200" t="str">
        <f>INDEX('Customers (2)'!B:B,MATCH('Customers (2)'!A200,'Customers (2)'!A:A,0))</f>
        <v>Jenn Munnings</v>
      </c>
      <c r="E200" t="s">
        <v>109</v>
      </c>
      <c r="F200">
        <v>3</v>
      </c>
      <c r="G200">
        <f>INDEX([1]products!$A$1:$G$49,MATCH([1]orders!$D200,[1]products!$A$1:$A$49,0),MATCH([1]orders!K$1,[1]products!$A$1:$G$1,0))</f>
        <v>2.5</v>
      </c>
      <c r="H200">
        <f>INDEX([1]products!$A$1:$G$49,MATCH([1]orders!$D200,[1]products!$A$1:$A$49,0),MATCH([1]orders!L$1,[1]products!$A$1:$G$1,0))</f>
        <v>29.784999999999997</v>
      </c>
      <c r="I200">
        <f t="shared" si="3"/>
        <v>89.35499999999999</v>
      </c>
    </row>
    <row r="201" spans="1:9" x14ac:dyDescent="0.25">
      <c r="A201" t="s">
        <v>417</v>
      </c>
      <c r="B201">
        <v>44339</v>
      </c>
      <c r="C201" t="s">
        <v>418</v>
      </c>
      <c r="D201" t="str">
        <f>INDEX('Customers (2)'!B:B,MATCH('Customers (2)'!A201,'Customers (2)'!A:A,0))</f>
        <v>Olympie Dautry</v>
      </c>
      <c r="E201" t="s">
        <v>83</v>
      </c>
      <c r="F201">
        <v>4</v>
      </c>
      <c r="G201">
        <f>INDEX([1]products!$A$1:$G$49,MATCH([1]orders!$D201,[1]products!$A$1:$A$49,0),MATCH([1]orders!K$1,[1]products!$A$1:$G$1,0))</f>
        <v>0.5</v>
      </c>
      <c r="H201">
        <f>INDEX([1]products!$A$1:$G$49,MATCH([1]orders!$D201,[1]products!$A$1:$A$49,0),MATCH([1]orders!L$1,[1]products!$A$1:$G$1,0))</f>
        <v>9.51</v>
      </c>
      <c r="I201">
        <f t="shared" si="3"/>
        <v>38.04</v>
      </c>
    </row>
    <row r="202" spans="1:9" x14ac:dyDescent="0.25">
      <c r="A202" t="s">
        <v>417</v>
      </c>
      <c r="B202">
        <v>44339</v>
      </c>
      <c r="C202" t="s">
        <v>418</v>
      </c>
      <c r="D202" t="str">
        <f>INDEX('Customers (2)'!B:B,MATCH('Customers (2)'!A202,'Customers (2)'!A:A,0))</f>
        <v>Ingaborg Dunwoody</v>
      </c>
      <c r="E202" t="s">
        <v>9</v>
      </c>
      <c r="F202">
        <v>3</v>
      </c>
      <c r="G202">
        <f>INDEX([1]products!$A$1:$G$49,MATCH([1]orders!$D202,[1]products!$A$1:$A$49,0),MATCH([1]orders!K$1,[1]products!$A$1:$G$1,0))</f>
        <v>1</v>
      </c>
      <c r="H202">
        <f>INDEX([1]products!$A$1:$G$49,MATCH([1]orders!$D202,[1]products!$A$1:$A$49,0),MATCH([1]orders!L$1,[1]products!$A$1:$G$1,0))</f>
        <v>13.75</v>
      </c>
      <c r="I202">
        <f t="shared" si="3"/>
        <v>41.25</v>
      </c>
    </row>
    <row r="203" spans="1:9" x14ac:dyDescent="0.25">
      <c r="A203" t="s">
        <v>419</v>
      </c>
      <c r="B203">
        <v>44294</v>
      </c>
      <c r="C203" t="s">
        <v>420</v>
      </c>
      <c r="D203" t="str">
        <f>INDEX('Customers (2)'!B:B,MATCH('Customers (2)'!A203,'Customers (2)'!A:A,0))</f>
        <v>Adriana Lazarus</v>
      </c>
      <c r="E203" t="s">
        <v>83</v>
      </c>
      <c r="F203">
        <v>6</v>
      </c>
      <c r="G203">
        <f>INDEX([1]products!$A$1:$G$49,MATCH([1]orders!$D203,[1]products!$A$1:$A$49,0),MATCH([1]orders!K$1,[1]products!$A$1:$G$1,0))</f>
        <v>0.5</v>
      </c>
      <c r="H203">
        <f>INDEX([1]products!$A$1:$G$49,MATCH([1]orders!$D203,[1]products!$A$1:$A$49,0),MATCH([1]orders!L$1,[1]products!$A$1:$G$1,0))</f>
        <v>9.51</v>
      </c>
      <c r="I203">
        <f t="shared" si="3"/>
        <v>57.06</v>
      </c>
    </row>
    <row r="204" spans="1:9" x14ac:dyDescent="0.25">
      <c r="A204" t="s">
        <v>421</v>
      </c>
      <c r="B204">
        <v>44486</v>
      </c>
      <c r="C204" t="s">
        <v>422</v>
      </c>
      <c r="D204" t="str">
        <f>INDEX('Customers (2)'!B:B,MATCH('Customers (2)'!A204,'Customers (2)'!A:A,0))</f>
        <v>Tallie felip</v>
      </c>
      <c r="E204" t="s">
        <v>109</v>
      </c>
      <c r="F204">
        <v>6</v>
      </c>
      <c r="G204">
        <f>INDEX([1]products!$A$1:$G$49,MATCH([1]orders!$D204,[1]products!$A$1:$A$49,0),MATCH([1]orders!K$1,[1]products!$A$1:$G$1,0))</f>
        <v>2.5</v>
      </c>
      <c r="H204">
        <f>INDEX([1]products!$A$1:$G$49,MATCH([1]orders!$D204,[1]products!$A$1:$A$49,0),MATCH([1]orders!L$1,[1]products!$A$1:$G$1,0))</f>
        <v>29.784999999999997</v>
      </c>
      <c r="I204">
        <f t="shared" si="3"/>
        <v>178.70999999999998</v>
      </c>
    </row>
    <row r="205" spans="1:9" x14ac:dyDescent="0.25">
      <c r="A205" t="s">
        <v>423</v>
      </c>
      <c r="B205">
        <v>44608</v>
      </c>
      <c r="C205" t="s">
        <v>424</v>
      </c>
      <c r="D205" t="str">
        <f>INDEX('Customers (2)'!B:B,MATCH('Customers (2)'!A205,'Customers (2)'!A:A,0))</f>
        <v>Vanna Le - Count</v>
      </c>
      <c r="E205" t="s">
        <v>19</v>
      </c>
      <c r="F205">
        <v>1</v>
      </c>
      <c r="G205">
        <f>INDEX([1]products!$A$1:$G$49,MATCH([1]orders!$D205,[1]products!$A$1:$A$49,0),MATCH([1]orders!K$1,[1]products!$A$1:$G$1,0))</f>
        <v>0.2</v>
      </c>
      <c r="H205">
        <f>INDEX([1]products!$A$1:$G$49,MATCH([1]orders!$D205,[1]products!$A$1:$A$49,0),MATCH([1]orders!L$1,[1]products!$A$1:$G$1,0))</f>
        <v>4.7549999999999999</v>
      </c>
      <c r="I205">
        <f t="shared" si="3"/>
        <v>4.7549999999999999</v>
      </c>
    </row>
    <row r="206" spans="1:9" x14ac:dyDescent="0.25">
      <c r="A206" t="s">
        <v>425</v>
      </c>
      <c r="B206">
        <v>44027</v>
      </c>
      <c r="C206" t="s">
        <v>426</v>
      </c>
      <c r="D206" t="str">
        <f>INDEX('Customers (2)'!B:B,MATCH('Customers (2)'!A206,'Customers (2)'!A:A,0))</f>
        <v>Sarette Ducarel</v>
      </c>
      <c r="E206" t="s">
        <v>9</v>
      </c>
      <c r="F206">
        <v>6</v>
      </c>
      <c r="G206">
        <f>INDEX([1]products!$A$1:$G$49,MATCH([1]orders!$D206,[1]products!$A$1:$A$49,0),MATCH([1]orders!K$1,[1]products!$A$1:$G$1,0))</f>
        <v>1</v>
      </c>
      <c r="H206">
        <f>INDEX([1]products!$A$1:$G$49,MATCH([1]orders!$D206,[1]products!$A$1:$A$49,0),MATCH([1]orders!L$1,[1]products!$A$1:$G$1,0))</f>
        <v>13.75</v>
      </c>
      <c r="I206">
        <f t="shared" si="3"/>
        <v>82.5</v>
      </c>
    </row>
    <row r="207" spans="1:9" x14ac:dyDescent="0.25">
      <c r="A207" t="s">
        <v>427</v>
      </c>
      <c r="B207">
        <v>43883</v>
      </c>
      <c r="C207" t="s">
        <v>428</v>
      </c>
      <c r="D207" t="str">
        <f>INDEX('Customers (2)'!B:B,MATCH('Customers (2)'!A207,'Customers (2)'!A:A,0))</f>
        <v>Kendra Glison</v>
      </c>
      <c r="E207" t="s">
        <v>101</v>
      </c>
      <c r="F207">
        <v>3</v>
      </c>
      <c r="G207">
        <f>INDEX([1]products!$A$1:$G$49,MATCH([1]orders!$D207,[1]products!$A$1:$A$49,0),MATCH([1]orders!K$1,[1]products!$A$1:$G$1,0))</f>
        <v>0.2</v>
      </c>
      <c r="H207">
        <f>INDEX([1]products!$A$1:$G$49,MATCH([1]orders!$D207,[1]products!$A$1:$A$49,0),MATCH([1]orders!L$1,[1]products!$A$1:$G$1,0))</f>
        <v>2.6849999999999996</v>
      </c>
      <c r="I207">
        <f t="shared" si="3"/>
        <v>8.0549999999999997</v>
      </c>
    </row>
    <row r="208" spans="1:9" x14ac:dyDescent="0.25">
      <c r="A208" t="s">
        <v>429</v>
      </c>
      <c r="B208">
        <v>44211</v>
      </c>
      <c r="C208" t="s">
        <v>430</v>
      </c>
      <c r="D208" t="str">
        <f>INDEX('Customers (2)'!B:B,MATCH('Customers (2)'!A208,'Customers (2)'!A:A,0))</f>
        <v>Nertie Poolman</v>
      </c>
      <c r="E208" t="s">
        <v>61</v>
      </c>
      <c r="F208">
        <v>2</v>
      </c>
      <c r="G208">
        <f>INDEX([1]products!$A$1:$G$49,MATCH([1]orders!$D208,[1]products!$A$1:$A$49,0),MATCH([1]orders!K$1,[1]products!$A$1:$G$1,0))</f>
        <v>1</v>
      </c>
      <c r="H208">
        <f>INDEX([1]products!$A$1:$G$49,MATCH([1]orders!$D208,[1]products!$A$1:$A$49,0),MATCH([1]orders!L$1,[1]products!$A$1:$G$1,0))</f>
        <v>11.25</v>
      </c>
      <c r="I208">
        <f t="shared" si="3"/>
        <v>22.5</v>
      </c>
    </row>
    <row r="209" spans="1:9" x14ac:dyDescent="0.25">
      <c r="A209" t="s">
        <v>431</v>
      </c>
      <c r="B209">
        <v>44207</v>
      </c>
      <c r="C209" t="s">
        <v>432</v>
      </c>
      <c r="D209" t="str">
        <f>INDEX('Customers (2)'!B:B,MATCH('Customers (2)'!A209,'Customers (2)'!A:A,0))</f>
        <v>Orbadiah Duny</v>
      </c>
      <c r="E209" t="s">
        <v>67</v>
      </c>
      <c r="F209">
        <v>6</v>
      </c>
      <c r="G209">
        <f>INDEX([1]products!$A$1:$G$49,MATCH([1]orders!$D209,[1]products!$A$1:$A$49,0),MATCH([1]orders!K$1,[1]products!$A$1:$G$1,0))</f>
        <v>0.5</v>
      </c>
      <c r="H209">
        <f>INDEX([1]products!$A$1:$G$49,MATCH([1]orders!$D209,[1]products!$A$1:$A$49,0),MATCH([1]orders!L$1,[1]products!$A$1:$G$1,0))</f>
        <v>6.75</v>
      </c>
      <c r="I209">
        <f t="shared" si="3"/>
        <v>40.5</v>
      </c>
    </row>
    <row r="210" spans="1:9" x14ac:dyDescent="0.25">
      <c r="A210" t="s">
        <v>433</v>
      </c>
      <c r="B210">
        <v>44659</v>
      </c>
      <c r="C210" t="s">
        <v>434</v>
      </c>
      <c r="D210" t="str">
        <f>INDEX('Customers (2)'!B:B,MATCH('Customers (2)'!A210,'Customers (2)'!A:A,0))</f>
        <v>Constance Halfhide</v>
      </c>
      <c r="E210" t="s">
        <v>16</v>
      </c>
      <c r="F210">
        <v>4</v>
      </c>
      <c r="G210">
        <f>INDEX([1]products!$A$1:$G$49,MATCH([1]orders!$D210,[1]products!$A$1:$A$49,0),MATCH([1]orders!K$1,[1]products!$A$1:$G$1,0))</f>
        <v>0.5</v>
      </c>
      <c r="H210">
        <f>INDEX([1]products!$A$1:$G$49,MATCH([1]orders!$D210,[1]products!$A$1:$A$49,0),MATCH([1]orders!L$1,[1]products!$A$1:$G$1,0))</f>
        <v>7.29</v>
      </c>
      <c r="I210">
        <f t="shared" si="3"/>
        <v>29.16</v>
      </c>
    </row>
    <row r="211" spans="1:9" x14ac:dyDescent="0.25">
      <c r="A211" t="s">
        <v>435</v>
      </c>
      <c r="B211">
        <v>44105</v>
      </c>
      <c r="C211" t="s">
        <v>436</v>
      </c>
      <c r="D211" t="str">
        <f>INDEX('Customers (2)'!B:B,MATCH('Customers (2)'!A211,'Customers (2)'!A:A,0))</f>
        <v>Fransisco Malecky</v>
      </c>
      <c r="E211" t="s">
        <v>67</v>
      </c>
      <c r="F211">
        <v>1</v>
      </c>
      <c r="G211">
        <f>INDEX([1]products!$A$1:$G$49,MATCH([1]orders!$D211,[1]products!$A$1:$A$49,0),MATCH([1]orders!K$1,[1]products!$A$1:$G$1,0))</f>
        <v>0.5</v>
      </c>
      <c r="H211">
        <f>INDEX([1]products!$A$1:$G$49,MATCH([1]orders!$D211,[1]products!$A$1:$A$49,0),MATCH([1]orders!L$1,[1]products!$A$1:$G$1,0))</f>
        <v>6.75</v>
      </c>
      <c r="I211">
        <f t="shared" si="3"/>
        <v>6.75</v>
      </c>
    </row>
    <row r="212" spans="1:9" x14ac:dyDescent="0.25">
      <c r="A212" t="s">
        <v>437</v>
      </c>
      <c r="B212">
        <v>43766</v>
      </c>
      <c r="C212" t="s">
        <v>438</v>
      </c>
      <c r="D212" t="str">
        <f>INDEX('Customers (2)'!B:B,MATCH('Customers (2)'!A212,'Customers (2)'!A:A,0))</f>
        <v>Anselma Attwater</v>
      </c>
      <c r="E212" t="s">
        <v>13</v>
      </c>
      <c r="F212">
        <v>4</v>
      </c>
      <c r="G212">
        <f>INDEX([1]products!$A$1:$G$49,MATCH([1]orders!$D212,[1]products!$A$1:$A$49,0),MATCH([1]orders!K$1,[1]products!$A$1:$G$1,0))</f>
        <v>1</v>
      </c>
      <c r="H212">
        <f>INDEX([1]products!$A$1:$G$49,MATCH([1]orders!$D212,[1]products!$A$1:$A$49,0),MATCH([1]orders!L$1,[1]products!$A$1:$G$1,0))</f>
        <v>12.95</v>
      </c>
      <c r="I212">
        <f t="shared" si="3"/>
        <v>51.8</v>
      </c>
    </row>
    <row r="213" spans="1:9" x14ac:dyDescent="0.25">
      <c r="A213" t="s">
        <v>439</v>
      </c>
      <c r="B213">
        <v>44283</v>
      </c>
      <c r="C213" t="s">
        <v>440</v>
      </c>
      <c r="D213" t="str">
        <f>INDEX('Customers (2)'!B:B,MATCH('Customers (2)'!A213,'Customers (2)'!A:A,0))</f>
        <v>Minette Whellans</v>
      </c>
      <c r="E213" t="s">
        <v>176</v>
      </c>
      <c r="F213">
        <v>6</v>
      </c>
      <c r="G213">
        <f>INDEX([1]products!$A$1:$G$49,MATCH([1]orders!$D213,[1]products!$A$1:$A$49,0),MATCH([1]orders!K$1,[1]products!$A$1:$G$1,0))</f>
        <v>0.5</v>
      </c>
      <c r="H213">
        <f>INDEX([1]products!$A$1:$G$49,MATCH([1]orders!$D213,[1]products!$A$1:$A$49,0),MATCH([1]orders!L$1,[1]products!$A$1:$G$1,0))</f>
        <v>8.91</v>
      </c>
      <c r="I213">
        <f t="shared" si="3"/>
        <v>53.46</v>
      </c>
    </row>
    <row r="214" spans="1:9" x14ac:dyDescent="0.25">
      <c r="A214" t="s">
        <v>441</v>
      </c>
      <c r="B214">
        <v>43921</v>
      </c>
      <c r="C214" t="s">
        <v>442</v>
      </c>
      <c r="D214" t="str">
        <f>INDEX('Customers (2)'!B:B,MATCH('Customers (2)'!A214,'Customers (2)'!A:A,0))</f>
        <v>Dael Camilletti</v>
      </c>
      <c r="E214" t="s">
        <v>51</v>
      </c>
      <c r="F214">
        <v>4</v>
      </c>
      <c r="G214">
        <f>INDEX([1]products!$A$1:$G$49,MATCH([1]orders!$D214,[1]products!$A$1:$A$49,0),MATCH([1]orders!K$1,[1]products!$A$1:$G$1,0))</f>
        <v>0.2</v>
      </c>
      <c r="H214">
        <f>INDEX([1]products!$A$1:$G$49,MATCH([1]orders!$D214,[1]products!$A$1:$A$49,0),MATCH([1]orders!L$1,[1]products!$A$1:$G$1,0))</f>
        <v>3.645</v>
      </c>
      <c r="I214">
        <f t="shared" si="3"/>
        <v>14.58</v>
      </c>
    </row>
    <row r="215" spans="1:9" x14ac:dyDescent="0.25">
      <c r="A215" t="s">
        <v>443</v>
      </c>
      <c r="B215">
        <v>44646</v>
      </c>
      <c r="C215" t="s">
        <v>444</v>
      </c>
      <c r="D215" t="str">
        <f>INDEX('Customers (2)'!B:B,MATCH('Customers (2)'!A215,'Customers (2)'!A:A,0))</f>
        <v>Emiline Galgey</v>
      </c>
      <c r="E215" t="s">
        <v>35</v>
      </c>
      <c r="F215">
        <v>1</v>
      </c>
      <c r="G215">
        <f>INDEX([1]products!$A$1:$G$49,MATCH([1]orders!$D215,[1]products!$A$1:$A$49,0),MATCH([1]orders!K$1,[1]products!$A$1:$G$1,0))</f>
        <v>2.5</v>
      </c>
      <c r="H215">
        <f>INDEX([1]products!$A$1:$G$49,MATCH([1]orders!$D215,[1]products!$A$1:$A$49,0),MATCH([1]orders!L$1,[1]products!$A$1:$G$1,0))</f>
        <v>20.584999999999997</v>
      </c>
      <c r="I215">
        <f t="shared" si="3"/>
        <v>20.584999999999997</v>
      </c>
    </row>
    <row r="216" spans="1:9" x14ac:dyDescent="0.25">
      <c r="A216" t="s">
        <v>445</v>
      </c>
      <c r="B216">
        <v>43775</v>
      </c>
      <c r="C216" t="s">
        <v>446</v>
      </c>
      <c r="D216" t="str">
        <f>INDEX('Customers (2)'!B:B,MATCH('Customers (2)'!A216,'Customers (2)'!A:A,0))</f>
        <v>Murdock Hame</v>
      </c>
      <c r="E216" t="s">
        <v>132</v>
      </c>
      <c r="F216">
        <v>2</v>
      </c>
      <c r="G216">
        <f>INDEX([1]products!$A$1:$G$49,MATCH([1]orders!$D216,[1]products!$A$1:$A$49,0),MATCH([1]orders!K$1,[1]products!$A$1:$G$1,0))</f>
        <v>1</v>
      </c>
      <c r="H216">
        <f>INDEX([1]products!$A$1:$G$49,MATCH([1]orders!$D216,[1]products!$A$1:$A$49,0),MATCH([1]orders!L$1,[1]products!$A$1:$G$1,0))</f>
        <v>15.85</v>
      </c>
      <c r="I216">
        <f t="shared" si="3"/>
        <v>31.7</v>
      </c>
    </row>
    <row r="217" spans="1:9" x14ac:dyDescent="0.25">
      <c r="A217" t="s">
        <v>447</v>
      </c>
      <c r="B217">
        <v>43829</v>
      </c>
      <c r="C217" t="s">
        <v>448</v>
      </c>
      <c r="D217" t="str">
        <f>INDEX('Customers (2)'!B:B,MATCH('Customers (2)'!A217,'Customers (2)'!A:A,0))</f>
        <v>Ilka Gurnee</v>
      </c>
      <c r="E217" t="s">
        <v>38</v>
      </c>
      <c r="F217">
        <v>6</v>
      </c>
      <c r="G217">
        <f>INDEX([1]products!$A$1:$G$49,MATCH([1]orders!$D217,[1]products!$A$1:$A$49,0),MATCH([1]orders!K$1,[1]products!$A$1:$G$1,0))</f>
        <v>0.2</v>
      </c>
      <c r="H217">
        <f>INDEX([1]products!$A$1:$G$49,MATCH([1]orders!$D217,[1]products!$A$1:$A$49,0),MATCH([1]orders!L$1,[1]products!$A$1:$G$1,0))</f>
        <v>3.8849999999999998</v>
      </c>
      <c r="I217">
        <f t="shared" si="3"/>
        <v>23.31</v>
      </c>
    </row>
    <row r="218" spans="1:9" x14ac:dyDescent="0.25">
      <c r="A218" t="s">
        <v>449</v>
      </c>
      <c r="B218">
        <v>44470</v>
      </c>
      <c r="C218" t="s">
        <v>450</v>
      </c>
      <c r="D218" t="str">
        <f>INDEX('Customers (2)'!B:B,MATCH('Customers (2)'!A218,'Customers (2)'!A:A,0))</f>
        <v>Alfy Snowding</v>
      </c>
      <c r="E218" t="s">
        <v>96</v>
      </c>
      <c r="F218">
        <v>4</v>
      </c>
      <c r="G218">
        <f>INDEX([1]products!$A$1:$G$49,MATCH([1]orders!$D218,[1]products!$A$1:$A$49,0),MATCH([1]orders!K$1,[1]products!$A$1:$G$1,0))</f>
        <v>1</v>
      </c>
      <c r="H218">
        <f>INDEX([1]products!$A$1:$G$49,MATCH([1]orders!$D218,[1]products!$A$1:$A$49,0),MATCH([1]orders!L$1,[1]products!$A$1:$G$1,0))</f>
        <v>14.55</v>
      </c>
      <c r="I218">
        <f t="shared" si="3"/>
        <v>58.2</v>
      </c>
    </row>
    <row r="219" spans="1:9" x14ac:dyDescent="0.25">
      <c r="A219" t="s">
        <v>451</v>
      </c>
      <c r="B219">
        <v>44174</v>
      </c>
      <c r="C219" t="s">
        <v>452</v>
      </c>
      <c r="D219" t="str">
        <f>INDEX('Customers (2)'!B:B,MATCH('Customers (2)'!A219,'Customers (2)'!A:A,0))</f>
        <v>Godfry Poinsett</v>
      </c>
      <c r="E219" t="s">
        <v>176</v>
      </c>
      <c r="F219">
        <v>4</v>
      </c>
      <c r="G219">
        <f>INDEX([1]products!$A$1:$G$49,MATCH([1]orders!$D219,[1]products!$A$1:$A$49,0),MATCH([1]orders!K$1,[1]products!$A$1:$G$1,0))</f>
        <v>0.5</v>
      </c>
      <c r="H219">
        <f>INDEX([1]products!$A$1:$G$49,MATCH([1]orders!$D219,[1]products!$A$1:$A$49,0),MATCH([1]orders!L$1,[1]products!$A$1:$G$1,0))</f>
        <v>8.91</v>
      </c>
      <c r="I219">
        <f t="shared" si="3"/>
        <v>35.64</v>
      </c>
    </row>
    <row r="220" spans="1:9" x14ac:dyDescent="0.25">
      <c r="A220" t="s">
        <v>453</v>
      </c>
      <c r="B220">
        <v>44317</v>
      </c>
      <c r="C220" t="s">
        <v>454</v>
      </c>
      <c r="D220" t="str">
        <f>INDEX('Customers (2)'!B:B,MATCH('Customers (2)'!A220,'Customers (2)'!A:A,0))</f>
        <v>Rem Furman</v>
      </c>
      <c r="E220" t="s">
        <v>61</v>
      </c>
      <c r="F220">
        <v>5</v>
      </c>
      <c r="G220">
        <f>INDEX([1]products!$A$1:$G$49,MATCH([1]orders!$D220,[1]products!$A$1:$A$49,0),MATCH([1]orders!K$1,[1]products!$A$1:$G$1,0))</f>
        <v>1</v>
      </c>
      <c r="H220">
        <f>INDEX([1]products!$A$1:$G$49,MATCH([1]orders!$D220,[1]products!$A$1:$A$49,0),MATCH([1]orders!L$1,[1]products!$A$1:$G$1,0))</f>
        <v>11.25</v>
      </c>
      <c r="I220">
        <f t="shared" si="3"/>
        <v>56.25</v>
      </c>
    </row>
    <row r="221" spans="1:9" x14ac:dyDescent="0.25">
      <c r="A221" t="s">
        <v>455</v>
      </c>
      <c r="B221">
        <v>44777</v>
      </c>
      <c r="C221" t="s">
        <v>456</v>
      </c>
      <c r="D221" t="str">
        <f>INDEX('Customers (2)'!B:B,MATCH('Customers (2)'!A221,'Customers (2)'!A:A,0))</f>
        <v>Charis Crosier</v>
      </c>
      <c r="E221" t="s">
        <v>182</v>
      </c>
      <c r="F221">
        <v>3</v>
      </c>
      <c r="G221">
        <f>INDEX([1]products!$A$1:$G$49,MATCH([1]orders!$D221,[1]products!$A$1:$A$49,0),MATCH([1]orders!K$1,[1]products!$A$1:$G$1,0))</f>
        <v>0.2</v>
      </c>
      <c r="H221">
        <f>INDEX([1]products!$A$1:$G$49,MATCH([1]orders!$D221,[1]products!$A$1:$A$49,0),MATCH([1]orders!L$1,[1]products!$A$1:$G$1,0))</f>
        <v>3.5849999999999995</v>
      </c>
      <c r="I221">
        <f t="shared" si="3"/>
        <v>10.754999999999999</v>
      </c>
    </row>
    <row r="222" spans="1:9" x14ac:dyDescent="0.25">
      <c r="A222" t="s">
        <v>455</v>
      </c>
      <c r="B222">
        <v>44777</v>
      </c>
      <c r="C222" t="s">
        <v>456</v>
      </c>
      <c r="D222" t="str">
        <f>INDEX('Customers (2)'!B:B,MATCH('Customers (2)'!A222,'Customers (2)'!A:A,0))</f>
        <v>Monte Percifull</v>
      </c>
      <c r="E222" t="s">
        <v>162</v>
      </c>
      <c r="F222">
        <v>5</v>
      </c>
      <c r="G222">
        <f>INDEX([1]products!$A$1:$G$49,MATCH([1]orders!$D222,[1]products!$A$1:$A$49,0),MATCH([1]orders!K$1,[1]products!$A$1:$G$1,0))</f>
        <v>0.2</v>
      </c>
      <c r="H222">
        <f>INDEX([1]products!$A$1:$G$49,MATCH([1]orders!$D222,[1]products!$A$1:$A$49,0),MATCH([1]orders!L$1,[1]products!$A$1:$G$1,0))</f>
        <v>2.9849999999999999</v>
      </c>
      <c r="I222">
        <f t="shared" si="3"/>
        <v>14.924999999999999</v>
      </c>
    </row>
    <row r="223" spans="1:9" x14ac:dyDescent="0.25">
      <c r="A223" t="s">
        <v>457</v>
      </c>
      <c r="B223">
        <v>44513</v>
      </c>
      <c r="C223" t="s">
        <v>458</v>
      </c>
      <c r="D223" t="str">
        <f>INDEX('Customers (2)'!B:B,MATCH('Customers (2)'!A223,'Customers (2)'!A:A,0))</f>
        <v>Lenka Rushmer</v>
      </c>
      <c r="E223" t="s">
        <v>6</v>
      </c>
      <c r="F223">
        <v>6</v>
      </c>
      <c r="G223">
        <f>INDEX([1]products!$A$1:$G$49,MATCH([1]orders!$D223,[1]products!$A$1:$A$49,0),MATCH([1]orders!K$1,[1]products!$A$1:$G$1,0))</f>
        <v>1</v>
      </c>
      <c r="H223">
        <f>INDEX([1]products!$A$1:$G$49,MATCH([1]orders!$D223,[1]products!$A$1:$A$49,0),MATCH([1]orders!L$1,[1]products!$A$1:$G$1,0))</f>
        <v>12.95</v>
      </c>
      <c r="I223">
        <f t="shared" si="3"/>
        <v>77.699999999999989</v>
      </c>
    </row>
    <row r="224" spans="1:9" x14ac:dyDescent="0.25">
      <c r="A224" t="s">
        <v>459</v>
      </c>
      <c r="B224">
        <v>44090</v>
      </c>
      <c r="C224" t="s">
        <v>460</v>
      </c>
      <c r="D224" t="str">
        <f>INDEX('Customers (2)'!B:B,MATCH('Customers (2)'!A224,'Customers (2)'!A:A,0))</f>
        <v>Waneta Edinborough</v>
      </c>
      <c r="E224" t="s">
        <v>123</v>
      </c>
      <c r="F224">
        <v>3</v>
      </c>
      <c r="G224">
        <f>INDEX([1]products!$A$1:$G$49,MATCH([1]orders!$D224,[1]products!$A$1:$A$49,0),MATCH([1]orders!K$1,[1]products!$A$1:$G$1,0))</f>
        <v>0.5</v>
      </c>
      <c r="H224">
        <f>INDEX([1]products!$A$1:$G$49,MATCH([1]orders!$D224,[1]products!$A$1:$A$49,0),MATCH([1]orders!L$1,[1]products!$A$1:$G$1,0))</f>
        <v>7.77</v>
      </c>
      <c r="I224">
        <f t="shared" si="3"/>
        <v>23.31</v>
      </c>
    </row>
    <row r="225" spans="1:9" x14ac:dyDescent="0.25">
      <c r="A225" t="s">
        <v>461</v>
      </c>
      <c r="B225">
        <v>44109</v>
      </c>
      <c r="C225" t="s">
        <v>462</v>
      </c>
      <c r="D225" t="str">
        <f>INDEX('Customers (2)'!B:B,MATCH('Customers (2)'!A225,'Customers (2)'!A:A,0))</f>
        <v>Bobbe Piggott</v>
      </c>
      <c r="E225" t="s">
        <v>137</v>
      </c>
      <c r="F225">
        <v>4</v>
      </c>
      <c r="G225">
        <f>INDEX([1]products!$A$1:$G$49,MATCH([1]orders!$D225,[1]products!$A$1:$A$49,0),MATCH([1]orders!K$1,[1]products!$A$1:$G$1,0))</f>
        <v>1</v>
      </c>
      <c r="H225">
        <f>INDEX([1]products!$A$1:$G$49,MATCH([1]orders!$D225,[1]products!$A$1:$A$49,0),MATCH([1]orders!L$1,[1]products!$A$1:$G$1,0))</f>
        <v>14.85</v>
      </c>
      <c r="I225">
        <f t="shared" si="3"/>
        <v>59.4</v>
      </c>
    </row>
    <row r="226" spans="1:9" x14ac:dyDescent="0.25">
      <c r="A226" t="s">
        <v>463</v>
      </c>
      <c r="B226">
        <v>43836</v>
      </c>
      <c r="C226" t="s">
        <v>464</v>
      </c>
      <c r="D226" t="str">
        <f>INDEX('Customers (2)'!B:B,MATCH('Customers (2)'!A226,'Customers (2)'!A:A,0))</f>
        <v>Ketty Bromehead</v>
      </c>
      <c r="E226" t="s">
        <v>109</v>
      </c>
      <c r="F226">
        <v>4</v>
      </c>
      <c r="G226">
        <f>INDEX([1]products!$A$1:$G$49,MATCH([1]orders!$D226,[1]products!$A$1:$A$49,0),MATCH([1]orders!K$1,[1]products!$A$1:$G$1,0))</f>
        <v>2.5</v>
      </c>
      <c r="H226">
        <f>INDEX([1]products!$A$1:$G$49,MATCH([1]orders!$D226,[1]products!$A$1:$A$49,0),MATCH([1]orders!L$1,[1]products!$A$1:$G$1,0))</f>
        <v>29.784999999999997</v>
      </c>
      <c r="I226">
        <f t="shared" si="3"/>
        <v>119.13999999999999</v>
      </c>
    </row>
    <row r="227" spans="1:9" x14ac:dyDescent="0.25">
      <c r="A227" t="s">
        <v>465</v>
      </c>
      <c r="B227">
        <v>44337</v>
      </c>
      <c r="C227" t="s">
        <v>466</v>
      </c>
      <c r="D227" t="str">
        <f>INDEX('Customers (2)'!B:B,MATCH('Customers (2)'!A227,'Customers (2)'!A:A,0))</f>
        <v>Elsbeth Westerman</v>
      </c>
      <c r="E227" t="s">
        <v>182</v>
      </c>
      <c r="F227">
        <v>4</v>
      </c>
      <c r="G227">
        <f>INDEX([1]products!$A$1:$G$49,MATCH([1]orders!$D227,[1]products!$A$1:$A$49,0),MATCH([1]orders!K$1,[1]products!$A$1:$G$1,0))</f>
        <v>0.2</v>
      </c>
      <c r="H227">
        <f>INDEX([1]products!$A$1:$G$49,MATCH([1]orders!$D227,[1]products!$A$1:$A$49,0),MATCH([1]orders!L$1,[1]products!$A$1:$G$1,0))</f>
        <v>3.5849999999999995</v>
      </c>
      <c r="I227">
        <f t="shared" si="3"/>
        <v>14.339999999999998</v>
      </c>
    </row>
    <row r="228" spans="1:9" x14ac:dyDescent="0.25">
      <c r="A228" t="s">
        <v>467</v>
      </c>
      <c r="B228">
        <v>43887</v>
      </c>
      <c r="C228" t="s">
        <v>468</v>
      </c>
      <c r="D228" t="str">
        <f>INDEX('Customers (2)'!B:B,MATCH('Customers (2)'!A228,'Customers (2)'!A:A,0))</f>
        <v>Anabelle Hutchens</v>
      </c>
      <c r="E228" t="s">
        <v>171</v>
      </c>
      <c r="F228">
        <v>5</v>
      </c>
      <c r="G228">
        <f>INDEX([1]products!$A$1:$G$49,MATCH([1]orders!$D228,[1]products!$A$1:$A$49,0),MATCH([1]orders!K$1,[1]products!$A$1:$G$1,0))</f>
        <v>2.5</v>
      </c>
      <c r="H228">
        <f>INDEX([1]products!$A$1:$G$49,MATCH([1]orders!$D228,[1]products!$A$1:$A$49,0),MATCH([1]orders!L$1,[1]products!$A$1:$G$1,0))</f>
        <v>25.874999999999996</v>
      </c>
      <c r="I228">
        <f t="shared" si="3"/>
        <v>129.37499999999997</v>
      </c>
    </row>
    <row r="229" spans="1:9" x14ac:dyDescent="0.25">
      <c r="A229" t="s">
        <v>469</v>
      </c>
      <c r="B229">
        <v>43880</v>
      </c>
      <c r="C229" t="s">
        <v>470</v>
      </c>
      <c r="D229" t="str">
        <f>INDEX('Customers (2)'!B:B,MATCH('Customers (2)'!A229,'Customers (2)'!A:A,0))</f>
        <v>Noak Wyvill</v>
      </c>
      <c r="E229" t="s">
        <v>101</v>
      </c>
      <c r="F229">
        <v>6</v>
      </c>
      <c r="G229">
        <f>INDEX([1]products!$A$1:$G$49,MATCH([1]orders!$D229,[1]products!$A$1:$A$49,0),MATCH([1]orders!K$1,[1]products!$A$1:$G$1,0))</f>
        <v>0.2</v>
      </c>
      <c r="H229">
        <f>INDEX([1]products!$A$1:$G$49,MATCH([1]orders!$D229,[1]products!$A$1:$A$49,0),MATCH([1]orders!L$1,[1]products!$A$1:$G$1,0))</f>
        <v>2.6849999999999996</v>
      </c>
      <c r="I229">
        <f t="shared" si="3"/>
        <v>16.11</v>
      </c>
    </row>
    <row r="230" spans="1:9" x14ac:dyDescent="0.25">
      <c r="A230" t="s">
        <v>471</v>
      </c>
      <c r="B230">
        <v>44376</v>
      </c>
      <c r="C230" t="s">
        <v>472</v>
      </c>
      <c r="D230" t="str">
        <f>INDEX('Customers (2)'!B:B,MATCH('Customers (2)'!A230,'Customers (2)'!A:A,0))</f>
        <v>Beltran Mathon</v>
      </c>
      <c r="E230" t="s">
        <v>182</v>
      </c>
      <c r="F230">
        <v>5</v>
      </c>
      <c r="G230">
        <f>INDEX([1]products!$A$1:$G$49,MATCH([1]orders!$D230,[1]products!$A$1:$A$49,0),MATCH([1]orders!K$1,[1]products!$A$1:$G$1,0))</f>
        <v>0.2</v>
      </c>
      <c r="H230">
        <f>INDEX([1]products!$A$1:$G$49,MATCH([1]orders!$D230,[1]products!$A$1:$A$49,0),MATCH([1]orders!L$1,[1]products!$A$1:$G$1,0))</f>
        <v>3.5849999999999995</v>
      </c>
      <c r="I230">
        <f t="shared" si="3"/>
        <v>17.924999999999997</v>
      </c>
    </row>
    <row r="231" spans="1:9" x14ac:dyDescent="0.25">
      <c r="A231" t="s">
        <v>473</v>
      </c>
      <c r="B231">
        <v>44282</v>
      </c>
      <c r="C231" t="s">
        <v>474</v>
      </c>
      <c r="D231" t="str">
        <f>INDEX('Customers (2)'!B:B,MATCH('Customers (2)'!A231,'Customers (2)'!A:A,0))</f>
        <v>Kristos Streight</v>
      </c>
      <c r="E231" t="s">
        <v>77</v>
      </c>
      <c r="F231">
        <v>2</v>
      </c>
      <c r="G231">
        <f>INDEX([1]products!$A$1:$G$49,MATCH([1]orders!$D231,[1]products!$A$1:$A$49,0),MATCH([1]orders!K$1,[1]products!$A$1:$G$1,0))</f>
        <v>0.2</v>
      </c>
      <c r="H231">
        <f>INDEX([1]products!$A$1:$G$49,MATCH([1]orders!$D231,[1]products!$A$1:$A$49,0),MATCH([1]orders!L$1,[1]products!$A$1:$G$1,0))</f>
        <v>4.3650000000000002</v>
      </c>
      <c r="I231">
        <f t="shared" si="3"/>
        <v>8.73</v>
      </c>
    </row>
    <row r="232" spans="1:9" x14ac:dyDescent="0.25">
      <c r="A232" t="s">
        <v>475</v>
      </c>
      <c r="B232">
        <v>44496</v>
      </c>
      <c r="C232" t="s">
        <v>476</v>
      </c>
      <c r="D232" t="str">
        <f>INDEX('Customers (2)'!B:B,MATCH('Customers (2)'!A232,'Customers (2)'!A:A,0))</f>
        <v>Portie Cutchie</v>
      </c>
      <c r="E232" t="s">
        <v>171</v>
      </c>
      <c r="F232">
        <v>2</v>
      </c>
      <c r="G232">
        <f>INDEX([1]products!$A$1:$G$49,MATCH([1]orders!$D232,[1]products!$A$1:$A$49,0),MATCH([1]orders!K$1,[1]products!$A$1:$G$1,0))</f>
        <v>2.5</v>
      </c>
      <c r="H232">
        <f>INDEX([1]products!$A$1:$G$49,MATCH([1]orders!$D232,[1]products!$A$1:$A$49,0),MATCH([1]orders!L$1,[1]products!$A$1:$G$1,0))</f>
        <v>25.874999999999996</v>
      </c>
      <c r="I232">
        <f t="shared" si="3"/>
        <v>51.749999999999993</v>
      </c>
    </row>
    <row r="233" spans="1:9" x14ac:dyDescent="0.25">
      <c r="A233" t="s">
        <v>477</v>
      </c>
      <c r="B233">
        <v>43628</v>
      </c>
      <c r="C233" t="s">
        <v>478</v>
      </c>
      <c r="D233" t="str">
        <f>INDEX('Customers (2)'!B:B,MATCH('Customers (2)'!A233,'Customers (2)'!A:A,0))</f>
        <v>Sinclare Edsell</v>
      </c>
      <c r="E233" t="s">
        <v>77</v>
      </c>
      <c r="F233">
        <v>2</v>
      </c>
      <c r="G233">
        <f>INDEX([1]products!$A$1:$G$49,MATCH([1]orders!$D233,[1]products!$A$1:$A$49,0),MATCH([1]orders!K$1,[1]products!$A$1:$G$1,0))</f>
        <v>0.2</v>
      </c>
      <c r="H233">
        <f>INDEX([1]products!$A$1:$G$49,MATCH([1]orders!$D233,[1]products!$A$1:$A$49,0),MATCH([1]orders!L$1,[1]products!$A$1:$G$1,0))</f>
        <v>4.3650000000000002</v>
      </c>
      <c r="I233">
        <f t="shared" si="3"/>
        <v>8.73</v>
      </c>
    </row>
    <row r="234" spans="1:9" x14ac:dyDescent="0.25">
      <c r="A234" t="s">
        <v>479</v>
      </c>
      <c r="B234">
        <v>44010</v>
      </c>
      <c r="C234" t="s">
        <v>480</v>
      </c>
      <c r="D234" t="str">
        <f>INDEX('Customers (2)'!B:B,MATCH('Customers (2)'!A234,'Customers (2)'!A:A,0))</f>
        <v>Conny Gheraldi</v>
      </c>
      <c r="E234" t="s">
        <v>19</v>
      </c>
      <c r="F234">
        <v>5</v>
      </c>
      <c r="G234">
        <f>INDEX([1]products!$A$1:$G$49,MATCH([1]orders!$D234,[1]products!$A$1:$A$49,0),MATCH([1]orders!K$1,[1]products!$A$1:$G$1,0))</f>
        <v>0.2</v>
      </c>
      <c r="H234">
        <f>INDEX([1]products!$A$1:$G$49,MATCH([1]orders!$D234,[1]products!$A$1:$A$49,0),MATCH([1]orders!L$1,[1]products!$A$1:$G$1,0))</f>
        <v>4.7549999999999999</v>
      </c>
      <c r="I234">
        <f t="shared" si="3"/>
        <v>23.774999999999999</v>
      </c>
    </row>
    <row r="235" spans="1:9" x14ac:dyDescent="0.25">
      <c r="A235" t="s">
        <v>481</v>
      </c>
      <c r="B235">
        <v>44278</v>
      </c>
      <c r="C235" t="s">
        <v>482</v>
      </c>
      <c r="D235" t="str">
        <f>INDEX('Customers (2)'!B:B,MATCH('Customers (2)'!A235,'Customers (2)'!A:A,0))</f>
        <v>Beryle Kenwell</v>
      </c>
      <c r="E235" t="s">
        <v>64</v>
      </c>
      <c r="F235">
        <v>5</v>
      </c>
      <c r="G235">
        <f>INDEX([1]products!$A$1:$G$49,MATCH([1]orders!$D235,[1]products!$A$1:$A$49,0),MATCH([1]orders!K$1,[1]products!$A$1:$G$1,0))</f>
        <v>0.2</v>
      </c>
      <c r="H235">
        <f>INDEX([1]products!$A$1:$G$49,MATCH([1]orders!$D235,[1]products!$A$1:$A$49,0),MATCH([1]orders!L$1,[1]products!$A$1:$G$1,0))</f>
        <v>4.125</v>
      </c>
      <c r="I235">
        <f t="shared" si="3"/>
        <v>20.625</v>
      </c>
    </row>
    <row r="236" spans="1:9" x14ac:dyDescent="0.25">
      <c r="A236" t="s">
        <v>483</v>
      </c>
      <c r="B236">
        <v>44602</v>
      </c>
      <c r="C236" t="s">
        <v>484</v>
      </c>
      <c r="D236" t="str">
        <f>INDEX('Customers (2)'!B:B,MATCH('Customers (2)'!A236,'Customers (2)'!A:A,0))</f>
        <v>Tomas Sutty</v>
      </c>
      <c r="E236" t="s">
        <v>104</v>
      </c>
      <c r="F236">
        <v>1</v>
      </c>
      <c r="G236">
        <f>INDEX([1]products!$A$1:$G$49,MATCH([1]orders!$D236,[1]products!$A$1:$A$49,0),MATCH([1]orders!K$1,[1]products!$A$1:$G$1,0))</f>
        <v>2.5</v>
      </c>
      <c r="H236">
        <f>INDEX([1]products!$A$1:$G$49,MATCH([1]orders!$D236,[1]products!$A$1:$A$49,0),MATCH([1]orders!L$1,[1]products!$A$1:$G$1,0))</f>
        <v>36.454999999999998</v>
      </c>
      <c r="I236">
        <f t="shared" si="3"/>
        <v>36.454999999999998</v>
      </c>
    </row>
    <row r="237" spans="1:9" x14ac:dyDescent="0.25">
      <c r="A237" t="s">
        <v>485</v>
      </c>
      <c r="B237">
        <v>43571</v>
      </c>
      <c r="C237" t="s">
        <v>486</v>
      </c>
      <c r="D237" t="str">
        <f>INDEX('Customers (2)'!B:B,MATCH('Customers (2)'!A237,'Customers (2)'!A:A,0))</f>
        <v>Samuele Ales0</v>
      </c>
      <c r="E237" t="s">
        <v>104</v>
      </c>
      <c r="F237">
        <v>5</v>
      </c>
      <c r="G237">
        <f>INDEX([1]products!$A$1:$G$49,MATCH([1]orders!$D237,[1]products!$A$1:$A$49,0),MATCH([1]orders!K$1,[1]products!$A$1:$G$1,0))</f>
        <v>2.5</v>
      </c>
      <c r="H237">
        <f>INDEX([1]products!$A$1:$G$49,MATCH([1]orders!$D237,[1]products!$A$1:$A$49,0),MATCH([1]orders!L$1,[1]products!$A$1:$G$1,0))</f>
        <v>36.454999999999998</v>
      </c>
      <c r="I237">
        <f t="shared" si="3"/>
        <v>182.27499999999998</v>
      </c>
    </row>
    <row r="238" spans="1:9" x14ac:dyDescent="0.25">
      <c r="A238" t="s">
        <v>487</v>
      </c>
      <c r="B238">
        <v>43873</v>
      </c>
      <c r="C238" t="s">
        <v>488</v>
      </c>
      <c r="D238" t="str">
        <f>INDEX('Customers (2)'!B:B,MATCH('Customers (2)'!A238,'Customers (2)'!A:A,0))</f>
        <v>Carlie Harce</v>
      </c>
      <c r="E238" t="s">
        <v>109</v>
      </c>
      <c r="F238">
        <v>3</v>
      </c>
      <c r="G238">
        <f>INDEX([1]products!$A$1:$G$49,MATCH([1]orders!$D238,[1]products!$A$1:$A$49,0),MATCH([1]orders!K$1,[1]products!$A$1:$G$1,0))</f>
        <v>2.5</v>
      </c>
      <c r="H238">
        <f>INDEX([1]products!$A$1:$G$49,MATCH([1]orders!$D238,[1]products!$A$1:$A$49,0),MATCH([1]orders!L$1,[1]products!$A$1:$G$1,0))</f>
        <v>29.784999999999997</v>
      </c>
      <c r="I238">
        <f t="shared" si="3"/>
        <v>89.35499999999999</v>
      </c>
    </row>
    <row r="239" spans="1:9" x14ac:dyDescent="0.25">
      <c r="A239" t="s">
        <v>489</v>
      </c>
      <c r="B239">
        <v>44563</v>
      </c>
      <c r="C239" t="s">
        <v>490</v>
      </c>
      <c r="D239" t="str">
        <f>INDEX('Customers (2)'!B:B,MATCH('Customers (2)'!A239,'Customers (2)'!A:A,0))</f>
        <v>Craggy Bril</v>
      </c>
      <c r="E239" t="s">
        <v>182</v>
      </c>
      <c r="F239">
        <v>1</v>
      </c>
      <c r="G239">
        <f>INDEX([1]products!$A$1:$G$49,MATCH([1]orders!$D239,[1]products!$A$1:$A$49,0),MATCH([1]orders!K$1,[1]products!$A$1:$G$1,0))</f>
        <v>0.2</v>
      </c>
      <c r="H239">
        <f>INDEX([1]products!$A$1:$G$49,MATCH([1]orders!$D239,[1]products!$A$1:$A$49,0),MATCH([1]orders!L$1,[1]products!$A$1:$G$1,0))</f>
        <v>3.5849999999999995</v>
      </c>
      <c r="I239">
        <f t="shared" si="3"/>
        <v>3.5849999999999995</v>
      </c>
    </row>
    <row r="240" spans="1:9" x14ac:dyDescent="0.25">
      <c r="A240" t="s">
        <v>491</v>
      </c>
      <c r="B240">
        <v>44172</v>
      </c>
      <c r="C240" t="s">
        <v>492</v>
      </c>
      <c r="D240" t="str">
        <f>INDEX('Customers (2)'!B:B,MATCH('Customers (2)'!A240,'Customers (2)'!A:A,0))</f>
        <v>Friederike Drysdale</v>
      </c>
      <c r="E240" t="s">
        <v>41</v>
      </c>
      <c r="F240">
        <v>2</v>
      </c>
      <c r="G240">
        <f>INDEX([1]products!$A$1:$G$49,MATCH([1]orders!$D240,[1]products!$A$1:$A$49,0),MATCH([1]orders!K$1,[1]products!$A$1:$G$1,0))</f>
        <v>2.5</v>
      </c>
      <c r="H240">
        <f>INDEX([1]products!$A$1:$G$49,MATCH([1]orders!$D240,[1]products!$A$1:$A$49,0),MATCH([1]orders!L$1,[1]products!$A$1:$G$1,0))</f>
        <v>22.884999999999998</v>
      </c>
      <c r="I240">
        <f t="shared" si="3"/>
        <v>45.769999999999996</v>
      </c>
    </row>
    <row r="241" spans="1:9" x14ac:dyDescent="0.25">
      <c r="A241" t="s">
        <v>493</v>
      </c>
      <c r="B241">
        <v>43881</v>
      </c>
      <c r="C241" t="s">
        <v>494</v>
      </c>
      <c r="D241" t="str">
        <f>INDEX('Customers (2)'!B:B,MATCH('Customers (2)'!A241,'Customers (2)'!A:A,0))</f>
        <v>Devon Magowan</v>
      </c>
      <c r="E241" t="s">
        <v>137</v>
      </c>
      <c r="F241">
        <v>4</v>
      </c>
      <c r="G241">
        <f>INDEX([1]products!$A$1:$G$49,MATCH([1]orders!$D241,[1]products!$A$1:$A$49,0),MATCH([1]orders!K$1,[1]products!$A$1:$G$1,0))</f>
        <v>1</v>
      </c>
      <c r="H241">
        <f>INDEX([1]products!$A$1:$G$49,MATCH([1]orders!$D241,[1]products!$A$1:$A$49,0),MATCH([1]orders!L$1,[1]products!$A$1:$G$1,0))</f>
        <v>14.85</v>
      </c>
      <c r="I241">
        <f t="shared" si="3"/>
        <v>59.4</v>
      </c>
    </row>
    <row r="242" spans="1:9" x14ac:dyDescent="0.25">
      <c r="A242" t="s">
        <v>495</v>
      </c>
      <c r="B242">
        <v>43993</v>
      </c>
      <c r="C242" t="s">
        <v>496</v>
      </c>
      <c r="D242" t="str">
        <f>INDEX('Customers (2)'!B:B,MATCH('Customers (2)'!A242,'Customers (2)'!A:A,0))</f>
        <v>Codi Littrell</v>
      </c>
      <c r="E242" t="s">
        <v>171</v>
      </c>
      <c r="F242">
        <v>6</v>
      </c>
      <c r="G242">
        <f>INDEX([1]products!$A$1:$G$49,MATCH([1]orders!$D242,[1]products!$A$1:$A$49,0),MATCH([1]orders!K$1,[1]products!$A$1:$G$1,0))</f>
        <v>2.5</v>
      </c>
      <c r="H242">
        <f>INDEX([1]products!$A$1:$G$49,MATCH([1]orders!$D242,[1]products!$A$1:$A$49,0),MATCH([1]orders!L$1,[1]products!$A$1:$G$1,0))</f>
        <v>25.874999999999996</v>
      </c>
      <c r="I242">
        <f t="shared" si="3"/>
        <v>155.24999999999997</v>
      </c>
    </row>
    <row r="243" spans="1:9" x14ac:dyDescent="0.25">
      <c r="A243" t="s">
        <v>497</v>
      </c>
      <c r="B243">
        <v>44082</v>
      </c>
      <c r="C243" t="s">
        <v>498</v>
      </c>
      <c r="D243" t="str">
        <f>INDEX('Customers (2)'!B:B,MATCH('Customers (2)'!A243,'Customers (2)'!A:A,0))</f>
        <v>Christel Speak</v>
      </c>
      <c r="E243" t="s">
        <v>41</v>
      </c>
      <c r="F243">
        <v>2</v>
      </c>
      <c r="G243">
        <f>INDEX([1]products!$A$1:$G$49,MATCH([1]orders!$D243,[1]products!$A$1:$A$49,0),MATCH([1]orders!K$1,[1]products!$A$1:$G$1,0))</f>
        <v>2.5</v>
      </c>
      <c r="H243">
        <f>INDEX([1]products!$A$1:$G$49,MATCH([1]orders!$D243,[1]products!$A$1:$A$49,0),MATCH([1]orders!L$1,[1]products!$A$1:$G$1,0))</f>
        <v>22.884999999999998</v>
      </c>
      <c r="I243">
        <f t="shared" si="3"/>
        <v>45.769999999999996</v>
      </c>
    </row>
    <row r="244" spans="1:9" x14ac:dyDescent="0.25">
      <c r="A244" t="s">
        <v>499</v>
      </c>
      <c r="B244">
        <v>43918</v>
      </c>
      <c r="C244" t="s">
        <v>500</v>
      </c>
      <c r="D244" t="str">
        <f>INDEX('Customers (2)'!B:B,MATCH('Customers (2)'!A244,'Customers (2)'!A:A,0))</f>
        <v>Sibella Rushbrooke</v>
      </c>
      <c r="E244" t="s">
        <v>245</v>
      </c>
      <c r="F244">
        <v>3</v>
      </c>
      <c r="G244">
        <f>INDEX([1]products!$A$1:$G$49,MATCH([1]orders!$D244,[1]products!$A$1:$A$49,0),MATCH([1]orders!K$1,[1]products!$A$1:$G$1,0))</f>
        <v>1</v>
      </c>
      <c r="H244">
        <f>INDEX([1]products!$A$1:$G$49,MATCH([1]orders!$D244,[1]products!$A$1:$A$49,0),MATCH([1]orders!L$1,[1]products!$A$1:$G$1,0))</f>
        <v>12.15</v>
      </c>
      <c r="I244">
        <f t="shared" si="3"/>
        <v>36.450000000000003</v>
      </c>
    </row>
    <row r="245" spans="1:9" x14ac:dyDescent="0.25">
      <c r="A245" t="s">
        <v>501</v>
      </c>
      <c r="B245">
        <v>44114</v>
      </c>
      <c r="C245" t="s">
        <v>502</v>
      </c>
      <c r="D245" t="str">
        <f>INDEX('Customers (2)'!B:B,MATCH('Customers (2)'!A245,'Customers (2)'!A:A,0))</f>
        <v>Tammie Drynan</v>
      </c>
      <c r="E245" t="s">
        <v>16</v>
      </c>
      <c r="F245">
        <v>4</v>
      </c>
      <c r="G245">
        <f>INDEX([1]products!$A$1:$G$49,MATCH([1]orders!$D245,[1]products!$A$1:$A$49,0),MATCH([1]orders!K$1,[1]products!$A$1:$G$1,0))</f>
        <v>0.5</v>
      </c>
      <c r="H245">
        <f>INDEX([1]products!$A$1:$G$49,MATCH([1]orders!$D245,[1]products!$A$1:$A$49,0),MATCH([1]orders!L$1,[1]products!$A$1:$G$1,0))</f>
        <v>7.29</v>
      </c>
      <c r="I245">
        <f t="shared" si="3"/>
        <v>29.16</v>
      </c>
    </row>
    <row r="246" spans="1:9" x14ac:dyDescent="0.25">
      <c r="A246" t="s">
        <v>503</v>
      </c>
      <c r="B246">
        <v>44702</v>
      </c>
      <c r="C246" t="s">
        <v>504</v>
      </c>
      <c r="D246" t="str">
        <f>INDEX('Customers (2)'!B:B,MATCH('Customers (2)'!A246,'Customers (2)'!A:A,0))</f>
        <v>Effie Yurkov</v>
      </c>
      <c r="E246" t="s">
        <v>197</v>
      </c>
      <c r="F246">
        <v>4</v>
      </c>
      <c r="G246">
        <f>INDEX([1]products!$A$1:$G$49,MATCH([1]orders!$D246,[1]products!$A$1:$A$49,0),MATCH([1]orders!K$1,[1]products!$A$1:$G$1,0))</f>
        <v>2.5</v>
      </c>
      <c r="H246">
        <f>INDEX([1]products!$A$1:$G$49,MATCH([1]orders!$D246,[1]products!$A$1:$A$49,0),MATCH([1]orders!L$1,[1]products!$A$1:$G$1,0))</f>
        <v>33.464999999999996</v>
      </c>
      <c r="I246">
        <f t="shared" si="3"/>
        <v>133.85999999999999</v>
      </c>
    </row>
    <row r="247" spans="1:9" x14ac:dyDescent="0.25">
      <c r="A247" t="s">
        <v>505</v>
      </c>
      <c r="B247">
        <v>43951</v>
      </c>
      <c r="C247" t="s">
        <v>506</v>
      </c>
      <c r="D247" t="str">
        <f>INDEX('Customers (2)'!B:B,MATCH('Customers (2)'!A247,'Customers (2)'!A:A,0))</f>
        <v>Lexie Mallan</v>
      </c>
      <c r="E247" t="s">
        <v>19</v>
      </c>
      <c r="F247">
        <v>5</v>
      </c>
      <c r="G247">
        <f>INDEX([1]products!$A$1:$G$49,MATCH([1]orders!$D247,[1]products!$A$1:$A$49,0),MATCH([1]orders!K$1,[1]products!$A$1:$G$1,0))</f>
        <v>0.2</v>
      </c>
      <c r="H247">
        <f>INDEX([1]products!$A$1:$G$49,MATCH([1]orders!$D247,[1]products!$A$1:$A$49,0),MATCH([1]orders!L$1,[1]products!$A$1:$G$1,0))</f>
        <v>4.7549999999999999</v>
      </c>
      <c r="I247">
        <f t="shared" si="3"/>
        <v>23.774999999999999</v>
      </c>
    </row>
    <row r="248" spans="1:9" x14ac:dyDescent="0.25">
      <c r="A248" t="s">
        <v>507</v>
      </c>
      <c r="B248">
        <v>44542</v>
      </c>
      <c r="C248" t="s">
        <v>508</v>
      </c>
      <c r="D248" t="str">
        <f>INDEX('Customers (2)'!B:B,MATCH('Customers (2)'!A248,'Customers (2)'!A:A,0))</f>
        <v>Georgena Bentjens</v>
      </c>
      <c r="E248" t="s">
        <v>13</v>
      </c>
      <c r="F248">
        <v>3</v>
      </c>
      <c r="G248">
        <f>INDEX([1]products!$A$1:$G$49,MATCH([1]orders!$D248,[1]products!$A$1:$A$49,0),MATCH([1]orders!K$1,[1]products!$A$1:$G$1,0))</f>
        <v>1</v>
      </c>
      <c r="H248">
        <f>INDEX([1]products!$A$1:$G$49,MATCH([1]orders!$D248,[1]products!$A$1:$A$49,0),MATCH([1]orders!L$1,[1]products!$A$1:$G$1,0))</f>
        <v>12.95</v>
      </c>
      <c r="I248">
        <f t="shared" si="3"/>
        <v>38.849999999999994</v>
      </c>
    </row>
    <row r="249" spans="1:9" x14ac:dyDescent="0.25">
      <c r="A249" t="s">
        <v>509</v>
      </c>
      <c r="B249">
        <v>44131</v>
      </c>
      <c r="C249" t="s">
        <v>510</v>
      </c>
      <c r="D249" t="str">
        <f>INDEX('Customers (2)'!B:B,MATCH('Customers (2)'!A249,'Customers (2)'!A:A,0))</f>
        <v>Delmar Beasant</v>
      </c>
      <c r="E249" t="s">
        <v>182</v>
      </c>
      <c r="F249">
        <v>6</v>
      </c>
      <c r="G249">
        <f>INDEX([1]products!$A$1:$G$49,MATCH([1]orders!$D249,[1]products!$A$1:$A$49,0),MATCH([1]orders!K$1,[1]products!$A$1:$G$1,0))</f>
        <v>0.2</v>
      </c>
      <c r="H249">
        <f>INDEX([1]products!$A$1:$G$49,MATCH([1]orders!$D249,[1]products!$A$1:$A$49,0),MATCH([1]orders!L$1,[1]products!$A$1:$G$1,0))</f>
        <v>3.5849999999999995</v>
      </c>
      <c r="I249">
        <f t="shared" si="3"/>
        <v>21.509999999999998</v>
      </c>
    </row>
    <row r="250" spans="1:9" x14ac:dyDescent="0.25">
      <c r="A250" t="s">
        <v>511</v>
      </c>
      <c r="B250">
        <v>44019</v>
      </c>
      <c r="C250" t="s">
        <v>512</v>
      </c>
      <c r="D250" t="str">
        <f>INDEX('Customers (2)'!B:B,MATCH('Customers (2)'!A250,'Customers (2)'!A:A,0))</f>
        <v>Lyn Entwistle</v>
      </c>
      <c r="E250" t="s">
        <v>27</v>
      </c>
      <c r="F250">
        <v>1</v>
      </c>
      <c r="G250">
        <f>INDEX([1]products!$A$1:$G$49,MATCH([1]orders!$D250,[1]products!$A$1:$A$49,0),MATCH([1]orders!K$1,[1]products!$A$1:$G$1,0))</f>
        <v>1</v>
      </c>
      <c r="H250">
        <f>INDEX([1]products!$A$1:$G$49,MATCH([1]orders!$D250,[1]products!$A$1:$A$49,0),MATCH([1]orders!L$1,[1]products!$A$1:$G$1,0))</f>
        <v>9.9499999999999993</v>
      </c>
      <c r="I250">
        <f t="shared" si="3"/>
        <v>9.9499999999999993</v>
      </c>
    </row>
    <row r="251" spans="1:9" x14ac:dyDescent="0.25">
      <c r="A251" t="s">
        <v>513</v>
      </c>
      <c r="B251">
        <v>43861</v>
      </c>
      <c r="C251" t="s">
        <v>514</v>
      </c>
      <c r="D251" t="str">
        <f>INDEX('Customers (2)'!B:B,MATCH('Customers (2)'!A251,'Customers (2)'!A:A,0))</f>
        <v>Stuart Lafee</v>
      </c>
      <c r="E251" t="s">
        <v>132</v>
      </c>
      <c r="F251">
        <v>1</v>
      </c>
      <c r="G251">
        <f>INDEX([1]products!$A$1:$G$49,MATCH([1]orders!$D251,[1]products!$A$1:$A$49,0),MATCH([1]orders!K$1,[1]products!$A$1:$G$1,0))</f>
        <v>1</v>
      </c>
      <c r="H251">
        <f>INDEX([1]products!$A$1:$G$49,MATCH([1]orders!$D251,[1]products!$A$1:$A$49,0),MATCH([1]orders!L$1,[1]products!$A$1:$G$1,0))</f>
        <v>15.85</v>
      </c>
      <c r="I251">
        <f t="shared" si="3"/>
        <v>15.85</v>
      </c>
    </row>
    <row r="252" spans="1:9" x14ac:dyDescent="0.25">
      <c r="A252" t="s">
        <v>515</v>
      </c>
      <c r="B252">
        <v>43879</v>
      </c>
      <c r="C252" t="s">
        <v>516</v>
      </c>
      <c r="D252" t="str">
        <f>INDEX('Customers (2)'!B:B,MATCH('Customers (2)'!A252,'Customers (2)'!A:A,0))</f>
        <v>Mercedes Acott</v>
      </c>
      <c r="E252" t="s">
        <v>162</v>
      </c>
      <c r="F252">
        <v>1</v>
      </c>
      <c r="G252">
        <f>INDEX([1]products!$A$1:$G$49,MATCH([1]orders!$D252,[1]products!$A$1:$A$49,0),MATCH([1]orders!K$1,[1]products!$A$1:$G$1,0))</f>
        <v>0.2</v>
      </c>
      <c r="H252">
        <f>INDEX([1]products!$A$1:$G$49,MATCH([1]orders!$D252,[1]products!$A$1:$A$49,0),MATCH([1]orders!L$1,[1]products!$A$1:$G$1,0))</f>
        <v>2.9849999999999999</v>
      </c>
      <c r="I252">
        <f t="shared" si="3"/>
        <v>2.9849999999999999</v>
      </c>
    </row>
    <row r="253" spans="1:9" x14ac:dyDescent="0.25">
      <c r="A253" t="s">
        <v>517</v>
      </c>
      <c r="B253">
        <v>44360</v>
      </c>
      <c r="C253" t="s">
        <v>518</v>
      </c>
      <c r="D253" t="str">
        <f>INDEX('Customers (2)'!B:B,MATCH('Customers (2)'!A253,'Customers (2)'!A:A,0))</f>
        <v>Connor Heaviside</v>
      </c>
      <c r="E253" t="s">
        <v>9</v>
      </c>
      <c r="F253">
        <v>5</v>
      </c>
      <c r="G253">
        <f>INDEX([1]products!$A$1:$G$49,MATCH([1]orders!$D253,[1]products!$A$1:$A$49,0),MATCH([1]orders!K$1,[1]products!$A$1:$G$1,0))</f>
        <v>1</v>
      </c>
      <c r="H253">
        <f>INDEX([1]products!$A$1:$G$49,MATCH([1]orders!$D253,[1]products!$A$1:$A$49,0),MATCH([1]orders!L$1,[1]products!$A$1:$G$1,0))</f>
        <v>13.75</v>
      </c>
      <c r="I253">
        <f t="shared" si="3"/>
        <v>68.75</v>
      </c>
    </row>
    <row r="254" spans="1:9" x14ac:dyDescent="0.25">
      <c r="A254" t="s">
        <v>519</v>
      </c>
      <c r="B254">
        <v>44779</v>
      </c>
      <c r="C254" t="s">
        <v>520</v>
      </c>
      <c r="D254" t="str">
        <f>INDEX('Customers (2)'!B:B,MATCH('Customers (2)'!A254,'Customers (2)'!A:A,0))</f>
        <v>Devy Bulbrook</v>
      </c>
      <c r="E254" t="s">
        <v>27</v>
      </c>
      <c r="F254">
        <v>3</v>
      </c>
      <c r="G254">
        <f>INDEX([1]products!$A$1:$G$49,MATCH([1]orders!$D254,[1]products!$A$1:$A$49,0),MATCH([1]orders!K$1,[1]products!$A$1:$G$1,0))</f>
        <v>1</v>
      </c>
      <c r="H254">
        <f>INDEX([1]products!$A$1:$G$49,MATCH([1]orders!$D254,[1]products!$A$1:$A$49,0),MATCH([1]orders!L$1,[1]products!$A$1:$G$1,0))</f>
        <v>9.9499999999999993</v>
      </c>
      <c r="I254">
        <f t="shared" si="3"/>
        <v>29.849999999999998</v>
      </c>
    </row>
    <row r="255" spans="1:9" x14ac:dyDescent="0.25">
      <c r="A255" t="s">
        <v>521</v>
      </c>
      <c r="B255">
        <v>44523</v>
      </c>
      <c r="C255" t="s">
        <v>522</v>
      </c>
      <c r="D255" t="str">
        <f>INDEX('Customers (2)'!B:B,MATCH('Customers (2)'!A255,'Customers (2)'!A:A,0))</f>
        <v>Leia Kernan</v>
      </c>
      <c r="E255" t="s">
        <v>96</v>
      </c>
      <c r="F255">
        <v>4</v>
      </c>
      <c r="G255">
        <f>INDEX([1]products!$A$1:$G$49,MATCH([1]orders!$D255,[1]products!$A$1:$A$49,0),MATCH([1]orders!K$1,[1]products!$A$1:$G$1,0))</f>
        <v>1</v>
      </c>
      <c r="H255">
        <f>INDEX([1]products!$A$1:$G$49,MATCH([1]orders!$D255,[1]products!$A$1:$A$49,0),MATCH([1]orders!L$1,[1]products!$A$1:$G$1,0))</f>
        <v>14.55</v>
      </c>
      <c r="I255">
        <f t="shared" si="3"/>
        <v>58.2</v>
      </c>
    </row>
    <row r="256" spans="1:9" x14ac:dyDescent="0.25">
      <c r="A256" t="s">
        <v>523</v>
      </c>
      <c r="B256">
        <v>44482</v>
      </c>
      <c r="C256" t="s">
        <v>524</v>
      </c>
      <c r="D256" t="str">
        <f>INDEX('Customers (2)'!B:B,MATCH('Customers (2)'!A256,'Customers (2)'!A:A,0))</f>
        <v>Rosaline McLae</v>
      </c>
      <c r="E256" t="s">
        <v>157</v>
      </c>
      <c r="F256">
        <v>4</v>
      </c>
      <c r="G256">
        <f>INDEX([1]products!$A$1:$G$49,MATCH([1]orders!$D256,[1]products!$A$1:$A$49,0),MATCH([1]orders!K$1,[1]products!$A$1:$G$1,0))</f>
        <v>0.5</v>
      </c>
      <c r="H256">
        <f>INDEX([1]products!$A$1:$G$49,MATCH([1]orders!$D256,[1]products!$A$1:$A$49,0),MATCH([1]orders!L$1,[1]products!$A$1:$G$1,0))</f>
        <v>7.169999999999999</v>
      </c>
      <c r="I256">
        <f t="shared" si="3"/>
        <v>28.679999999999996</v>
      </c>
    </row>
    <row r="257" spans="1:9" x14ac:dyDescent="0.25">
      <c r="A257" t="s">
        <v>525</v>
      </c>
      <c r="B257">
        <v>44439</v>
      </c>
      <c r="C257" t="s">
        <v>526</v>
      </c>
      <c r="D257" t="str">
        <f>INDEX('Customers (2)'!B:B,MATCH('Customers (2)'!A257,'Customers (2)'!A:A,0))</f>
        <v>Cleve Blowfelde</v>
      </c>
      <c r="E257" t="s">
        <v>157</v>
      </c>
      <c r="F257">
        <v>3</v>
      </c>
      <c r="G257">
        <f>INDEX([1]products!$A$1:$G$49,MATCH([1]orders!$D257,[1]products!$A$1:$A$49,0),MATCH([1]orders!K$1,[1]products!$A$1:$G$1,0))</f>
        <v>0.5</v>
      </c>
      <c r="H257">
        <f>INDEX([1]products!$A$1:$G$49,MATCH([1]orders!$D257,[1]products!$A$1:$A$49,0),MATCH([1]orders!L$1,[1]products!$A$1:$G$1,0))</f>
        <v>7.169999999999999</v>
      </c>
      <c r="I257">
        <f t="shared" si="3"/>
        <v>21.509999999999998</v>
      </c>
    </row>
    <row r="258" spans="1:9" x14ac:dyDescent="0.25">
      <c r="A258" t="s">
        <v>527</v>
      </c>
      <c r="B258">
        <v>43846</v>
      </c>
      <c r="C258" t="s">
        <v>514</v>
      </c>
      <c r="D258" t="str">
        <f>INDEX('Customers (2)'!B:B,MATCH('Customers (2)'!A258,'Customers (2)'!A:A,0))</f>
        <v>Zacharias Kiffe</v>
      </c>
      <c r="E258" t="s">
        <v>78</v>
      </c>
      <c r="F258">
        <v>2</v>
      </c>
      <c r="G258">
        <f>INDEX([1]products!$A$1:$G$49,MATCH([1]orders!$D258,[1]products!$A$1:$A$49,0),MATCH([1]orders!K$1,[1]products!$A$1:$G$1,0))</f>
        <v>0.5</v>
      </c>
      <c r="H258">
        <f>INDEX([1]products!$A$1:$G$49,MATCH([1]orders!$D258,[1]products!$A$1:$A$49,0),MATCH([1]orders!L$1,[1]products!$A$1:$G$1,0))</f>
        <v>8.73</v>
      </c>
      <c r="I258">
        <f t="shared" ref="I258:I321" si="4">F258*H258</f>
        <v>17.46</v>
      </c>
    </row>
    <row r="259" spans="1:9" x14ac:dyDescent="0.25">
      <c r="A259" t="s">
        <v>528</v>
      </c>
      <c r="B259">
        <v>44676</v>
      </c>
      <c r="C259" t="s">
        <v>529</v>
      </c>
      <c r="D259" t="str">
        <f>INDEX('Customers (2)'!B:B,MATCH('Customers (2)'!A259,'Customers (2)'!A:A,0))</f>
        <v>Denyse O'Calleran</v>
      </c>
      <c r="E259" t="s">
        <v>530</v>
      </c>
      <c r="F259">
        <v>1</v>
      </c>
      <c r="G259">
        <f>INDEX([1]products!$A$1:$G$49,MATCH([1]orders!$D259,[1]products!$A$1:$A$49,0),MATCH([1]orders!K$1,[1]products!$A$1:$G$1,0))</f>
        <v>2.5</v>
      </c>
      <c r="H259">
        <f>INDEX([1]products!$A$1:$G$49,MATCH([1]orders!$D259,[1]products!$A$1:$A$49,0),MATCH([1]orders!L$1,[1]products!$A$1:$G$1,0))</f>
        <v>27.945</v>
      </c>
      <c r="I259">
        <f t="shared" si="4"/>
        <v>27.945</v>
      </c>
    </row>
    <row r="260" spans="1:9" x14ac:dyDescent="0.25">
      <c r="A260" t="s">
        <v>531</v>
      </c>
      <c r="B260">
        <v>44513</v>
      </c>
      <c r="C260" t="s">
        <v>532</v>
      </c>
      <c r="D260" t="str">
        <f>INDEX('Customers (2)'!B:B,MATCH('Customers (2)'!A260,'Customers (2)'!A:A,0))</f>
        <v>Cobby Cromwell</v>
      </c>
      <c r="E260" t="s">
        <v>530</v>
      </c>
      <c r="F260">
        <v>5</v>
      </c>
      <c r="G260">
        <f>INDEX([1]products!$A$1:$G$49,MATCH([1]orders!$D260,[1]products!$A$1:$A$49,0),MATCH([1]orders!K$1,[1]products!$A$1:$G$1,0))</f>
        <v>2.5</v>
      </c>
      <c r="H260">
        <f>INDEX([1]products!$A$1:$G$49,MATCH([1]orders!$D260,[1]products!$A$1:$A$49,0),MATCH([1]orders!L$1,[1]products!$A$1:$G$1,0))</f>
        <v>27.945</v>
      </c>
      <c r="I260">
        <f t="shared" si="4"/>
        <v>139.72499999999999</v>
      </c>
    </row>
    <row r="261" spans="1:9" x14ac:dyDescent="0.25">
      <c r="A261" t="s">
        <v>533</v>
      </c>
      <c r="B261">
        <v>44355</v>
      </c>
      <c r="C261" t="s">
        <v>534</v>
      </c>
      <c r="D261" t="str">
        <f>INDEX('Customers (2)'!B:B,MATCH('Customers (2)'!A261,'Customers (2)'!A:A,0))</f>
        <v>Irv Hay</v>
      </c>
      <c r="E261" t="s">
        <v>162</v>
      </c>
      <c r="F261">
        <v>2</v>
      </c>
      <c r="G261">
        <f>INDEX([1]products!$A$1:$G$49,MATCH([1]orders!$D261,[1]products!$A$1:$A$49,0),MATCH([1]orders!K$1,[1]products!$A$1:$G$1,0))</f>
        <v>0.2</v>
      </c>
      <c r="H261">
        <f>INDEX([1]products!$A$1:$G$49,MATCH([1]orders!$D261,[1]products!$A$1:$A$49,0),MATCH([1]orders!L$1,[1]products!$A$1:$G$1,0))</f>
        <v>2.9849999999999999</v>
      </c>
      <c r="I261">
        <f t="shared" si="4"/>
        <v>5.97</v>
      </c>
    </row>
    <row r="262" spans="1:9" x14ac:dyDescent="0.25">
      <c r="A262" t="s">
        <v>535</v>
      </c>
      <c r="B262">
        <v>44156</v>
      </c>
      <c r="C262" t="s">
        <v>536</v>
      </c>
      <c r="D262" t="str">
        <f>INDEX('Customers (2)'!B:B,MATCH('Customers (2)'!A262,'Customers (2)'!A:A,0))</f>
        <v>Tani Taffarello</v>
      </c>
      <c r="E262" t="s">
        <v>10</v>
      </c>
      <c r="F262">
        <v>1</v>
      </c>
      <c r="G262">
        <f>INDEX([1]products!$A$1:$G$49,MATCH([1]orders!$D262,[1]products!$A$1:$A$49,0),MATCH([1]orders!K$1,[1]products!$A$1:$G$1,0))</f>
        <v>2.5</v>
      </c>
      <c r="H262">
        <f>INDEX([1]products!$A$1:$G$49,MATCH([1]orders!$D262,[1]products!$A$1:$A$49,0),MATCH([1]orders!L$1,[1]products!$A$1:$G$1,0))</f>
        <v>27.484999999999996</v>
      </c>
      <c r="I262">
        <f t="shared" si="4"/>
        <v>27.484999999999996</v>
      </c>
    </row>
    <row r="263" spans="1:9" x14ac:dyDescent="0.25">
      <c r="A263" t="s">
        <v>537</v>
      </c>
      <c r="B263">
        <v>43538</v>
      </c>
      <c r="C263" t="s">
        <v>538</v>
      </c>
      <c r="D263" t="str">
        <f>INDEX('Customers (2)'!B:B,MATCH('Customers (2)'!A263,'Customers (2)'!A:A,0))</f>
        <v>Monique Canty</v>
      </c>
      <c r="E263" t="s">
        <v>189</v>
      </c>
      <c r="F263">
        <v>5</v>
      </c>
      <c r="G263">
        <f>INDEX([1]products!$A$1:$G$49,MATCH([1]orders!$D263,[1]products!$A$1:$A$49,0),MATCH([1]orders!K$1,[1]products!$A$1:$G$1,0))</f>
        <v>1</v>
      </c>
      <c r="H263">
        <f>INDEX([1]products!$A$1:$G$49,MATCH([1]orders!$D263,[1]products!$A$1:$A$49,0),MATCH([1]orders!L$1,[1]products!$A$1:$G$1,0))</f>
        <v>11.95</v>
      </c>
      <c r="I263">
        <f t="shared" si="4"/>
        <v>59.75</v>
      </c>
    </row>
    <row r="264" spans="1:9" x14ac:dyDescent="0.25">
      <c r="A264" t="s">
        <v>539</v>
      </c>
      <c r="B264">
        <v>43693</v>
      </c>
      <c r="C264" t="s">
        <v>540</v>
      </c>
      <c r="D264" t="str">
        <f>INDEX('Customers (2)'!B:B,MATCH('Customers (2)'!A264,'Customers (2)'!A:A,0))</f>
        <v>Javier Kopke</v>
      </c>
      <c r="E264" t="s">
        <v>9</v>
      </c>
      <c r="F264">
        <v>3</v>
      </c>
      <c r="G264">
        <f>INDEX([1]products!$A$1:$G$49,MATCH([1]orders!$D264,[1]products!$A$1:$A$49,0),MATCH([1]orders!K$1,[1]products!$A$1:$G$1,0))</f>
        <v>1</v>
      </c>
      <c r="H264">
        <f>INDEX([1]products!$A$1:$G$49,MATCH([1]orders!$D264,[1]products!$A$1:$A$49,0),MATCH([1]orders!L$1,[1]products!$A$1:$G$1,0))</f>
        <v>13.75</v>
      </c>
      <c r="I264">
        <f t="shared" si="4"/>
        <v>41.25</v>
      </c>
    </row>
    <row r="265" spans="1:9" x14ac:dyDescent="0.25">
      <c r="A265" t="s">
        <v>541</v>
      </c>
      <c r="B265">
        <v>43577</v>
      </c>
      <c r="C265" t="s">
        <v>542</v>
      </c>
      <c r="D265" t="str">
        <f>INDEX('Customers (2)'!B:B,MATCH('Customers (2)'!A265,'Customers (2)'!A:A,0))</f>
        <v>Mar McIver</v>
      </c>
      <c r="E265" t="s">
        <v>197</v>
      </c>
      <c r="F265">
        <v>4</v>
      </c>
      <c r="G265">
        <f>INDEX([1]products!$A$1:$G$49,MATCH([1]orders!$D265,[1]products!$A$1:$A$49,0),MATCH([1]orders!K$1,[1]products!$A$1:$G$1,0))</f>
        <v>2.5</v>
      </c>
      <c r="H265">
        <f>INDEX([1]products!$A$1:$G$49,MATCH([1]orders!$D265,[1]products!$A$1:$A$49,0),MATCH([1]orders!L$1,[1]products!$A$1:$G$1,0))</f>
        <v>33.464999999999996</v>
      </c>
      <c r="I265">
        <f t="shared" si="4"/>
        <v>133.85999999999999</v>
      </c>
    </row>
    <row r="266" spans="1:9" x14ac:dyDescent="0.25">
      <c r="A266" t="s">
        <v>543</v>
      </c>
      <c r="B266">
        <v>44683</v>
      </c>
      <c r="C266" t="s">
        <v>544</v>
      </c>
      <c r="D266" t="str">
        <f>INDEX('Customers (2)'!B:B,MATCH('Customers (2)'!A266,'Customers (2)'!A:A,0))</f>
        <v>Arabella Fransewich</v>
      </c>
      <c r="E266" t="s">
        <v>189</v>
      </c>
      <c r="F266">
        <v>5</v>
      </c>
      <c r="G266">
        <f>INDEX([1]products!$A$1:$G$49,MATCH([1]orders!$D266,[1]products!$A$1:$A$49,0),MATCH([1]orders!K$1,[1]products!$A$1:$G$1,0))</f>
        <v>1</v>
      </c>
      <c r="H266">
        <f>INDEX([1]products!$A$1:$G$49,MATCH([1]orders!$D266,[1]products!$A$1:$A$49,0),MATCH([1]orders!L$1,[1]products!$A$1:$G$1,0))</f>
        <v>11.95</v>
      </c>
      <c r="I266">
        <f t="shared" si="4"/>
        <v>59.75</v>
      </c>
    </row>
    <row r="267" spans="1:9" x14ac:dyDescent="0.25">
      <c r="A267" t="s">
        <v>545</v>
      </c>
      <c r="B267">
        <v>43872</v>
      </c>
      <c r="C267" t="s">
        <v>546</v>
      </c>
      <c r="D267" t="str">
        <f>INDEX('Customers (2)'!B:B,MATCH('Customers (2)'!A267,'Customers (2)'!A:A,0))</f>
        <v>Violette Hellmore</v>
      </c>
      <c r="E267" t="s">
        <v>72</v>
      </c>
      <c r="F267">
        <v>1</v>
      </c>
      <c r="G267">
        <f>INDEX([1]products!$A$1:$G$49,MATCH([1]orders!$D267,[1]products!$A$1:$A$49,0),MATCH([1]orders!K$1,[1]products!$A$1:$G$1,0))</f>
        <v>0.5</v>
      </c>
      <c r="H267">
        <f>INDEX([1]products!$A$1:$G$49,MATCH([1]orders!$D267,[1]products!$A$1:$A$49,0),MATCH([1]orders!L$1,[1]products!$A$1:$G$1,0))</f>
        <v>5.97</v>
      </c>
      <c r="I267">
        <f t="shared" si="4"/>
        <v>5.97</v>
      </c>
    </row>
    <row r="268" spans="1:9" x14ac:dyDescent="0.25">
      <c r="A268" t="s">
        <v>547</v>
      </c>
      <c r="B268">
        <v>44283</v>
      </c>
      <c r="C268" t="s">
        <v>548</v>
      </c>
      <c r="D268" t="str">
        <f>INDEX('Customers (2)'!B:B,MATCH('Customers (2)'!A268,'Customers (2)'!A:A,0))</f>
        <v>Myles Seawright</v>
      </c>
      <c r="E268" t="s">
        <v>245</v>
      </c>
      <c r="F268">
        <v>2</v>
      </c>
      <c r="G268">
        <f>INDEX([1]products!$A$1:$G$49,MATCH([1]orders!$D268,[1]products!$A$1:$A$49,0),MATCH([1]orders!K$1,[1]products!$A$1:$G$1,0))</f>
        <v>1</v>
      </c>
      <c r="H268">
        <f>INDEX([1]products!$A$1:$G$49,MATCH([1]orders!$D268,[1]products!$A$1:$A$49,0),MATCH([1]orders!L$1,[1]products!$A$1:$G$1,0))</f>
        <v>12.15</v>
      </c>
      <c r="I268">
        <f t="shared" si="4"/>
        <v>24.3</v>
      </c>
    </row>
    <row r="269" spans="1:9" x14ac:dyDescent="0.25">
      <c r="A269" t="s">
        <v>549</v>
      </c>
      <c r="B269">
        <v>44324</v>
      </c>
      <c r="C269" t="s">
        <v>550</v>
      </c>
      <c r="D269" t="str">
        <f>INDEX('Customers (2)'!B:B,MATCH('Customers (2)'!A269,'Customers (2)'!A:A,0))</f>
        <v>Silvana Northeast</v>
      </c>
      <c r="E269" t="s">
        <v>51</v>
      </c>
      <c r="F269">
        <v>6</v>
      </c>
      <c r="G269">
        <f>INDEX([1]products!$A$1:$G$49,MATCH([1]orders!$D269,[1]products!$A$1:$A$49,0),MATCH([1]orders!K$1,[1]products!$A$1:$G$1,0))</f>
        <v>0.2</v>
      </c>
      <c r="H269">
        <f>INDEX([1]products!$A$1:$G$49,MATCH([1]orders!$D269,[1]products!$A$1:$A$49,0),MATCH([1]orders!L$1,[1]products!$A$1:$G$1,0))</f>
        <v>3.645</v>
      </c>
      <c r="I269">
        <f t="shared" si="4"/>
        <v>21.87</v>
      </c>
    </row>
    <row r="270" spans="1:9" x14ac:dyDescent="0.25">
      <c r="A270" t="s">
        <v>551</v>
      </c>
      <c r="B270">
        <v>43790</v>
      </c>
      <c r="C270" t="s">
        <v>438</v>
      </c>
      <c r="D270" t="str">
        <f>INDEX('Customers (2)'!B:B,MATCH('Customers (2)'!A270,'Customers (2)'!A:A,0))</f>
        <v>Annecorinne Leehane</v>
      </c>
      <c r="E270" t="s">
        <v>27</v>
      </c>
      <c r="F270">
        <v>2</v>
      </c>
      <c r="G270">
        <f>INDEX([1]products!$A$1:$G$49,MATCH([1]orders!$D270,[1]products!$A$1:$A$49,0),MATCH([1]orders!K$1,[1]products!$A$1:$G$1,0))</f>
        <v>1</v>
      </c>
      <c r="H270">
        <f>INDEX([1]products!$A$1:$G$49,MATCH([1]orders!$D270,[1]products!$A$1:$A$49,0),MATCH([1]orders!L$1,[1]products!$A$1:$G$1,0))</f>
        <v>9.9499999999999993</v>
      </c>
      <c r="I270">
        <f t="shared" si="4"/>
        <v>19.899999999999999</v>
      </c>
    </row>
    <row r="271" spans="1:9" x14ac:dyDescent="0.25">
      <c r="A271" t="s">
        <v>552</v>
      </c>
      <c r="B271">
        <v>44333</v>
      </c>
      <c r="C271" t="s">
        <v>553</v>
      </c>
      <c r="D271" t="str">
        <f>INDEX('Customers (2)'!B:B,MATCH('Customers (2)'!A271,'Customers (2)'!A:A,0))</f>
        <v>Monica Fearon</v>
      </c>
      <c r="E271" t="s">
        <v>54</v>
      </c>
      <c r="F271">
        <v>2</v>
      </c>
      <c r="G271">
        <f>INDEX([1]products!$A$1:$G$49,MATCH([1]orders!$D271,[1]products!$A$1:$A$49,0),MATCH([1]orders!K$1,[1]products!$A$1:$G$1,0))</f>
        <v>0.2</v>
      </c>
      <c r="H271">
        <f>INDEX([1]products!$A$1:$G$49,MATCH([1]orders!$D271,[1]products!$A$1:$A$49,0),MATCH([1]orders!L$1,[1]products!$A$1:$G$1,0))</f>
        <v>2.9849999999999999</v>
      </c>
      <c r="I271">
        <f t="shared" si="4"/>
        <v>5.97</v>
      </c>
    </row>
    <row r="272" spans="1:9" x14ac:dyDescent="0.25">
      <c r="A272" t="s">
        <v>554</v>
      </c>
      <c r="B272">
        <v>43655</v>
      </c>
      <c r="C272" t="s">
        <v>555</v>
      </c>
      <c r="D272" t="str">
        <f>INDEX('Customers (2)'!B:B,MATCH('Customers (2)'!A272,'Customers (2)'!A:A,0))</f>
        <v>Barney Chisnell</v>
      </c>
      <c r="E272" t="s">
        <v>16</v>
      </c>
      <c r="F272">
        <v>1</v>
      </c>
      <c r="G272">
        <f>INDEX([1]products!$A$1:$G$49,MATCH([1]orders!$D272,[1]products!$A$1:$A$49,0),MATCH([1]orders!K$1,[1]products!$A$1:$G$1,0))</f>
        <v>0.5</v>
      </c>
      <c r="H272">
        <f>INDEX([1]products!$A$1:$G$49,MATCH([1]orders!$D272,[1]products!$A$1:$A$49,0),MATCH([1]orders!L$1,[1]products!$A$1:$G$1,0))</f>
        <v>7.29</v>
      </c>
      <c r="I272">
        <f t="shared" si="4"/>
        <v>7.29</v>
      </c>
    </row>
    <row r="273" spans="1:9" x14ac:dyDescent="0.25">
      <c r="A273" t="s">
        <v>556</v>
      </c>
      <c r="B273">
        <v>43971</v>
      </c>
      <c r="C273" t="s">
        <v>557</v>
      </c>
      <c r="D273" t="str">
        <f>INDEX('Customers (2)'!B:B,MATCH('Customers (2)'!A273,'Customers (2)'!A:A,0))</f>
        <v>Jasper Sisneros</v>
      </c>
      <c r="E273" t="s">
        <v>54</v>
      </c>
      <c r="F273">
        <v>4</v>
      </c>
      <c r="G273">
        <f>INDEX([1]products!$A$1:$G$49,MATCH([1]orders!$D273,[1]products!$A$1:$A$49,0),MATCH([1]orders!K$1,[1]products!$A$1:$G$1,0))</f>
        <v>0.2</v>
      </c>
      <c r="H273">
        <f>INDEX([1]products!$A$1:$G$49,MATCH([1]orders!$D273,[1]products!$A$1:$A$49,0),MATCH([1]orders!L$1,[1]products!$A$1:$G$1,0))</f>
        <v>2.9849999999999999</v>
      </c>
      <c r="I273">
        <f t="shared" si="4"/>
        <v>11.94</v>
      </c>
    </row>
    <row r="274" spans="1:9" x14ac:dyDescent="0.25">
      <c r="A274" t="s">
        <v>558</v>
      </c>
      <c r="B274">
        <v>44435</v>
      </c>
      <c r="C274" t="s">
        <v>559</v>
      </c>
      <c r="D274" t="str">
        <f>INDEX('Customers (2)'!B:B,MATCH('Customers (2)'!A274,'Customers (2)'!A:A,0))</f>
        <v>Zachariah Carlson</v>
      </c>
      <c r="E274" t="s">
        <v>189</v>
      </c>
      <c r="F274">
        <v>6</v>
      </c>
      <c r="G274">
        <f>INDEX([1]products!$A$1:$G$49,MATCH([1]orders!$D274,[1]products!$A$1:$A$49,0),MATCH([1]orders!K$1,[1]products!$A$1:$G$1,0))</f>
        <v>1</v>
      </c>
      <c r="H274">
        <f>INDEX([1]products!$A$1:$G$49,MATCH([1]orders!$D274,[1]products!$A$1:$A$49,0),MATCH([1]orders!L$1,[1]products!$A$1:$G$1,0))</f>
        <v>11.95</v>
      </c>
      <c r="I274">
        <f t="shared" si="4"/>
        <v>71.699999999999989</v>
      </c>
    </row>
    <row r="275" spans="1:9" x14ac:dyDescent="0.25">
      <c r="A275" t="s">
        <v>560</v>
      </c>
      <c r="B275">
        <v>44681</v>
      </c>
      <c r="C275" t="s">
        <v>561</v>
      </c>
      <c r="D275" t="str">
        <f>INDEX('Customers (2)'!B:B,MATCH('Customers (2)'!A275,'Customers (2)'!A:A,0))</f>
        <v>Warner Maddox</v>
      </c>
      <c r="E275" t="s">
        <v>115</v>
      </c>
      <c r="F275">
        <v>2</v>
      </c>
      <c r="G275">
        <f>INDEX([1]products!$A$1:$G$49,MATCH([1]orders!$D275,[1]products!$A$1:$A$49,0),MATCH([1]orders!K$1,[1]products!$A$1:$G$1,0))</f>
        <v>0.2</v>
      </c>
      <c r="H275">
        <f>INDEX([1]products!$A$1:$G$49,MATCH([1]orders!$D275,[1]products!$A$1:$A$49,0),MATCH([1]orders!L$1,[1]products!$A$1:$G$1,0))</f>
        <v>3.8849999999999998</v>
      </c>
      <c r="I275">
        <f t="shared" si="4"/>
        <v>7.77</v>
      </c>
    </row>
    <row r="276" spans="1:9" x14ac:dyDescent="0.25">
      <c r="A276" t="s">
        <v>562</v>
      </c>
      <c r="B276">
        <v>43985</v>
      </c>
      <c r="C276" t="s">
        <v>563</v>
      </c>
      <c r="D276" t="str">
        <f>INDEX('Customers (2)'!B:B,MATCH('Customers (2)'!A276,'Customers (2)'!A:A,0))</f>
        <v>Donnie Hedlestone</v>
      </c>
      <c r="E276" t="s">
        <v>171</v>
      </c>
      <c r="F276">
        <v>1</v>
      </c>
      <c r="G276">
        <f>INDEX([1]products!$A$1:$G$49,MATCH([1]orders!$D276,[1]products!$A$1:$A$49,0),MATCH([1]orders!K$1,[1]products!$A$1:$G$1,0))</f>
        <v>2.5</v>
      </c>
      <c r="H276">
        <f>INDEX([1]products!$A$1:$G$49,MATCH([1]orders!$D276,[1]products!$A$1:$A$49,0),MATCH([1]orders!L$1,[1]products!$A$1:$G$1,0))</f>
        <v>25.874999999999996</v>
      </c>
      <c r="I276">
        <f t="shared" si="4"/>
        <v>25.874999999999996</v>
      </c>
    </row>
    <row r="277" spans="1:9" x14ac:dyDescent="0.25">
      <c r="A277" t="s">
        <v>564</v>
      </c>
      <c r="B277">
        <v>44725</v>
      </c>
      <c r="C277" t="s">
        <v>565</v>
      </c>
      <c r="D277" t="str">
        <f>INDEX('Customers (2)'!B:B,MATCH('Customers (2)'!A277,'Customers (2)'!A:A,0))</f>
        <v>Teddi Crowthe</v>
      </c>
      <c r="E277" t="s">
        <v>30</v>
      </c>
      <c r="F277">
        <v>6</v>
      </c>
      <c r="G277">
        <f>INDEX([1]products!$A$1:$G$49,MATCH([1]orders!$D277,[1]products!$A$1:$A$49,0),MATCH([1]orders!K$1,[1]products!$A$1:$G$1,0))</f>
        <v>2.5</v>
      </c>
      <c r="H277">
        <f>INDEX([1]products!$A$1:$G$49,MATCH([1]orders!$D277,[1]products!$A$1:$A$49,0),MATCH([1]orders!L$1,[1]products!$A$1:$G$1,0))</f>
        <v>34.154999999999994</v>
      </c>
      <c r="I277">
        <f t="shared" si="4"/>
        <v>204.92999999999995</v>
      </c>
    </row>
    <row r="278" spans="1:9" x14ac:dyDescent="0.25">
      <c r="A278" t="s">
        <v>566</v>
      </c>
      <c r="B278">
        <v>43992</v>
      </c>
      <c r="C278" t="s">
        <v>567</v>
      </c>
      <c r="D278" t="str">
        <f>INDEX('Customers (2)'!B:B,MATCH('Customers (2)'!A278,'Customers (2)'!A:A,0))</f>
        <v>Dorelia Bury</v>
      </c>
      <c r="E278" t="s">
        <v>10</v>
      </c>
      <c r="F278">
        <v>4</v>
      </c>
      <c r="G278">
        <f>INDEX([1]products!$A$1:$G$49,MATCH([1]orders!$D278,[1]products!$A$1:$A$49,0),MATCH([1]orders!K$1,[1]products!$A$1:$G$1,0))</f>
        <v>2.5</v>
      </c>
      <c r="H278">
        <f>INDEX([1]products!$A$1:$G$49,MATCH([1]orders!$D278,[1]products!$A$1:$A$49,0),MATCH([1]orders!L$1,[1]products!$A$1:$G$1,0))</f>
        <v>27.484999999999996</v>
      </c>
      <c r="I278">
        <f t="shared" si="4"/>
        <v>109.93999999999998</v>
      </c>
    </row>
    <row r="279" spans="1:9" x14ac:dyDescent="0.25">
      <c r="A279" t="s">
        <v>568</v>
      </c>
      <c r="B279">
        <v>44183</v>
      </c>
      <c r="C279" t="s">
        <v>569</v>
      </c>
      <c r="D279" t="str">
        <f>INDEX('Customers (2)'!B:B,MATCH('Customers (2)'!A279,'Customers (2)'!A:A,0))</f>
        <v>Gussy Broadbear</v>
      </c>
      <c r="E279" t="s">
        <v>137</v>
      </c>
      <c r="F279">
        <v>6</v>
      </c>
      <c r="G279">
        <f>INDEX([1]products!$A$1:$G$49,MATCH([1]orders!$D279,[1]products!$A$1:$A$49,0),MATCH([1]orders!K$1,[1]products!$A$1:$G$1,0))</f>
        <v>1</v>
      </c>
      <c r="H279">
        <f>INDEX([1]products!$A$1:$G$49,MATCH([1]orders!$D279,[1]products!$A$1:$A$49,0),MATCH([1]orders!L$1,[1]products!$A$1:$G$1,0))</f>
        <v>14.85</v>
      </c>
      <c r="I279">
        <f t="shared" si="4"/>
        <v>89.1</v>
      </c>
    </row>
    <row r="280" spans="1:9" x14ac:dyDescent="0.25">
      <c r="A280" t="s">
        <v>570</v>
      </c>
      <c r="B280">
        <v>43708</v>
      </c>
      <c r="C280" t="s">
        <v>571</v>
      </c>
      <c r="D280" t="str">
        <f>INDEX('Customers (2)'!B:B,MATCH('Customers (2)'!A280,'Customers (2)'!A:A,0))</f>
        <v>Emlynne Palfrey</v>
      </c>
      <c r="E280" t="s">
        <v>115</v>
      </c>
      <c r="F280">
        <v>2</v>
      </c>
      <c r="G280">
        <f>INDEX([1]products!$A$1:$G$49,MATCH([1]orders!$D280,[1]products!$A$1:$A$49,0),MATCH([1]orders!K$1,[1]products!$A$1:$G$1,0))</f>
        <v>0.2</v>
      </c>
      <c r="H280">
        <f>INDEX([1]products!$A$1:$G$49,MATCH([1]orders!$D280,[1]products!$A$1:$A$49,0),MATCH([1]orders!L$1,[1]products!$A$1:$G$1,0))</f>
        <v>3.8849999999999998</v>
      </c>
      <c r="I280">
        <f t="shared" si="4"/>
        <v>7.77</v>
      </c>
    </row>
    <row r="281" spans="1:9" x14ac:dyDescent="0.25">
      <c r="A281" t="s">
        <v>572</v>
      </c>
      <c r="B281">
        <v>43521</v>
      </c>
      <c r="C281" t="s">
        <v>573</v>
      </c>
      <c r="D281" t="str">
        <f>INDEX('Customers (2)'!B:B,MATCH('Customers (2)'!A281,'Customers (2)'!A:A,0))</f>
        <v>Parsifal Metrick</v>
      </c>
      <c r="E281" t="s">
        <v>197</v>
      </c>
      <c r="F281">
        <v>1</v>
      </c>
      <c r="G281">
        <f>INDEX([1]products!$A$1:$G$49,MATCH([1]orders!$D281,[1]products!$A$1:$A$49,0),MATCH([1]orders!K$1,[1]products!$A$1:$G$1,0))</f>
        <v>2.5</v>
      </c>
      <c r="H281">
        <f>INDEX([1]products!$A$1:$G$49,MATCH([1]orders!$D281,[1]products!$A$1:$A$49,0),MATCH([1]orders!L$1,[1]products!$A$1:$G$1,0))</f>
        <v>33.464999999999996</v>
      </c>
      <c r="I281">
        <f t="shared" si="4"/>
        <v>33.464999999999996</v>
      </c>
    </row>
    <row r="282" spans="1:9" x14ac:dyDescent="0.25">
      <c r="A282" t="s">
        <v>574</v>
      </c>
      <c r="B282">
        <v>44234</v>
      </c>
      <c r="C282" t="s">
        <v>575</v>
      </c>
      <c r="D282" t="str">
        <f>INDEX('Customers (2)'!B:B,MATCH('Customers (2)'!A282,'Customers (2)'!A:A,0))</f>
        <v>Christopher Grieveson</v>
      </c>
      <c r="E282" t="s">
        <v>3</v>
      </c>
      <c r="F282">
        <v>5</v>
      </c>
      <c r="G282">
        <f>INDEX([1]products!$A$1:$G$49,MATCH([1]orders!$D282,[1]products!$A$1:$A$49,0),MATCH([1]orders!K$1,[1]products!$A$1:$G$1,0))</f>
        <v>0.5</v>
      </c>
      <c r="H282">
        <f>INDEX([1]products!$A$1:$G$49,MATCH([1]orders!$D282,[1]products!$A$1:$A$49,0),MATCH([1]orders!L$1,[1]products!$A$1:$G$1,0))</f>
        <v>8.25</v>
      </c>
      <c r="I282">
        <f t="shared" si="4"/>
        <v>41.25</v>
      </c>
    </row>
    <row r="283" spans="1:9" x14ac:dyDescent="0.25">
      <c r="A283" t="s">
        <v>576</v>
      </c>
      <c r="B283">
        <v>44210</v>
      </c>
      <c r="C283" t="s">
        <v>577</v>
      </c>
      <c r="D283" t="str">
        <f>INDEX('Customers (2)'!B:B,MATCH('Customers (2)'!A283,'Customers (2)'!A:A,0))</f>
        <v>Karlan Karby</v>
      </c>
      <c r="E283" t="s">
        <v>137</v>
      </c>
      <c r="F283">
        <v>4</v>
      </c>
      <c r="G283">
        <f>INDEX([1]products!$A$1:$G$49,MATCH([1]orders!$D283,[1]products!$A$1:$A$49,0),MATCH([1]orders!K$1,[1]products!$A$1:$G$1,0))</f>
        <v>1</v>
      </c>
      <c r="H283">
        <f>INDEX([1]products!$A$1:$G$49,MATCH([1]orders!$D283,[1]products!$A$1:$A$49,0),MATCH([1]orders!L$1,[1]products!$A$1:$G$1,0))</f>
        <v>14.85</v>
      </c>
      <c r="I283">
        <f t="shared" si="4"/>
        <v>59.4</v>
      </c>
    </row>
    <row r="284" spans="1:9" x14ac:dyDescent="0.25">
      <c r="A284" t="s">
        <v>578</v>
      </c>
      <c r="B284">
        <v>43520</v>
      </c>
      <c r="C284" t="s">
        <v>579</v>
      </c>
      <c r="D284" t="str">
        <f>INDEX('Customers (2)'!B:B,MATCH('Customers (2)'!A284,'Customers (2)'!A:A,0))</f>
        <v>Flory Crumpe</v>
      </c>
      <c r="E284" t="s">
        <v>192</v>
      </c>
      <c r="F284">
        <v>1</v>
      </c>
      <c r="G284">
        <f>INDEX([1]products!$A$1:$G$49,MATCH([1]orders!$D284,[1]products!$A$1:$A$49,0),MATCH([1]orders!K$1,[1]products!$A$1:$G$1,0))</f>
        <v>0.5</v>
      </c>
      <c r="H284">
        <f>INDEX([1]products!$A$1:$G$49,MATCH([1]orders!$D284,[1]products!$A$1:$A$49,0),MATCH([1]orders!L$1,[1]products!$A$1:$G$1,0))</f>
        <v>7.77</v>
      </c>
      <c r="I284">
        <f t="shared" si="4"/>
        <v>7.77</v>
      </c>
    </row>
    <row r="285" spans="1:9" x14ac:dyDescent="0.25">
      <c r="A285" t="s">
        <v>580</v>
      </c>
      <c r="B285">
        <v>43639</v>
      </c>
      <c r="C285" t="s">
        <v>581</v>
      </c>
      <c r="D285" t="str">
        <f>INDEX('Customers (2)'!B:B,MATCH('Customers (2)'!A285,'Customers (2)'!A:A,0))</f>
        <v>Amity Chatto</v>
      </c>
      <c r="E285" t="s">
        <v>146</v>
      </c>
      <c r="F285">
        <v>1</v>
      </c>
      <c r="G285">
        <f>INDEX([1]products!$A$1:$G$49,MATCH([1]orders!$D285,[1]products!$A$1:$A$49,0),MATCH([1]orders!K$1,[1]products!$A$1:$G$1,0))</f>
        <v>0.5</v>
      </c>
      <c r="H285">
        <f>INDEX([1]products!$A$1:$G$49,MATCH([1]orders!$D285,[1]products!$A$1:$A$49,0),MATCH([1]orders!L$1,[1]products!$A$1:$G$1,0))</f>
        <v>5.3699999999999992</v>
      </c>
      <c r="I285">
        <f t="shared" si="4"/>
        <v>5.3699999999999992</v>
      </c>
    </row>
    <row r="286" spans="1:9" x14ac:dyDescent="0.25">
      <c r="A286" t="s">
        <v>582</v>
      </c>
      <c r="B286">
        <v>43960</v>
      </c>
      <c r="C286" t="s">
        <v>583</v>
      </c>
      <c r="D286" t="str">
        <f>INDEX('Customers (2)'!B:B,MATCH('Customers (2)'!A286,'Customers (2)'!A:A,0))</f>
        <v>Nanine McCarthy</v>
      </c>
      <c r="E286" t="s">
        <v>112</v>
      </c>
      <c r="F286">
        <v>3</v>
      </c>
      <c r="G286">
        <f>INDEX([1]products!$A$1:$G$49,MATCH([1]orders!$D286,[1]products!$A$1:$A$49,0),MATCH([1]orders!K$1,[1]products!$A$1:$G$1,0))</f>
        <v>2.5</v>
      </c>
      <c r="H286">
        <f>INDEX([1]products!$A$1:$G$49,MATCH([1]orders!$D286,[1]products!$A$1:$A$49,0),MATCH([1]orders!L$1,[1]products!$A$1:$G$1,0))</f>
        <v>31.624999999999996</v>
      </c>
      <c r="I286">
        <f t="shared" si="4"/>
        <v>94.874999999999986</v>
      </c>
    </row>
    <row r="287" spans="1:9" x14ac:dyDescent="0.25">
      <c r="A287" t="s">
        <v>584</v>
      </c>
      <c r="B287">
        <v>44030</v>
      </c>
      <c r="C287" t="s">
        <v>585</v>
      </c>
      <c r="D287" t="str">
        <f>INDEX('Customers (2)'!B:B,MATCH('Customers (2)'!A287,'Customers (2)'!A:A,0))</f>
        <v>Lyndsey Megany</v>
      </c>
      <c r="E287" t="s">
        <v>104</v>
      </c>
      <c r="F287">
        <v>1</v>
      </c>
      <c r="G287">
        <f>INDEX([1]products!$A$1:$G$49,MATCH([1]orders!$D287,[1]products!$A$1:$A$49,0),MATCH([1]orders!K$1,[1]products!$A$1:$G$1,0))</f>
        <v>2.5</v>
      </c>
      <c r="H287">
        <f>INDEX([1]products!$A$1:$G$49,MATCH([1]orders!$D287,[1]products!$A$1:$A$49,0),MATCH([1]orders!L$1,[1]products!$A$1:$G$1,0))</f>
        <v>36.454999999999998</v>
      </c>
      <c r="I287">
        <f t="shared" si="4"/>
        <v>36.454999999999998</v>
      </c>
    </row>
    <row r="288" spans="1:9" x14ac:dyDescent="0.25">
      <c r="A288" t="s">
        <v>586</v>
      </c>
      <c r="B288">
        <v>43755</v>
      </c>
      <c r="C288" t="s">
        <v>587</v>
      </c>
      <c r="D288" t="str">
        <f>INDEX('Customers (2)'!B:B,MATCH('Customers (2)'!A288,'Customers (2)'!A:A,0))</f>
        <v>Byram Mergue</v>
      </c>
      <c r="E288" t="s">
        <v>44</v>
      </c>
      <c r="F288">
        <v>4</v>
      </c>
      <c r="G288">
        <f>INDEX([1]products!$A$1:$G$49,MATCH([1]orders!$D288,[1]products!$A$1:$A$49,0),MATCH([1]orders!K$1,[1]products!$A$1:$G$1,0))</f>
        <v>0.2</v>
      </c>
      <c r="H288">
        <f>INDEX([1]products!$A$1:$G$49,MATCH([1]orders!$D288,[1]products!$A$1:$A$49,0),MATCH([1]orders!L$1,[1]products!$A$1:$G$1,0))</f>
        <v>3.375</v>
      </c>
      <c r="I288">
        <f t="shared" si="4"/>
        <v>13.5</v>
      </c>
    </row>
    <row r="289" spans="1:9" x14ac:dyDescent="0.25">
      <c r="A289" t="s">
        <v>588</v>
      </c>
      <c r="B289">
        <v>44697</v>
      </c>
      <c r="C289" t="s">
        <v>589</v>
      </c>
      <c r="D289" t="str">
        <f>INDEX('Customers (2)'!B:B,MATCH('Customers (2)'!A289,'Customers (2)'!A:A,0))</f>
        <v>Kerr Patise</v>
      </c>
      <c r="E289" t="s">
        <v>182</v>
      </c>
      <c r="F289">
        <v>4</v>
      </c>
      <c r="G289">
        <f>INDEX([1]products!$A$1:$G$49,MATCH([1]orders!$D289,[1]products!$A$1:$A$49,0),MATCH([1]orders!K$1,[1]products!$A$1:$G$1,0))</f>
        <v>0.2</v>
      </c>
      <c r="H289">
        <f>INDEX([1]products!$A$1:$G$49,MATCH([1]orders!$D289,[1]products!$A$1:$A$49,0),MATCH([1]orders!L$1,[1]products!$A$1:$G$1,0))</f>
        <v>3.5849999999999995</v>
      </c>
      <c r="I289">
        <f t="shared" si="4"/>
        <v>14.339999999999998</v>
      </c>
    </row>
    <row r="290" spans="1:9" x14ac:dyDescent="0.25">
      <c r="A290" t="s">
        <v>590</v>
      </c>
      <c r="B290">
        <v>44279</v>
      </c>
      <c r="C290" t="s">
        <v>591</v>
      </c>
      <c r="D290" t="str">
        <f>INDEX('Customers (2)'!B:B,MATCH('Customers (2)'!A290,'Customers (2)'!A:A,0))</f>
        <v>Mathew Goulter</v>
      </c>
      <c r="E290" t="s">
        <v>3</v>
      </c>
      <c r="F290">
        <v>1</v>
      </c>
      <c r="G290">
        <f>INDEX([1]products!$A$1:$G$49,MATCH([1]orders!$D290,[1]products!$A$1:$A$49,0),MATCH([1]orders!K$1,[1]products!$A$1:$G$1,0))</f>
        <v>0.5</v>
      </c>
      <c r="H290">
        <f>INDEX([1]products!$A$1:$G$49,MATCH([1]orders!$D290,[1]products!$A$1:$A$49,0),MATCH([1]orders!L$1,[1]products!$A$1:$G$1,0))</f>
        <v>8.25</v>
      </c>
      <c r="I290">
        <f t="shared" si="4"/>
        <v>8.25</v>
      </c>
    </row>
    <row r="291" spans="1:9" x14ac:dyDescent="0.25">
      <c r="A291" t="s">
        <v>592</v>
      </c>
      <c r="B291">
        <v>43772</v>
      </c>
      <c r="C291" t="s">
        <v>593</v>
      </c>
      <c r="D291" t="str">
        <f>INDEX('Customers (2)'!B:B,MATCH('Customers (2)'!A291,'Customers (2)'!A:A,0))</f>
        <v>Marris Grcic</v>
      </c>
      <c r="E291" t="s">
        <v>101</v>
      </c>
      <c r="F291">
        <v>5</v>
      </c>
      <c r="G291">
        <f>INDEX([1]products!$A$1:$G$49,MATCH([1]orders!$D291,[1]products!$A$1:$A$49,0),MATCH([1]orders!K$1,[1]products!$A$1:$G$1,0))</f>
        <v>0.2</v>
      </c>
      <c r="H291">
        <f>INDEX([1]products!$A$1:$G$49,MATCH([1]orders!$D291,[1]products!$A$1:$A$49,0),MATCH([1]orders!L$1,[1]products!$A$1:$G$1,0))</f>
        <v>2.6849999999999996</v>
      </c>
      <c r="I291">
        <f t="shared" si="4"/>
        <v>13.424999999999997</v>
      </c>
    </row>
    <row r="292" spans="1:9" x14ac:dyDescent="0.25">
      <c r="A292" t="s">
        <v>594</v>
      </c>
      <c r="B292">
        <v>44497</v>
      </c>
      <c r="C292" t="s">
        <v>595</v>
      </c>
      <c r="D292" t="str">
        <f>INDEX('Customers (2)'!B:B,MATCH('Customers (2)'!A292,'Customers (2)'!A:A,0))</f>
        <v>Domeniga Duke</v>
      </c>
      <c r="E292" t="s">
        <v>27</v>
      </c>
      <c r="F292">
        <v>5</v>
      </c>
      <c r="G292">
        <f>INDEX([1]products!$A$1:$G$49,MATCH([1]orders!$D292,[1]products!$A$1:$A$49,0),MATCH([1]orders!K$1,[1]products!$A$1:$G$1,0))</f>
        <v>1</v>
      </c>
      <c r="H292">
        <f>INDEX([1]products!$A$1:$G$49,MATCH([1]orders!$D292,[1]products!$A$1:$A$49,0),MATCH([1]orders!L$1,[1]products!$A$1:$G$1,0))</f>
        <v>9.9499999999999993</v>
      </c>
      <c r="I292">
        <f t="shared" si="4"/>
        <v>49.75</v>
      </c>
    </row>
    <row r="293" spans="1:9" x14ac:dyDescent="0.25">
      <c r="A293" t="s">
        <v>596</v>
      </c>
      <c r="B293">
        <v>44181</v>
      </c>
      <c r="C293" t="s">
        <v>597</v>
      </c>
      <c r="D293" t="str">
        <f>INDEX('Customers (2)'!B:B,MATCH('Customers (2)'!A293,'Customers (2)'!A:A,0))</f>
        <v>Violante Skouling</v>
      </c>
      <c r="E293" t="s">
        <v>3</v>
      </c>
      <c r="F293">
        <v>2</v>
      </c>
      <c r="G293">
        <f>INDEX([1]products!$A$1:$G$49,MATCH([1]orders!$D293,[1]products!$A$1:$A$49,0),MATCH([1]orders!K$1,[1]products!$A$1:$G$1,0))</f>
        <v>0.5</v>
      </c>
      <c r="H293">
        <f>INDEX([1]products!$A$1:$G$49,MATCH([1]orders!$D293,[1]products!$A$1:$A$49,0),MATCH([1]orders!L$1,[1]products!$A$1:$G$1,0))</f>
        <v>8.25</v>
      </c>
      <c r="I293">
        <f t="shared" si="4"/>
        <v>16.5</v>
      </c>
    </row>
    <row r="294" spans="1:9" x14ac:dyDescent="0.25">
      <c r="A294" t="s">
        <v>598</v>
      </c>
      <c r="B294">
        <v>44529</v>
      </c>
      <c r="C294" t="s">
        <v>599</v>
      </c>
      <c r="D294" t="str">
        <f>INDEX('Customers (2)'!B:B,MATCH('Customers (2)'!A294,'Customers (2)'!A:A,0))</f>
        <v>Isidore Hussey</v>
      </c>
      <c r="E294" t="s">
        <v>72</v>
      </c>
      <c r="F294">
        <v>3</v>
      </c>
      <c r="G294">
        <f>INDEX([1]products!$A$1:$G$49,MATCH([1]orders!$D294,[1]products!$A$1:$A$49,0),MATCH([1]orders!K$1,[1]products!$A$1:$G$1,0))</f>
        <v>0.5</v>
      </c>
      <c r="H294">
        <f>INDEX([1]products!$A$1:$G$49,MATCH([1]orders!$D294,[1]products!$A$1:$A$49,0),MATCH([1]orders!L$1,[1]products!$A$1:$G$1,0))</f>
        <v>5.97</v>
      </c>
      <c r="I294">
        <f t="shared" si="4"/>
        <v>17.91</v>
      </c>
    </row>
    <row r="295" spans="1:9" x14ac:dyDescent="0.25">
      <c r="A295" t="s">
        <v>600</v>
      </c>
      <c r="B295">
        <v>44275</v>
      </c>
      <c r="C295" t="s">
        <v>601</v>
      </c>
      <c r="D295" t="str">
        <f>INDEX('Customers (2)'!B:B,MATCH('Customers (2)'!A295,'Customers (2)'!A:A,0))</f>
        <v>Cassie Pinkerton</v>
      </c>
      <c r="E295" t="s">
        <v>72</v>
      </c>
      <c r="F295">
        <v>5</v>
      </c>
      <c r="G295">
        <f>INDEX([1]products!$A$1:$G$49,MATCH([1]orders!$D295,[1]products!$A$1:$A$49,0),MATCH([1]orders!K$1,[1]products!$A$1:$G$1,0))</f>
        <v>0.5</v>
      </c>
      <c r="H295">
        <f>INDEX([1]products!$A$1:$G$49,MATCH([1]orders!$D295,[1]products!$A$1:$A$49,0),MATCH([1]orders!L$1,[1]products!$A$1:$G$1,0))</f>
        <v>5.97</v>
      </c>
      <c r="I295">
        <f t="shared" si="4"/>
        <v>29.849999999999998</v>
      </c>
    </row>
    <row r="296" spans="1:9" x14ac:dyDescent="0.25">
      <c r="A296" t="s">
        <v>602</v>
      </c>
      <c r="B296">
        <v>44659</v>
      </c>
      <c r="C296" t="s">
        <v>603</v>
      </c>
      <c r="D296" t="str">
        <f>INDEX('Customers (2)'!B:B,MATCH('Customers (2)'!A296,'Customers (2)'!A:A,0))</f>
        <v>Micki Fero</v>
      </c>
      <c r="E296" t="s">
        <v>137</v>
      </c>
      <c r="F296">
        <v>3</v>
      </c>
      <c r="G296">
        <f>INDEX([1]products!$A$1:$G$49,MATCH([1]orders!$D296,[1]products!$A$1:$A$49,0),MATCH([1]orders!K$1,[1]products!$A$1:$G$1,0))</f>
        <v>1</v>
      </c>
      <c r="H296">
        <f>INDEX([1]products!$A$1:$G$49,MATCH([1]orders!$D296,[1]products!$A$1:$A$49,0),MATCH([1]orders!L$1,[1]products!$A$1:$G$1,0))</f>
        <v>14.85</v>
      </c>
      <c r="I296">
        <f t="shared" si="4"/>
        <v>44.55</v>
      </c>
    </row>
    <row r="297" spans="1:9" x14ac:dyDescent="0.25">
      <c r="A297" t="s">
        <v>604</v>
      </c>
      <c r="B297">
        <v>44057</v>
      </c>
      <c r="C297" t="s">
        <v>605</v>
      </c>
      <c r="D297" t="str">
        <f>INDEX('Customers (2)'!B:B,MATCH('Customers (2)'!A297,'Customers (2)'!A:A,0))</f>
        <v>Cybill Graddell</v>
      </c>
      <c r="E297" t="s">
        <v>9</v>
      </c>
      <c r="F297">
        <v>2</v>
      </c>
      <c r="G297">
        <f>INDEX([1]products!$A$1:$G$49,MATCH([1]orders!$D297,[1]products!$A$1:$A$49,0),MATCH([1]orders!K$1,[1]products!$A$1:$G$1,0))</f>
        <v>1</v>
      </c>
      <c r="H297">
        <f>INDEX([1]products!$A$1:$G$49,MATCH([1]orders!$D297,[1]products!$A$1:$A$49,0),MATCH([1]orders!L$1,[1]products!$A$1:$G$1,0))</f>
        <v>13.75</v>
      </c>
      <c r="I297">
        <f t="shared" si="4"/>
        <v>27.5</v>
      </c>
    </row>
    <row r="298" spans="1:9" x14ac:dyDescent="0.25">
      <c r="A298" t="s">
        <v>606</v>
      </c>
      <c r="B298">
        <v>43597</v>
      </c>
      <c r="C298" t="s">
        <v>607</v>
      </c>
      <c r="D298" t="str">
        <f>INDEX('Customers (2)'!B:B,MATCH('Customers (2)'!A298,'Customers (2)'!A:A,0))</f>
        <v>Dorian Vizor</v>
      </c>
      <c r="E298" t="s">
        <v>22</v>
      </c>
      <c r="F298">
        <v>6</v>
      </c>
      <c r="G298">
        <f>INDEX([1]products!$A$1:$G$49,MATCH([1]orders!$D298,[1]products!$A$1:$A$49,0),MATCH([1]orders!K$1,[1]products!$A$1:$G$1,0))</f>
        <v>0.5</v>
      </c>
      <c r="H298">
        <f>INDEX([1]products!$A$1:$G$49,MATCH([1]orders!$D298,[1]products!$A$1:$A$49,0),MATCH([1]orders!L$1,[1]products!$A$1:$G$1,0))</f>
        <v>5.97</v>
      </c>
      <c r="I298">
        <f t="shared" si="4"/>
        <v>35.82</v>
      </c>
    </row>
    <row r="299" spans="1:9" x14ac:dyDescent="0.25">
      <c r="A299" t="s">
        <v>608</v>
      </c>
      <c r="B299">
        <v>44258</v>
      </c>
      <c r="C299" t="s">
        <v>609</v>
      </c>
      <c r="D299" t="str">
        <f>INDEX('Customers (2)'!B:B,MATCH('Customers (2)'!A299,'Customers (2)'!A:A,0))</f>
        <v>Eddi Sedgebeer</v>
      </c>
      <c r="E299" t="s">
        <v>146</v>
      </c>
      <c r="F299">
        <v>3</v>
      </c>
      <c r="G299">
        <f>INDEX([1]products!$A$1:$G$49,MATCH([1]orders!$D299,[1]products!$A$1:$A$49,0),MATCH([1]orders!K$1,[1]products!$A$1:$G$1,0))</f>
        <v>0.5</v>
      </c>
      <c r="H299">
        <f>INDEX([1]products!$A$1:$G$49,MATCH([1]orders!$D299,[1]products!$A$1:$A$49,0),MATCH([1]orders!L$1,[1]products!$A$1:$G$1,0))</f>
        <v>5.3699999999999992</v>
      </c>
      <c r="I299">
        <f t="shared" si="4"/>
        <v>16.11</v>
      </c>
    </row>
    <row r="300" spans="1:9" x14ac:dyDescent="0.25">
      <c r="A300" t="s">
        <v>610</v>
      </c>
      <c r="B300">
        <v>43872</v>
      </c>
      <c r="C300" t="s">
        <v>611</v>
      </c>
      <c r="D300" t="str">
        <f>INDEX('Customers (2)'!B:B,MATCH('Customers (2)'!A300,'Customers (2)'!A:A,0))</f>
        <v>Ken Lestrange</v>
      </c>
      <c r="E300" t="s">
        <v>254</v>
      </c>
      <c r="F300">
        <v>6</v>
      </c>
      <c r="G300">
        <f>INDEX([1]products!$A$1:$G$49,MATCH([1]orders!$D300,[1]products!$A$1:$A$49,0),MATCH([1]orders!K$1,[1]products!$A$1:$G$1,0))</f>
        <v>0.2</v>
      </c>
      <c r="H300">
        <f>INDEX([1]products!$A$1:$G$49,MATCH([1]orders!$D300,[1]products!$A$1:$A$49,0),MATCH([1]orders!L$1,[1]products!$A$1:$G$1,0))</f>
        <v>4.4550000000000001</v>
      </c>
      <c r="I300">
        <f t="shared" si="4"/>
        <v>26.73</v>
      </c>
    </row>
    <row r="301" spans="1:9" x14ac:dyDescent="0.25">
      <c r="A301" t="s">
        <v>612</v>
      </c>
      <c r="B301">
        <v>43582</v>
      </c>
      <c r="C301" t="s">
        <v>613</v>
      </c>
      <c r="D301" t="str">
        <f>INDEX('Customers (2)'!B:B,MATCH('Customers (2)'!A301,'Customers (2)'!A:A,0))</f>
        <v>Lacee Tanti</v>
      </c>
      <c r="E301" t="s">
        <v>30</v>
      </c>
      <c r="F301">
        <v>6</v>
      </c>
      <c r="G301">
        <f>INDEX([1]products!$A$1:$G$49,MATCH([1]orders!$D301,[1]products!$A$1:$A$49,0),MATCH([1]orders!K$1,[1]products!$A$1:$G$1,0))</f>
        <v>2.5</v>
      </c>
      <c r="H301">
        <f>INDEX([1]products!$A$1:$G$49,MATCH([1]orders!$D301,[1]products!$A$1:$A$49,0),MATCH([1]orders!L$1,[1]products!$A$1:$G$1,0))</f>
        <v>34.154999999999994</v>
      </c>
      <c r="I301">
        <f t="shared" si="4"/>
        <v>204.92999999999995</v>
      </c>
    </row>
    <row r="302" spans="1:9" x14ac:dyDescent="0.25">
      <c r="A302" t="s">
        <v>614</v>
      </c>
      <c r="B302">
        <v>44646</v>
      </c>
      <c r="C302" t="s">
        <v>615</v>
      </c>
      <c r="D302" t="str">
        <f>INDEX('Customers (2)'!B:B,MATCH('Customers (2)'!A302,'Customers (2)'!A:A,0))</f>
        <v>Arel De Lasci</v>
      </c>
      <c r="E302" t="s">
        <v>6</v>
      </c>
      <c r="F302">
        <v>3</v>
      </c>
      <c r="G302">
        <f>INDEX([1]products!$A$1:$G$49,MATCH([1]orders!$D302,[1]products!$A$1:$A$49,0),MATCH([1]orders!K$1,[1]products!$A$1:$G$1,0))</f>
        <v>1</v>
      </c>
      <c r="H302">
        <f>INDEX([1]products!$A$1:$G$49,MATCH([1]orders!$D302,[1]products!$A$1:$A$49,0),MATCH([1]orders!L$1,[1]products!$A$1:$G$1,0))</f>
        <v>12.95</v>
      </c>
      <c r="I302">
        <f t="shared" si="4"/>
        <v>38.849999999999994</v>
      </c>
    </row>
    <row r="303" spans="1:9" x14ac:dyDescent="0.25">
      <c r="A303" t="s">
        <v>616</v>
      </c>
      <c r="B303">
        <v>44102</v>
      </c>
      <c r="C303" t="s">
        <v>617</v>
      </c>
      <c r="D303" t="str">
        <f>INDEX('Customers (2)'!B:B,MATCH('Customers (2)'!A303,'Customers (2)'!A:A,0))</f>
        <v>Trescha Jedrachowicz</v>
      </c>
      <c r="E303" t="s">
        <v>38</v>
      </c>
      <c r="F303">
        <v>4</v>
      </c>
      <c r="G303">
        <f>INDEX([1]products!$A$1:$G$49,MATCH([1]orders!$D303,[1]products!$A$1:$A$49,0),MATCH([1]orders!K$1,[1]products!$A$1:$G$1,0))</f>
        <v>0.2</v>
      </c>
      <c r="H303">
        <f>INDEX([1]products!$A$1:$G$49,MATCH([1]orders!$D303,[1]products!$A$1:$A$49,0),MATCH([1]orders!L$1,[1]products!$A$1:$G$1,0))</f>
        <v>3.8849999999999998</v>
      </c>
      <c r="I303">
        <f t="shared" si="4"/>
        <v>15.54</v>
      </c>
    </row>
    <row r="304" spans="1:9" x14ac:dyDescent="0.25">
      <c r="A304" t="s">
        <v>618</v>
      </c>
      <c r="B304">
        <v>43762</v>
      </c>
      <c r="C304" t="s">
        <v>619</v>
      </c>
      <c r="D304" t="str">
        <f>INDEX('Customers (2)'!B:B,MATCH('Customers (2)'!A304,'Customers (2)'!A:A,0))</f>
        <v>Perkin Stonner</v>
      </c>
      <c r="E304" t="s">
        <v>67</v>
      </c>
      <c r="F304">
        <v>1</v>
      </c>
      <c r="G304">
        <f>INDEX([1]products!$A$1:$G$49,MATCH([1]orders!$D304,[1]products!$A$1:$A$49,0),MATCH([1]orders!K$1,[1]products!$A$1:$G$1,0))</f>
        <v>0.5</v>
      </c>
      <c r="H304">
        <f>INDEX([1]products!$A$1:$G$49,MATCH([1]orders!$D304,[1]products!$A$1:$A$49,0),MATCH([1]orders!L$1,[1]products!$A$1:$G$1,0))</f>
        <v>6.75</v>
      </c>
      <c r="I304">
        <f t="shared" si="4"/>
        <v>6.75</v>
      </c>
    </row>
    <row r="305" spans="1:9" x14ac:dyDescent="0.25">
      <c r="A305" t="s">
        <v>620</v>
      </c>
      <c r="B305">
        <v>44412</v>
      </c>
      <c r="C305" t="s">
        <v>621</v>
      </c>
      <c r="D305" t="str">
        <f>INDEX('Customers (2)'!B:B,MATCH('Customers (2)'!A305,'Customers (2)'!A:A,0))</f>
        <v>Darrin Tingly</v>
      </c>
      <c r="E305" t="s">
        <v>530</v>
      </c>
      <c r="F305">
        <v>4</v>
      </c>
      <c r="G305">
        <f>INDEX([1]products!$A$1:$G$49,MATCH([1]orders!$D305,[1]products!$A$1:$A$49,0),MATCH([1]orders!K$1,[1]products!$A$1:$G$1,0))</f>
        <v>2.5</v>
      </c>
      <c r="H305">
        <f>INDEX([1]products!$A$1:$G$49,MATCH([1]orders!$D305,[1]products!$A$1:$A$49,0),MATCH([1]orders!L$1,[1]products!$A$1:$G$1,0))</f>
        <v>27.945</v>
      </c>
      <c r="I305">
        <f t="shared" si="4"/>
        <v>111.78</v>
      </c>
    </row>
    <row r="306" spans="1:9" x14ac:dyDescent="0.25">
      <c r="A306" t="s">
        <v>622</v>
      </c>
      <c r="B306">
        <v>43828</v>
      </c>
      <c r="C306" t="s">
        <v>623</v>
      </c>
      <c r="D306" t="str">
        <f>INDEX('Customers (2)'!B:B,MATCH('Customers (2)'!A306,'Customers (2)'!A:A,0))</f>
        <v>Rhodie Whife</v>
      </c>
      <c r="E306" t="s">
        <v>115</v>
      </c>
      <c r="F306">
        <v>1</v>
      </c>
      <c r="G306">
        <f>INDEX([1]products!$A$1:$G$49,MATCH([1]orders!$D306,[1]products!$A$1:$A$49,0),MATCH([1]orders!K$1,[1]products!$A$1:$G$1,0))</f>
        <v>0.2</v>
      </c>
      <c r="H306">
        <f>INDEX([1]products!$A$1:$G$49,MATCH([1]orders!$D306,[1]products!$A$1:$A$49,0),MATCH([1]orders!L$1,[1]products!$A$1:$G$1,0))</f>
        <v>3.8849999999999998</v>
      </c>
      <c r="I306">
        <f t="shared" si="4"/>
        <v>3.8849999999999998</v>
      </c>
    </row>
    <row r="307" spans="1:9" x14ac:dyDescent="0.25">
      <c r="A307" t="s">
        <v>624</v>
      </c>
      <c r="B307">
        <v>43796</v>
      </c>
      <c r="C307" t="s">
        <v>625</v>
      </c>
      <c r="D307" t="str">
        <f>INDEX('Customers (2)'!B:B,MATCH('Customers (2)'!A307,'Customers (2)'!A:A,0))</f>
        <v>Benn Checci</v>
      </c>
      <c r="E307" t="s">
        <v>77</v>
      </c>
      <c r="F307">
        <v>5</v>
      </c>
      <c r="G307">
        <f>INDEX([1]products!$A$1:$G$49,MATCH([1]orders!$D307,[1]products!$A$1:$A$49,0),MATCH([1]orders!K$1,[1]products!$A$1:$G$1,0))</f>
        <v>0.2</v>
      </c>
      <c r="H307">
        <f>INDEX([1]products!$A$1:$G$49,MATCH([1]orders!$D307,[1]products!$A$1:$A$49,0),MATCH([1]orders!L$1,[1]products!$A$1:$G$1,0))</f>
        <v>4.3650000000000002</v>
      </c>
      <c r="I307">
        <f t="shared" si="4"/>
        <v>21.825000000000003</v>
      </c>
    </row>
    <row r="308" spans="1:9" x14ac:dyDescent="0.25">
      <c r="A308" t="s">
        <v>626</v>
      </c>
      <c r="B308">
        <v>43890</v>
      </c>
      <c r="C308" t="s">
        <v>627</v>
      </c>
      <c r="D308" t="str">
        <f>INDEX('Customers (2)'!B:B,MATCH('Customers (2)'!A308,'Customers (2)'!A:A,0))</f>
        <v>Janifer Bagot</v>
      </c>
      <c r="E308" t="s">
        <v>162</v>
      </c>
      <c r="F308">
        <v>5</v>
      </c>
      <c r="G308">
        <f>INDEX([1]products!$A$1:$G$49,MATCH([1]orders!$D308,[1]products!$A$1:$A$49,0),MATCH([1]orders!K$1,[1]products!$A$1:$G$1,0))</f>
        <v>0.2</v>
      </c>
      <c r="H308">
        <f>INDEX([1]products!$A$1:$G$49,MATCH([1]orders!$D308,[1]products!$A$1:$A$49,0),MATCH([1]orders!L$1,[1]products!$A$1:$G$1,0))</f>
        <v>2.9849999999999999</v>
      </c>
      <c r="I308">
        <f t="shared" si="4"/>
        <v>14.924999999999999</v>
      </c>
    </row>
    <row r="309" spans="1:9" x14ac:dyDescent="0.25">
      <c r="A309" t="s">
        <v>628</v>
      </c>
      <c r="B309">
        <v>44227</v>
      </c>
      <c r="C309" t="s">
        <v>629</v>
      </c>
      <c r="D309" t="str">
        <f>INDEX('Customers (2)'!B:B,MATCH('Customers (2)'!A309,'Customers (2)'!A:A,0))</f>
        <v>Ermin Beeble</v>
      </c>
      <c r="E309" t="s">
        <v>61</v>
      </c>
      <c r="F309">
        <v>3</v>
      </c>
      <c r="G309">
        <f>INDEX([1]products!$A$1:$G$49,MATCH([1]orders!$D309,[1]products!$A$1:$A$49,0),MATCH([1]orders!K$1,[1]products!$A$1:$G$1,0))</f>
        <v>1</v>
      </c>
      <c r="H309">
        <f>INDEX([1]products!$A$1:$G$49,MATCH([1]orders!$D309,[1]products!$A$1:$A$49,0),MATCH([1]orders!L$1,[1]products!$A$1:$G$1,0))</f>
        <v>11.25</v>
      </c>
      <c r="I309">
        <f t="shared" si="4"/>
        <v>33.75</v>
      </c>
    </row>
    <row r="310" spans="1:9" x14ac:dyDescent="0.25">
      <c r="A310" t="s">
        <v>630</v>
      </c>
      <c r="B310">
        <v>44729</v>
      </c>
      <c r="C310" t="s">
        <v>631</v>
      </c>
      <c r="D310" t="str">
        <f>INDEX('Customers (2)'!B:B,MATCH('Customers (2)'!A310,'Customers (2)'!A:A,0))</f>
        <v>Cos Fluin</v>
      </c>
      <c r="E310" t="s">
        <v>61</v>
      </c>
      <c r="F310">
        <v>3</v>
      </c>
      <c r="G310">
        <f>INDEX([1]products!$A$1:$G$49,MATCH([1]orders!$D310,[1]products!$A$1:$A$49,0),MATCH([1]orders!K$1,[1]products!$A$1:$G$1,0))</f>
        <v>1</v>
      </c>
      <c r="H310">
        <f>INDEX([1]products!$A$1:$G$49,MATCH([1]orders!$D310,[1]products!$A$1:$A$49,0),MATCH([1]orders!L$1,[1]products!$A$1:$G$1,0))</f>
        <v>11.25</v>
      </c>
      <c r="I310">
        <f t="shared" si="4"/>
        <v>33.75</v>
      </c>
    </row>
    <row r="311" spans="1:9" x14ac:dyDescent="0.25">
      <c r="A311" t="s">
        <v>632</v>
      </c>
      <c r="B311">
        <v>43864</v>
      </c>
      <c r="C311" t="s">
        <v>633</v>
      </c>
      <c r="D311" t="str">
        <f>INDEX('Customers (2)'!B:B,MATCH('Customers (2)'!A311,'Customers (2)'!A:A,0))</f>
        <v>Eveleen Bletsor</v>
      </c>
      <c r="E311" t="s">
        <v>77</v>
      </c>
      <c r="F311">
        <v>6</v>
      </c>
      <c r="G311">
        <f>INDEX([1]products!$A$1:$G$49,MATCH([1]orders!$D311,[1]products!$A$1:$A$49,0),MATCH([1]orders!K$1,[1]products!$A$1:$G$1,0))</f>
        <v>0.2</v>
      </c>
      <c r="H311">
        <f>INDEX([1]products!$A$1:$G$49,MATCH([1]orders!$D311,[1]products!$A$1:$A$49,0),MATCH([1]orders!L$1,[1]products!$A$1:$G$1,0))</f>
        <v>4.3650000000000002</v>
      </c>
      <c r="I311">
        <f t="shared" si="4"/>
        <v>26.19</v>
      </c>
    </row>
    <row r="312" spans="1:9" x14ac:dyDescent="0.25">
      <c r="A312" t="s">
        <v>634</v>
      </c>
      <c r="B312">
        <v>44586</v>
      </c>
      <c r="C312" t="s">
        <v>635</v>
      </c>
      <c r="D312" t="str">
        <f>INDEX('Customers (2)'!B:B,MATCH('Customers (2)'!A312,'Customers (2)'!A:A,0))</f>
        <v>Paola Brydell</v>
      </c>
      <c r="E312" t="s">
        <v>137</v>
      </c>
      <c r="F312">
        <v>1</v>
      </c>
      <c r="G312">
        <f>INDEX([1]products!$A$1:$G$49,MATCH([1]orders!$D312,[1]products!$A$1:$A$49,0),MATCH([1]orders!K$1,[1]products!$A$1:$G$1,0))</f>
        <v>1</v>
      </c>
      <c r="H312">
        <f>INDEX([1]products!$A$1:$G$49,MATCH([1]orders!$D312,[1]products!$A$1:$A$49,0),MATCH([1]orders!L$1,[1]products!$A$1:$G$1,0))</f>
        <v>14.85</v>
      </c>
      <c r="I312">
        <f t="shared" si="4"/>
        <v>14.85</v>
      </c>
    </row>
    <row r="313" spans="1:9" x14ac:dyDescent="0.25">
      <c r="A313" t="s">
        <v>636</v>
      </c>
      <c r="B313">
        <v>43951</v>
      </c>
      <c r="C313" t="s">
        <v>623</v>
      </c>
      <c r="D313" t="str">
        <f>INDEX('Customers (2)'!B:B,MATCH('Customers (2)'!A313,'Customers (2)'!A:A,0))</f>
        <v>Claudetta Rushe</v>
      </c>
      <c r="E313" t="s">
        <v>112</v>
      </c>
      <c r="F313">
        <v>6</v>
      </c>
      <c r="G313">
        <f>INDEX([1]products!$A$1:$G$49,MATCH([1]orders!$D313,[1]products!$A$1:$A$49,0),MATCH([1]orders!K$1,[1]products!$A$1:$G$1,0))</f>
        <v>2.5</v>
      </c>
      <c r="H313">
        <f>INDEX([1]products!$A$1:$G$49,MATCH([1]orders!$D313,[1]products!$A$1:$A$49,0),MATCH([1]orders!L$1,[1]products!$A$1:$G$1,0))</f>
        <v>31.624999999999996</v>
      </c>
      <c r="I313">
        <f t="shared" si="4"/>
        <v>189.74999999999997</v>
      </c>
    </row>
    <row r="314" spans="1:9" x14ac:dyDescent="0.25">
      <c r="A314" t="s">
        <v>637</v>
      </c>
      <c r="B314">
        <v>44317</v>
      </c>
      <c r="C314" t="s">
        <v>638</v>
      </c>
      <c r="D314" t="str">
        <f>INDEX('Customers (2)'!B:B,MATCH('Customers (2)'!A314,'Customers (2)'!A:A,0))</f>
        <v>Natka Leethem</v>
      </c>
      <c r="E314" t="s">
        <v>22</v>
      </c>
      <c r="F314">
        <v>1</v>
      </c>
      <c r="G314">
        <f>INDEX([1]products!$A$1:$G$49,MATCH([1]orders!$D314,[1]products!$A$1:$A$49,0),MATCH([1]orders!K$1,[1]products!$A$1:$G$1,0))</f>
        <v>0.5</v>
      </c>
      <c r="H314">
        <f>INDEX([1]products!$A$1:$G$49,MATCH([1]orders!$D314,[1]products!$A$1:$A$49,0),MATCH([1]orders!L$1,[1]products!$A$1:$G$1,0))</f>
        <v>5.97</v>
      </c>
      <c r="I314">
        <f t="shared" si="4"/>
        <v>5.97</v>
      </c>
    </row>
    <row r="315" spans="1:9" x14ac:dyDescent="0.25">
      <c r="A315" t="s">
        <v>639</v>
      </c>
      <c r="B315">
        <v>44497</v>
      </c>
      <c r="C315" t="s">
        <v>640</v>
      </c>
      <c r="D315" t="str">
        <f>INDEX('Customers (2)'!B:B,MATCH('Customers (2)'!A315,'Customers (2)'!A:A,0))</f>
        <v>Ailene Nesfield</v>
      </c>
      <c r="E315" t="s">
        <v>2</v>
      </c>
      <c r="F315">
        <v>3</v>
      </c>
      <c r="G315">
        <f>INDEX([1]products!$A$1:$G$49,MATCH([1]orders!$D315,[1]products!$A$1:$A$49,0),MATCH([1]orders!K$1,[1]products!$A$1:$G$1,0))</f>
        <v>1</v>
      </c>
      <c r="H315">
        <f>INDEX([1]products!$A$1:$G$49,MATCH([1]orders!$D315,[1]products!$A$1:$A$49,0),MATCH([1]orders!L$1,[1]products!$A$1:$G$1,0))</f>
        <v>9.9499999999999993</v>
      </c>
      <c r="I315">
        <f t="shared" si="4"/>
        <v>29.849999999999998</v>
      </c>
    </row>
    <row r="316" spans="1:9" x14ac:dyDescent="0.25">
      <c r="A316" t="s">
        <v>641</v>
      </c>
      <c r="B316">
        <v>44437</v>
      </c>
      <c r="C316" t="s">
        <v>642</v>
      </c>
      <c r="D316" t="str">
        <f>INDEX('Customers (2)'!B:B,MATCH('Customers (2)'!A316,'Customers (2)'!A:A,0))</f>
        <v>Stacy Pickworth</v>
      </c>
      <c r="E316" t="s">
        <v>179</v>
      </c>
      <c r="F316">
        <v>5</v>
      </c>
      <c r="G316">
        <f>INDEX([1]products!$A$1:$G$49,MATCH([1]orders!$D316,[1]products!$A$1:$A$49,0),MATCH([1]orders!K$1,[1]products!$A$1:$G$1,0))</f>
        <v>1</v>
      </c>
      <c r="H316">
        <f>INDEX([1]products!$A$1:$G$49,MATCH([1]orders!$D316,[1]products!$A$1:$A$49,0),MATCH([1]orders!L$1,[1]products!$A$1:$G$1,0))</f>
        <v>8.9499999999999993</v>
      </c>
      <c r="I316">
        <f t="shared" si="4"/>
        <v>44.75</v>
      </c>
    </row>
    <row r="317" spans="1:9" x14ac:dyDescent="0.25">
      <c r="A317" t="s">
        <v>643</v>
      </c>
      <c r="B317">
        <v>43826</v>
      </c>
      <c r="C317" t="s">
        <v>644</v>
      </c>
      <c r="D317" t="str">
        <f>INDEX('Customers (2)'!B:B,MATCH('Customers (2)'!A317,'Customers (2)'!A:A,0))</f>
        <v>Melli Brockway</v>
      </c>
      <c r="E317" t="s">
        <v>30</v>
      </c>
      <c r="F317">
        <v>1</v>
      </c>
      <c r="G317">
        <f>INDEX([1]products!$A$1:$G$49,MATCH([1]orders!$D317,[1]products!$A$1:$A$49,0),MATCH([1]orders!K$1,[1]products!$A$1:$G$1,0))</f>
        <v>2.5</v>
      </c>
      <c r="H317">
        <f>INDEX([1]products!$A$1:$G$49,MATCH([1]orders!$D317,[1]products!$A$1:$A$49,0),MATCH([1]orders!L$1,[1]products!$A$1:$G$1,0))</f>
        <v>34.154999999999994</v>
      </c>
      <c r="I317">
        <f t="shared" si="4"/>
        <v>34.154999999999994</v>
      </c>
    </row>
    <row r="318" spans="1:9" x14ac:dyDescent="0.25">
      <c r="A318" t="s">
        <v>645</v>
      </c>
      <c r="B318">
        <v>43641</v>
      </c>
      <c r="C318" t="s">
        <v>646</v>
      </c>
      <c r="D318" t="str">
        <f>INDEX('Customers (2)'!B:B,MATCH('Customers (2)'!A318,'Customers (2)'!A:A,0))</f>
        <v>Nanny Lush</v>
      </c>
      <c r="E318" t="s">
        <v>30</v>
      </c>
      <c r="F318">
        <v>6</v>
      </c>
      <c r="G318">
        <f>INDEX([1]products!$A$1:$G$49,MATCH([1]orders!$D318,[1]products!$A$1:$A$49,0),MATCH([1]orders!K$1,[1]products!$A$1:$G$1,0))</f>
        <v>2.5</v>
      </c>
      <c r="H318">
        <f>INDEX([1]products!$A$1:$G$49,MATCH([1]orders!$D318,[1]products!$A$1:$A$49,0),MATCH([1]orders!L$1,[1]products!$A$1:$G$1,0))</f>
        <v>34.154999999999994</v>
      </c>
      <c r="I318">
        <f t="shared" si="4"/>
        <v>204.92999999999995</v>
      </c>
    </row>
    <row r="319" spans="1:9" x14ac:dyDescent="0.25">
      <c r="A319" t="s">
        <v>647</v>
      </c>
      <c r="B319">
        <v>43526</v>
      </c>
      <c r="C319" t="s">
        <v>648</v>
      </c>
      <c r="D319" t="str">
        <f>INDEX('Customers (2)'!B:B,MATCH('Customers (2)'!A319,'Customers (2)'!A:A,0))</f>
        <v>Selma McMillian</v>
      </c>
      <c r="E319" t="s">
        <v>16</v>
      </c>
      <c r="F319">
        <v>3</v>
      </c>
      <c r="G319">
        <f>INDEX([1]products!$A$1:$G$49,MATCH([1]orders!$D319,[1]products!$A$1:$A$49,0),MATCH([1]orders!K$1,[1]products!$A$1:$G$1,0))</f>
        <v>0.5</v>
      </c>
      <c r="H319">
        <f>INDEX([1]products!$A$1:$G$49,MATCH([1]orders!$D319,[1]products!$A$1:$A$49,0),MATCH([1]orders!L$1,[1]products!$A$1:$G$1,0))</f>
        <v>7.29</v>
      </c>
      <c r="I319">
        <f t="shared" si="4"/>
        <v>21.87</v>
      </c>
    </row>
    <row r="320" spans="1:9" x14ac:dyDescent="0.25">
      <c r="A320" t="s">
        <v>649</v>
      </c>
      <c r="B320">
        <v>44563</v>
      </c>
      <c r="C320" t="s">
        <v>650</v>
      </c>
      <c r="D320" t="str">
        <f>INDEX('Customers (2)'!B:B,MATCH('Customers (2)'!A320,'Customers (2)'!A:A,0))</f>
        <v>Tess Bennison</v>
      </c>
      <c r="E320" t="s">
        <v>171</v>
      </c>
      <c r="F320">
        <v>2</v>
      </c>
      <c r="G320">
        <f>INDEX([1]products!$A$1:$G$49,MATCH([1]orders!$D320,[1]products!$A$1:$A$49,0),MATCH([1]orders!K$1,[1]products!$A$1:$G$1,0))</f>
        <v>2.5</v>
      </c>
      <c r="H320">
        <f>INDEX([1]products!$A$1:$G$49,MATCH([1]orders!$D320,[1]products!$A$1:$A$49,0),MATCH([1]orders!L$1,[1]products!$A$1:$G$1,0))</f>
        <v>25.874999999999996</v>
      </c>
      <c r="I320">
        <f t="shared" si="4"/>
        <v>51.749999999999993</v>
      </c>
    </row>
    <row r="321" spans="1:9" x14ac:dyDescent="0.25">
      <c r="A321" t="s">
        <v>651</v>
      </c>
      <c r="B321">
        <v>43676</v>
      </c>
      <c r="C321" t="s">
        <v>652</v>
      </c>
      <c r="D321" t="str">
        <f>INDEX('Customers (2)'!B:B,MATCH('Customers (2)'!A321,'Customers (2)'!A:A,0))</f>
        <v>Gabie Tweed</v>
      </c>
      <c r="E321" t="s">
        <v>64</v>
      </c>
      <c r="F321">
        <v>2</v>
      </c>
      <c r="G321">
        <f>INDEX([1]products!$A$1:$G$49,MATCH([1]orders!$D321,[1]products!$A$1:$A$49,0),MATCH([1]orders!K$1,[1]products!$A$1:$G$1,0))</f>
        <v>0.2</v>
      </c>
      <c r="H321">
        <f>INDEX([1]products!$A$1:$G$49,MATCH([1]orders!$D321,[1]products!$A$1:$A$49,0),MATCH([1]orders!L$1,[1]products!$A$1:$G$1,0))</f>
        <v>4.125</v>
      </c>
      <c r="I321">
        <f t="shared" si="4"/>
        <v>8.25</v>
      </c>
    </row>
    <row r="322" spans="1:9" x14ac:dyDescent="0.25">
      <c r="A322" t="s">
        <v>651</v>
      </c>
      <c r="B322">
        <v>43676</v>
      </c>
      <c r="C322" t="s">
        <v>652</v>
      </c>
      <c r="D322" t="str">
        <f>INDEX('Customers (2)'!B:B,MATCH('Customers (2)'!A322,'Customers (2)'!A:A,0))</f>
        <v>Freddie Cusick</v>
      </c>
      <c r="E322" t="s">
        <v>115</v>
      </c>
      <c r="F322">
        <v>5</v>
      </c>
      <c r="G322">
        <f>INDEX([1]products!$A$1:$G$49,MATCH([1]orders!$D322,[1]products!$A$1:$A$49,0),MATCH([1]orders!K$1,[1]products!$A$1:$G$1,0))</f>
        <v>0.2</v>
      </c>
      <c r="H322">
        <f>INDEX([1]products!$A$1:$G$49,MATCH([1]orders!$D322,[1]products!$A$1:$A$49,0),MATCH([1]orders!L$1,[1]products!$A$1:$G$1,0))</f>
        <v>3.8849999999999998</v>
      </c>
      <c r="I322">
        <f t="shared" ref="I322:I385" si="5">F322*H322</f>
        <v>19.424999999999997</v>
      </c>
    </row>
    <row r="323" spans="1:9" x14ac:dyDescent="0.25">
      <c r="A323" t="s">
        <v>653</v>
      </c>
      <c r="B323">
        <v>44170</v>
      </c>
      <c r="C323" t="s">
        <v>654</v>
      </c>
      <c r="D323" t="str">
        <f>INDEX('Customers (2)'!B:B,MATCH('Customers (2)'!A323,'Customers (2)'!A:A,0))</f>
        <v>Gaile Goggin</v>
      </c>
      <c r="E323" t="s">
        <v>44</v>
      </c>
      <c r="F323">
        <v>6</v>
      </c>
      <c r="G323">
        <f>INDEX([1]products!$A$1:$G$49,MATCH([1]orders!$D323,[1]products!$A$1:$A$49,0),MATCH([1]orders!K$1,[1]products!$A$1:$G$1,0))</f>
        <v>0.2</v>
      </c>
      <c r="H323">
        <f>INDEX([1]products!$A$1:$G$49,MATCH([1]orders!$D323,[1]products!$A$1:$A$49,0),MATCH([1]orders!L$1,[1]products!$A$1:$G$1,0))</f>
        <v>3.375</v>
      </c>
      <c r="I323">
        <f t="shared" si="5"/>
        <v>20.25</v>
      </c>
    </row>
    <row r="324" spans="1:9" x14ac:dyDescent="0.25">
      <c r="A324" t="s">
        <v>655</v>
      </c>
      <c r="B324">
        <v>44182</v>
      </c>
      <c r="C324" t="s">
        <v>656</v>
      </c>
      <c r="D324" t="str">
        <f>INDEX('Customers (2)'!B:B,MATCH('Customers (2)'!A324,'Customers (2)'!A:A,0))</f>
        <v>Skylar Jeyness</v>
      </c>
      <c r="E324" t="s">
        <v>123</v>
      </c>
      <c r="F324">
        <v>3</v>
      </c>
      <c r="G324">
        <f>INDEX([1]products!$A$1:$G$49,MATCH([1]orders!$D324,[1]products!$A$1:$A$49,0),MATCH([1]orders!K$1,[1]products!$A$1:$G$1,0))</f>
        <v>0.5</v>
      </c>
      <c r="H324">
        <f>INDEX([1]products!$A$1:$G$49,MATCH([1]orders!$D324,[1]products!$A$1:$A$49,0),MATCH([1]orders!L$1,[1]products!$A$1:$G$1,0))</f>
        <v>7.77</v>
      </c>
      <c r="I324">
        <f t="shared" si="5"/>
        <v>23.31</v>
      </c>
    </row>
    <row r="325" spans="1:9" x14ac:dyDescent="0.25">
      <c r="A325" t="s">
        <v>657</v>
      </c>
      <c r="B325">
        <v>44373</v>
      </c>
      <c r="C325" t="s">
        <v>658</v>
      </c>
      <c r="D325" t="str">
        <f>INDEX('Customers (2)'!B:B,MATCH('Customers (2)'!A325,'Customers (2)'!A:A,0))</f>
        <v>Donica Bonhome</v>
      </c>
      <c r="E325" t="s">
        <v>51</v>
      </c>
      <c r="F325">
        <v>5</v>
      </c>
      <c r="G325">
        <f>INDEX([1]products!$A$1:$G$49,MATCH([1]orders!$D325,[1]products!$A$1:$A$49,0),MATCH([1]orders!K$1,[1]products!$A$1:$G$1,0))</f>
        <v>0.2</v>
      </c>
      <c r="H325">
        <f>INDEX([1]products!$A$1:$G$49,MATCH([1]orders!$D325,[1]products!$A$1:$A$49,0),MATCH([1]orders!L$1,[1]products!$A$1:$G$1,0))</f>
        <v>3.645</v>
      </c>
      <c r="I325">
        <f t="shared" si="5"/>
        <v>18.225000000000001</v>
      </c>
    </row>
    <row r="326" spans="1:9" x14ac:dyDescent="0.25">
      <c r="A326" t="s">
        <v>659</v>
      </c>
      <c r="B326">
        <v>43666</v>
      </c>
      <c r="C326" t="s">
        <v>660</v>
      </c>
      <c r="D326" t="str">
        <f>INDEX('Customers (2)'!B:B,MATCH('Customers (2)'!A326,'Customers (2)'!A:A,0))</f>
        <v>Diena Peetermann</v>
      </c>
      <c r="E326" t="s">
        <v>9</v>
      </c>
      <c r="F326">
        <v>1</v>
      </c>
      <c r="G326">
        <f>INDEX([1]products!$A$1:$G$49,MATCH([1]orders!$D326,[1]products!$A$1:$A$49,0),MATCH([1]orders!K$1,[1]products!$A$1:$G$1,0))</f>
        <v>1</v>
      </c>
      <c r="H326">
        <f>INDEX([1]products!$A$1:$G$49,MATCH([1]orders!$D326,[1]products!$A$1:$A$49,0),MATCH([1]orders!L$1,[1]products!$A$1:$G$1,0))</f>
        <v>13.75</v>
      </c>
      <c r="I326">
        <f t="shared" si="5"/>
        <v>13.75</v>
      </c>
    </row>
    <row r="327" spans="1:9" x14ac:dyDescent="0.25">
      <c r="A327" t="s">
        <v>661</v>
      </c>
      <c r="B327">
        <v>44756</v>
      </c>
      <c r="C327" t="s">
        <v>662</v>
      </c>
      <c r="D327" t="str">
        <f>INDEX('Customers (2)'!B:B,MATCH('Customers (2)'!A327,'Customers (2)'!A:A,0))</f>
        <v>Trina Le Sarr</v>
      </c>
      <c r="E327" t="s">
        <v>204</v>
      </c>
      <c r="F327">
        <v>1</v>
      </c>
      <c r="G327">
        <f>INDEX([1]products!$A$1:$G$49,MATCH([1]orders!$D327,[1]products!$A$1:$A$49,0),MATCH([1]orders!K$1,[1]products!$A$1:$G$1,0))</f>
        <v>2.5</v>
      </c>
      <c r="H327">
        <f>INDEX([1]products!$A$1:$G$49,MATCH([1]orders!$D327,[1]products!$A$1:$A$49,0),MATCH([1]orders!L$1,[1]products!$A$1:$G$1,0))</f>
        <v>29.784999999999997</v>
      </c>
      <c r="I327">
        <f t="shared" si="5"/>
        <v>29.784999999999997</v>
      </c>
    </row>
    <row r="328" spans="1:9" x14ac:dyDescent="0.25">
      <c r="A328" t="s">
        <v>663</v>
      </c>
      <c r="B328">
        <v>44057</v>
      </c>
      <c r="C328" t="s">
        <v>664</v>
      </c>
      <c r="D328" t="str">
        <f>INDEX('Customers (2)'!B:B,MATCH('Customers (2)'!A328,'Customers (2)'!A:A,0))</f>
        <v>Flynn Antony</v>
      </c>
      <c r="E328" t="s">
        <v>179</v>
      </c>
      <c r="F328">
        <v>5</v>
      </c>
      <c r="G328">
        <f>INDEX([1]products!$A$1:$G$49,MATCH([1]orders!$D328,[1]products!$A$1:$A$49,0),MATCH([1]orders!K$1,[1]products!$A$1:$G$1,0))</f>
        <v>1</v>
      </c>
      <c r="H328">
        <f>INDEX([1]products!$A$1:$G$49,MATCH([1]orders!$D328,[1]products!$A$1:$A$49,0),MATCH([1]orders!L$1,[1]products!$A$1:$G$1,0))</f>
        <v>8.9499999999999993</v>
      </c>
      <c r="I328">
        <f t="shared" si="5"/>
        <v>44.75</v>
      </c>
    </row>
    <row r="329" spans="1:9" x14ac:dyDescent="0.25">
      <c r="A329" t="s">
        <v>665</v>
      </c>
      <c r="B329">
        <v>43579</v>
      </c>
      <c r="C329" t="s">
        <v>666</v>
      </c>
      <c r="D329" t="str">
        <f>INDEX('Customers (2)'!B:B,MATCH('Customers (2)'!A329,'Customers (2)'!A:A,0))</f>
        <v>Baudoin Alldridge</v>
      </c>
      <c r="E329" t="s">
        <v>179</v>
      </c>
      <c r="F329">
        <v>5</v>
      </c>
      <c r="G329">
        <f>INDEX([1]products!$A$1:$G$49,MATCH([1]orders!$D329,[1]products!$A$1:$A$49,0),MATCH([1]orders!K$1,[1]products!$A$1:$G$1,0))</f>
        <v>1</v>
      </c>
      <c r="H329">
        <f>INDEX([1]products!$A$1:$G$49,MATCH([1]orders!$D329,[1]products!$A$1:$A$49,0),MATCH([1]orders!L$1,[1]products!$A$1:$G$1,0))</f>
        <v>8.9499999999999993</v>
      </c>
      <c r="I329">
        <f t="shared" si="5"/>
        <v>44.75</v>
      </c>
    </row>
    <row r="330" spans="1:9" x14ac:dyDescent="0.25">
      <c r="A330" t="s">
        <v>667</v>
      </c>
      <c r="B330">
        <v>43620</v>
      </c>
      <c r="C330" t="s">
        <v>668</v>
      </c>
      <c r="D330" t="str">
        <f>INDEX('Customers (2)'!B:B,MATCH('Customers (2)'!A330,'Customers (2)'!A:A,0))</f>
        <v>Homer Dulany</v>
      </c>
      <c r="E330" t="s">
        <v>83</v>
      </c>
      <c r="F330">
        <v>4</v>
      </c>
      <c r="G330">
        <f>INDEX([1]products!$A$1:$G$49,MATCH([1]orders!$D330,[1]products!$A$1:$A$49,0),MATCH([1]orders!K$1,[1]products!$A$1:$G$1,0))</f>
        <v>0.5</v>
      </c>
      <c r="H330">
        <f>INDEX([1]products!$A$1:$G$49,MATCH([1]orders!$D330,[1]products!$A$1:$A$49,0),MATCH([1]orders!L$1,[1]products!$A$1:$G$1,0))</f>
        <v>9.51</v>
      </c>
      <c r="I330">
        <f t="shared" si="5"/>
        <v>38.04</v>
      </c>
    </row>
    <row r="331" spans="1:9" x14ac:dyDescent="0.25">
      <c r="A331" t="s">
        <v>669</v>
      </c>
      <c r="B331">
        <v>44781</v>
      </c>
      <c r="C331" t="s">
        <v>670</v>
      </c>
      <c r="D331" t="str">
        <f>INDEX('Customers (2)'!B:B,MATCH('Customers (2)'!A331,'Customers (2)'!A:A,0))</f>
        <v>Lisa Goodger</v>
      </c>
      <c r="E331" t="s">
        <v>146</v>
      </c>
      <c r="F331">
        <v>4</v>
      </c>
      <c r="G331">
        <f>INDEX([1]products!$A$1:$G$49,MATCH([1]orders!$D331,[1]products!$A$1:$A$49,0),MATCH([1]orders!K$1,[1]products!$A$1:$G$1,0))</f>
        <v>0.5</v>
      </c>
      <c r="H331">
        <f>INDEX([1]products!$A$1:$G$49,MATCH([1]orders!$D331,[1]products!$A$1:$A$49,0),MATCH([1]orders!L$1,[1]products!$A$1:$G$1,0))</f>
        <v>5.3699999999999992</v>
      </c>
      <c r="I331">
        <f t="shared" si="5"/>
        <v>21.479999999999997</v>
      </c>
    </row>
    <row r="332" spans="1:9" x14ac:dyDescent="0.25">
      <c r="A332" t="s">
        <v>671</v>
      </c>
      <c r="B332">
        <v>43782</v>
      </c>
      <c r="C332" t="s">
        <v>648</v>
      </c>
      <c r="D332" t="str">
        <f>INDEX('Customers (2)'!B:B,MATCH('Customers (2)'!A332,'Customers (2)'!A:A,0))</f>
        <v>Fiorenze Drogan</v>
      </c>
      <c r="E332" t="s">
        <v>146</v>
      </c>
      <c r="F332">
        <v>3</v>
      </c>
      <c r="G332">
        <f>INDEX([1]products!$A$1:$G$49,MATCH([1]orders!$D332,[1]products!$A$1:$A$49,0),MATCH([1]orders!K$1,[1]products!$A$1:$G$1,0))</f>
        <v>0.5</v>
      </c>
      <c r="H332">
        <f>INDEX([1]products!$A$1:$G$49,MATCH([1]orders!$D332,[1]products!$A$1:$A$49,0),MATCH([1]orders!L$1,[1]products!$A$1:$G$1,0))</f>
        <v>5.3699999999999992</v>
      </c>
      <c r="I332">
        <f t="shared" si="5"/>
        <v>16.11</v>
      </c>
    </row>
    <row r="333" spans="1:9" x14ac:dyDescent="0.25">
      <c r="A333" t="s">
        <v>672</v>
      </c>
      <c r="B333">
        <v>43989</v>
      </c>
      <c r="C333" t="s">
        <v>673</v>
      </c>
      <c r="D333" t="str">
        <f>INDEX('Customers (2)'!B:B,MATCH('Customers (2)'!A333,'Customers (2)'!A:A,0))</f>
        <v>Corine Drewett</v>
      </c>
      <c r="E333" t="s">
        <v>41</v>
      </c>
      <c r="F333">
        <v>1</v>
      </c>
      <c r="G333">
        <f>INDEX([1]products!$A$1:$G$49,MATCH([1]orders!$D333,[1]products!$A$1:$A$49,0),MATCH([1]orders!K$1,[1]products!$A$1:$G$1,0))</f>
        <v>2.5</v>
      </c>
      <c r="H333">
        <f>INDEX([1]products!$A$1:$G$49,MATCH([1]orders!$D333,[1]products!$A$1:$A$49,0),MATCH([1]orders!L$1,[1]products!$A$1:$G$1,0))</f>
        <v>22.884999999999998</v>
      </c>
      <c r="I333">
        <f t="shared" si="5"/>
        <v>22.884999999999998</v>
      </c>
    </row>
    <row r="334" spans="1:9" x14ac:dyDescent="0.25">
      <c r="A334" t="s">
        <v>674</v>
      </c>
      <c r="B334">
        <v>43689</v>
      </c>
      <c r="C334" t="s">
        <v>675</v>
      </c>
      <c r="D334" t="str">
        <f>INDEX('Customers (2)'!B:B,MATCH('Customers (2)'!A334,'Customers (2)'!A:A,0))</f>
        <v>Quinn Parsons</v>
      </c>
      <c r="E334" t="s">
        <v>72</v>
      </c>
      <c r="F334">
        <v>3</v>
      </c>
      <c r="G334">
        <f>INDEX([1]products!$A$1:$G$49,MATCH([1]orders!$D334,[1]products!$A$1:$A$49,0),MATCH([1]orders!K$1,[1]products!$A$1:$G$1,0))</f>
        <v>0.5</v>
      </c>
      <c r="H334">
        <f>INDEX([1]products!$A$1:$G$49,MATCH([1]orders!$D334,[1]products!$A$1:$A$49,0),MATCH([1]orders!L$1,[1]products!$A$1:$G$1,0))</f>
        <v>5.97</v>
      </c>
      <c r="I334">
        <f t="shared" si="5"/>
        <v>17.91</v>
      </c>
    </row>
    <row r="335" spans="1:9" x14ac:dyDescent="0.25">
      <c r="A335" t="s">
        <v>676</v>
      </c>
      <c r="B335">
        <v>43712</v>
      </c>
      <c r="C335" t="s">
        <v>677</v>
      </c>
      <c r="D335" t="str">
        <f>INDEX('Customers (2)'!B:B,MATCH('Customers (2)'!A335,'Customers (2)'!A:A,0))</f>
        <v>Vivyan Ceely</v>
      </c>
      <c r="E335" t="s">
        <v>22</v>
      </c>
      <c r="F335">
        <v>4</v>
      </c>
      <c r="G335">
        <f>INDEX([1]products!$A$1:$G$49,MATCH([1]orders!$D335,[1]products!$A$1:$A$49,0),MATCH([1]orders!K$1,[1]products!$A$1:$G$1,0))</f>
        <v>0.5</v>
      </c>
      <c r="H335">
        <f>INDEX([1]products!$A$1:$G$49,MATCH([1]orders!$D335,[1]products!$A$1:$A$49,0),MATCH([1]orders!L$1,[1]products!$A$1:$G$1,0))</f>
        <v>5.97</v>
      </c>
      <c r="I335">
        <f t="shared" si="5"/>
        <v>23.88</v>
      </c>
    </row>
    <row r="336" spans="1:9" x14ac:dyDescent="0.25">
      <c r="A336" t="s">
        <v>678</v>
      </c>
      <c r="B336">
        <v>43742</v>
      </c>
      <c r="C336" t="s">
        <v>679</v>
      </c>
      <c r="D336" t="str">
        <f>INDEX('Customers (2)'!B:B,MATCH('Customers (2)'!A336,'Customers (2)'!A:A,0))</f>
        <v>Elonore Goodings</v>
      </c>
      <c r="E336" t="s">
        <v>189</v>
      </c>
      <c r="F336">
        <v>5</v>
      </c>
      <c r="G336">
        <f>INDEX([1]products!$A$1:$G$49,MATCH([1]orders!$D336,[1]products!$A$1:$A$49,0),MATCH([1]orders!K$1,[1]products!$A$1:$G$1,0))</f>
        <v>1</v>
      </c>
      <c r="H336">
        <f>INDEX([1]products!$A$1:$G$49,MATCH([1]orders!$D336,[1]products!$A$1:$A$49,0),MATCH([1]orders!L$1,[1]products!$A$1:$G$1,0))</f>
        <v>11.95</v>
      </c>
      <c r="I336">
        <f t="shared" si="5"/>
        <v>59.75</v>
      </c>
    </row>
    <row r="337" spans="1:9" x14ac:dyDescent="0.25">
      <c r="A337" t="s">
        <v>680</v>
      </c>
      <c r="B337">
        <v>43885</v>
      </c>
      <c r="C337" t="s">
        <v>681</v>
      </c>
      <c r="D337" t="str">
        <f>INDEX('Customers (2)'!B:B,MATCH('Customers (2)'!A337,'Customers (2)'!A:A,0))</f>
        <v>Clement Vasiliev</v>
      </c>
      <c r="E337" t="s">
        <v>19</v>
      </c>
      <c r="F337">
        <v>6</v>
      </c>
      <c r="G337">
        <f>INDEX([1]products!$A$1:$G$49,MATCH([1]orders!$D337,[1]products!$A$1:$A$49,0),MATCH([1]orders!K$1,[1]products!$A$1:$G$1,0))</f>
        <v>0.2</v>
      </c>
      <c r="H337">
        <f>INDEX([1]products!$A$1:$G$49,MATCH([1]orders!$D337,[1]products!$A$1:$A$49,0),MATCH([1]orders!L$1,[1]products!$A$1:$G$1,0))</f>
        <v>4.7549999999999999</v>
      </c>
      <c r="I337">
        <f t="shared" si="5"/>
        <v>28.53</v>
      </c>
    </row>
    <row r="338" spans="1:9" x14ac:dyDescent="0.25">
      <c r="A338" t="s">
        <v>682</v>
      </c>
      <c r="B338">
        <v>44434</v>
      </c>
      <c r="C338" t="s">
        <v>683</v>
      </c>
      <c r="D338" t="str">
        <f>INDEX('Customers (2)'!B:B,MATCH('Customers (2)'!A338,'Customers (2)'!A:A,0))</f>
        <v>Terencio O'Moylan</v>
      </c>
      <c r="E338" t="s">
        <v>61</v>
      </c>
      <c r="F338">
        <v>4</v>
      </c>
      <c r="G338">
        <f>INDEX([1]products!$A$1:$G$49,MATCH([1]orders!$D338,[1]products!$A$1:$A$49,0),MATCH([1]orders!K$1,[1]products!$A$1:$G$1,0))</f>
        <v>1</v>
      </c>
      <c r="H338">
        <f>INDEX([1]products!$A$1:$G$49,MATCH([1]orders!$D338,[1]products!$A$1:$A$49,0),MATCH([1]orders!L$1,[1]products!$A$1:$G$1,0))</f>
        <v>11.25</v>
      </c>
      <c r="I338">
        <f t="shared" si="5"/>
        <v>45</v>
      </c>
    </row>
    <row r="339" spans="1:9" x14ac:dyDescent="0.25">
      <c r="A339" t="s">
        <v>684</v>
      </c>
      <c r="B339">
        <v>44472</v>
      </c>
      <c r="C339" t="s">
        <v>664</v>
      </c>
      <c r="D339" t="str">
        <f>INDEX('Customers (2)'!B:B,MATCH('Customers (2)'!A339,'Customers (2)'!A:A,0))</f>
        <v>Jeddy Vanyarkin</v>
      </c>
      <c r="E339" t="s">
        <v>530</v>
      </c>
      <c r="F339">
        <v>2</v>
      </c>
      <c r="G339">
        <f>INDEX([1]products!$A$1:$G$49,MATCH([1]orders!$D339,[1]products!$A$1:$A$49,0),MATCH([1]orders!K$1,[1]products!$A$1:$G$1,0))</f>
        <v>2.5</v>
      </c>
      <c r="H339">
        <f>INDEX([1]products!$A$1:$G$49,MATCH([1]orders!$D339,[1]products!$A$1:$A$49,0),MATCH([1]orders!L$1,[1]products!$A$1:$G$1,0))</f>
        <v>27.945</v>
      </c>
      <c r="I339">
        <f t="shared" si="5"/>
        <v>55.89</v>
      </c>
    </row>
    <row r="340" spans="1:9" x14ac:dyDescent="0.25">
      <c r="A340" t="s">
        <v>685</v>
      </c>
      <c r="B340">
        <v>43995</v>
      </c>
      <c r="C340" t="s">
        <v>686</v>
      </c>
      <c r="D340" t="str">
        <f>INDEX('Customers (2)'!B:B,MATCH('Customers (2)'!A340,'Customers (2)'!A:A,0))</f>
        <v>Wyatan Fetherston</v>
      </c>
      <c r="E340" t="s">
        <v>137</v>
      </c>
      <c r="F340">
        <v>4</v>
      </c>
      <c r="G340">
        <f>INDEX([1]products!$A$1:$G$49,MATCH([1]orders!$D340,[1]products!$A$1:$A$49,0),MATCH([1]orders!K$1,[1]products!$A$1:$G$1,0))</f>
        <v>1</v>
      </c>
      <c r="H340">
        <f>INDEX([1]products!$A$1:$G$49,MATCH([1]orders!$D340,[1]products!$A$1:$A$49,0),MATCH([1]orders!L$1,[1]products!$A$1:$G$1,0))</f>
        <v>14.85</v>
      </c>
      <c r="I340">
        <f t="shared" si="5"/>
        <v>59.4</v>
      </c>
    </row>
    <row r="341" spans="1:9" x14ac:dyDescent="0.25">
      <c r="A341" t="s">
        <v>687</v>
      </c>
      <c r="B341">
        <v>44256</v>
      </c>
      <c r="C341" t="s">
        <v>688</v>
      </c>
      <c r="D341" t="str">
        <f>INDEX('Customers (2)'!B:B,MATCH('Customers (2)'!A341,'Customers (2)'!A:A,0))</f>
        <v>Emmaline Rasmus</v>
      </c>
      <c r="E341" t="s">
        <v>51</v>
      </c>
      <c r="F341">
        <v>2</v>
      </c>
      <c r="G341">
        <f>INDEX([1]products!$A$1:$G$49,MATCH([1]orders!$D341,[1]products!$A$1:$A$49,0),MATCH([1]orders!K$1,[1]products!$A$1:$G$1,0))</f>
        <v>0.2</v>
      </c>
      <c r="H341">
        <f>INDEX([1]products!$A$1:$G$49,MATCH([1]orders!$D341,[1]products!$A$1:$A$49,0),MATCH([1]orders!L$1,[1]products!$A$1:$G$1,0))</f>
        <v>3.645</v>
      </c>
      <c r="I341">
        <f t="shared" si="5"/>
        <v>7.29</v>
      </c>
    </row>
    <row r="342" spans="1:9" x14ac:dyDescent="0.25">
      <c r="A342" t="s">
        <v>689</v>
      </c>
      <c r="B342">
        <v>43528</v>
      </c>
      <c r="C342" t="s">
        <v>690</v>
      </c>
      <c r="D342" t="str">
        <f>INDEX('Customers (2)'!B:B,MATCH('Customers (2)'!A342,'Customers (2)'!A:A,0))</f>
        <v>Wesley Giorgioni</v>
      </c>
      <c r="E342" t="s">
        <v>16</v>
      </c>
      <c r="F342">
        <v>1</v>
      </c>
      <c r="G342">
        <f>INDEX([1]products!$A$1:$G$49,MATCH([1]orders!$D342,[1]products!$A$1:$A$49,0),MATCH([1]orders!K$1,[1]products!$A$1:$G$1,0))</f>
        <v>0.5</v>
      </c>
      <c r="H342">
        <f>INDEX([1]products!$A$1:$G$49,MATCH([1]orders!$D342,[1]products!$A$1:$A$49,0),MATCH([1]orders!L$1,[1]products!$A$1:$G$1,0))</f>
        <v>7.29</v>
      </c>
      <c r="I342">
        <f t="shared" si="5"/>
        <v>7.29</v>
      </c>
    </row>
    <row r="343" spans="1:9" x14ac:dyDescent="0.25">
      <c r="A343" t="s">
        <v>691</v>
      </c>
      <c r="B343">
        <v>43751</v>
      </c>
      <c r="C343" t="s">
        <v>692</v>
      </c>
      <c r="D343" t="str">
        <f>INDEX('Customers (2)'!B:B,MATCH('Customers (2)'!A343,'Customers (2)'!A:A,0))</f>
        <v>Lucienne Scargle</v>
      </c>
      <c r="E343" t="s">
        <v>176</v>
      </c>
      <c r="F343">
        <v>2</v>
      </c>
      <c r="G343">
        <f>INDEX([1]products!$A$1:$G$49,MATCH([1]orders!$D343,[1]products!$A$1:$A$49,0),MATCH([1]orders!K$1,[1]products!$A$1:$G$1,0))</f>
        <v>0.5</v>
      </c>
      <c r="H343">
        <f>INDEX([1]products!$A$1:$G$49,MATCH([1]orders!$D343,[1]products!$A$1:$A$49,0),MATCH([1]orders!L$1,[1]products!$A$1:$G$1,0))</f>
        <v>8.91</v>
      </c>
      <c r="I343">
        <f t="shared" si="5"/>
        <v>17.82</v>
      </c>
    </row>
    <row r="344" spans="1:9" x14ac:dyDescent="0.25">
      <c r="A344" t="s">
        <v>691</v>
      </c>
      <c r="B344">
        <v>43751</v>
      </c>
      <c r="C344" t="s">
        <v>692</v>
      </c>
      <c r="D344" t="str">
        <f>INDEX('Customers (2)'!B:B,MATCH('Customers (2)'!A344,'Customers (2)'!A:A,0))</f>
        <v>Christy Franseco</v>
      </c>
      <c r="E344" t="s">
        <v>123</v>
      </c>
      <c r="F344">
        <v>5</v>
      </c>
      <c r="G344">
        <f>INDEX([1]products!$A$1:$G$49,MATCH([1]orders!$D344,[1]products!$A$1:$A$49,0),MATCH([1]orders!K$1,[1]products!$A$1:$G$1,0))</f>
        <v>0.5</v>
      </c>
      <c r="H344">
        <f>INDEX([1]products!$A$1:$G$49,MATCH([1]orders!$D344,[1]products!$A$1:$A$49,0),MATCH([1]orders!L$1,[1]products!$A$1:$G$1,0))</f>
        <v>7.77</v>
      </c>
      <c r="I344">
        <f t="shared" si="5"/>
        <v>38.849999999999994</v>
      </c>
    </row>
    <row r="345" spans="1:9" x14ac:dyDescent="0.25">
      <c r="A345" t="s">
        <v>693</v>
      </c>
      <c r="B345">
        <v>43692</v>
      </c>
      <c r="C345" t="s">
        <v>694</v>
      </c>
      <c r="D345" t="str">
        <f>INDEX('Customers (2)'!B:B,MATCH('Customers (2)'!A345,'Customers (2)'!A:A,0))</f>
        <v>Noam Climance</v>
      </c>
      <c r="E345" t="s">
        <v>146</v>
      </c>
      <c r="F345">
        <v>6</v>
      </c>
      <c r="G345">
        <f>INDEX([1]products!$A$1:$G$49,MATCH([1]orders!$D345,[1]products!$A$1:$A$49,0),MATCH([1]orders!K$1,[1]products!$A$1:$G$1,0))</f>
        <v>0.5</v>
      </c>
      <c r="H345">
        <f>INDEX([1]products!$A$1:$G$49,MATCH([1]orders!$D345,[1]products!$A$1:$A$49,0),MATCH([1]orders!L$1,[1]products!$A$1:$G$1,0))</f>
        <v>5.3699999999999992</v>
      </c>
      <c r="I345">
        <f t="shared" si="5"/>
        <v>32.22</v>
      </c>
    </row>
    <row r="346" spans="1:9" x14ac:dyDescent="0.25">
      <c r="A346" t="s">
        <v>695</v>
      </c>
      <c r="B346">
        <v>44529</v>
      </c>
      <c r="C346" t="s">
        <v>696</v>
      </c>
      <c r="D346" t="str">
        <f>INDEX('Customers (2)'!B:B,MATCH('Customers (2)'!A346,'Customers (2)'!A:A,0))</f>
        <v>Catarina Donn</v>
      </c>
      <c r="E346" t="s">
        <v>2</v>
      </c>
      <c r="F346">
        <v>2</v>
      </c>
      <c r="G346">
        <f>INDEX([1]products!$A$1:$G$49,MATCH([1]orders!$D346,[1]products!$A$1:$A$49,0),MATCH([1]orders!K$1,[1]products!$A$1:$G$1,0))</f>
        <v>1</v>
      </c>
      <c r="H346">
        <f>INDEX([1]products!$A$1:$G$49,MATCH([1]orders!$D346,[1]products!$A$1:$A$49,0),MATCH([1]orders!L$1,[1]products!$A$1:$G$1,0))</f>
        <v>9.9499999999999993</v>
      </c>
      <c r="I346">
        <f t="shared" si="5"/>
        <v>19.899999999999999</v>
      </c>
    </row>
    <row r="347" spans="1:9" x14ac:dyDescent="0.25">
      <c r="A347" t="s">
        <v>697</v>
      </c>
      <c r="B347">
        <v>43849</v>
      </c>
      <c r="C347" t="s">
        <v>698</v>
      </c>
      <c r="D347" t="str">
        <f>INDEX('Customers (2)'!B:B,MATCH('Customers (2)'!A347,'Customers (2)'!A:A,0))</f>
        <v>Ameline Snazle</v>
      </c>
      <c r="E347" t="s">
        <v>189</v>
      </c>
      <c r="F347">
        <v>5</v>
      </c>
      <c r="G347">
        <f>INDEX([1]products!$A$1:$G$49,MATCH([1]orders!$D347,[1]products!$A$1:$A$49,0),MATCH([1]orders!K$1,[1]products!$A$1:$G$1,0))</f>
        <v>1</v>
      </c>
      <c r="H347">
        <f>INDEX([1]products!$A$1:$G$49,MATCH([1]orders!$D347,[1]products!$A$1:$A$49,0),MATCH([1]orders!L$1,[1]products!$A$1:$G$1,0))</f>
        <v>11.95</v>
      </c>
      <c r="I347">
        <f t="shared" si="5"/>
        <v>59.75</v>
      </c>
    </row>
    <row r="348" spans="1:9" x14ac:dyDescent="0.25">
      <c r="A348" t="s">
        <v>699</v>
      </c>
      <c r="B348">
        <v>44344</v>
      </c>
      <c r="C348" t="s">
        <v>700</v>
      </c>
      <c r="D348" t="str">
        <f>INDEX('Customers (2)'!B:B,MATCH('Customers (2)'!A348,'Customers (2)'!A:A,0))</f>
        <v>Rebeka Worg</v>
      </c>
      <c r="E348" t="s">
        <v>192</v>
      </c>
      <c r="F348">
        <v>3</v>
      </c>
      <c r="G348">
        <f>INDEX([1]products!$A$1:$G$49,MATCH([1]orders!$D348,[1]products!$A$1:$A$49,0),MATCH([1]orders!K$1,[1]products!$A$1:$G$1,0))</f>
        <v>0.5</v>
      </c>
      <c r="H348">
        <f>INDEX([1]products!$A$1:$G$49,MATCH([1]orders!$D348,[1]products!$A$1:$A$49,0),MATCH([1]orders!L$1,[1]products!$A$1:$G$1,0))</f>
        <v>7.77</v>
      </c>
      <c r="I348">
        <f t="shared" si="5"/>
        <v>23.31</v>
      </c>
    </row>
    <row r="349" spans="1:9" x14ac:dyDescent="0.25">
      <c r="A349" t="s">
        <v>701</v>
      </c>
      <c r="B349">
        <v>44576</v>
      </c>
      <c r="C349" t="s">
        <v>702</v>
      </c>
      <c r="D349" t="str">
        <f>INDEX('Customers (2)'!B:B,MATCH('Customers (2)'!A349,'Customers (2)'!A:A,0))</f>
        <v>Lewes Danes</v>
      </c>
      <c r="E349" t="s">
        <v>96</v>
      </c>
      <c r="F349">
        <v>3</v>
      </c>
      <c r="G349">
        <f>INDEX([1]products!$A$1:$G$49,MATCH([1]orders!$D349,[1]products!$A$1:$A$49,0),MATCH([1]orders!K$1,[1]products!$A$1:$G$1,0))</f>
        <v>1</v>
      </c>
      <c r="H349">
        <f>INDEX([1]products!$A$1:$G$49,MATCH([1]orders!$D349,[1]products!$A$1:$A$49,0),MATCH([1]orders!L$1,[1]products!$A$1:$G$1,0))</f>
        <v>14.55</v>
      </c>
      <c r="I349">
        <f t="shared" si="5"/>
        <v>43.650000000000006</v>
      </c>
    </row>
    <row r="350" spans="1:9" x14ac:dyDescent="0.25">
      <c r="A350" t="s">
        <v>703</v>
      </c>
      <c r="B350">
        <v>43803</v>
      </c>
      <c r="C350" t="s">
        <v>704</v>
      </c>
      <c r="D350" t="str">
        <f>INDEX('Customers (2)'!B:B,MATCH('Customers (2)'!A350,'Customers (2)'!A:A,0))</f>
        <v>Shelli Keynd</v>
      </c>
      <c r="E350" t="s">
        <v>30</v>
      </c>
      <c r="F350">
        <v>6</v>
      </c>
      <c r="G350">
        <f>INDEX([1]products!$A$1:$G$49,MATCH([1]orders!$D350,[1]products!$A$1:$A$49,0),MATCH([1]orders!K$1,[1]products!$A$1:$G$1,0))</f>
        <v>2.5</v>
      </c>
      <c r="H350">
        <f>INDEX([1]products!$A$1:$G$49,MATCH([1]orders!$D350,[1]products!$A$1:$A$49,0),MATCH([1]orders!L$1,[1]products!$A$1:$G$1,0))</f>
        <v>34.154999999999994</v>
      </c>
      <c r="I350">
        <f t="shared" si="5"/>
        <v>204.92999999999995</v>
      </c>
    </row>
    <row r="351" spans="1:9" x14ac:dyDescent="0.25">
      <c r="A351" t="s">
        <v>705</v>
      </c>
      <c r="B351">
        <v>44743</v>
      </c>
      <c r="C351" t="s">
        <v>706</v>
      </c>
      <c r="D351" t="str">
        <f>INDEX('Customers (2)'!B:B,MATCH('Customers (2)'!A351,'Customers (2)'!A:A,0))</f>
        <v>Dell Daveridge</v>
      </c>
      <c r="E351" t="s">
        <v>182</v>
      </c>
      <c r="F351">
        <v>4</v>
      </c>
      <c r="G351">
        <f>INDEX([1]products!$A$1:$G$49,MATCH([1]orders!$D351,[1]products!$A$1:$A$49,0),MATCH([1]orders!K$1,[1]products!$A$1:$G$1,0))</f>
        <v>0.2</v>
      </c>
      <c r="H351">
        <f>INDEX([1]products!$A$1:$G$49,MATCH([1]orders!$D351,[1]products!$A$1:$A$49,0),MATCH([1]orders!L$1,[1]products!$A$1:$G$1,0))</f>
        <v>3.5849999999999995</v>
      </c>
      <c r="I351">
        <f t="shared" si="5"/>
        <v>14.339999999999998</v>
      </c>
    </row>
    <row r="352" spans="1:9" x14ac:dyDescent="0.25">
      <c r="A352" t="s">
        <v>707</v>
      </c>
      <c r="B352">
        <v>43592</v>
      </c>
      <c r="C352" t="s">
        <v>708</v>
      </c>
      <c r="D352" t="str">
        <f>INDEX('Customers (2)'!B:B,MATCH('Customers (2)'!A352,'Customers (2)'!A:A,0))</f>
        <v>Joshuah Awdry</v>
      </c>
      <c r="E352" t="s">
        <v>72</v>
      </c>
      <c r="F352">
        <v>4</v>
      </c>
      <c r="G352">
        <f>INDEX([1]products!$A$1:$G$49,MATCH([1]orders!$D352,[1]products!$A$1:$A$49,0),MATCH([1]orders!K$1,[1]products!$A$1:$G$1,0))</f>
        <v>0.5</v>
      </c>
      <c r="H352">
        <f>INDEX([1]products!$A$1:$G$49,MATCH([1]orders!$D352,[1]products!$A$1:$A$49,0),MATCH([1]orders!L$1,[1]products!$A$1:$G$1,0))</f>
        <v>5.97</v>
      </c>
      <c r="I352">
        <f t="shared" si="5"/>
        <v>23.88</v>
      </c>
    </row>
    <row r="353" spans="1:9" x14ac:dyDescent="0.25">
      <c r="A353" t="s">
        <v>709</v>
      </c>
      <c r="B353">
        <v>44066</v>
      </c>
      <c r="C353" t="s">
        <v>710</v>
      </c>
      <c r="D353" t="str">
        <f>INDEX('Customers (2)'!B:B,MATCH('Customers (2)'!A353,'Customers (2)'!A:A,0))</f>
        <v>Ethel Ryles</v>
      </c>
      <c r="E353" t="s">
        <v>61</v>
      </c>
      <c r="F353">
        <v>2</v>
      </c>
      <c r="G353">
        <f>INDEX([1]products!$A$1:$G$49,MATCH([1]orders!$D353,[1]products!$A$1:$A$49,0),MATCH([1]orders!K$1,[1]products!$A$1:$G$1,0))</f>
        <v>1</v>
      </c>
      <c r="H353">
        <f>INDEX([1]products!$A$1:$G$49,MATCH([1]orders!$D353,[1]products!$A$1:$A$49,0),MATCH([1]orders!L$1,[1]products!$A$1:$G$1,0))</f>
        <v>11.25</v>
      </c>
      <c r="I353">
        <f t="shared" si="5"/>
        <v>22.5</v>
      </c>
    </row>
    <row r="354" spans="1:9" x14ac:dyDescent="0.25">
      <c r="A354" t="s">
        <v>711</v>
      </c>
      <c r="B354">
        <v>43984</v>
      </c>
      <c r="C354" t="s">
        <v>664</v>
      </c>
      <c r="D354" t="str">
        <f>INDEX('Customers (2)'!B:B,MATCH('Customers (2)'!A354,'Customers (2)'!A:A,0))</f>
        <v>Selie Baulcombe</v>
      </c>
      <c r="E354" t="s">
        <v>16</v>
      </c>
      <c r="F354">
        <v>5</v>
      </c>
      <c r="G354">
        <f>INDEX([1]products!$A$1:$G$49,MATCH([1]orders!$D354,[1]products!$A$1:$A$49,0),MATCH([1]orders!K$1,[1]products!$A$1:$G$1,0))</f>
        <v>0.5</v>
      </c>
      <c r="H354">
        <f>INDEX([1]products!$A$1:$G$49,MATCH([1]orders!$D354,[1]products!$A$1:$A$49,0),MATCH([1]orders!L$1,[1]products!$A$1:$G$1,0))</f>
        <v>7.29</v>
      </c>
      <c r="I354">
        <f t="shared" si="5"/>
        <v>36.450000000000003</v>
      </c>
    </row>
    <row r="355" spans="1:9" x14ac:dyDescent="0.25">
      <c r="A355" t="s">
        <v>712</v>
      </c>
      <c r="B355">
        <v>43860</v>
      </c>
      <c r="C355" t="s">
        <v>713</v>
      </c>
      <c r="D355" t="str">
        <f>INDEX('Customers (2)'!B:B,MATCH('Customers (2)'!A355,'Customers (2)'!A:A,0))</f>
        <v>Maitilde Boxill</v>
      </c>
      <c r="E355" t="s">
        <v>67</v>
      </c>
      <c r="F355">
        <v>4</v>
      </c>
      <c r="G355">
        <f>INDEX([1]products!$A$1:$G$49,MATCH([1]orders!$D355,[1]products!$A$1:$A$49,0),MATCH([1]orders!K$1,[1]products!$A$1:$G$1,0))</f>
        <v>0.5</v>
      </c>
      <c r="H355">
        <f>INDEX([1]products!$A$1:$G$49,MATCH([1]orders!$D355,[1]products!$A$1:$A$49,0),MATCH([1]orders!L$1,[1]products!$A$1:$G$1,0))</f>
        <v>6.75</v>
      </c>
      <c r="I355">
        <f t="shared" si="5"/>
        <v>27</v>
      </c>
    </row>
    <row r="356" spans="1:9" x14ac:dyDescent="0.25">
      <c r="A356" t="s">
        <v>714</v>
      </c>
      <c r="B356">
        <v>43876</v>
      </c>
      <c r="C356" t="s">
        <v>715</v>
      </c>
      <c r="D356" t="str">
        <f>INDEX('Customers (2)'!B:B,MATCH('Customers (2)'!A356,'Customers (2)'!A:A,0))</f>
        <v>Jodee Caldicott</v>
      </c>
      <c r="E356" t="s">
        <v>171</v>
      </c>
      <c r="F356">
        <v>6</v>
      </c>
      <c r="G356">
        <f>INDEX([1]products!$A$1:$G$49,MATCH([1]orders!$D356,[1]products!$A$1:$A$49,0),MATCH([1]orders!K$1,[1]products!$A$1:$G$1,0))</f>
        <v>2.5</v>
      </c>
      <c r="H356">
        <f>INDEX([1]products!$A$1:$G$49,MATCH([1]orders!$D356,[1]products!$A$1:$A$49,0),MATCH([1]orders!L$1,[1]products!$A$1:$G$1,0))</f>
        <v>25.874999999999996</v>
      </c>
      <c r="I356">
        <f t="shared" si="5"/>
        <v>155.24999999999997</v>
      </c>
    </row>
    <row r="357" spans="1:9" x14ac:dyDescent="0.25">
      <c r="A357" t="s">
        <v>716</v>
      </c>
      <c r="B357">
        <v>44358</v>
      </c>
      <c r="C357" t="s">
        <v>717</v>
      </c>
      <c r="D357" t="str">
        <f>INDEX('Customers (2)'!B:B,MATCH('Customers (2)'!A357,'Customers (2)'!A:A,0))</f>
        <v>Marianna Vedmore</v>
      </c>
      <c r="E357" t="s">
        <v>118</v>
      </c>
      <c r="F357">
        <v>5</v>
      </c>
      <c r="G357">
        <f>INDEX([1]products!$A$1:$G$49,MATCH([1]orders!$D357,[1]products!$A$1:$A$49,0),MATCH([1]orders!K$1,[1]products!$A$1:$G$1,0))</f>
        <v>2.5</v>
      </c>
      <c r="H357">
        <f>INDEX([1]products!$A$1:$G$49,MATCH([1]orders!$D357,[1]products!$A$1:$A$49,0),MATCH([1]orders!L$1,[1]products!$A$1:$G$1,0))</f>
        <v>22.884999999999998</v>
      </c>
      <c r="I357">
        <f t="shared" si="5"/>
        <v>114.42499999999998</v>
      </c>
    </row>
    <row r="358" spans="1:9" x14ac:dyDescent="0.25">
      <c r="A358" t="s">
        <v>718</v>
      </c>
      <c r="B358">
        <v>44631</v>
      </c>
      <c r="C358" t="s">
        <v>719</v>
      </c>
      <c r="D358" t="str">
        <f>INDEX('Customers (2)'!B:B,MATCH('Customers (2)'!A358,'Customers (2)'!A:A,0))</f>
        <v>Willey Romao</v>
      </c>
      <c r="E358" t="s">
        <v>13</v>
      </c>
      <c r="F358">
        <v>4</v>
      </c>
      <c r="G358">
        <f>INDEX([1]products!$A$1:$G$49,MATCH([1]orders!$D358,[1]products!$A$1:$A$49,0),MATCH([1]orders!K$1,[1]products!$A$1:$G$1,0))</f>
        <v>1</v>
      </c>
      <c r="H358">
        <f>INDEX([1]products!$A$1:$G$49,MATCH([1]orders!$D358,[1]products!$A$1:$A$49,0),MATCH([1]orders!L$1,[1]products!$A$1:$G$1,0))</f>
        <v>12.95</v>
      </c>
      <c r="I358">
        <f t="shared" si="5"/>
        <v>51.8</v>
      </c>
    </row>
    <row r="359" spans="1:9" x14ac:dyDescent="0.25">
      <c r="A359" t="s">
        <v>720</v>
      </c>
      <c r="B359">
        <v>44448</v>
      </c>
      <c r="C359" t="s">
        <v>721</v>
      </c>
      <c r="D359" t="str">
        <f>INDEX('Customers (2)'!B:B,MATCH('Customers (2)'!A359,'Customers (2)'!A:A,0))</f>
        <v>Enriqueta Ixor</v>
      </c>
      <c r="E359" t="s">
        <v>171</v>
      </c>
      <c r="F359">
        <v>6</v>
      </c>
      <c r="G359">
        <f>INDEX([1]products!$A$1:$G$49,MATCH([1]orders!$D359,[1]products!$A$1:$A$49,0),MATCH([1]orders!K$1,[1]products!$A$1:$G$1,0))</f>
        <v>2.5</v>
      </c>
      <c r="H359">
        <f>INDEX([1]products!$A$1:$G$49,MATCH([1]orders!$D359,[1]products!$A$1:$A$49,0),MATCH([1]orders!L$1,[1]products!$A$1:$G$1,0))</f>
        <v>25.874999999999996</v>
      </c>
      <c r="I359">
        <f t="shared" si="5"/>
        <v>155.24999999999997</v>
      </c>
    </row>
    <row r="360" spans="1:9" x14ac:dyDescent="0.25">
      <c r="A360" t="s">
        <v>722</v>
      </c>
      <c r="B360">
        <v>43599</v>
      </c>
      <c r="C360" t="s">
        <v>723</v>
      </c>
      <c r="D360" t="str">
        <f>INDEX('Customers (2)'!B:B,MATCH('Customers (2)'!A360,'Customers (2)'!A:A,0))</f>
        <v>Tomasina Cotmore</v>
      </c>
      <c r="E360" t="s">
        <v>204</v>
      </c>
      <c r="F360">
        <v>1</v>
      </c>
      <c r="G360">
        <f>INDEX([1]products!$A$1:$G$49,MATCH([1]orders!$D360,[1]products!$A$1:$A$49,0),MATCH([1]orders!K$1,[1]products!$A$1:$G$1,0))</f>
        <v>2.5</v>
      </c>
      <c r="H360">
        <f>INDEX([1]products!$A$1:$G$49,MATCH([1]orders!$D360,[1]products!$A$1:$A$49,0),MATCH([1]orders!L$1,[1]products!$A$1:$G$1,0))</f>
        <v>29.784999999999997</v>
      </c>
      <c r="I360">
        <f t="shared" si="5"/>
        <v>29.784999999999997</v>
      </c>
    </row>
    <row r="361" spans="1:9" x14ac:dyDescent="0.25">
      <c r="A361" t="s">
        <v>724</v>
      </c>
      <c r="B361">
        <v>43563</v>
      </c>
      <c r="C361" t="s">
        <v>725</v>
      </c>
      <c r="D361" t="str">
        <f>INDEX('Customers (2)'!B:B,MATCH('Customers (2)'!A361,'Customers (2)'!A:A,0))</f>
        <v>Yuma Skipsey</v>
      </c>
      <c r="E361" t="s">
        <v>182</v>
      </c>
      <c r="F361">
        <v>6</v>
      </c>
      <c r="G361">
        <f>INDEX([1]products!$A$1:$G$49,MATCH([1]orders!$D361,[1]products!$A$1:$A$49,0),MATCH([1]orders!K$1,[1]products!$A$1:$G$1,0))</f>
        <v>0.2</v>
      </c>
      <c r="H361">
        <f>INDEX([1]products!$A$1:$G$49,MATCH([1]orders!$D361,[1]products!$A$1:$A$49,0),MATCH([1]orders!L$1,[1]products!$A$1:$G$1,0))</f>
        <v>3.5849999999999995</v>
      </c>
      <c r="I361">
        <f t="shared" si="5"/>
        <v>21.509999999999998</v>
      </c>
    </row>
    <row r="362" spans="1:9" x14ac:dyDescent="0.25">
      <c r="A362" t="s">
        <v>726</v>
      </c>
      <c r="B362">
        <v>44058</v>
      </c>
      <c r="C362" t="s">
        <v>727</v>
      </c>
      <c r="D362" t="str">
        <f>INDEX('Customers (2)'!B:B,MATCH('Customers (2)'!A362,'Customers (2)'!A:A,0))</f>
        <v>Nicko Corps</v>
      </c>
      <c r="E362" t="s">
        <v>35</v>
      </c>
      <c r="F362">
        <v>2</v>
      </c>
      <c r="G362">
        <f>INDEX([1]products!$A$1:$G$49,MATCH([1]orders!$D362,[1]products!$A$1:$A$49,0),MATCH([1]orders!K$1,[1]products!$A$1:$G$1,0))</f>
        <v>2.5</v>
      </c>
      <c r="H362">
        <f>INDEX([1]products!$A$1:$G$49,MATCH([1]orders!$D362,[1]products!$A$1:$A$49,0),MATCH([1]orders!L$1,[1]products!$A$1:$G$1,0))</f>
        <v>20.584999999999997</v>
      </c>
      <c r="I362">
        <f t="shared" si="5"/>
        <v>41.169999999999995</v>
      </c>
    </row>
    <row r="363" spans="1:9" x14ac:dyDescent="0.25">
      <c r="A363" t="s">
        <v>726</v>
      </c>
      <c r="B363">
        <v>44058</v>
      </c>
      <c r="C363" t="s">
        <v>727</v>
      </c>
      <c r="D363" t="str">
        <f>INDEX('Customers (2)'!B:B,MATCH('Customers (2)'!A363,'Customers (2)'!A:A,0))</f>
        <v>Christabel Rubury</v>
      </c>
      <c r="E363" t="s">
        <v>22</v>
      </c>
      <c r="F363">
        <v>1</v>
      </c>
      <c r="G363">
        <f>INDEX([1]products!$A$1:$G$49,MATCH([1]orders!$D363,[1]products!$A$1:$A$49,0),MATCH([1]orders!K$1,[1]products!$A$1:$G$1,0))</f>
        <v>0.5</v>
      </c>
      <c r="H363">
        <f>INDEX([1]products!$A$1:$G$49,MATCH([1]orders!$D363,[1]products!$A$1:$A$49,0),MATCH([1]orders!L$1,[1]products!$A$1:$G$1,0))</f>
        <v>5.97</v>
      </c>
      <c r="I363">
        <f t="shared" si="5"/>
        <v>5.97</v>
      </c>
    </row>
    <row r="364" spans="1:9" x14ac:dyDescent="0.25">
      <c r="A364" t="s">
        <v>728</v>
      </c>
      <c r="B364">
        <v>44686</v>
      </c>
      <c r="C364" t="s">
        <v>729</v>
      </c>
      <c r="D364" t="str">
        <f>INDEX('Customers (2)'!B:B,MATCH('Customers (2)'!A364,'Customers (2)'!A:A,0))</f>
        <v>Feliks Babber</v>
      </c>
      <c r="E364" t="s">
        <v>137</v>
      </c>
      <c r="F364">
        <v>5</v>
      </c>
      <c r="G364">
        <f>INDEX([1]products!$A$1:$G$49,MATCH([1]orders!$D364,[1]products!$A$1:$A$49,0),MATCH([1]orders!K$1,[1]products!$A$1:$G$1,0))</f>
        <v>1</v>
      </c>
      <c r="H364">
        <f>INDEX([1]products!$A$1:$G$49,MATCH([1]orders!$D364,[1]products!$A$1:$A$49,0),MATCH([1]orders!L$1,[1]products!$A$1:$G$1,0))</f>
        <v>14.85</v>
      </c>
      <c r="I364">
        <f t="shared" si="5"/>
        <v>74.25</v>
      </c>
    </row>
    <row r="365" spans="1:9" x14ac:dyDescent="0.25">
      <c r="A365" t="s">
        <v>730</v>
      </c>
      <c r="B365">
        <v>44282</v>
      </c>
      <c r="C365" t="s">
        <v>731</v>
      </c>
      <c r="D365" t="str">
        <f>INDEX('Customers (2)'!B:B,MATCH('Customers (2)'!A365,'Customers (2)'!A:A,0))</f>
        <v>Kaja Loxton</v>
      </c>
      <c r="E365" t="s">
        <v>96</v>
      </c>
      <c r="F365">
        <v>6</v>
      </c>
      <c r="G365">
        <f>INDEX([1]products!$A$1:$G$49,MATCH([1]orders!$D365,[1]products!$A$1:$A$49,0),MATCH([1]orders!K$1,[1]products!$A$1:$G$1,0))</f>
        <v>1</v>
      </c>
      <c r="H365">
        <f>INDEX([1]products!$A$1:$G$49,MATCH([1]orders!$D365,[1]products!$A$1:$A$49,0),MATCH([1]orders!L$1,[1]products!$A$1:$G$1,0))</f>
        <v>14.55</v>
      </c>
      <c r="I365">
        <f t="shared" si="5"/>
        <v>87.300000000000011</v>
      </c>
    </row>
    <row r="366" spans="1:9" x14ac:dyDescent="0.25">
      <c r="A366" t="s">
        <v>732</v>
      </c>
      <c r="B366">
        <v>43582</v>
      </c>
      <c r="C366" t="s">
        <v>733</v>
      </c>
      <c r="D366" t="str">
        <f>INDEX('Customers (2)'!B:B,MATCH('Customers (2)'!A366,'Customers (2)'!A:A,0))</f>
        <v>Parker Tofful</v>
      </c>
      <c r="E366" t="s">
        <v>245</v>
      </c>
      <c r="F366">
        <v>6</v>
      </c>
      <c r="G366">
        <f>INDEX([1]products!$A$1:$G$49,MATCH([1]orders!$D366,[1]products!$A$1:$A$49,0),MATCH([1]orders!K$1,[1]products!$A$1:$G$1,0))</f>
        <v>1</v>
      </c>
      <c r="H366">
        <f>INDEX([1]products!$A$1:$G$49,MATCH([1]orders!$D366,[1]products!$A$1:$A$49,0),MATCH([1]orders!L$1,[1]products!$A$1:$G$1,0))</f>
        <v>12.15</v>
      </c>
      <c r="I366">
        <f t="shared" si="5"/>
        <v>72.900000000000006</v>
      </c>
    </row>
    <row r="367" spans="1:9" x14ac:dyDescent="0.25">
      <c r="A367" t="s">
        <v>734</v>
      </c>
      <c r="B367">
        <v>44464</v>
      </c>
      <c r="C367" t="s">
        <v>735</v>
      </c>
      <c r="D367" t="str">
        <f>INDEX('Customers (2)'!B:B,MATCH('Customers (2)'!A367,'Customers (2)'!A:A,0))</f>
        <v>Casi Gwinnett</v>
      </c>
      <c r="E367" t="s">
        <v>123</v>
      </c>
      <c r="F367">
        <v>1</v>
      </c>
      <c r="G367">
        <f>INDEX([1]products!$A$1:$G$49,MATCH([1]orders!$D367,[1]products!$A$1:$A$49,0),MATCH([1]orders!K$1,[1]products!$A$1:$G$1,0))</f>
        <v>0.5</v>
      </c>
      <c r="H367">
        <f>INDEX([1]products!$A$1:$G$49,MATCH([1]orders!$D367,[1]products!$A$1:$A$49,0),MATCH([1]orders!L$1,[1]products!$A$1:$G$1,0))</f>
        <v>7.77</v>
      </c>
      <c r="I367">
        <f t="shared" si="5"/>
        <v>7.77</v>
      </c>
    </row>
    <row r="368" spans="1:9" x14ac:dyDescent="0.25">
      <c r="A368" t="s">
        <v>736</v>
      </c>
      <c r="B368">
        <v>43874</v>
      </c>
      <c r="C368" t="s">
        <v>737</v>
      </c>
      <c r="D368" t="str">
        <f>INDEX('Customers (2)'!B:B,MATCH('Customers (2)'!A368,'Customers (2)'!A:A,0))</f>
        <v>Saree Ellesworth</v>
      </c>
      <c r="E368" t="s">
        <v>16</v>
      </c>
      <c r="F368">
        <v>6</v>
      </c>
      <c r="G368">
        <f>INDEX([1]products!$A$1:$G$49,MATCH([1]orders!$D368,[1]products!$A$1:$A$49,0),MATCH([1]orders!K$1,[1]products!$A$1:$G$1,0))</f>
        <v>0.5</v>
      </c>
      <c r="H368">
        <f>INDEX([1]products!$A$1:$G$49,MATCH([1]orders!$D368,[1]products!$A$1:$A$49,0),MATCH([1]orders!L$1,[1]products!$A$1:$G$1,0))</f>
        <v>7.29</v>
      </c>
      <c r="I368">
        <f t="shared" si="5"/>
        <v>43.74</v>
      </c>
    </row>
    <row r="369" spans="1:9" x14ac:dyDescent="0.25">
      <c r="A369" t="s">
        <v>738</v>
      </c>
      <c r="B369">
        <v>44393</v>
      </c>
      <c r="C369" t="s">
        <v>739</v>
      </c>
      <c r="D369" t="str">
        <f>INDEX('Customers (2)'!B:B,MATCH('Customers (2)'!A369,'Customers (2)'!A:A,0))</f>
        <v>Silvio Iorizzi</v>
      </c>
      <c r="E369" t="s">
        <v>77</v>
      </c>
      <c r="F369">
        <v>2</v>
      </c>
      <c r="G369">
        <f>INDEX([1]products!$A$1:$G$49,MATCH([1]orders!$D369,[1]products!$A$1:$A$49,0),MATCH([1]orders!K$1,[1]products!$A$1:$G$1,0))</f>
        <v>0.2</v>
      </c>
      <c r="H369">
        <f>INDEX([1]products!$A$1:$G$49,MATCH([1]orders!$D369,[1]products!$A$1:$A$49,0),MATCH([1]orders!L$1,[1]products!$A$1:$G$1,0))</f>
        <v>4.3650000000000002</v>
      </c>
      <c r="I369">
        <f t="shared" si="5"/>
        <v>8.73</v>
      </c>
    </row>
    <row r="370" spans="1:9" x14ac:dyDescent="0.25">
      <c r="A370" t="s">
        <v>740</v>
      </c>
      <c r="B370">
        <v>44692</v>
      </c>
      <c r="C370" t="s">
        <v>741</v>
      </c>
      <c r="D370" t="str">
        <f>INDEX('Customers (2)'!B:B,MATCH('Customers (2)'!A370,'Customers (2)'!A:A,0))</f>
        <v>Leesa Flaonier</v>
      </c>
      <c r="E370" t="s">
        <v>112</v>
      </c>
      <c r="F370">
        <v>2</v>
      </c>
      <c r="G370">
        <f>INDEX([1]products!$A$1:$G$49,MATCH([1]orders!$D370,[1]products!$A$1:$A$49,0),MATCH([1]orders!K$1,[1]products!$A$1:$G$1,0))</f>
        <v>2.5</v>
      </c>
      <c r="H370">
        <f>INDEX([1]products!$A$1:$G$49,MATCH([1]orders!$D370,[1]products!$A$1:$A$49,0),MATCH([1]orders!L$1,[1]products!$A$1:$G$1,0))</f>
        <v>31.624999999999996</v>
      </c>
      <c r="I370">
        <f t="shared" si="5"/>
        <v>63.249999999999993</v>
      </c>
    </row>
    <row r="371" spans="1:9" x14ac:dyDescent="0.25">
      <c r="A371" t="s">
        <v>742</v>
      </c>
      <c r="B371">
        <v>43500</v>
      </c>
      <c r="C371" t="s">
        <v>743</v>
      </c>
      <c r="D371" t="str">
        <f>INDEX('Customers (2)'!B:B,MATCH('Customers (2)'!A371,'Customers (2)'!A:A,0))</f>
        <v>Abba Pummell</v>
      </c>
      <c r="E371" t="s">
        <v>176</v>
      </c>
      <c r="F371">
        <v>1</v>
      </c>
      <c r="G371">
        <f>INDEX([1]products!$A$1:$G$49,MATCH([1]orders!$D371,[1]products!$A$1:$A$49,0),MATCH([1]orders!K$1,[1]products!$A$1:$G$1,0))</f>
        <v>0.5</v>
      </c>
      <c r="H371">
        <f>INDEX([1]products!$A$1:$G$49,MATCH([1]orders!$D371,[1]products!$A$1:$A$49,0),MATCH([1]orders!L$1,[1]products!$A$1:$G$1,0))</f>
        <v>8.91</v>
      </c>
      <c r="I371">
        <f t="shared" si="5"/>
        <v>8.91</v>
      </c>
    </row>
    <row r="372" spans="1:9" x14ac:dyDescent="0.25">
      <c r="A372" t="s">
        <v>744</v>
      </c>
      <c r="B372">
        <v>43501</v>
      </c>
      <c r="C372" t="s">
        <v>745</v>
      </c>
      <c r="D372" t="str">
        <f>INDEX('Customers (2)'!B:B,MATCH('Customers (2)'!A372,'Customers (2)'!A:A,0))</f>
        <v>Corinna Catcheside</v>
      </c>
      <c r="E372" t="s">
        <v>245</v>
      </c>
      <c r="F372">
        <v>2</v>
      </c>
      <c r="G372">
        <f>INDEX([1]products!$A$1:$G$49,MATCH([1]orders!$D372,[1]products!$A$1:$A$49,0),MATCH([1]orders!K$1,[1]products!$A$1:$G$1,0))</f>
        <v>1</v>
      </c>
      <c r="H372">
        <f>INDEX([1]products!$A$1:$G$49,MATCH([1]orders!$D372,[1]products!$A$1:$A$49,0),MATCH([1]orders!L$1,[1]products!$A$1:$G$1,0))</f>
        <v>12.15</v>
      </c>
      <c r="I372">
        <f t="shared" si="5"/>
        <v>24.3</v>
      </c>
    </row>
    <row r="373" spans="1:9" x14ac:dyDescent="0.25">
      <c r="A373" t="s">
        <v>746</v>
      </c>
      <c r="B373">
        <v>44705</v>
      </c>
      <c r="C373" t="s">
        <v>747</v>
      </c>
      <c r="D373" t="str">
        <f>INDEX('Customers (2)'!B:B,MATCH('Customers (2)'!A373,'Customers (2)'!A:A,0))</f>
        <v>Cortney Gibbonson</v>
      </c>
      <c r="E373" t="s">
        <v>192</v>
      </c>
      <c r="F373">
        <v>6</v>
      </c>
      <c r="G373">
        <f>INDEX([1]products!$A$1:$G$49,MATCH([1]orders!$D373,[1]products!$A$1:$A$49,0),MATCH([1]orders!K$1,[1]products!$A$1:$G$1,0))</f>
        <v>0.5</v>
      </c>
      <c r="H373">
        <f>INDEX([1]products!$A$1:$G$49,MATCH([1]orders!$D373,[1]products!$A$1:$A$49,0),MATCH([1]orders!L$1,[1]products!$A$1:$G$1,0))</f>
        <v>7.77</v>
      </c>
      <c r="I373">
        <f t="shared" si="5"/>
        <v>46.62</v>
      </c>
    </row>
    <row r="374" spans="1:9" x14ac:dyDescent="0.25">
      <c r="A374" t="s">
        <v>748</v>
      </c>
      <c r="B374">
        <v>44108</v>
      </c>
      <c r="C374" t="s">
        <v>749</v>
      </c>
      <c r="D374" t="str">
        <f>INDEX('Customers (2)'!B:B,MATCH('Customers (2)'!A374,'Customers (2)'!A:A,0))</f>
        <v>Terri Farra</v>
      </c>
      <c r="E374" t="s">
        <v>157</v>
      </c>
      <c r="F374">
        <v>6</v>
      </c>
      <c r="G374">
        <f>INDEX([1]products!$A$1:$G$49,MATCH([1]orders!$D374,[1]products!$A$1:$A$49,0),MATCH([1]orders!K$1,[1]products!$A$1:$G$1,0))</f>
        <v>0.5</v>
      </c>
      <c r="H374">
        <f>INDEX([1]products!$A$1:$G$49,MATCH([1]orders!$D374,[1]products!$A$1:$A$49,0),MATCH([1]orders!L$1,[1]products!$A$1:$G$1,0))</f>
        <v>7.169999999999999</v>
      </c>
      <c r="I374">
        <f t="shared" si="5"/>
        <v>43.019999999999996</v>
      </c>
    </row>
    <row r="375" spans="1:9" x14ac:dyDescent="0.25">
      <c r="A375" t="s">
        <v>750</v>
      </c>
      <c r="B375">
        <v>44742</v>
      </c>
      <c r="C375" t="s">
        <v>751</v>
      </c>
      <c r="D375" t="str">
        <f>INDEX('Customers (2)'!B:B,MATCH('Customers (2)'!A375,'Customers (2)'!A:A,0))</f>
        <v>Corney Curme</v>
      </c>
      <c r="E375" t="s">
        <v>72</v>
      </c>
      <c r="F375">
        <v>3</v>
      </c>
      <c r="G375">
        <f>INDEX([1]products!$A$1:$G$49,MATCH([1]orders!$D375,[1]products!$A$1:$A$49,0),MATCH([1]orders!K$1,[1]products!$A$1:$G$1,0))</f>
        <v>0.5</v>
      </c>
      <c r="H375">
        <f>INDEX([1]products!$A$1:$G$49,MATCH([1]orders!$D375,[1]products!$A$1:$A$49,0),MATCH([1]orders!L$1,[1]products!$A$1:$G$1,0))</f>
        <v>5.97</v>
      </c>
      <c r="I375">
        <f t="shared" si="5"/>
        <v>17.91</v>
      </c>
    </row>
    <row r="376" spans="1:9" x14ac:dyDescent="0.25">
      <c r="A376" t="s">
        <v>752</v>
      </c>
      <c r="B376">
        <v>44125</v>
      </c>
      <c r="C376" t="s">
        <v>753</v>
      </c>
      <c r="D376" t="str">
        <f>INDEX('Customers (2)'!B:B,MATCH('Customers (2)'!A376,'Customers (2)'!A:A,0))</f>
        <v>Gothart Bamfield</v>
      </c>
      <c r="E376" t="s">
        <v>83</v>
      </c>
      <c r="F376">
        <v>4</v>
      </c>
      <c r="G376">
        <f>INDEX([1]products!$A$1:$G$49,MATCH([1]orders!$D376,[1]products!$A$1:$A$49,0),MATCH([1]orders!K$1,[1]products!$A$1:$G$1,0))</f>
        <v>0.5</v>
      </c>
      <c r="H376">
        <f>INDEX([1]products!$A$1:$G$49,MATCH([1]orders!$D376,[1]products!$A$1:$A$49,0),MATCH([1]orders!L$1,[1]products!$A$1:$G$1,0))</f>
        <v>9.51</v>
      </c>
      <c r="I376">
        <f t="shared" si="5"/>
        <v>38.04</v>
      </c>
    </row>
    <row r="377" spans="1:9" x14ac:dyDescent="0.25">
      <c r="A377" t="s">
        <v>754</v>
      </c>
      <c r="B377">
        <v>44120</v>
      </c>
      <c r="C377" t="s">
        <v>755</v>
      </c>
      <c r="D377" t="str">
        <f>INDEX('Customers (2)'!B:B,MATCH('Customers (2)'!A377,'Customers (2)'!A:A,0))</f>
        <v>Waylin Hollingdale</v>
      </c>
      <c r="E377" t="s">
        <v>44</v>
      </c>
      <c r="F377">
        <v>2</v>
      </c>
      <c r="G377">
        <f>INDEX([1]products!$A$1:$G$49,MATCH([1]orders!$D377,[1]products!$A$1:$A$49,0),MATCH([1]orders!K$1,[1]products!$A$1:$G$1,0))</f>
        <v>0.2</v>
      </c>
      <c r="H377">
        <f>INDEX([1]products!$A$1:$G$49,MATCH([1]orders!$D377,[1]products!$A$1:$A$49,0),MATCH([1]orders!L$1,[1]products!$A$1:$G$1,0))</f>
        <v>3.375</v>
      </c>
      <c r="I377">
        <f t="shared" si="5"/>
        <v>6.75</v>
      </c>
    </row>
    <row r="378" spans="1:9" x14ac:dyDescent="0.25">
      <c r="A378" t="s">
        <v>756</v>
      </c>
      <c r="B378">
        <v>44097</v>
      </c>
      <c r="C378" t="s">
        <v>757</v>
      </c>
      <c r="D378" t="str">
        <f>INDEX('Customers (2)'!B:B,MATCH('Customers (2)'!A378,'Customers (2)'!A:A,0))</f>
        <v>Judd De Leek</v>
      </c>
      <c r="E378" t="s">
        <v>22</v>
      </c>
      <c r="F378">
        <v>1</v>
      </c>
      <c r="G378">
        <f>INDEX([1]products!$A$1:$G$49,MATCH([1]orders!$D378,[1]products!$A$1:$A$49,0),MATCH([1]orders!K$1,[1]products!$A$1:$G$1,0))</f>
        <v>0.5</v>
      </c>
      <c r="H378">
        <f>INDEX([1]products!$A$1:$G$49,MATCH([1]orders!$D378,[1]products!$A$1:$A$49,0),MATCH([1]orders!L$1,[1]products!$A$1:$G$1,0))</f>
        <v>5.97</v>
      </c>
      <c r="I378">
        <f t="shared" si="5"/>
        <v>5.97</v>
      </c>
    </row>
    <row r="379" spans="1:9" x14ac:dyDescent="0.25">
      <c r="A379" t="s">
        <v>758</v>
      </c>
      <c r="B379">
        <v>43532</v>
      </c>
      <c r="C379" t="s">
        <v>759</v>
      </c>
      <c r="D379" t="str">
        <f>INDEX('Customers (2)'!B:B,MATCH('Customers (2)'!A379,'Customers (2)'!A:A,0))</f>
        <v>Vanya Skullet</v>
      </c>
      <c r="E379" t="s">
        <v>101</v>
      </c>
      <c r="F379">
        <v>3</v>
      </c>
      <c r="G379">
        <f>INDEX([1]products!$A$1:$G$49,MATCH([1]orders!$D379,[1]products!$A$1:$A$49,0),MATCH([1]orders!K$1,[1]products!$A$1:$G$1,0))</f>
        <v>0.2</v>
      </c>
      <c r="H379">
        <f>INDEX([1]products!$A$1:$G$49,MATCH([1]orders!$D379,[1]products!$A$1:$A$49,0),MATCH([1]orders!L$1,[1]products!$A$1:$G$1,0))</f>
        <v>2.6849999999999996</v>
      </c>
      <c r="I379">
        <f t="shared" si="5"/>
        <v>8.0549999999999997</v>
      </c>
    </row>
    <row r="380" spans="1:9" x14ac:dyDescent="0.25">
      <c r="A380" t="s">
        <v>760</v>
      </c>
      <c r="B380">
        <v>44377</v>
      </c>
      <c r="C380" t="s">
        <v>761</v>
      </c>
      <c r="D380" t="str">
        <f>INDEX('Customers (2)'!B:B,MATCH('Customers (2)'!A380,'Customers (2)'!A:A,0))</f>
        <v>Jany Rudeforth</v>
      </c>
      <c r="E380" t="s">
        <v>192</v>
      </c>
      <c r="F380">
        <v>3</v>
      </c>
      <c r="G380">
        <f>INDEX([1]products!$A$1:$G$49,MATCH([1]orders!$D380,[1]products!$A$1:$A$49,0),MATCH([1]orders!K$1,[1]products!$A$1:$G$1,0))</f>
        <v>0.5</v>
      </c>
      <c r="H380">
        <f>INDEX([1]products!$A$1:$G$49,MATCH([1]orders!$D380,[1]products!$A$1:$A$49,0),MATCH([1]orders!L$1,[1]products!$A$1:$G$1,0))</f>
        <v>7.77</v>
      </c>
      <c r="I380">
        <f t="shared" si="5"/>
        <v>23.31</v>
      </c>
    </row>
    <row r="381" spans="1:9" x14ac:dyDescent="0.25">
      <c r="A381" t="s">
        <v>762</v>
      </c>
      <c r="B381">
        <v>43690</v>
      </c>
      <c r="C381" t="s">
        <v>763</v>
      </c>
      <c r="D381" t="str">
        <f>INDEX('Customers (2)'!B:B,MATCH('Customers (2)'!A381,'Customers (2)'!A:A,0))</f>
        <v>Ashbey Tomaszewski</v>
      </c>
      <c r="E381" t="s">
        <v>157</v>
      </c>
      <c r="F381">
        <v>6</v>
      </c>
      <c r="G381">
        <f>INDEX([1]products!$A$1:$G$49,MATCH([1]orders!$D381,[1]products!$A$1:$A$49,0),MATCH([1]orders!K$1,[1]products!$A$1:$G$1,0))</f>
        <v>0.5</v>
      </c>
      <c r="H381">
        <f>INDEX([1]products!$A$1:$G$49,MATCH([1]orders!$D381,[1]products!$A$1:$A$49,0),MATCH([1]orders!L$1,[1]products!$A$1:$G$1,0))</f>
        <v>7.169999999999999</v>
      </c>
      <c r="I381">
        <f t="shared" si="5"/>
        <v>43.019999999999996</v>
      </c>
    </row>
    <row r="382" spans="1:9" x14ac:dyDescent="0.25">
      <c r="A382" t="s">
        <v>764</v>
      </c>
      <c r="B382">
        <v>44249</v>
      </c>
      <c r="C382" t="s">
        <v>664</v>
      </c>
      <c r="D382" t="str">
        <f>INDEX('Customers (2)'!B:B,MATCH('Customers (2)'!A382,'Customers (2)'!A:A,0))</f>
        <v>Fanni Marti</v>
      </c>
      <c r="E382" t="s">
        <v>123</v>
      </c>
      <c r="F382">
        <v>3</v>
      </c>
      <c r="G382">
        <f>INDEX([1]products!$A$1:$G$49,MATCH([1]orders!$D382,[1]products!$A$1:$A$49,0),MATCH([1]orders!K$1,[1]products!$A$1:$G$1,0))</f>
        <v>0.5</v>
      </c>
      <c r="H382">
        <f>INDEX([1]products!$A$1:$G$49,MATCH([1]orders!$D382,[1]products!$A$1:$A$49,0),MATCH([1]orders!L$1,[1]products!$A$1:$G$1,0))</f>
        <v>7.77</v>
      </c>
      <c r="I382">
        <f t="shared" si="5"/>
        <v>23.31</v>
      </c>
    </row>
    <row r="383" spans="1:9" x14ac:dyDescent="0.25">
      <c r="A383" t="s">
        <v>765</v>
      </c>
      <c r="B383">
        <v>44646</v>
      </c>
      <c r="C383" t="s">
        <v>766</v>
      </c>
      <c r="D383" t="str">
        <f>INDEX('Customers (2)'!B:B,MATCH('Customers (2)'!A383,'Customers (2)'!A:A,0))</f>
        <v>Pren Bess</v>
      </c>
      <c r="E383" t="s">
        <v>54</v>
      </c>
      <c r="F383">
        <v>5</v>
      </c>
      <c r="G383">
        <f>INDEX([1]products!$A$1:$G$49,MATCH([1]orders!$D383,[1]products!$A$1:$A$49,0),MATCH([1]orders!K$1,[1]products!$A$1:$G$1,0))</f>
        <v>0.2</v>
      </c>
      <c r="H383">
        <f>INDEX([1]products!$A$1:$G$49,MATCH([1]orders!$D383,[1]products!$A$1:$A$49,0),MATCH([1]orders!L$1,[1]products!$A$1:$G$1,0))</f>
        <v>2.9849999999999999</v>
      </c>
      <c r="I383">
        <f t="shared" si="5"/>
        <v>14.924999999999999</v>
      </c>
    </row>
    <row r="384" spans="1:9" x14ac:dyDescent="0.25">
      <c r="A384" t="s">
        <v>767</v>
      </c>
      <c r="B384">
        <v>43840</v>
      </c>
      <c r="C384" t="s">
        <v>768</v>
      </c>
      <c r="D384" t="str">
        <f>INDEX('Customers (2)'!B:B,MATCH('Customers (2)'!A384,'Customers (2)'!A:A,0))</f>
        <v>Elka Windress</v>
      </c>
      <c r="E384" t="s">
        <v>16</v>
      </c>
      <c r="F384">
        <v>3</v>
      </c>
      <c r="G384">
        <f>INDEX([1]products!$A$1:$G$49,MATCH([1]orders!$D384,[1]products!$A$1:$A$49,0),MATCH([1]orders!K$1,[1]products!$A$1:$G$1,0))</f>
        <v>0.5</v>
      </c>
      <c r="H384">
        <f>INDEX([1]products!$A$1:$G$49,MATCH([1]orders!$D384,[1]products!$A$1:$A$49,0),MATCH([1]orders!L$1,[1]products!$A$1:$G$1,0))</f>
        <v>7.29</v>
      </c>
      <c r="I384">
        <f t="shared" si="5"/>
        <v>21.87</v>
      </c>
    </row>
    <row r="385" spans="1:9" x14ac:dyDescent="0.25">
      <c r="A385" t="s">
        <v>769</v>
      </c>
      <c r="B385">
        <v>43586</v>
      </c>
      <c r="C385" t="s">
        <v>770</v>
      </c>
      <c r="D385" t="str">
        <f>INDEX('Customers (2)'!B:B,MATCH('Customers (2)'!A385,'Customers (2)'!A:A,0))</f>
        <v>Marty Kidstoun</v>
      </c>
      <c r="E385" t="s">
        <v>176</v>
      </c>
      <c r="F385">
        <v>6</v>
      </c>
      <c r="G385">
        <f>INDEX([1]products!$A$1:$G$49,MATCH([1]orders!$D385,[1]products!$A$1:$A$49,0),MATCH([1]orders!K$1,[1]products!$A$1:$G$1,0))</f>
        <v>0.5</v>
      </c>
      <c r="H385">
        <f>INDEX([1]products!$A$1:$G$49,MATCH([1]orders!$D385,[1]products!$A$1:$A$49,0),MATCH([1]orders!L$1,[1]products!$A$1:$G$1,0))</f>
        <v>8.91</v>
      </c>
      <c r="I385">
        <f t="shared" si="5"/>
        <v>53.46</v>
      </c>
    </row>
    <row r="386" spans="1:9" x14ac:dyDescent="0.25">
      <c r="A386" t="s">
        <v>771</v>
      </c>
      <c r="B386">
        <v>43870</v>
      </c>
      <c r="C386" t="s">
        <v>772</v>
      </c>
      <c r="D386" t="str">
        <f>INDEX('Customers (2)'!B:B,MATCH('Customers (2)'!A386,'Customers (2)'!A:A,0))</f>
        <v>Nickey Dimbleby</v>
      </c>
      <c r="E386" t="s">
        <v>204</v>
      </c>
      <c r="F386">
        <v>4</v>
      </c>
      <c r="G386">
        <f>INDEX([1]products!$A$1:$G$49,MATCH([1]orders!$D386,[1]products!$A$1:$A$49,0),MATCH([1]orders!K$1,[1]products!$A$1:$G$1,0))</f>
        <v>2.5</v>
      </c>
      <c r="H386">
        <f>INDEX([1]products!$A$1:$G$49,MATCH([1]orders!$D386,[1]products!$A$1:$A$49,0),MATCH([1]orders!L$1,[1]products!$A$1:$G$1,0))</f>
        <v>29.784999999999997</v>
      </c>
      <c r="I386">
        <f t="shared" ref="I386:I449" si="6">F386*H386</f>
        <v>119.13999999999999</v>
      </c>
    </row>
    <row r="387" spans="1:9" x14ac:dyDescent="0.25">
      <c r="A387" t="s">
        <v>773</v>
      </c>
      <c r="B387">
        <v>44559</v>
      </c>
      <c r="C387" t="s">
        <v>774</v>
      </c>
      <c r="D387" t="str">
        <f>INDEX('Customers (2)'!B:B,MATCH('Customers (2)'!A387,'Customers (2)'!A:A,0))</f>
        <v>Virgil Baumadier</v>
      </c>
      <c r="E387" t="s">
        <v>78</v>
      </c>
      <c r="F387">
        <v>5</v>
      </c>
      <c r="G387">
        <f>INDEX([1]products!$A$1:$G$49,MATCH([1]orders!$D387,[1]products!$A$1:$A$49,0),MATCH([1]orders!K$1,[1]products!$A$1:$G$1,0))</f>
        <v>0.5</v>
      </c>
      <c r="H387">
        <f>INDEX([1]products!$A$1:$G$49,MATCH([1]orders!$D387,[1]products!$A$1:$A$49,0),MATCH([1]orders!L$1,[1]products!$A$1:$G$1,0))</f>
        <v>8.73</v>
      </c>
      <c r="I387">
        <f t="shared" si="6"/>
        <v>43.650000000000006</v>
      </c>
    </row>
    <row r="388" spans="1:9" x14ac:dyDescent="0.25">
      <c r="A388" t="s">
        <v>775</v>
      </c>
      <c r="B388">
        <v>44083</v>
      </c>
      <c r="C388" t="s">
        <v>776</v>
      </c>
      <c r="D388" t="str">
        <f>INDEX('Customers (2)'!B:B,MATCH('Customers (2)'!A388,'Customers (2)'!A:A,0))</f>
        <v>Lenore Messenbird</v>
      </c>
      <c r="E388" t="s">
        <v>54</v>
      </c>
      <c r="F388">
        <v>6</v>
      </c>
      <c r="G388">
        <f>INDEX([1]products!$A$1:$G$49,MATCH([1]orders!$D388,[1]products!$A$1:$A$49,0),MATCH([1]orders!K$1,[1]products!$A$1:$G$1,0))</f>
        <v>0.2</v>
      </c>
      <c r="H388">
        <f>INDEX([1]products!$A$1:$G$49,MATCH([1]orders!$D388,[1]products!$A$1:$A$49,0),MATCH([1]orders!L$1,[1]products!$A$1:$G$1,0))</f>
        <v>2.9849999999999999</v>
      </c>
      <c r="I388">
        <f t="shared" si="6"/>
        <v>17.91</v>
      </c>
    </row>
    <row r="389" spans="1:9" x14ac:dyDescent="0.25">
      <c r="A389" t="s">
        <v>777</v>
      </c>
      <c r="B389">
        <v>44455</v>
      </c>
      <c r="C389" t="s">
        <v>778</v>
      </c>
      <c r="D389" t="str">
        <f>INDEX('Customers (2)'!B:B,MATCH('Customers (2)'!A389,'Customers (2)'!A:A,0))</f>
        <v>Shirleen Welds</v>
      </c>
      <c r="E389" t="s">
        <v>137</v>
      </c>
      <c r="F389">
        <v>5</v>
      </c>
      <c r="G389">
        <f>INDEX([1]products!$A$1:$G$49,MATCH([1]orders!$D389,[1]products!$A$1:$A$49,0),MATCH([1]orders!K$1,[1]products!$A$1:$G$1,0))</f>
        <v>1</v>
      </c>
      <c r="H389">
        <f>INDEX([1]products!$A$1:$G$49,MATCH([1]orders!$D389,[1]products!$A$1:$A$49,0),MATCH([1]orders!L$1,[1]products!$A$1:$G$1,0))</f>
        <v>14.85</v>
      </c>
      <c r="I389">
        <f t="shared" si="6"/>
        <v>74.25</v>
      </c>
    </row>
    <row r="390" spans="1:9" x14ac:dyDescent="0.25">
      <c r="A390" t="s">
        <v>779</v>
      </c>
      <c r="B390">
        <v>44130</v>
      </c>
      <c r="C390" t="s">
        <v>780</v>
      </c>
      <c r="D390" t="str">
        <f>INDEX('Customers (2)'!B:B,MATCH('Customers (2)'!A390,'Customers (2)'!A:A,0))</f>
        <v>Maisie Sarvar</v>
      </c>
      <c r="E390" t="s">
        <v>38</v>
      </c>
      <c r="F390">
        <v>3</v>
      </c>
      <c r="G390">
        <f>INDEX([1]products!$A$1:$G$49,MATCH([1]orders!$D390,[1]products!$A$1:$A$49,0),MATCH([1]orders!K$1,[1]products!$A$1:$G$1,0))</f>
        <v>0.2</v>
      </c>
      <c r="H390">
        <f>INDEX([1]products!$A$1:$G$49,MATCH([1]orders!$D390,[1]products!$A$1:$A$49,0),MATCH([1]orders!L$1,[1]products!$A$1:$G$1,0))</f>
        <v>3.8849999999999998</v>
      </c>
      <c r="I390">
        <f t="shared" si="6"/>
        <v>11.654999999999999</v>
      </c>
    </row>
    <row r="391" spans="1:9" x14ac:dyDescent="0.25">
      <c r="A391" t="s">
        <v>781</v>
      </c>
      <c r="B391">
        <v>43536</v>
      </c>
      <c r="C391" t="s">
        <v>782</v>
      </c>
      <c r="D391" t="str">
        <f>INDEX('Customers (2)'!B:B,MATCH('Customers (2)'!A391,'Customers (2)'!A:A,0))</f>
        <v>Andrej Havick</v>
      </c>
      <c r="E391" t="s">
        <v>123</v>
      </c>
      <c r="F391">
        <v>3</v>
      </c>
      <c r="G391">
        <f>INDEX([1]products!$A$1:$G$49,MATCH([1]orders!$D391,[1]products!$A$1:$A$49,0),MATCH([1]orders!K$1,[1]products!$A$1:$G$1,0))</f>
        <v>0.5</v>
      </c>
      <c r="H391">
        <f>INDEX([1]products!$A$1:$G$49,MATCH([1]orders!$D391,[1]products!$A$1:$A$49,0),MATCH([1]orders!L$1,[1]products!$A$1:$G$1,0))</f>
        <v>7.77</v>
      </c>
      <c r="I391">
        <f t="shared" si="6"/>
        <v>23.31</v>
      </c>
    </row>
    <row r="392" spans="1:9" x14ac:dyDescent="0.25">
      <c r="A392" t="s">
        <v>783</v>
      </c>
      <c r="B392">
        <v>44245</v>
      </c>
      <c r="C392" t="s">
        <v>784</v>
      </c>
      <c r="D392" t="str">
        <f>INDEX('Customers (2)'!B:B,MATCH('Customers (2)'!A392,'Customers (2)'!A:A,0))</f>
        <v>Sloan Diviny</v>
      </c>
      <c r="E392" t="s">
        <v>16</v>
      </c>
      <c r="F392">
        <v>2</v>
      </c>
      <c r="G392">
        <f>INDEX([1]products!$A$1:$G$49,MATCH([1]orders!$D392,[1]products!$A$1:$A$49,0),MATCH([1]orders!K$1,[1]products!$A$1:$G$1,0))</f>
        <v>0.5</v>
      </c>
      <c r="H392">
        <f>INDEX([1]products!$A$1:$G$49,MATCH([1]orders!$D392,[1]products!$A$1:$A$49,0),MATCH([1]orders!L$1,[1]products!$A$1:$G$1,0))</f>
        <v>7.29</v>
      </c>
      <c r="I392">
        <f t="shared" si="6"/>
        <v>14.58</v>
      </c>
    </row>
    <row r="393" spans="1:9" x14ac:dyDescent="0.25">
      <c r="A393" t="s">
        <v>785</v>
      </c>
      <c r="B393">
        <v>44133</v>
      </c>
      <c r="C393" t="s">
        <v>786</v>
      </c>
      <c r="D393" t="str">
        <f>INDEX('Customers (2)'!B:B,MATCH('Customers (2)'!A393,'Customers (2)'!A:A,0))</f>
        <v>Itch Norquoy</v>
      </c>
      <c r="E393" t="s">
        <v>67</v>
      </c>
      <c r="F393">
        <v>2</v>
      </c>
      <c r="G393">
        <f>INDEX([1]products!$A$1:$G$49,MATCH([1]orders!$D393,[1]products!$A$1:$A$49,0),MATCH([1]orders!K$1,[1]products!$A$1:$G$1,0))</f>
        <v>0.5</v>
      </c>
      <c r="H393">
        <f>INDEX([1]products!$A$1:$G$49,MATCH([1]orders!$D393,[1]products!$A$1:$A$49,0),MATCH([1]orders!L$1,[1]products!$A$1:$G$1,0))</f>
        <v>6.75</v>
      </c>
      <c r="I393">
        <f t="shared" si="6"/>
        <v>13.5</v>
      </c>
    </row>
    <row r="394" spans="1:9" x14ac:dyDescent="0.25">
      <c r="A394" t="s">
        <v>787</v>
      </c>
      <c r="B394">
        <v>44445</v>
      </c>
      <c r="C394" t="s">
        <v>788</v>
      </c>
      <c r="D394" t="str">
        <f>INDEX('Customers (2)'!B:B,MATCH('Customers (2)'!A394,'Customers (2)'!A:A,0))</f>
        <v>Anson Iddison</v>
      </c>
      <c r="E394" t="s">
        <v>137</v>
      </c>
      <c r="F394">
        <v>6</v>
      </c>
      <c r="G394">
        <f>INDEX([1]products!$A$1:$G$49,MATCH([1]orders!$D394,[1]products!$A$1:$A$49,0),MATCH([1]orders!K$1,[1]products!$A$1:$G$1,0))</f>
        <v>1</v>
      </c>
      <c r="H394">
        <f>INDEX([1]products!$A$1:$G$49,MATCH([1]orders!$D394,[1]products!$A$1:$A$49,0),MATCH([1]orders!L$1,[1]products!$A$1:$G$1,0))</f>
        <v>14.85</v>
      </c>
      <c r="I394">
        <f t="shared" si="6"/>
        <v>89.1</v>
      </c>
    </row>
    <row r="395" spans="1:9" x14ac:dyDescent="0.25">
      <c r="A395" t="s">
        <v>787</v>
      </c>
      <c r="B395">
        <v>44445</v>
      </c>
      <c r="C395" t="s">
        <v>788</v>
      </c>
      <c r="D395" t="str">
        <f>INDEX('Customers (2)'!B:B,MATCH('Customers (2)'!A395,'Customers (2)'!A:A,0))</f>
        <v>Dov Sprosson</v>
      </c>
      <c r="E395" t="s">
        <v>115</v>
      </c>
      <c r="F395">
        <v>1</v>
      </c>
      <c r="G395">
        <f>INDEX([1]products!$A$1:$G$49,MATCH([1]orders!$D395,[1]products!$A$1:$A$49,0),MATCH([1]orders!K$1,[1]products!$A$1:$G$1,0))</f>
        <v>0.2</v>
      </c>
      <c r="H395">
        <f>INDEX([1]products!$A$1:$G$49,MATCH([1]orders!$D395,[1]products!$A$1:$A$49,0),MATCH([1]orders!L$1,[1]products!$A$1:$G$1,0))</f>
        <v>3.8849999999999998</v>
      </c>
      <c r="I395">
        <f t="shared" si="6"/>
        <v>3.8849999999999998</v>
      </c>
    </row>
    <row r="396" spans="1:9" x14ac:dyDescent="0.25">
      <c r="A396" t="s">
        <v>789</v>
      </c>
      <c r="B396">
        <v>44083</v>
      </c>
      <c r="C396" t="s">
        <v>790</v>
      </c>
      <c r="D396" t="str">
        <f>INDEX('Customers (2)'!B:B,MATCH('Customers (2)'!A396,'Customers (2)'!A:A,0))</f>
        <v>Randal Longfield</v>
      </c>
      <c r="E396" t="s">
        <v>10</v>
      </c>
      <c r="F396">
        <v>4</v>
      </c>
      <c r="G396">
        <f>INDEX([1]products!$A$1:$G$49,MATCH([1]orders!$D396,[1]products!$A$1:$A$49,0),MATCH([1]orders!K$1,[1]products!$A$1:$G$1,0))</f>
        <v>2.5</v>
      </c>
      <c r="H396">
        <f>INDEX([1]products!$A$1:$G$49,MATCH([1]orders!$D396,[1]products!$A$1:$A$49,0),MATCH([1]orders!L$1,[1]products!$A$1:$G$1,0))</f>
        <v>27.484999999999996</v>
      </c>
      <c r="I396">
        <f t="shared" si="6"/>
        <v>109.93999999999998</v>
      </c>
    </row>
    <row r="397" spans="1:9" x14ac:dyDescent="0.25">
      <c r="A397" t="s">
        <v>791</v>
      </c>
      <c r="B397">
        <v>44465</v>
      </c>
      <c r="C397" t="s">
        <v>792</v>
      </c>
      <c r="D397" t="str">
        <f>INDEX('Customers (2)'!B:B,MATCH('Customers (2)'!A397,'Customers (2)'!A:A,0))</f>
        <v>Gregorius Kislingbury</v>
      </c>
      <c r="E397" t="s">
        <v>123</v>
      </c>
      <c r="F397">
        <v>6</v>
      </c>
      <c r="G397">
        <f>INDEX([1]products!$A$1:$G$49,MATCH([1]orders!$D397,[1]products!$A$1:$A$49,0),MATCH([1]orders!K$1,[1]products!$A$1:$G$1,0))</f>
        <v>0.5</v>
      </c>
      <c r="H397">
        <f>INDEX([1]products!$A$1:$G$49,MATCH([1]orders!$D397,[1]products!$A$1:$A$49,0),MATCH([1]orders!L$1,[1]products!$A$1:$G$1,0))</f>
        <v>7.77</v>
      </c>
      <c r="I397">
        <f t="shared" si="6"/>
        <v>46.62</v>
      </c>
    </row>
    <row r="398" spans="1:9" x14ac:dyDescent="0.25">
      <c r="A398" t="s">
        <v>793</v>
      </c>
      <c r="B398">
        <v>44140</v>
      </c>
      <c r="C398" t="s">
        <v>794</v>
      </c>
      <c r="D398" t="str">
        <f>INDEX('Customers (2)'!B:B,MATCH('Customers (2)'!A398,'Customers (2)'!A:A,0))</f>
        <v>Xenos Gibbons</v>
      </c>
      <c r="E398" t="s">
        <v>192</v>
      </c>
      <c r="F398">
        <v>5</v>
      </c>
      <c r="G398">
        <f>INDEX([1]products!$A$1:$G$49,MATCH([1]orders!$D398,[1]products!$A$1:$A$49,0),MATCH([1]orders!K$1,[1]products!$A$1:$G$1,0))</f>
        <v>0.5</v>
      </c>
      <c r="H398">
        <f>INDEX([1]products!$A$1:$G$49,MATCH([1]orders!$D398,[1]products!$A$1:$A$49,0),MATCH([1]orders!L$1,[1]products!$A$1:$G$1,0))</f>
        <v>7.77</v>
      </c>
      <c r="I398">
        <f t="shared" si="6"/>
        <v>38.849999999999994</v>
      </c>
    </row>
    <row r="399" spans="1:9" x14ac:dyDescent="0.25">
      <c r="A399" t="s">
        <v>795</v>
      </c>
      <c r="B399">
        <v>43720</v>
      </c>
      <c r="C399" t="s">
        <v>796</v>
      </c>
      <c r="D399" t="str">
        <f>INDEX('Customers (2)'!B:B,MATCH('Customers (2)'!A399,'Customers (2)'!A:A,0))</f>
        <v>Fleur Parres</v>
      </c>
      <c r="E399" t="s">
        <v>123</v>
      </c>
      <c r="F399">
        <v>4</v>
      </c>
      <c r="G399">
        <f>INDEX([1]products!$A$1:$G$49,MATCH([1]orders!$D399,[1]products!$A$1:$A$49,0),MATCH([1]orders!K$1,[1]products!$A$1:$G$1,0))</f>
        <v>0.5</v>
      </c>
      <c r="H399">
        <f>INDEX([1]products!$A$1:$G$49,MATCH([1]orders!$D399,[1]products!$A$1:$A$49,0),MATCH([1]orders!L$1,[1]products!$A$1:$G$1,0))</f>
        <v>7.77</v>
      </c>
      <c r="I399">
        <f t="shared" si="6"/>
        <v>31.08</v>
      </c>
    </row>
    <row r="400" spans="1:9" x14ac:dyDescent="0.25">
      <c r="A400" t="s">
        <v>797</v>
      </c>
      <c r="B400">
        <v>43677</v>
      </c>
      <c r="C400" t="s">
        <v>798</v>
      </c>
      <c r="D400" t="str">
        <f>INDEX('Customers (2)'!B:B,MATCH('Customers (2)'!A400,'Customers (2)'!A:A,0))</f>
        <v>Gran Sibray</v>
      </c>
      <c r="E400" t="s">
        <v>54</v>
      </c>
      <c r="F400">
        <v>6</v>
      </c>
      <c r="G400">
        <f>INDEX([1]products!$A$1:$G$49,MATCH([1]orders!$D400,[1]products!$A$1:$A$49,0),MATCH([1]orders!K$1,[1]products!$A$1:$G$1,0))</f>
        <v>0.2</v>
      </c>
      <c r="H400">
        <f>INDEX([1]products!$A$1:$G$49,MATCH([1]orders!$D400,[1]products!$A$1:$A$49,0),MATCH([1]orders!L$1,[1]products!$A$1:$G$1,0))</f>
        <v>2.9849999999999999</v>
      </c>
      <c r="I400">
        <f t="shared" si="6"/>
        <v>17.91</v>
      </c>
    </row>
    <row r="401" spans="1:9" x14ac:dyDescent="0.25">
      <c r="A401" t="s">
        <v>799</v>
      </c>
      <c r="B401">
        <v>43539</v>
      </c>
      <c r="C401" t="s">
        <v>800</v>
      </c>
      <c r="D401" t="str">
        <f>INDEX('Customers (2)'!B:B,MATCH('Customers (2)'!A401,'Customers (2)'!A:A,0))</f>
        <v>Ingelbert Hotchkin</v>
      </c>
      <c r="E401" t="s">
        <v>530</v>
      </c>
      <c r="F401">
        <v>6</v>
      </c>
      <c r="G401">
        <f>INDEX([1]products!$A$1:$G$49,MATCH([1]orders!$D401,[1]products!$A$1:$A$49,0),MATCH([1]orders!K$1,[1]products!$A$1:$G$1,0))</f>
        <v>2.5</v>
      </c>
      <c r="H401">
        <f>INDEX([1]products!$A$1:$G$49,MATCH([1]orders!$D401,[1]products!$A$1:$A$49,0),MATCH([1]orders!L$1,[1]products!$A$1:$G$1,0))</f>
        <v>27.945</v>
      </c>
      <c r="I401">
        <f t="shared" si="6"/>
        <v>167.67000000000002</v>
      </c>
    </row>
    <row r="402" spans="1:9" x14ac:dyDescent="0.25">
      <c r="A402" t="s">
        <v>801</v>
      </c>
      <c r="B402">
        <v>44332</v>
      </c>
      <c r="C402" t="s">
        <v>802</v>
      </c>
      <c r="D402" t="str">
        <f>INDEX('Customers (2)'!B:B,MATCH('Customers (2)'!A402,'Customers (2)'!A:A,0))</f>
        <v>Neely Broadberrie</v>
      </c>
      <c r="E402" t="s">
        <v>132</v>
      </c>
      <c r="F402">
        <v>4</v>
      </c>
      <c r="G402">
        <f>INDEX([1]products!$A$1:$G$49,MATCH([1]orders!$D402,[1]products!$A$1:$A$49,0),MATCH([1]orders!K$1,[1]products!$A$1:$G$1,0))</f>
        <v>1</v>
      </c>
      <c r="H402">
        <f>INDEX([1]products!$A$1:$G$49,MATCH([1]orders!$D402,[1]products!$A$1:$A$49,0),MATCH([1]orders!L$1,[1]products!$A$1:$G$1,0))</f>
        <v>15.85</v>
      </c>
      <c r="I402">
        <f t="shared" si="6"/>
        <v>63.4</v>
      </c>
    </row>
    <row r="403" spans="1:9" x14ac:dyDescent="0.25">
      <c r="A403" t="s">
        <v>803</v>
      </c>
      <c r="B403">
        <v>43591</v>
      </c>
      <c r="C403" t="s">
        <v>804</v>
      </c>
      <c r="D403" t="str">
        <f>INDEX('Customers (2)'!B:B,MATCH('Customers (2)'!A403,'Customers (2)'!A:A,0))</f>
        <v>Rutger Pithcock</v>
      </c>
      <c r="E403" t="s">
        <v>77</v>
      </c>
      <c r="F403">
        <v>2</v>
      </c>
      <c r="G403">
        <f>INDEX([1]products!$A$1:$G$49,MATCH([1]orders!$D403,[1]products!$A$1:$A$49,0),MATCH([1]orders!K$1,[1]products!$A$1:$G$1,0))</f>
        <v>0.2</v>
      </c>
      <c r="H403">
        <f>INDEX([1]products!$A$1:$G$49,MATCH([1]orders!$D403,[1]products!$A$1:$A$49,0),MATCH([1]orders!L$1,[1]products!$A$1:$G$1,0))</f>
        <v>4.3650000000000002</v>
      </c>
      <c r="I403">
        <f t="shared" si="6"/>
        <v>8.73</v>
      </c>
    </row>
    <row r="404" spans="1:9" x14ac:dyDescent="0.25">
      <c r="A404" t="s">
        <v>805</v>
      </c>
      <c r="B404">
        <v>43502</v>
      </c>
      <c r="C404" t="s">
        <v>806</v>
      </c>
      <c r="D404" t="str">
        <f>INDEX('Customers (2)'!B:B,MATCH('Customers (2)'!A404,'Customers (2)'!A:A,0))</f>
        <v>Gale Croysdale</v>
      </c>
      <c r="E404" t="s">
        <v>179</v>
      </c>
      <c r="F404">
        <v>3</v>
      </c>
      <c r="G404">
        <f>INDEX([1]products!$A$1:$G$49,MATCH([1]orders!$D404,[1]products!$A$1:$A$49,0),MATCH([1]orders!K$1,[1]products!$A$1:$G$1,0))</f>
        <v>1</v>
      </c>
      <c r="H404">
        <f>INDEX([1]products!$A$1:$G$49,MATCH([1]orders!$D404,[1]products!$A$1:$A$49,0),MATCH([1]orders!L$1,[1]products!$A$1:$G$1,0))</f>
        <v>8.9499999999999993</v>
      </c>
      <c r="I404">
        <f t="shared" si="6"/>
        <v>26.849999999999998</v>
      </c>
    </row>
    <row r="405" spans="1:9" x14ac:dyDescent="0.25">
      <c r="A405" t="s">
        <v>807</v>
      </c>
      <c r="B405">
        <v>44295</v>
      </c>
      <c r="C405" t="s">
        <v>808</v>
      </c>
      <c r="D405" t="str">
        <f>INDEX('Customers (2)'!B:B,MATCH('Customers (2)'!A405,'Customers (2)'!A:A,0))</f>
        <v>Benedetto Gozzett</v>
      </c>
      <c r="E405" t="s">
        <v>19</v>
      </c>
      <c r="F405">
        <v>2</v>
      </c>
      <c r="G405">
        <f>INDEX([1]products!$A$1:$G$49,MATCH([1]orders!$D405,[1]products!$A$1:$A$49,0),MATCH([1]orders!K$1,[1]products!$A$1:$G$1,0))</f>
        <v>0.2</v>
      </c>
      <c r="H405">
        <f>INDEX([1]products!$A$1:$G$49,MATCH([1]orders!$D405,[1]products!$A$1:$A$49,0),MATCH([1]orders!L$1,[1]products!$A$1:$G$1,0))</f>
        <v>4.7549999999999999</v>
      </c>
      <c r="I405">
        <f t="shared" si="6"/>
        <v>9.51</v>
      </c>
    </row>
    <row r="406" spans="1:9" x14ac:dyDescent="0.25">
      <c r="A406" t="s">
        <v>809</v>
      </c>
      <c r="B406">
        <v>43971</v>
      </c>
      <c r="C406" t="s">
        <v>810</v>
      </c>
      <c r="D406" t="str">
        <f>INDEX('Customers (2)'!B:B,MATCH('Customers (2)'!A406,'Customers (2)'!A:A,0))</f>
        <v>Tania Craggs</v>
      </c>
      <c r="E406" t="s">
        <v>27</v>
      </c>
      <c r="F406">
        <v>4</v>
      </c>
      <c r="G406">
        <f>INDEX([1]products!$A$1:$G$49,MATCH([1]orders!$D406,[1]products!$A$1:$A$49,0),MATCH([1]orders!K$1,[1]products!$A$1:$G$1,0))</f>
        <v>1</v>
      </c>
      <c r="H406">
        <f>INDEX([1]products!$A$1:$G$49,MATCH([1]orders!$D406,[1]products!$A$1:$A$49,0),MATCH([1]orders!L$1,[1]products!$A$1:$G$1,0))</f>
        <v>9.9499999999999993</v>
      </c>
      <c r="I406">
        <f t="shared" si="6"/>
        <v>39.799999999999997</v>
      </c>
    </row>
    <row r="407" spans="1:9" x14ac:dyDescent="0.25">
      <c r="A407" t="s">
        <v>811</v>
      </c>
      <c r="B407">
        <v>44167</v>
      </c>
      <c r="C407" t="s">
        <v>812</v>
      </c>
      <c r="D407" t="str">
        <f>INDEX('Customers (2)'!B:B,MATCH('Customers (2)'!A407,'Customers (2)'!A:A,0))</f>
        <v>Leonie Cullrford</v>
      </c>
      <c r="E407" t="s">
        <v>3</v>
      </c>
      <c r="F407">
        <v>3</v>
      </c>
      <c r="G407">
        <f>INDEX([1]products!$A$1:$G$49,MATCH([1]orders!$D407,[1]products!$A$1:$A$49,0),MATCH([1]orders!K$1,[1]products!$A$1:$G$1,0))</f>
        <v>0.5</v>
      </c>
      <c r="H407">
        <f>INDEX([1]products!$A$1:$G$49,MATCH([1]orders!$D407,[1]products!$A$1:$A$49,0),MATCH([1]orders!L$1,[1]products!$A$1:$G$1,0))</f>
        <v>8.25</v>
      </c>
      <c r="I407">
        <f t="shared" si="6"/>
        <v>24.75</v>
      </c>
    </row>
    <row r="408" spans="1:9" x14ac:dyDescent="0.25">
      <c r="A408" t="s">
        <v>813</v>
      </c>
      <c r="B408">
        <v>44416</v>
      </c>
      <c r="C408" t="s">
        <v>814</v>
      </c>
      <c r="D408" t="str">
        <f>INDEX('Customers (2)'!B:B,MATCH('Customers (2)'!A408,'Customers (2)'!A:A,0))</f>
        <v>Auguste Rizon</v>
      </c>
      <c r="E408" t="s">
        <v>9</v>
      </c>
      <c r="F408">
        <v>5</v>
      </c>
      <c r="G408">
        <f>INDEX([1]products!$A$1:$G$49,MATCH([1]orders!$D408,[1]products!$A$1:$A$49,0),MATCH([1]orders!K$1,[1]products!$A$1:$G$1,0))</f>
        <v>1</v>
      </c>
      <c r="H408">
        <f>INDEX([1]products!$A$1:$G$49,MATCH([1]orders!$D408,[1]products!$A$1:$A$49,0),MATCH([1]orders!L$1,[1]products!$A$1:$G$1,0))</f>
        <v>13.75</v>
      </c>
      <c r="I408">
        <f t="shared" si="6"/>
        <v>68.75</v>
      </c>
    </row>
    <row r="409" spans="1:9" x14ac:dyDescent="0.25">
      <c r="A409" t="s">
        <v>815</v>
      </c>
      <c r="B409">
        <v>44595</v>
      </c>
      <c r="C409" t="s">
        <v>816</v>
      </c>
      <c r="D409" t="str">
        <f>INDEX('Customers (2)'!B:B,MATCH('Customers (2)'!A409,'Customers (2)'!A:A,0))</f>
        <v>Lorin Guerrazzi</v>
      </c>
      <c r="E409" t="s">
        <v>3</v>
      </c>
      <c r="F409">
        <v>6</v>
      </c>
      <c r="G409">
        <f>INDEX([1]products!$A$1:$G$49,MATCH([1]orders!$D409,[1]products!$A$1:$A$49,0),MATCH([1]orders!K$1,[1]products!$A$1:$G$1,0))</f>
        <v>0.5</v>
      </c>
      <c r="H409">
        <f>INDEX([1]products!$A$1:$G$49,MATCH([1]orders!$D409,[1]products!$A$1:$A$49,0),MATCH([1]orders!L$1,[1]products!$A$1:$G$1,0))</f>
        <v>8.25</v>
      </c>
      <c r="I409">
        <f t="shared" si="6"/>
        <v>49.5</v>
      </c>
    </row>
    <row r="410" spans="1:9" x14ac:dyDescent="0.25">
      <c r="A410" t="s">
        <v>817</v>
      </c>
      <c r="B410">
        <v>44659</v>
      </c>
      <c r="C410" t="s">
        <v>818</v>
      </c>
      <c r="D410" t="str">
        <f>INDEX('Customers (2)'!B:B,MATCH('Customers (2)'!A410,'Customers (2)'!A:A,0))</f>
        <v>Felice Miell</v>
      </c>
      <c r="E410" t="s">
        <v>171</v>
      </c>
      <c r="F410">
        <v>2</v>
      </c>
      <c r="G410">
        <f>INDEX([1]products!$A$1:$G$49,MATCH([1]orders!$D410,[1]products!$A$1:$A$49,0),MATCH([1]orders!K$1,[1]products!$A$1:$G$1,0))</f>
        <v>2.5</v>
      </c>
      <c r="H410">
        <f>INDEX([1]products!$A$1:$G$49,MATCH([1]orders!$D410,[1]products!$A$1:$A$49,0),MATCH([1]orders!L$1,[1]products!$A$1:$G$1,0))</f>
        <v>25.874999999999996</v>
      </c>
      <c r="I410">
        <f t="shared" si="6"/>
        <v>51.749999999999993</v>
      </c>
    </row>
    <row r="411" spans="1:9" x14ac:dyDescent="0.25">
      <c r="A411" t="s">
        <v>819</v>
      </c>
      <c r="B411">
        <v>44203</v>
      </c>
      <c r="C411" t="s">
        <v>820</v>
      </c>
      <c r="D411" t="str">
        <f>INDEX('Customers (2)'!B:B,MATCH('Customers (2)'!A411,'Customers (2)'!A:A,0))</f>
        <v>Hamish Skeech</v>
      </c>
      <c r="E411" t="s">
        <v>132</v>
      </c>
      <c r="F411">
        <v>3</v>
      </c>
      <c r="G411">
        <f>INDEX([1]products!$A$1:$G$49,MATCH([1]orders!$D411,[1]products!$A$1:$A$49,0),MATCH([1]orders!K$1,[1]products!$A$1:$G$1,0))</f>
        <v>1</v>
      </c>
      <c r="H411">
        <f>INDEX([1]products!$A$1:$G$49,MATCH([1]orders!$D411,[1]products!$A$1:$A$49,0),MATCH([1]orders!L$1,[1]products!$A$1:$G$1,0))</f>
        <v>15.85</v>
      </c>
      <c r="I411">
        <f t="shared" si="6"/>
        <v>47.55</v>
      </c>
    </row>
    <row r="412" spans="1:9" x14ac:dyDescent="0.25">
      <c r="A412" t="s">
        <v>821</v>
      </c>
      <c r="B412">
        <v>44441</v>
      </c>
      <c r="C412" t="s">
        <v>822</v>
      </c>
      <c r="D412" t="str">
        <f>INDEX('Customers (2)'!B:B,MATCH('Customers (2)'!A412,'Customers (2)'!A:A,0))</f>
        <v>Giordano Lorenzin</v>
      </c>
      <c r="E412" t="s">
        <v>115</v>
      </c>
      <c r="F412">
        <v>4</v>
      </c>
      <c r="G412">
        <f>INDEX([1]products!$A$1:$G$49,MATCH([1]orders!$D412,[1]products!$A$1:$A$49,0),MATCH([1]orders!K$1,[1]products!$A$1:$G$1,0))</f>
        <v>0.2</v>
      </c>
      <c r="H412">
        <f>INDEX([1]products!$A$1:$G$49,MATCH([1]orders!$D412,[1]products!$A$1:$A$49,0),MATCH([1]orders!L$1,[1]products!$A$1:$G$1,0))</f>
        <v>3.8849999999999998</v>
      </c>
      <c r="I412">
        <f t="shared" si="6"/>
        <v>15.54</v>
      </c>
    </row>
    <row r="413" spans="1:9" x14ac:dyDescent="0.25">
      <c r="A413" t="s">
        <v>823</v>
      </c>
      <c r="B413">
        <v>44504</v>
      </c>
      <c r="C413" t="s">
        <v>824</v>
      </c>
      <c r="D413" t="str">
        <f>INDEX('Customers (2)'!B:B,MATCH('Customers (2)'!A413,'Customers (2)'!A:A,0))</f>
        <v>Harwilll Bishell</v>
      </c>
      <c r="E413" t="s">
        <v>96</v>
      </c>
      <c r="F413">
        <v>6</v>
      </c>
      <c r="G413">
        <f>INDEX([1]products!$A$1:$G$49,MATCH([1]orders!$D413,[1]products!$A$1:$A$49,0),MATCH([1]orders!K$1,[1]products!$A$1:$G$1,0))</f>
        <v>1</v>
      </c>
      <c r="H413">
        <f>INDEX([1]products!$A$1:$G$49,MATCH([1]orders!$D413,[1]products!$A$1:$A$49,0),MATCH([1]orders!L$1,[1]products!$A$1:$G$1,0))</f>
        <v>14.55</v>
      </c>
      <c r="I413">
        <f t="shared" si="6"/>
        <v>87.300000000000011</v>
      </c>
    </row>
    <row r="414" spans="1:9" x14ac:dyDescent="0.25">
      <c r="A414" t="s">
        <v>825</v>
      </c>
      <c r="B414">
        <v>44410</v>
      </c>
      <c r="C414" t="s">
        <v>826</v>
      </c>
      <c r="D414" t="str">
        <f>INDEX('Customers (2)'!B:B,MATCH('Customers (2)'!A414,'Customers (2)'!A:A,0))</f>
        <v>Freeland Missenden</v>
      </c>
      <c r="E414" t="s">
        <v>61</v>
      </c>
      <c r="F414">
        <v>5</v>
      </c>
      <c r="G414">
        <f>INDEX([1]products!$A$1:$G$49,MATCH([1]orders!$D414,[1]products!$A$1:$A$49,0),MATCH([1]orders!K$1,[1]products!$A$1:$G$1,0))</f>
        <v>1</v>
      </c>
      <c r="H414">
        <f>INDEX([1]products!$A$1:$G$49,MATCH([1]orders!$D414,[1]products!$A$1:$A$49,0),MATCH([1]orders!L$1,[1]products!$A$1:$G$1,0))</f>
        <v>11.25</v>
      </c>
      <c r="I414">
        <f t="shared" si="6"/>
        <v>56.25</v>
      </c>
    </row>
    <row r="415" spans="1:9" x14ac:dyDescent="0.25">
      <c r="A415" t="s">
        <v>827</v>
      </c>
      <c r="B415">
        <v>43857</v>
      </c>
      <c r="C415" t="s">
        <v>828</v>
      </c>
      <c r="D415" t="str">
        <f>INDEX('Customers (2)'!B:B,MATCH('Customers (2)'!A415,'Customers (2)'!A:A,0))</f>
        <v>Waylan Springall</v>
      </c>
      <c r="E415" t="s">
        <v>104</v>
      </c>
      <c r="F415">
        <v>1</v>
      </c>
      <c r="G415">
        <f>INDEX([1]products!$A$1:$G$49,MATCH([1]orders!$D415,[1]products!$A$1:$A$49,0),MATCH([1]orders!K$1,[1]products!$A$1:$G$1,0))</f>
        <v>2.5</v>
      </c>
      <c r="H415">
        <f>INDEX([1]products!$A$1:$G$49,MATCH([1]orders!$D415,[1]products!$A$1:$A$49,0),MATCH([1]orders!L$1,[1]products!$A$1:$G$1,0))</f>
        <v>36.454999999999998</v>
      </c>
      <c r="I415">
        <f t="shared" si="6"/>
        <v>36.454999999999998</v>
      </c>
    </row>
    <row r="416" spans="1:9" x14ac:dyDescent="0.25">
      <c r="A416" t="s">
        <v>829</v>
      </c>
      <c r="B416">
        <v>43802</v>
      </c>
      <c r="C416" t="s">
        <v>830</v>
      </c>
      <c r="D416" t="str">
        <f>INDEX('Customers (2)'!B:B,MATCH('Customers (2)'!A416,'Customers (2)'!A:A,0))</f>
        <v>Kiri Avramow</v>
      </c>
      <c r="E416" t="s">
        <v>182</v>
      </c>
      <c r="F416">
        <v>3</v>
      </c>
      <c r="G416">
        <f>INDEX([1]products!$A$1:$G$49,MATCH([1]orders!$D416,[1]products!$A$1:$A$49,0),MATCH([1]orders!K$1,[1]products!$A$1:$G$1,0))</f>
        <v>0.2</v>
      </c>
      <c r="H416">
        <f>INDEX([1]products!$A$1:$G$49,MATCH([1]orders!$D416,[1]products!$A$1:$A$49,0),MATCH([1]orders!L$1,[1]products!$A$1:$G$1,0))</f>
        <v>3.5849999999999995</v>
      </c>
      <c r="I416">
        <f t="shared" si="6"/>
        <v>10.754999999999999</v>
      </c>
    </row>
    <row r="417" spans="1:9" x14ac:dyDescent="0.25">
      <c r="A417" t="s">
        <v>831</v>
      </c>
      <c r="B417">
        <v>43683</v>
      </c>
      <c r="C417" t="s">
        <v>832</v>
      </c>
      <c r="D417" t="str">
        <f>INDEX('Customers (2)'!B:B,MATCH('Customers (2)'!A417,'Customers (2)'!A:A,0))</f>
        <v>Gregg Hawkyens</v>
      </c>
      <c r="E417" t="s">
        <v>162</v>
      </c>
      <c r="F417">
        <v>3</v>
      </c>
      <c r="G417">
        <f>INDEX([1]products!$A$1:$G$49,MATCH([1]orders!$D417,[1]products!$A$1:$A$49,0),MATCH([1]orders!K$1,[1]products!$A$1:$G$1,0))</f>
        <v>0.2</v>
      </c>
      <c r="H417">
        <f>INDEX([1]products!$A$1:$G$49,MATCH([1]orders!$D417,[1]products!$A$1:$A$49,0),MATCH([1]orders!L$1,[1]products!$A$1:$G$1,0))</f>
        <v>2.9849999999999999</v>
      </c>
      <c r="I417">
        <f t="shared" si="6"/>
        <v>8.9550000000000001</v>
      </c>
    </row>
    <row r="418" spans="1:9" x14ac:dyDescent="0.25">
      <c r="A418" t="s">
        <v>833</v>
      </c>
      <c r="B418">
        <v>43901</v>
      </c>
      <c r="C418" t="s">
        <v>834</v>
      </c>
      <c r="D418" t="str">
        <f>INDEX('Customers (2)'!B:B,MATCH('Customers (2)'!A418,'Customers (2)'!A:A,0))</f>
        <v>Reggis Pracy</v>
      </c>
      <c r="E418" t="s">
        <v>192</v>
      </c>
      <c r="F418">
        <v>3</v>
      </c>
      <c r="G418">
        <f>INDEX([1]products!$A$1:$G$49,MATCH([1]orders!$D418,[1]products!$A$1:$A$49,0),MATCH([1]orders!K$1,[1]products!$A$1:$G$1,0))</f>
        <v>0.5</v>
      </c>
      <c r="H418">
        <f>INDEX([1]products!$A$1:$G$49,MATCH([1]orders!$D418,[1]products!$A$1:$A$49,0),MATCH([1]orders!L$1,[1]products!$A$1:$G$1,0))</f>
        <v>7.77</v>
      </c>
      <c r="I418">
        <f t="shared" si="6"/>
        <v>23.31</v>
      </c>
    </row>
    <row r="419" spans="1:9" x14ac:dyDescent="0.25">
      <c r="A419" t="s">
        <v>835</v>
      </c>
      <c r="B419">
        <v>44457</v>
      </c>
      <c r="C419" t="s">
        <v>836</v>
      </c>
      <c r="D419" t="str">
        <f>INDEX('Customers (2)'!B:B,MATCH('Customers (2)'!A419,'Customers (2)'!A:A,0))</f>
        <v>Paula Denis</v>
      </c>
      <c r="E419" t="s">
        <v>204</v>
      </c>
      <c r="F419">
        <v>1</v>
      </c>
      <c r="G419">
        <f>INDEX([1]products!$A$1:$G$49,MATCH([1]orders!$D419,[1]products!$A$1:$A$49,0),MATCH([1]orders!K$1,[1]products!$A$1:$G$1,0))</f>
        <v>2.5</v>
      </c>
      <c r="H419">
        <f>INDEX([1]products!$A$1:$G$49,MATCH([1]orders!$D419,[1]products!$A$1:$A$49,0),MATCH([1]orders!L$1,[1]products!$A$1:$G$1,0))</f>
        <v>29.784999999999997</v>
      </c>
      <c r="I419">
        <f t="shared" si="6"/>
        <v>29.784999999999997</v>
      </c>
    </row>
    <row r="420" spans="1:9" x14ac:dyDescent="0.25">
      <c r="A420" t="s">
        <v>837</v>
      </c>
      <c r="B420">
        <v>44142</v>
      </c>
      <c r="C420" t="s">
        <v>838</v>
      </c>
      <c r="D420" t="str">
        <f>INDEX('Customers (2)'!B:B,MATCH('Customers (2)'!A420,'Customers (2)'!A:A,0))</f>
        <v>Broderick McGilvra</v>
      </c>
      <c r="E420" t="s">
        <v>204</v>
      </c>
      <c r="F420">
        <v>5</v>
      </c>
      <c r="G420">
        <f>INDEX([1]products!$A$1:$G$49,MATCH([1]orders!$D420,[1]products!$A$1:$A$49,0),MATCH([1]orders!K$1,[1]products!$A$1:$G$1,0))</f>
        <v>2.5</v>
      </c>
      <c r="H420">
        <f>INDEX([1]products!$A$1:$G$49,MATCH([1]orders!$D420,[1]products!$A$1:$A$49,0),MATCH([1]orders!L$1,[1]products!$A$1:$G$1,0))</f>
        <v>29.784999999999997</v>
      </c>
      <c r="I420">
        <f t="shared" si="6"/>
        <v>148.92499999999998</v>
      </c>
    </row>
    <row r="421" spans="1:9" x14ac:dyDescent="0.25">
      <c r="A421" t="s">
        <v>839</v>
      </c>
      <c r="B421">
        <v>44739</v>
      </c>
      <c r="C421" t="s">
        <v>840</v>
      </c>
      <c r="D421" t="str">
        <f>INDEX('Customers (2)'!B:B,MATCH('Customers (2)'!A421,'Customers (2)'!A:A,0))</f>
        <v>Annabella Danzey</v>
      </c>
      <c r="E421" t="s">
        <v>78</v>
      </c>
      <c r="F421">
        <v>1</v>
      </c>
      <c r="G421">
        <f>INDEX([1]products!$A$1:$G$49,MATCH([1]orders!$D421,[1]products!$A$1:$A$49,0),MATCH([1]orders!K$1,[1]products!$A$1:$G$1,0))</f>
        <v>0.5</v>
      </c>
      <c r="H421">
        <f>INDEX([1]products!$A$1:$G$49,MATCH([1]orders!$D421,[1]products!$A$1:$A$49,0),MATCH([1]orders!L$1,[1]products!$A$1:$G$1,0))</f>
        <v>8.73</v>
      </c>
      <c r="I421">
        <f t="shared" si="6"/>
        <v>8.73</v>
      </c>
    </row>
    <row r="422" spans="1:9" x14ac:dyDescent="0.25">
      <c r="A422" t="s">
        <v>841</v>
      </c>
      <c r="B422">
        <v>43866</v>
      </c>
      <c r="C422" t="s">
        <v>749</v>
      </c>
      <c r="D422" t="str">
        <f>INDEX('Customers (2)'!B:B,MATCH('Customers (2)'!A422,'Customers (2)'!A:A,0))</f>
        <v>Anthia McKeller</v>
      </c>
      <c r="E422" t="s">
        <v>123</v>
      </c>
      <c r="F422">
        <v>4</v>
      </c>
      <c r="G422">
        <f>INDEX([1]products!$A$1:$G$49,MATCH([1]orders!$D422,[1]products!$A$1:$A$49,0),MATCH([1]orders!K$1,[1]products!$A$1:$G$1,0))</f>
        <v>0.5</v>
      </c>
      <c r="H422">
        <f>INDEX([1]products!$A$1:$G$49,MATCH([1]orders!$D422,[1]products!$A$1:$A$49,0),MATCH([1]orders!L$1,[1]products!$A$1:$G$1,0))</f>
        <v>7.77</v>
      </c>
      <c r="I422">
        <f t="shared" si="6"/>
        <v>31.08</v>
      </c>
    </row>
    <row r="423" spans="1:9" x14ac:dyDescent="0.25">
      <c r="A423" t="s">
        <v>841</v>
      </c>
      <c r="B423">
        <v>43866</v>
      </c>
      <c r="C423" t="s">
        <v>749</v>
      </c>
      <c r="D423" t="str">
        <f>INDEX('Customers (2)'!B:B,MATCH('Customers (2)'!A423,'Customers (2)'!A:A,0))</f>
        <v>Faith Powley</v>
      </c>
      <c r="E423" t="s">
        <v>118</v>
      </c>
      <c r="F423">
        <v>6</v>
      </c>
      <c r="G423">
        <f>INDEX([1]products!$A$1:$G$49,MATCH([1]orders!$D423,[1]products!$A$1:$A$49,0),MATCH([1]orders!K$1,[1]products!$A$1:$G$1,0))</f>
        <v>2.5</v>
      </c>
      <c r="H423">
        <f>INDEX([1]products!$A$1:$G$49,MATCH([1]orders!$D423,[1]products!$A$1:$A$49,0),MATCH([1]orders!L$1,[1]products!$A$1:$G$1,0))</f>
        <v>22.884999999999998</v>
      </c>
      <c r="I423">
        <f t="shared" si="6"/>
        <v>137.31</v>
      </c>
    </row>
    <row r="424" spans="1:9" x14ac:dyDescent="0.25">
      <c r="A424" t="s">
        <v>842</v>
      </c>
      <c r="B424">
        <v>43868</v>
      </c>
      <c r="C424" t="s">
        <v>843</v>
      </c>
      <c r="D424" t="str">
        <f>INDEX('Customers (2)'!B:B,MATCH('Customers (2)'!A424,'Customers (2)'!A:A,0))</f>
        <v>Nevins Glowacz</v>
      </c>
      <c r="E424" t="s">
        <v>72</v>
      </c>
      <c r="F424">
        <v>5</v>
      </c>
      <c r="G424">
        <f>INDEX([1]products!$A$1:$G$49,MATCH([1]orders!$D424,[1]products!$A$1:$A$49,0),MATCH([1]orders!K$1,[1]products!$A$1:$G$1,0))</f>
        <v>0.5</v>
      </c>
      <c r="H424">
        <f>INDEX([1]products!$A$1:$G$49,MATCH([1]orders!$D424,[1]products!$A$1:$A$49,0),MATCH([1]orders!L$1,[1]products!$A$1:$G$1,0))</f>
        <v>5.97</v>
      </c>
      <c r="I424">
        <f t="shared" si="6"/>
        <v>29.849999999999998</v>
      </c>
    </row>
    <row r="425" spans="1:9" x14ac:dyDescent="0.25">
      <c r="A425" t="s">
        <v>844</v>
      </c>
      <c r="B425">
        <v>44183</v>
      </c>
      <c r="C425" t="s">
        <v>845</v>
      </c>
      <c r="D425" t="str">
        <f>INDEX('Customers (2)'!B:B,MATCH('Customers (2)'!A425,'Customers (2)'!A:A,0))</f>
        <v>Adelice Isabell</v>
      </c>
      <c r="E425" t="s">
        <v>22</v>
      </c>
      <c r="F425">
        <v>3</v>
      </c>
      <c r="G425">
        <f>INDEX([1]products!$A$1:$G$49,MATCH([1]orders!$D425,[1]products!$A$1:$A$49,0),MATCH([1]orders!K$1,[1]products!$A$1:$G$1,0))</f>
        <v>0.5</v>
      </c>
      <c r="H425">
        <f>INDEX([1]products!$A$1:$G$49,MATCH([1]orders!$D425,[1]products!$A$1:$A$49,0),MATCH([1]orders!L$1,[1]products!$A$1:$G$1,0))</f>
        <v>5.97</v>
      </c>
      <c r="I425">
        <f t="shared" si="6"/>
        <v>17.91</v>
      </c>
    </row>
    <row r="426" spans="1:9" x14ac:dyDescent="0.25">
      <c r="A426" t="s">
        <v>846</v>
      </c>
      <c r="B426">
        <v>44431</v>
      </c>
      <c r="C426" t="s">
        <v>847</v>
      </c>
      <c r="D426" t="str">
        <f>INDEX('Customers (2)'!B:B,MATCH('Customers (2)'!A426,'Customers (2)'!A:A,0))</f>
        <v>Yulma Dombrell</v>
      </c>
      <c r="E426" t="s">
        <v>176</v>
      </c>
      <c r="F426">
        <v>3</v>
      </c>
      <c r="G426">
        <f>INDEX([1]products!$A$1:$G$49,MATCH([1]orders!$D426,[1]products!$A$1:$A$49,0),MATCH([1]orders!K$1,[1]products!$A$1:$G$1,0))</f>
        <v>0.5</v>
      </c>
      <c r="H426">
        <f>INDEX([1]products!$A$1:$G$49,MATCH([1]orders!$D426,[1]products!$A$1:$A$49,0),MATCH([1]orders!L$1,[1]products!$A$1:$G$1,0))</f>
        <v>8.91</v>
      </c>
      <c r="I426">
        <f t="shared" si="6"/>
        <v>26.73</v>
      </c>
    </row>
    <row r="427" spans="1:9" x14ac:dyDescent="0.25">
      <c r="A427" t="s">
        <v>848</v>
      </c>
      <c r="B427">
        <v>44428</v>
      </c>
      <c r="C427" t="s">
        <v>849</v>
      </c>
      <c r="D427" t="str">
        <f>INDEX('Customers (2)'!B:B,MATCH('Customers (2)'!A427,'Customers (2)'!A:A,0))</f>
        <v>Alric Darth</v>
      </c>
      <c r="E427" t="s">
        <v>179</v>
      </c>
      <c r="F427">
        <v>2</v>
      </c>
      <c r="G427">
        <f>INDEX([1]products!$A$1:$G$49,MATCH([1]orders!$D427,[1]products!$A$1:$A$49,0),MATCH([1]orders!K$1,[1]products!$A$1:$G$1,0))</f>
        <v>1</v>
      </c>
      <c r="H427">
        <f>INDEX([1]products!$A$1:$G$49,MATCH([1]orders!$D427,[1]products!$A$1:$A$49,0),MATCH([1]orders!L$1,[1]products!$A$1:$G$1,0))</f>
        <v>8.9499999999999993</v>
      </c>
      <c r="I427">
        <f t="shared" si="6"/>
        <v>17.899999999999999</v>
      </c>
    </row>
    <row r="428" spans="1:9" x14ac:dyDescent="0.25">
      <c r="A428" t="s">
        <v>850</v>
      </c>
      <c r="B428">
        <v>43556</v>
      </c>
      <c r="C428" t="s">
        <v>851</v>
      </c>
      <c r="D428" t="str">
        <f>INDEX('Customers (2)'!B:B,MATCH('Customers (2)'!A428,'Customers (2)'!A:A,0))</f>
        <v>Manuel Darrigoe</v>
      </c>
      <c r="E428" t="s">
        <v>182</v>
      </c>
      <c r="F428">
        <v>4</v>
      </c>
      <c r="G428">
        <f>INDEX([1]products!$A$1:$G$49,MATCH([1]orders!$D428,[1]products!$A$1:$A$49,0),MATCH([1]orders!K$1,[1]products!$A$1:$G$1,0))</f>
        <v>0.2</v>
      </c>
      <c r="H428">
        <f>INDEX([1]products!$A$1:$G$49,MATCH([1]orders!$D428,[1]products!$A$1:$A$49,0),MATCH([1]orders!L$1,[1]products!$A$1:$G$1,0))</f>
        <v>3.5849999999999995</v>
      </c>
      <c r="I428">
        <f t="shared" si="6"/>
        <v>14.339999999999998</v>
      </c>
    </row>
    <row r="429" spans="1:9" x14ac:dyDescent="0.25">
      <c r="A429" t="s">
        <v>852</v>
      </c>
      <c r="B429">
        <v>44224</v>
      </c>
      <c r="C429" t="s">
        <v>853</v>
      </c>
      <c r="D429" t="str">
        <f>INDEX('Customers (2)'!B:B,MATCH('Customers (2)'!A429,'Customers (2)'!A:A,0))</f>
        <v>Kynthia Berick</v>
      </c>
      <c r="E429" t="s">
        <v>171</v>
      </c>
      <c r="F429">
        <v>3</v>
      </c>
      <c r="G429">
        <f>INDEX([1]products!$A$1:$G$49,MATCH([1]orders!$D429,[1]products!$A$1:$A$49,0),MATCH([1]orders!K$1,[1]products!$A$1:$G$1,0))</f>
        <v>2.5</v>
      </c>
      <c r="H429">
        <f>INDEX([1]products!$A$1:$G$49,MATCH([1]orders!$D429,[1]products!$A$1:$A$49,0),MATCH([1]orders!L$1,[1]products!$A$1:$G$1,0))</f>
        <v>25.874999999999996</v>
      </c>
      <c r="I429">
        <f t="shared" si="6"/>
        <v>77.624999999999986</v>
      </c>
    </row>
    <row r="430" spans="1:9" x14ac:dyDescent="0.25">
      <c r="A430" t="s">
        <v>854</v>
      </c>
      <c r="B430">
        <v>43759</v>
      </c>
      <c r="C430" t="s">
        <v>855</v>
      </c>
      <c r="D430" t="str">
        <f>INDEX('Customers (2)'!B:B,MATCH('Customers (2)'!A430,'Customers (2)'!A:A,0))</f>
        <v>Minetta Ackrill</v>
      </c>
      <c r="E430" t="s">
        <v>189</v>
      </c>
      <c r="F430">
        <v>5</v>
      </c>
      <c r="G430">
        <f>INDEX([1]products!$A$1:$G$49,MATCH([1]orders!$D430,[1]products!$A$1:$A$49,0),MATCH([1]orders!K$1,[1]products!$A$1:$G$1,0))</f>
        <v>1</v>
      </c>
      <c r="H430">
        <f>INDEX([1]products!$A$1:$G$49,MATCH([1]orders!$D430,[1]products!$A$1:$A$49,0),MATCH([1]orders!L$1,[1]products!$A$1:$G$1,0))</f>
        <v>11.95</v>
      </c>
      <c r="I430">
        <f t="shared" si="6"/>
        <v>59.75</v>
      </c>
    </row>
    <row r="431" spans="1:9" x14ac:dyDescent="0.25">
      <c r="A431" t="s">
        <v>856</v>
      </c>
      <c r="B431">
        <v>44367</v>
      </c>
      <c r="C431" t="s">
        <v>749</v>
      </c>
      <c r="D431" t="str">
        <f>INDEX('Customers (2)'!B:B,MATCH('Customers (2)'!A431,'Customers (2)'!A:A,0))</f>
        <v>Maximo Bricksey</v>
      </c>
      <c r="E431" t="s">
        <v>6</v>
      </c>
      <c r="F431">
        <v>6</v>
      </c>
      <c r="G431">
        <f>INDEX([1]products!$A$1:$G$49,MATCH([1]orders!$D431,[1]products!$A$1:$A$49,0),MATCH([1]orders!K$1,[1]products!$A$1:$G$1,0))</f>
        <v>1</v>
      </c>
      <c r="H431">
        <f>INDEX([1]products!$A$1:$G$49,MATCH([1]orders!$D431,[1]products!$A$1:$A$49,0),MATCH([1]orders!L$1,[1]products!$A$1:$G$1,0))</f>
        <v>12.95</v>
      </c>
      <c r="I431">
        <f t="shared" si="6"/>
        <v>77.699999999999989</v>
      </c>
    </row>
    <row r="432" spans="1:9" x14ac:dyDescent="0.25">
      <c r="A432" t="s">
        <v>857</v>
      </c>
      <c r="B432">
        <v>44504</v>
      </c>
      <c r="C432" t="s">
        <v>858</v>
      </c>
      <c r="D432" t="str">
        <f>INDEX('Customers (2)'!B:B,MATCH('Customers (2)'!A432,'Customers (2)'!A:A,0))</f>
        <v>Melosa Kippen</v>
      </c>
      <c r="E432" t="s">
        <v>101</v>
      </c>
      <c r="F432">
        <v>2</v>
      </c>
      <c r="G432">
        <f>INDEX([1]products!$A$1:$G$49,MATCH([1]orders!$D432,[1]products!$A$1:$A$49,0),MATCH([1]orders!K$1,[1]products!$A$1:$G$1,0))</f>
        <v>0.2</v>
      </c>
      <c r="H432">
        <f>INDEX([1]products!$A$1:$G$49,MATCH([1]orders!$D432,[1]products!$A$1:$A$49,0),MATCH([1]orders!L$1,[1]products!$A$1:$G$1,0))</f>
        <v>2.6849999999999996</v>
      </c>
      <c r="I432">
        <f t="shared" si="6"/>
        <v>5.3699999999999992</v>
      </c>
    </row>
    <row r="433" spans="1:9" x14ac:dyDescent="0.25">
      <c r="A433" t="s">
        <v>859</v>
      </c>
      <c r="B433">
        <v>44291</v>
      </c>
      <c r="C433" t="s">
        <v>860</v>
      </c>
      <c r="D433" t="str">
        <f>INDEX('Customers (2)'!B:B,MATCH('Customers (2)'!A433,'Customers (2)'!A:A,0))</f>
        <v>Witty Ranson</v>
      </c>
      <c r="E433" t="s">
        <v>530</v>
      </c>
      <c r="F433">
        <v>3</v>
      </c>
      <c r="G433">
        <f>INDEX([1]products!$A$1:$G$49,MATCH([1]orders!$D433,[1]products!$A$1:$A$49,0),MATCH([1]orders!K$1,[1]products!$A$1:$G$1,0))</f>
        <v>2.5</v>
      </c>
      <c r="H433">
        <f>INDEX([1]products!$A$1:$G$49,MATCH([1]orders!$D433,[1]products!$A$1:$A$49,0),MATCH([1]orders!L$1,[1]products!$A$1:$G$1,0))</f>
        <v>27.945</v>
      </c>
      <c r="I433">
        <f t="shared" si="6"/>
        <v>83.835000000000008</v>
      </c>
    </row>
    <row r="434" spans="1:9" x14ac:dyDescent="0.25">
      <c r="A434" t="s">
        <v>861</v>
      </c>
      <c r="B434">
        <v>43808</v>
      </c>
      <c r="C434" t="s">
        <v>862</v>
      </c>
      <c r="D434" t="str">
        <f>INDEX('Customers (2)'!B:B,MATCH('Customers (2)'!A434,'Customers (2)'!A:A,0))</f>
        <v>Rod Gowdie</v>
      </c>
      <c r="E434" t="s">
        <v>61</v>
      </c>
      <c r="F434">
        <v>2</v>
      </c>
      <c r="G434">
        <f>INDEX([1]products!$A$1:$G$49,MATCH([1]orders!$D434,[1]products!$A$1:$A$49,0),MATCH([1]orders!K$1,[1]products!$A$1:$G$1,0))</f>
        <v>1</v>
      </c>
      <c r="H434">
        <f>INDEX([1]products!$A$1:$G$49,MATCH([1]orders!$D434,[1]products!$A$1:$A$49,0),MATCH([1]orders!L$1,[1]products!$A$1:$G$1,0))</f>
        <v>11.25</v>
      </c>
      <c r="I434">
        <f t="shared" si="6"/>
        <v>22.5</v>
      </c>
    </row>
    <row r="435" spans="1:9" x14ac:dyDescent="0.25">
      <c r="A435" t="s">
        <v>863</v>
      </c>
      <c r="B435">
        <v>44563</v>
      </c>
      <c r="C435" t="s">
        <v>864</v>
      </c>
      <c r="D435" t="str">
        <f>INDEX('Customers (2)'!B:B,MATCH('Customers (2)'!A435,'Customers (2)'!A:A,0))</f>
        <v>Lemuel Rignold</v>
      </c>
      <c r="E435" t="s">
        <v>197</v>
      </c>
      <c r="F435">
        <v>6</v>
      </c>
      <c r="G435">
        <f>INDEX([1]products!$A$1:$G$49,MATCH([1]orders!$D435,[1]products!$A$1:$A$49,0),MATCH([1]orders!K$1,[1]products!$A$1:$G$1,0))</f>
        <v>2.5</v>
      </c>
      <c r="H435">
        <f>INDEX([1]products!$A$1:$G$49,MATCH([1]orders!$D435,[1]products!$A$1:$A$49,0),MATCH([1]orders!L$1,[1]products!$A$1:$G$1,0))</f>
        <v>33.464999999999996</v>
      </c>
      <c r="I435">
        <f t="shared" si="6"/>
        <v>200.78999999999996</v>
      </c>
    </row>
    <row r="436" spans="1:9" x14ac:dyDescent="0.25">
      <c r="A436" t="s">
        <v>865</v>
      </c>
      <c r="B436">
        <v>43807</v>
      </c>
      <c r="C436" t="s">
        <v>866</v>
      </c>
      <c r="D436" t="str">
        <f>INDEX('Customers (2)'!B:B,MATCH('Customers (2)'!A436,'Customers (2)'!A:A,0))</f>
        <v>Nevsa Fields</v>
      </c>
      <c r="E436" t="s">
        <v>61</v>
      </c>
      <c r="F436">
        <v>6</v>
      </c>
      <c r="G436">
        <f>INDEX([1]products!$A$1:$G$49,MATCH([1]orders!$D436,[1]products!$A$1:$A$49,0),MATCH([1]orders!K$1,[1]products!$A$1:$G$1,0))</f>
        <v>1</v>
      </c>
      <c r="H436">
        <f>INDEX([1]products!$A$1:$G$49,MATCH([1]orders!$D436,[1]products!$A$1:$A$49,0),MATCH([1]orders!L$1,[1]products!$A$1:$G$1,0))</f>
        <v>11.25</v>
      </c>
      <c r="I436">
        <f t="shared" si="6"/>
        <v>67.5</v>
      </c>
    </row>
    <row r="437" spans="1:9" x14ac:dyDescent="0.25">
      <c r="A437" t="s">
        <v>867</v>
      </c>
      <c r="B437">
        <v>44528</v>
      </c>
      <c r="C437" t="s">
        <v>868</v>
      </c>
      <c r="D437" t="str">
        <f>INDEX('Customers (2)'!B:B,MATCH('Customers (2)'!A437,'Customers (2)'!A:A,0))</f>
        <v>Chance Rowthorn</v>
      </c>
      <c r="E437" t="s">
        <v>3</v>
      </c>
      <c r="F437">
        <v>1</v>
      </c>
      <c r="G437">
        <f>INDEX([1]products!$A$1:$G$49,MATCH([1]orders!$D437,[1]products!$A$1:$A$49,0),MATCH([1]orders!K$1,[1]products!$A$1:$G$1,0))</f>
        <v>0.5</v>
      </c>
      <c r="H437">
        <f>INDEX([1]products!$A$1:$G$49,MATCH([1]orders!$D437,[1]products!$A$1:$A$49,0),MATCH([1]orders!L$1,[1]products!$A$1:$G$1,0))</f>
        <v>8.25</v>
      </c>
      <c r="I437">
        <f t="shared" si="6"/>
        <v>8.25</v>
      </c>
    </row>
    <row r="438" spans="1:9" x14ac:dyDescent="0.25">
      <c r="A438" t="s">
        <v>869</v>
      </c>
      <c r="B438">
        <v>44631</v>
      </c>
      <c r="C438" t="s">
        <v>870</v>
      </c>
      <c r="D438" t="str">
        <f>INDEX('Customers (2)'!B:B,MATCH('Customers (2)'!A438,'Customers (2)'!A:A,0))</f>
        <v>Orly Ryland</v>
      </c>
      <c r="E438" t="s">
        <v>19</v>
      </c>
      <c r="F438">
        <v>2</v>
      </c>
      <c r="G438">
        <f>INDEX([1]products!$A$1:$G$49,MATCH([1]orders!$D438,[1]products!$A$1:$A$49,0),MATCH([1]orders!K$1,[1]products!$A$1:$G$1,0))</f>
        <v>0.2</v>
      </c>
      <c r="H438">
        <f>INDEX([1]products!$A$1:$G$49,MATCH([1]orders!$D438,[1]products!$A$1:$A$49,0),MATCH([1]orders!L$1,[1]products!$A$1:$G$1,0))</f>
        <v>4.7549999999999999</v>
      </c>
      <c r="I438">
        <f t="shared" si="6"/>
        <v>9.51</v>
      </c>
    </row>
    <row r="439" spans="1:9" x14ac:dyDescent="0.25">
      <c r="A439" t="s">
        <v>871</v>
      </c>
      <c r="B439">
        <v>44213</v>
      </c>
      <c r="C439" t="s">
        <v>872</v>
      </c>
      <c r="D439" t="str">
        <f>INDEX('Customers (2)'!B:B,MATCH('Customers (2)'!A439,'Customers (2)'!A:A,0))</f>
        <v>Willabella Abramski</v>
      </c>
      <c r="E439" t="s">
        <v>109</v>
      </c>
      <c r="F439">
        <v>1</v>
      </c>
      <c r="G439">
        <f>INDEX([1]products!$A$1:$G$49,MATCH([1]orders!$D439,[1]products!$A$1:$A$49,0),MATCH([1]orders!K$1,[1]products!$A$1:$G$1,0))</f>
        <v>2.5</v>
      </c>
      <c r="H439">
        <f>INDEX([1]products!$A$1:$G$49,MATCH([1]orders!$D439,[1]products!$A$1:$A$49,0),MATCH([1]orders!L$1,[1]products!$A$1:$G$1,0))</f>
        <v>29.784999999999997</v>
      </c>
      <c r="I439">
        <f t="shared" si="6"/>
        <v>29.784999999999997</v>
      </c>
    </row>
    <row r="440" spans="1:9" x14ac:dyDescent="0.25">
      <c r="A440" t="s">
        <v>873</v>
      </c>
      <c r="B440">
        <v>43483</v>
      </c>
      <c r="C440" t="s">
        <v>874</v>
      </c>
      <c r="D440" t="str">
        <f>INDEX('Customers (2)'!B:B,MATCH('Customers (2)'!A440,'Customers (2)'!A:A,0))</f>
        <v>Brandy Lottrington</v>
      </c>
      <c r="E440" t="s">
        <v>123</v>
      </c>
      <c r="F440">
        <v>2</v>
      </c>
      <c r="G440">
        <f>INDEX([1]products!$A$1:$G$49,MATCH([1]orders!$D440,[1]products!$A$1:$A$49,0),MATCH([1]orders!K$1,[1]products!$A$1:$G$1,0))</f>
        <v>0.5</v>
      </c>
      <c r="H440">
        <f>INDEX([1]products!$A$1:$G$49,MATCH([1]orders!$D440,[1]products!$A$1:$A$49,0),MATCH([1]orders!L$1,[1]products!$A$1:$G$1,0))</f>
        <v>7.77</v>
      </c>
      <c r="I440">
        <f t="shared" si="6"/>
        <v>15.54</v>
      </c>
    </row>
    <row r="441" spans="1:9" x14ac:dyDescent="0.25">
      <c r="A441" t="s">
        <v>875</v>
      </c>
      <c r="B441">
        <v>43562</v>
      </c>
      <c r="C441" t="s">
        <v>876</v>
      </c>
      <c r="D441" t="str">
        <f>INDEX('Customers (2)'!B:B,MATCH('Customers (2)'!A441,'Customers (2)'!A:A,0))</f>
        <v>Chickie Ragless</v>
      </c>
      <c r="E441" t="s">
        <v>176</v>
      </c>
      <c r="F441">
        <v>4</v>
      </c>
      <c r="G441">
        <f>INDEX([1]products!$A$1:$G$49,MATCH([1]orders!$D441,[1]products!$A$1:$A$49,0),MATCH([1]orders!K$1,[1]products!$A$1:$G$1,0))</f>
        <v>0.5</v>
      </c>
      <c r="H441">
        <f>INDEX([1]products!$A$1:$G$49,MATCH([1]orders!$D441,[1]products!$A$1:$A$49,0),MATCH([1]orders!L$1,[1]products!$A$1:$G$1,0))</f>
        <v>8.91</v>
      </c>
      <c r="I441">
        <f t="shared" si="6"/>
        <v>35.64</v>
      </c>
    </row>
    <row r="442" spans="1:9" x14ac:dyDescent="0.25">
      <c r="A442" t="s">
        <v>877</v>
      </c>
      <c r="B442">
        <v>44230</v>
      </c>
      <c r="C442" t="s">
        <v>878</v>
      </c>
      <c r="D442" t="str">
        <f>INDEX('Customers (2)'!B:B,MATCH('Customers (2)'!A442,'Customers (2)'!A:A,0))</f>
        <v>Freda Hollows</v>
      </c>
      <c r="E442" t="s">
        <v>171</v>
      </c>
      <c r="F442">
        <v>4</v>
      </c>
      <c r="G442">
        <f>INDEX([1]products!$A$1:$G$49,MATCH([1]orders!$D442,[1]products!$A$1:$A$49,0),MATCH([1]orders!K$1,[1]products!$A$1:$G$1,0))</f>
        <v>2.5</v>
      </c>
      <c r="H442">
        <f>INDEX([1]products!$A$1:$G$49,MATCH([1]orders!$D442,[1]products!$A$1:$A$49,0),MATCH([1]orders!L$1,[1]products!$A$1:$G$1,0))</f>
        <v>25.874999999999996</v>
      </c>
      <c r="I442">
        <f t="shared" si="6"/>
        <v>103.49999999999999</v>
      </c>
    </row>
    <row r="443" spans="1:9" x14ac:dyDescent="0.25">
      <c r="A443" t="s">
        <v>879</v>
      </c>
      <c r="B443">
        <v>43573</v>
      </c>
      <c r="C443" t="s">
        <v>880</v>
      </c>
      <c r="D443" t="str">
        <f>INDEX('Customers (2)'!B:B,MATCH('Customers (2)'!A443,'Customers (2)'!A:A,0))</f>
        <v>Livy Lathleiff</v>
      </c>
      <c r="E443" t="s">
        <v>245</v>
      </c>
      <c r="F443">
        <v>3</v>
      </c>
      <c r="G443">
        <f>INDEX([1]products!$A$1:$G$49,MATCH([1]orders!$D443,[1]products!$A$1:$A$49,0),MATCH([1]orders!K$1,[1]products!$A$1:$G$1,0))</f>
        <v>1</v>
      </c>
      <c r="H443">
        <f>INDEX([1]products!$A$1:$G$49,MATCH([1]orders!$D443,[1]products!$A$1:$A$49,0),MATCH([1]orders!L$1,[1]products!$A$1:$G$1,0))</f>
        <v>12.15</v>
      </c>
      <c r="I443">
        <f t="shared" si="6"/>
        <v>36.450000000000003</v>
      </c>
    </row>
    <row r="444" spans="1:9" x14ac:dyDescent="0.25">
      <c r="A444" t="s">
        <v>881</v>
      </c>
      <c r="B444">
        <v>44384</v>
      </c>
      <c r="C444" t="s">
        <v>882</v>
      </c>
      <c r="D444" t="str">
        <f>INDEX('Customers (2)'!B:B,MATCH('Customers (2)'!A444,'Customers (2)'!A:A,0))</f>
        <v>Koralle Heads</v>
      </c>
      <c r="E444" t="s">
        <v>157</v>
      </c>
      <c r="F444">
        <v>5</v>
      </c>
      <c r="G444">
        <f>INDEX([1]products!$A$1:$G$49,MATCH([1]orders!$D444,[1]products!$A$1:$A$49,0),MATCH([1]orders!K$1,[1]products!$A$1:$G$1,0))</f>
        <v>0.5</v>
      </c>
      <c r="H444">
        <f>INDEX([1]products!$A$1:$G$49,MATCH([1]orders!$D444,[1]products!$A$1:$A$49,0),MATCH([1]orders!L$1,[1]products!$A$1:$G$1,0))</f>
        <v>7.169999999999999</v>
      </c>
      <c r="I444">
        <f t="shared" si="6"/>
        <v>35.849999999999994</v>
      </c>
    </row>
    <row r="445" spans="1:9" x14ac:dyDescent="0.25">
      <c r="A445" t="s">
        <v>883</v>
      </c>
      <c r="B445">
        <v>44250</v>
      </c>
      <c r="C445" t="s">
        <v>884</v>
      </c>
      <c r="D445" t="str">
        <f>INDEX('Customers (2)'!B:B,MATCH('Customers (2)'!A445,'Customers (2)'!A:A,0))</f>
        <v>Theo Bowne</v>
      </c>
      <c r="E445" t="s">
        <v>254</v>
      </c>
      <c r="F445">
        <v>5</v>
      </c>
      <c r="G445">
        <f>INDEX([1]products!$A$1:$G$49,MATCH([1]orders!$D445,[1]products!$A$1:$A$49,0),MATCH([1]orders!K$1,[1]products!$A$1:$G$1,0))</f>
        <v>0.2</v>
      </c>
      <c r="H445">
        <f>INDEX([1]products!$A$1:$G$49,MATCH([1]orders!$D445,[1]products!$A$1:$A$49,0),MATCH([1]orders!L$1,[1]products!$A$1:$G$1,0))</f>
        <v>4.4550000000000001</v>
      </c>
      <c r="I445">
        <f t="shared" si="6"/>
        <v>22.274999999999999</v>
      </c>
    </row>
    <row r="446" spans="1:9" x14ac:dyDescent="0.25">
      <c r="A446" t="s">
        <v>885</v>
      </c>
      <c r="B446">
        <v>44418</v>
      </c>
      <c r="C446" t="s">
        <v>886</v>
      </c>
      <c r="D446" t="str">
        <f>INDEX('Customers (2)'!B:B,MATCH('Customers (2)'!A446,'Customers (2)'!A:A,0))</f>
        <v>Rasia Jacquemard</v>
      </c>
      <c r="E446" t="s">
        <v>64</v>
      </c>
      <c r="F446">
        <v>6</v>
      </c>
      <c r="G446">
        <f>INDEX([1]products!$A$1:$G$49,MATCH([1]orders!$D446,[1]products!$A$1:$A$49,0),MATCH([1]orders!K$1,[1]products!$A$1:$G$1,0))</f>
        <v>0.2</v>
      </c>
      <c r="H446">
        <f>INDEX([1]products!$A$1:$G$49,MATCH([1]orders!$D446,[1]products!$A$1:$A$49,0),MATCH([1]orders!L$1,[1]products!$A$1:$G$1,0))</f>
        <v>4.125</v>
      </c>
      <c r="I446">
        <f t="shared" si="6"/>
        <v>24.75</v>
      </c>
    </row>
    <row r="447" spans="1:9" x14ac:dyDescent="0.25">
      <c r="A447" t="s">
        <v>887</v>
      </c>
      <c r="B447">
        <v>43784</v>
      </c>
      <c r="C447" t="s">
        <v>888</v>
      </c>
      <c r="D447" t="str">
        <f>INDEX('Customers (2)'!B:B,MATCH('Customers (2)'!A447,'Customers (2)'!A:A,0))</f>
        <v>Kizzie Warman</v>
      </c>
      <c r="E447" t="s">
        <v>197</v>
      </c>
      <c r="F447">
        <v>2</v>
      </c>
      <c r="G447">
        <f>INDEX([1]products!$A$1:$G$49,MATCH([1]orders!$D447,[1]products!$A$1:$A$49,0),MATCH([1]orders!K$1,[1]products!$A$1:$G$1,0))</f>
        <v>2.5</v>
      </c>
      <c r="H447">
        <f>INDEX([1]products!$A$1:$G$49,MATCH([1]orders!$D447,[1]products!$A$1:$A$49,0),MATCH([1]orders!L$1,[1]products!$A$1:$G$1,0))</f>
        <v>33.464999999999996</v>
      </c>
      <c r="I447">
        <f t="shared" si="6"/>
        <v>66.929999999999993</v>
      </c>
    </row>
    <row r="448" spans="1:9" x14ac:dyDescent="0.25">
      <c r="A448" t="s">
        <v>889</v>
      </c>
      <c r="B448">
        <v>43816</v>
      </c>
      <c r="C448" t="s">
        <v>890</v>
      </c>
      <c r="D448" t="str">
        <f>INDEX('Customers (2)'!B:B,MATCH('Customers (2)'!A448,'Customers (2)'!A:A,0))</f>
        <v>Wain Cholomin</v>
      </c>
      <c r="E448" t="s">
        <v>78</v>
      </c>
      <c r="F448">
        <v>1</v>
      </c>
      <c r="G448">
        <f>INDEX([1]products!$A$1:$G$49,MATCH([1]orders!$D448,[1]products!$A$1:$A$49,0),MATCH([1]orders!K$1,[1]products!$A$1:$G$1,0))</f>
        <v>0.5</v>
      </c>
      <c r="H448">
        <f>INDEX([1]products!$A$1:$G$49,MATCH([1]orders!$D448,[1]products!$A$1:$A$49,0),MATCH([1]orders!L$1,[1]products!$A$1:$G$1,0))</f>
        <v>8.73</v>
      </c>
      <c r="I448">
        <f t="shared" si="6"/>
        <v>8.73</v>
      </c>
    </row>
    <row r="449" spans="1:9" x14ac:dyDescent="0.25">
      <c r="A449" t="s">
        <v>891</v>
      </c>
      <c r="B449">
        <v>43908</v>
      </c>
      <c r="C449" t="s">
        <v>892</v>
      </c>
      <c r="D449" t="str">
        <f>INDEX('Customers (2)'!B:B,MATCH('Customers (2)'!A449,'Customers (2)'!A:A,0))</f>
        <v>Arleen Braidman</v>
      </c>
      <c r="E449" t="s">
        <v>22</v>
      </c>
      <c r="F449">
        <v>3</v>
      </c>
      <c r="G449">
        <f>INDEX([1]products!$A$1:$G$49,MATCH([1]orders!$D449,[1]products!$A$1:$A$49,0),MATCH([1]orders!K$1,[1]products!$A$1:$G$1,0))</f>
        <v>0.5</v>
      </c>
      <c r="H449">
        <f>INDEX([1]products!$A$1:$G$49,MATCH([1]orders!$D449,[1]products!$A$1:$A$49,0),MATCH([1]orders!L$1,[1]products!$A$1:$G$1,0))</f>
        <v>5.97</v>
      </c>
      <c r="I449">
        <f t="shared" si="6"/>
        <v>17.91</v>
      </c>
    </row>
    <row r="450" spans="1:9" x14ac:dyDescent="0.25">
      <c r="A450" t="s">
        <v>893</v>
      </c>
      <c r="B450">
        <v>44718</v>
      </c>
      <c r="C450" t="s">
        <v>894</v>
      </c>
      <c r="D450" t="str">
        <f>INDEX('Customers (2)'!B:B,MATCH('Customers (2)'!A450,'Customers (2)'!A:A,0))</f>
        <v>Pru Durban</v>
      </c>
      <c r="E450" t="s">
        <v>157</v>
      </c>
      <c r="F450">
        <v>1</v>
      </c>
      <c r="G450">
        <f>INDEX([1]products!$A$1:$G$49,MATCH([1]orders!$D450,[1]products!$A$1:$A$49,0),MATCH([1]orders!K$1,[1]products!$A$1:$G$1,0))</f>
        <v>0.5</v>
      </c>
      <c r="H450">
        <f>INDEX([1]products!$A$1:$G$49,MATCH([1]orders!$D450,[1]products!$A$1:$A$49,0),MATCH([1]orders!L$1,[1]products!$A$1:$G$1,0))</f>
        <v>7.169999999999999</v>
      </c>
      <c r="I450">
        <f t="shared" ref="I450:I513" si="7">F450*H450</f>
        <v>7.169999999999999</v>
      </c>
    </row>
    <row r="451" spans="1:9" x14ac:dyDescent="0.25">
      <c r="A451" t="s">
        <v>895</v>
      </c>
      <c r="B451">
        <v>44336</v>
      </c>
      <c r="C451" t="s">
        <v>896</v>
      </c>
      <c r="D451" t="str">
        <f>INDEX('Customers (2)'!B:B,MATCH('Customers (2)'!A451,'Customers (2)'!A:A,0))</f>
        <v>Antone Harrold</v>
      </c>
      <c r="E451" t="s">
        <v>101</v>
      </c>
      <c r="F451">
        <v>2</v>
      </c>
      <c r="G451">
        <f>INDEX([1]products!$A$1:$G$49,MATCH([1]orders!$D451,[1]products!$A$1:$A$49,0),MATCH([1]orders!K$1,[1]products!$A$1:$G$1,0))</f>
        <v>0.2</v>
      </c>
      <c r="H451">
        <f>INDEX([1]products!$A$1:$G$49,MATCH([1]orders!$D451,[1]products!$A$1:$A$49,0),MATCH([1]orders!L$1,[1]products!$A$1:$G$1,0))</f>
        <v>2.6849999999999996</v>
      </c>
      <c r="I451">
        <f t="shared" si="7"/>
        <v>5.3699999999999992</v>
      </c>
    </row>
    <row r="452" spans="1:9" x14ac:dyDescent="0.25">
      <c r="A452" t="s">
        <v>897</v>
      </c>
      <c r="B452">
        <v>44207</v>
      </c>
      <c r="C452" t="s">
        <v>898</v>
      </c>
      <c r="D452" t="str">
        <f>INDEX('Customers (2)'!B:B,MATCH('Customers (2)'!A452,'Customers (2)'!A:A,0))</f>
        <v>Sim Pamphilon</v>
      </c>
      <c r="E452" t="s">
        <v>19</v>
      </c>
      <c r="F452">
        <v>5</v>
      </c>
      <c r="G452">
        <f>INDEX([1]products!$A$1:$G$49,MATCH([1]orders!$D452,[1]products!$A$1:$A$49,0),MATCH([1]orders!K$1,[1]products!$A$1:$G$1,0))</f>
        <v>0.2</v>
      </c>
      <c r="H452">
        <f>INDEX([1]products!$A$1:$G$49,MATCH([1]orders!$D452,[1]products!$A$1:$A$49,0),MATCH([1]orders!L$1,[1]products!$A$1:$G$1,0))</f>
        <v>4.7549999999999999</v>
      </c>
      <c r="I452">
        <f t="shared" si="7"/>
        <v>23.774999999999999</v>
      </c>
    </row>
    <row r="453" spans="1:9" x14ac:dyDescent="0.25">
      <c r="A453" t="s">
        <v>899</v>
      </c>
      <c r="B453">
        <v>43518</v>
      </c>
      <c r="C453" t="s">
        <v>900</v>
      </c>
      <c r="D453" t="str">
        <f>INDEX('Customers (2)'!B:B,MATCH('Customers (2)'!A453,'Customers (2)'!A:A,0))</f>
        <v>Mohandis Spurden</v>
      </c>
      <c r="E453" t="s">
        <v>35</v>
      </c>
      <c r="F453">
        <v>2</v>
      </c>
      <c r="G453">
        <f>INDEX([1]products!$A$1:$G$49,MATCH([1]orders!$D453,[1]products!$A$1:$A$49,0),MATCH([1]orders!K$1,[1]products!$A$1:$G$1,0))</f>
        <v>2.5</v>
      </c>
      <c r="H453">
        <f>INDEX([1]products!$A$1:$G$49,MATCH([1]orders!$D453,[1]products!$A$1:$A$49,0),MATCH([1]orders!L$1,[1]products!$A$1:$G$1,0))</f>
        <v>20.584999999999997</v>
      </c>
      <c r="I453">
        <f t="shared" si="7"/>
        <v>41.169999999999995</v>
      </c>
    </row>
    <row r="454" spans="1:9" x14ac:dyDescent="0.25">
      <c r="A454" t="s">
        <v>901</v>
      </c>
      <c r="B454">
        <v>44524</v>
      </c>
      <c r="C454" t="s">
        <v>874</v>
      </c>
      <c r="D454" t="str">
        <f>INDEX('Customers (2)'!B:B,MATCH('Customers (2)'!A454,'Customers (2)'!A:A,0))</f>
        <v>Morgen Seson</v>
      </c>
      <c r="E454" t="s">
        <v>115</v>
      </c>
      <c r="F454">
        <v>3</v>
      </c>
      <c r="G454">
        <f>INDEX([1]products!$A$1:$G$49,MATCH([1]orders!$D454,[1]products!$A$1:$A$49,0),MATCH([1]orders!K$1,[1]products!$A$1:$G$1,0))</f>
        <v>0.2</v>
      </c>
      <c r="H454">
        <f>INDEX([1]products!$A$1:$G$49,MATCH([1]orders!$D454,[1]products!$A$1:$A$49,0),MATCH([1]orders!L$1,[1]products!$A$1:$G$1,0))</f>
        <v>3.8849999999999998</v>
      </c>
      <c r="I454">
        <f t="shared" si="7"/>
        <v>11.654999999999999</v>
      </c>
    </row>
    <row r="455" spans="1:9" x14ac:dyDescent="0.25">
      <c r="A455" t="s">
        <v>902</v>
      </c>
      <c r="B455">
        <v>44579</v>
      </c>
      <c r="C455" t="s">
        <v>903</v>
      </c>
      <c r="D455" t="str">
        <f>INDEX('Customers (2)'!B:B,MATCH('Customers (2)'!A455,'Customers (2)'!A:A,0))</f>
        <v>Nalani Pirrone</v>
      </c>
      <c r="E455" t="s">
        <v>83</v>
      </c>
      <c r="F455">
        <v>4</v>
      </c>
      <c r="G455">
        <f>INDEX([1]products!$A$1:$G$49,MATCH([1]orders!$D455,[1]products!$A$1:$A$49,0),MATCH([1]orders!K$1,[1]products!$A$1:$G$1,0))</f>
        <v>0.5</v>
      </c>
      <c r="H455">
        <f>INDEX([1]products!$A$1:$G$49,MATCH([1]orders!$D455,[1]products!$A$1:$A$49,0),MATCH([1]orders!L$1,[1]products!$A$1:$G$1,0))</f>
        <v>9.51</v>
      </c>
      <c r="I455">
        <f t="shared" si="7"/>
        <v>38.04</v>
      </c>
    </row>
    <row r="456" spans="1:9" x14ac:dyDescent="0.25">
      <c r="A456" t="s">
        <v>904</v>
      </c>
      <c r="B456">
        <v>44421</v>
      </c>
      <c r="C456" t="s">
        <v>905</v>
      </c>
      <c r="D456" t="str">
        <f>INDEX('Customers (2)'!B:B,MATCH('Customers (2)'!A456,'Customers (2)'!A:A,0))</f>
        <v>Reube Cawley</v>
      </c>
      <c r="E456" t="s">
        <v>35</v>
      </c>
      <c r="F456">
        <v>4</v>
      </c>
      <c r="G456">
        <f>INDEX([1]products!$A$1:$G$49,MATCH([1]orders!$D456,[1]products!$A$1:$A$49,0),MATCH([1]orders!K$1,[1]products!$A$1:$G$1,0))</f>
        <v>2.5</v>
      </c>
      <c r="H456">
        <f>INDEX([1]products!$A$1:$G$49,MATCH([1]orders!$D456,[1]products!$A$1:$A$49,0),MATCH([1]orders!L$1,[1]products!$A$1:$G$1,0))</f>
        <v>20.584999999999997</v>
      </c>
      <c r="I456">
        <f t="shared" si="7"/>
        <v>82.339999999999989</v>
      </c>
    </row>
    <row r="457" spans="1:9" x14ac:dyDescent="0.25">
      <c r="A457" t="s">
        <v>906</v>
      </c>
      <c r="B457">
        <v>43841</v>
      </c>
      <c r="C457" t="s">
        <v>907</v>
      </c>
      <c r="D457" t="str">
        <f>INDEX('Customers (2)'!B:B,MATCH('Customers (2)'!A457,'Customers (2)'!A:A,0))</f>
        <v>Stan Barribal</v>
      </c>
      <c r="E457" t="s">
        <v>19</v>
      </c>
      <c r="F457">
        <v>2</v>
      </c>
      <c r="G457">
        <f>INDEX([1]products!$A$1:$G$49,MATCH([1]orders!$D457,[1]products!$A$1:$A$49,0),MATCH([1]orders!K$1,[1]products!$A$1:$G$1,0))</f>
        <v>0.2</v>
      </c>
      <c r="H457">
        <f>INDEX([1]products!$A$1:$G$49,MATCH([1]orders!$D457,[1]products!$A$1:$A$49,0),MATCH([1]orders!L$1,[1]products!$A$1:$G$1,0))</f>
        <v>4.7549999999999999</v>
      </c>
      <c r="I457">
        <f t="shared" si="7"/>
        <v>9.51</v>
      </c>
    </row>
    <row r="458" spans="1:9" x14ac:dyDescent="0.25">
      <c r="A458" t="s">
        <v>908</v>
      </c>
      <c r="B458">
        <v>44017</v>
      </c>
      <c r="C458" t="s">
        <v>909</v>
      </c>
      <c r="D458" t="str">
        <f>INDEX('Customers (2)'!B:B,MATCH('Customers (2)'!A458,'Customers (2)'!A:A,0))</f>
        <v>Agnes Adamides</v>
      </c>
      <c r="E458" t="s">
        <v>35</v>
      </c>
      <c r="F458">
        <v>2</v>
      </c>
      <c r="G458">
        <f>INDEX([1]products!$A$1:$G$49,MATCH([1]orders!$D458,[1]products!$A$1:$A$49,0),MATCH([1]orders!K$1,[1]products!$A$1:$G$1,0))</f>
        <v>2.5</v>
      </c>
      <c r="H458">
        <f>INDEX([1]products!$A$1:$G$49,MATCH([1]orders!$D458,[1]products!$A$1:$A$49,0),MATCH([1]orders!L$1,[1]products!$A$1:$G$1,0))</f>
        <v>20.584999999999997</v>
      </c>
      <c r="I458">
        <f t="shared" si="7"/>
        <v>41.169999999999995</v>
      </c>
    </row>
    <row r="459" spans="1:9" x14ac:dyDescent="0.25">
      <c r="A459" t="s">
        <v>910</v>
      </c>
      <c r="B459">
        <v>43671</v>
      </c>
      <c r="C459" t="s">
        <v>911</v>
      </c>
      <c r="D459" t="str">
        <f>INDEX('Customers (2)'!B:B,MATCH('Customers (2)'!A459,'Customers (2)'!A:A,0))</f>
        <v>Carmelita Thowes</v>
      </c>
      <c r="E459" t="s">
        <v>83</v>
      </c>
      <c r="F459">
        <v>5</v>
      </c>
      <c r="G459">
        <f>INDEX([1]products!$A$1:$G$49,MATCH([1]orders!$D459,[1]products!$A$1:$A$49,0),MATCH([1]orders!K$1,[1]products!$A$1:$G$1,0))</f>
        <v>0.5</v>
      </c>
      <c r="H459">
        <f>INDEX([1]products!$A$1:$G$49,MATCH([1]orders!$D459,[1]products!$A$1:$A$49,0),MATCH([1]orders!L$1,[1]products!$A$1:$G$1,0))</f>
        <v>9.51</v>
      </c>
      <c r="I459">
        <f t="shared" si="7"/>
        <v>47.55</v>
      </c>
    </row>
    <row r="460" spans="1:9" x14ac:dyDescent="0.25">
      <c r="A460" t="s">
        <v>912</v>
      </c>
      <c r="B460">
        <v>44707</v>
      </c>
      <c r="C460" t="s">
        <v>913</v>
      </c>
      <c r="D460" t="str">
        <f>INDEX('Customers (2)'!B:B,MATCH('Customers (2)'!A460,'Customers (2)'!A:A,0))</f>
        <v>Rodolfo Willoway</v>
      </c>
      <c r="E460" t="s">
        <v>61</v>
      </c>
      <c r="F460">
        <v>4</v>
      </c>
      <c r="G460">
        <f>INDEX([1]products!$A$1:$G$49,MATCH([1]orders!$D460,[1]products!$A$1:$A$49,0),MATCH([1]orders!K$1,[1]products!$A$1:$G$1,0))</f>
        <v>1</v>
      </c>
      <c r="H460">
        <f>INDEX([1]products!$A$1:$G$49,MATCH([1]orders!$D460,[1]products!$A$1:$A$49,0),MATCH([1]orders!L$1,[1]products!$A$1:$G$1,0))</f>
        <v>11.25</v>
      </c>
      <c r="I460">
        <f t="shared" si="7"/>
        <v>45</v>
      </c>
    </row>
    <row r="461" spans="1:9" x14ac:dyDescent="0.25">
      <c r="A461" t="s">
        <v>914</v>
      </c>
      <c r="B461">
        <v>43840</v>
      </c>
      <c r="C461" t="s">
        <v>915</v>
      </c>
      <c r="D461" t="str">
        <f>INDEX('Customers (2)'!B:B,MATCH('Customers (2)'!A461,'Customers (2)'!A:A,0))</f>
        <v>Alvis Elwin</v>
      </c>
      <c r="E461" t="s">
        <v>19</v>
      </c>
      <c r="F461">
        <v>5</v>
      </c>
      <c r="G461">
        <f>INDEX([1]products!$A$1:$G$49,MATCH([1]orders!$D461,[1]products!$A$1:$A$49,0),MATCH([1]orders!K$1,[1]products!$A$1:$G$1,0))</f>
        <v>0.2</v>
      </c>
      <c r="H461">
        <f>INDEX([1]products!$A$1:$G$49,MATCH([1]orders!$D461,[1]products!$A$1:$A$49,0),MATCH([1]orders!L$1,[1]products!$A$1:$G$1,0))</f>
        <v>4.7549999999999999</v>
      </c>
      <c r="I461">
        <f t="shared" si="7"/>
        <v>23.774999999999999</v>
      </c>
    </row>
    <row r="462" spans="1:9" x14ac:dyDescent="0.25">
      <c r="A462" t="s">
        <v>916</v>
      </c>
      <c r="B462">
        <v>43602</v>
      </c>
      <c r="C462" t="s">
        <v>917</v>
      </c>
      <c r="D462" t="str">
        <f>INDEX('Customers (2)'!B:B,MATCH('Customers (2)'!A462,'Customers (2)'!A:A,0))</f>
        <v>Araldo Bilbrook</v>
      </c>
      <c r="E462" t="s">
        <v>146</v>
      </c>
      <c r="F462">
        <v>3</v>
      </c>
      <c r="G462">
        <f>INDEX([1]products!$A$1:$G$49,MATCH([1]orders!$D462,[1]products!$A$1:$A$49,0),MATCH([1]orders!K$1,[1]products!$A$1:$G$1,0))</f>
        <v>0.5</v>
      </c>
      <c r="H462">
        <f>INDEX([1]products!$A$1:$G$49,MATCH([1]orders!$D462,[1]products!$A$1:$A$49,0),MATCH([1]orders!L$1,[1]products!$A$1:$G$1,0))</f>
        <v>5.3699999999999992</v>
      </c>
      <c r="I462">
        <f t="shared" si="7"/>
        <v>16.11</v>
      </c>
    </row>
    <row r="463" spans="1:9" x14ac:dyDescent="0.25">
      <c r="A463" t="s">
        <v>918</v>
      </c>
      <c r="B463">
        <v>44036</v>
      </c>
      <c r="C463" t="s">
        <v>919</v>
      </c>
      <c r="D463" t="str">
        <f>INDEX('Customers (2)'!B:B,MATCH('Customers (2)'!A463,'Customers (2)'!A:A,0))</f>
        <v>Ransell McKall</v>
      </c>
      <c r="E463" t="s">
        <v>101</v>
      </c>
      <c r="F463">
        <v>4</v>
      </c>
      <c r="G463">
        <f>INDEX([1]products!$A$1:$G$49,MATCH([1]orders!$D463,[1]products!$A$1:$A$49,0),MATCH([1]orders!K$1,[1]products!$A$1:$G$1,0))</f>
        <v>0.2</v>
      </c>
      <c r="H463">
        <f>INDEX([1]products!$A$1:$G$49,MATCH([1]orders!$D463,[1]products!$A$1:$A$49,0),MATCH([1]orders!L$1,[1]products!$A$1:$G$1,0))</f>
        <v>2.6849999999999996</v>
      </c>
      <c r="I463">
        <f t="shared" si="7"/>
        <v>10.739999999999998</v>
      </c>
    </row>
    <row r="464" spans="1:9" x14ac:dyDescent="0.25">
      <c r="A464" t="s">
        <v>920</v>
      </c>
      <c r="B464">
        <v>44124</v>
      </c>
      <c r="C464" t="s">
        <v>921</v>
      </c>
      <c r="D464" t="str">
        <f>INDEX('Customers (2)'!B:B,MATCH('Customers (2)'!A464,'Customers (2)'!A:A,0))</f>
        <v>Borg Daile</v>
      </c>
      <c r="E464" t="s">
        <v>27</v>
      </c>
      <c r="F464">
        <v>5</v>
      </c>
      <c r="G464">
        <f>INDEX([1]products!$A$1:$G$49,MATCH([1]orders!$D464,[1]products!$A$1:$A$49,0),MATCH([1]orders!K$1,[1]products!$A$1:$G$1,0))</f>
        <v>1</v>
      </c>
      <c r="H464">
        <f>INDEX([1]products!$A$1:$G$49,MATCH([1]orders!$D464,[1]products!$A$1:$A$49,0),MATCH([1]orders!L$1,[1]products!$A$1:$G$1,0))</f>
        <v>9.9499999999999993</v>
      </c>
      <c r="I464">
        <f t="shared" si="7"/>
        <v>49.75</v>
      </c>
    </row>
    <row r="465" spans="1:9" x14ac:dyDescent="0.25">
      <c r="A465" t="s">
        <v>922</v>
      </c>
      <c r="B465">
        <v>43730</v>
      </c>
      <c r="C465" t="s">
        <v>923</v>
      </c>
      <c r="D465" t="str">
        <f>INDEX('Customers (2)'!B:B,MATCH('Customers (2)'!A465,'Customers (2)'!A:A,0))</f>
        <v>Adolphe Treherne</v>
      </c>
      <c r="E465" t="s">
        <v>9</v>
      </c>
      <c r="F465">
        <v>2</v>
      </c>
      <c r="G465">
        <f>INDEX([1]products!$A$1:$G$49,MATCH([1]orders!$D465,[1]products!$A$1:$A$49,0),MATCH([1]orders!K$1,[1]products!$A$1:$G$1,0))</f>
        <v>1</v>
      </c>
      <c r="H465">
        <f>INDEX([1]products!$A$1:$G$49,MATCH([1]orders!$D465,[1]products!$A$1:$A$49,0),MATCH([1]orders!L$1,[1]products!$A$1:$G$1,0))</f>
        <v>13.75</v>
      </c>
      <c r="I465">
        <f t="shared" si="7"/>
        <v>27.5</v>
      </c>
    </row>
    <row r="466" spans="1:9" x14ac:dyDescent="0.25">
      <c r="A466" t="s">
        <v>924</v>
      </c>
      <c r="B466">
        <v>43989</v>
      </c>
      <c r="C466" t="s">
        <v>925</v>
      </c>
      <c r="D466" t="str">
        <f>INDEX('Customers (2)'!B:B,MATCH('Customers (2)'!A466,'Customers (2)'!A:A,0))</f>
        <v>Annetta Brentnall</v>
      </c>
      <c r="E466" t="s">
        <v>109</v>
      </c>
      <c r="F466">
        <v>4</v>
      </c>
      <c r="G466">
        <f>INDEX([1]products!$A$1:$G$49,MATCH([1]orders!$D466,[1]products!$A$1:$A$49,0),MATCH([1]orders!K$1,[1]products!$A$1:$G$1,0))</f>
        <v>2.5</v>
      </c>
      <c r="H466">
        <f>INDEX([1]products!$A$1:$G$49,MATCH([1]orders!$D466,[1]products!$A$1:$A$49,0),MATCH([1]orders!L$1,[1]products!$A$1:$G$1,0))</f>
        <v>29.784999999999997</v>
      </c>
      <c r="I466">
        <f t="shared" si="7"/>
        <v>119.13999999999999</v>
      </c>
    </row>
    <row r="467" spans="1:9" x14ac:dyDescent="0.25">
      <c r="A467" t="s">
        <v>926</v>
      </c>
      <c r="B467">
        <v>43814</v>
      </c>
      <c r="C467" t="s">
        <v>927</v>
      </c>
      <c r="D467" t="str">
        <f>INDEX('Customers (2)'!B:B,MATCH('Customers (2)'!A467,'Customers (2)'!A:A,0))</f>
        <v>Dick Drinkall</v>
      </c>
      <c r="E467" t="s">
        <v>35</v>
      </c>
      <c r="F467">
        <v>1</v>
      </c>
      <c r="G467">
        <f>INDEX([1]products!$A$1:$G$49,MATCH([1]orders!$D467,[1]products!$A$1:$A$49,0),MATCH([1]orders!K$1,[1]products!$A$1:$G$1,0))</f>
        <v>2.5</v>
      </c>
      <c r="H467">
        <f>INDEX([1]products!$A$1:$G$49,MATCH([1]orders!$D467,[1]products!$A$1:$A$49,0),MATCH([1]orders!L$1,[1]products!$A$1:$G$1,0))</f>
        <v>20.584999999999997</v>
      </c>
      <c r="I467">
        <f t="shared" si="7"/>
        <v>20.584999999999997</v>
      </c>
    </row>
    <row r="468" spans="1:9" x14ac:dyDescent="0.25">
      <c r="A468" t="s">
        <v>928</v>
      </c>
      <c r="B468">
        <v>44171</v>
      </c>
      <c r="C468" t="s">
        <v>929</v>
      </c>
      <c r="D468" t="str">
        <f>INDEX('Customers (2)'!B:B,MATCH('Customers (2)'!A468,'Customers (2)'!A:A,0))</f>
        <v>Dagny Kornel</v>
      </c>
      <c r="E468" t="s">
        <v>54</v>
      </c>
      <c r="F468">
        <v>3</v>
      </c>
      <c r="G468">
        <f>INDEX([1]products!$A$1:$G$49,MATCH([1]orders!$D468,[1]products!$A$1:$A$49,0),MATCH([1]orders!K$1,[1]products!$A$1:$G$1,0))</f>
        <v>0.2</v>
      </c>
      <c r="H468">
        <f>INDEX([1]products!$A$1:$G$49,MATCH([1]orders!$D468,[1]products!$A$1:$A$49,0),MATCH([1]orders!L$1,[1]products!$A$1:$G$1,0))</f>
        <v>2.9849999999999999</v>
      </c>
      <c r="I468">
        <f t="shared" si="7"/>
        <v>8.9550000000000001</v>
      </c>
    </row>
    <row r="469" spans="1:9" x14ac:dyDescent="0.25">
      <c r="A469" t="s">
        <v>930</v>
      </c>
      <c r="B469">
        <v>44536</v>
      </c>
      <c r="C469" t="s">
        <v>931</v>
      </c>
      <c r="D469" t="str">
        <f>INDEX('Customers (2)'!B:B,MATCH('Customers (2)'!A469,'Customers (2)'!A:A,0))</f>
        <v>Rhona Lequeux</v>
      </c>
      <c r="E469" t="s">
        <v>72</v>
      </c>
      <c r="F469">
        <v>1</v>
      </c>
      <c r="G469">
        <f>INDEX([1]products!$A$1:$G$49,MATCH([1]orders!$D469,[1]products!$A$1:$A$49,0),MATCH([1]orders!K$1,[1]products!$A$1:$G$1,0))</f>
        <v>0.5</v>
      </c>
      <c r="H469">
        <f>INDEX([1]products!$A$1:$G$49,MATCH([1]orders!$D469,[1]products!$A$1:$A$49,0),MATCH([1]orders!L$1,[1]products!$A$1:$G$1,0))</f>
        <v>5.97</v>
      </c>
      <c r="I469">
        <f t="shared" si="7"/>
        <v>5.97</v>
      </c>
    </row>
    <row r="470" spans="1:9" x14ac:dyDescent="0.25">
      <c r="A470" t="s">
        <v>932</v>
      </c>
      <c r="B470">
        <v>44023</v>
      </c>
      <c r="C470" t="s">
        <v>933</v>
      </c>
      <c r="D470" t="str">
        <f>INDEX('Customers (2)'!B:B,MATCH('Customers (2)'!A470,'Customers (2)'!A:A,0))</f>
        <v>Julius Mccaull</v>
      </c>
      <c r="E470" t="s">
        <v>9</v>
      </c>
      <c r="F470">
        <v>3</v>
      </c>
      <c r="G470">
        <f>INDEX([1]products!$A$1:$G$49,MATCH([1]orders!$D470,[1]products!$A$1:$A$49,0),MATCH([1]orders!K$1,[1]products!$A$1:$G$1,0))</f>
        <v>1</v>
      </c>
      <c r="H470">
        <f>INDEX([1]products!$A$1:$G$49,MATCH([1]orders!$D470,[1]products!$A$1:$A$49,0),MATCH([1]orders!L$1,[1]products!$A$1:$G$1,0))</f>
        <v>13.75</v>
      </c>
      <c r="I470">
        <f t="shared" si="7"/>
        <v>41.25</v>
      </c>
    </row>
    <row r="471" spans="1:9" x14ac:dyDescent="0.25">
      <c r="A471" t="s">
        <v>934</v>
      </c>
      <c r="B471">
        <v>44375</v>
      </c>
      <c r="C471" t="s">
        <v>935</v>
      </c>
      <c r="D471" t="str">
        <f>INDEX('Customers (2)'!B:B,MATCH('Customers (2)'!A471,'Customers (2)'!A:A,0))</f>
        <v>Jolyn Dymoke</v>
      </c>
      <c r="E471" t="s">
        <v>254</v>
      </c>
      <c r="F471">
        <v>5</v>
      </c>
      <c r="G471">
        <f>INDEX([1]products!$A$1:$G$49,MATCH([1]orders!$D471,[1]products!$A$1:$A$49,0),MATCH([1]orders!K$1,[1]products!$A$1:$G$1,0))</f>
        <v>0.2</v>
      </c>
      <c r="H471">
        <f>INDEX([1]products!$A$1:$G$49,MATCH([1]orders!$D471,[1]products!$A$1:$A$49,0),MATCH([1]orders!L$1,[1]products!$A$1:$G$1,0))</f>
        <v>4.4550000000000001</v>
      </c>
      <c r="I471">
        <f t="shared" si="7"/>
        <v>22.274999999999999</v>
      </c>
    </row>
    <row r="472" spans="1:9" x14ac:dyDescent="0.25">
      <c r="A472" t="s">
        <v>936</v>
      </c>
      <c r="B472">
        <v>44656</v>
      </c>
      <c r="C472" t="s">
        <v>937</v>
      </c>
      <c r="D472" t="str">
        <f>INDEX('Customers (2)'!B:B,MATCH('Customers (2)'!A472,'Customers (2)'!A:A,0))</f>
        <v>Alberto Hutchinson</v>
      </c>
      <c r="E472" t="s">
        <v>67</v>
      </c>
      <c r="F472">
        <v>1</v>
      </c>
      <c r="G472">
        <f>INDEX([1]products!$A$1:$G$49,MATCH([1]orders!$D472,[1]products!$A$1:$A$49,0),MATCH([1]orders!K$1,[1]products!$A$1:$G$1,0))</f>
        <v>0.5</v>
      </c>
      <c r="H472">
        <f>INDEX([1]products!$A$1:$G$49,MATCH([1]orders!$D472,[1]products!$A$1:$A$49,0),MATCH([1]orders!L$1,[1]products!$A$1:$G$1,0))</f>
        <v>6.75</v>
      </c>
      <c r="I472">
        <f t="shared" si="7"/>
        <v>6.75</v>
      </c>
    </row>
    <row r="473" spans="1:9" x14ac:dyDescent="0.25">
      <c r="A473" t="s">
        <v>938</v>
      </c>
      <c r="B473">
        <v>44644</v>
      </c>
      <c r="C473" t="s">
        <v>939</v>
      </c>
      <c r="D473" t="str">
        <f>INDEX('Customers (2)'!B:B,MATCH('Customers (2)'!A473,'Customers (2)'!A:A,0))</f>
        <v>Lamond Gheeraert</v>
      </c>
      <c r="E473" t="s">
        <v>197</v>
      </c>
      <c r="F473">
        <v>4</v>
      </c>
      <c r="G473">
        <f>INDEX([1]products!$A$1:$G$49,MATCH([1]orders!$D473,[1]products!$A$1:$A$49,0),MATCH([1]orders!K$1,[1]products!$A$1:$G$1,0))</f>
        <v>2.5</v>
      </c>
      <c r="H473">
        <f>INDEX([1]products!$A$1:$G$49,MATCH([1]orders!$D473,[1]products!$A$1:$A$49,0),MATCH([1]orders!L$1,[1]products!$A$1:$G$1,0))</f>
        <v>33.464999999999996</v>
      </c>
      <c r="I473">
        <f t="shared" si="7"/>
        <v>133.85999999999999</v>
      </c>
    </row>
    <row r="474" spans="1:9" x14ac:dyDescent="0.25">
      <c r="A474" t="s">
        <v>940</v>
      </c>
      <c r="B474">
        <v>43869</v>
      </c>
      <c r="C474" t="s">
        <v>941</v>
      </c>
      <c r="D474" t="str">
        <f>INDEX('Customers (2)'!B:B,MATCH('Customers (2)'!A474,'Customers (2)'!A:A,0))</f>
        <v>Roxine Drivers</v>
      </c>
      <c r="E474" t="s">
        <v>54</v>
      </c>
      <c r="F474">
        <v>2</v>
      </c>
      <c r="G474">
        <f>INDEX([1]products!$A$1:$G$49,MATCH([1]orders!$D474,[1]products!$A$1:$A$49,0),MATCH([1]orders!K$1,[1]products!$A$1:$G$1,0))</f>
        <v>0.2</v>
      </c>
      <c r="H474">
        <f>INDEX([1]products!$A$1:$G$49,MATCH([1]orders!$D474,[1]products!$A$1:$A$49,0),MATCH([1]orders!L$1,[1]products!$A$1:$G$1,0))</f>
        <v>2.9849999999999999</v>
      </c>
      <c r="I474">
        <f t="shared" si="7"/>
        <v>5.97</v>
      </c>
    </row>
    <row r="475" spans="1:9" x14ac:dyDescent="0.25">
      <c r="A475" t="s">
        <v>942</v>
      </c>
      <c r="B475">
        <v>44603</v>
      </c>
      <c r="C475" t="s">
        <v>943</v>
      </c>
      <c r="D475" t="str">
        <f>INDEX('Customers (2)'!B:B,MATCH('Customers (2)'!A475,'Customers (2)'!A:A,0))</f>
        <v>Heloise Zeal</v>
      </c>
      <c r="E475" t="s">
        <v>6</v>
      </c>
      <c r="F475">
        <v>2</v>
      </c>
      <c r="G475">
        <f>INDEX([1]products!$A$1:$G$49,MATCH([1]orders!$D475,[1]products!$A$1:$A$49,0),MATCH([1]orders!K$1,[1]products!$A$1:$G$1,0))</f>
        <v>1</v>
      </c>
      <c r="H475">
        <f>INDEX([1]products!$A$1:$G$49,MATCH([1]orders!$D475,[1]products!$A$1:$A$49,0),MATCH([1]orders!L$1,[1]products!$A$1:$G$1,0))</f>
        <v>12.95</v>
      </c>
      <c r="I475">
        <f t="shared" si="7"/>
        <v>25.9</v>
      </c>
    </row>
    <row r="476" spans="1:9" x14ac:dyDescent="0.25">
      <c r="A476" t="s">
        <v>944</v>
      </c>
      <c r="B476">
        <v>44014</v>
      </c>
      <c r="C476" t="s">
        <v>945</v>
      </c>
      <c r="D476" t="str">
        <f>INDEX('Customers (2)'!B:B,MATCH('Customers (2)'!A476,'Customers (2)'!A:A,0))</f>
        <v>Granger Smallcombe</v>
      </c>
      <c r="E476" t="s">
        <v>112</v>
      </c>
      <c r="F476">
        <v>1</v>
      </c>
      <c r="G476">
        <f>INDEX([1]products!$A$1:$G$49,MATCH([1]orders!$D476,[1]products!$A$1:$A$49,0),MATCH([1]orders!K$1,[1]products!$A$1:$G$1,0))</f>
        <v>2.5</v>
      </c>
      <c r="H476">
        <f>INDEX([1]products!$A$1:$G$49,MATCH([1]orders!$D476,[1]products!$A$1:$A$49,0),MATCH([1]orders!L$1,[1]products!$A$1:$G$1,0))</f>
        <v>31.624999999999996</v>
      </c>
      <c r="I476">
        <f t="shared" si="7"/>
        <v>31.624999999999996</v>
      </c>
    </row>
    <row r="477" spans="1:9" x14ac:dyDescent="0.25">
      <c r="A477" t="s">
        <v>946</v>
      </c>
      <c r="B477">
        <v>44767</v>
      </c>
      <c r="C477" t="s">
        <v>947</v>
      </c>
      <c r="D477" t="str">
        <f>INDEX('Customers (2)'!B:B,MATCH('Customers (2)'!A477,'Customers (2)'!A:A,0))</f>
        <v>Daryn Dibley</v>
      </c>
      <c r="E477" t="s">
        <v>77</v>
      </c>
      <c r="F477">
        <v>2</v>
      </c>
      <c r="G477">
        <f>INDEX([1]products!$A$1:$G$49,MATCH([1]orders!$D477,[1]products!$A$1:$A$49,0),MATCH([1]orders!K$1,[1]products!$A$1:$G$1,0))</f>
        <v>0.2</v>
      </c>
      <c r="H477">
        <f>INDEX([1]products!$A$1:$G$49,MATCH([1]orders!$D477,[1]products!$A$1:$A$49,0),MATCH([1]orders!L$1,[1]products!$A$1:$G$1,0))</f>
        <v>4.3650000000000002</v>
      </c>
      <c r="I477">
        <f t="shared" si="7"/>
        <v>8.73</v>
      </c>
    </row>
    <row r="478" spans="1:9" x14ac:dyDescent="0.25">
      <c r="A478" t="s">
        <v>948</v>
      </c>
      <c r="B478">
        <v>44274</v>
      </c>
      <c r="C478" t="s">
        <v>949</v>
      </c>
      <c r="D478" t="str">
        <f>INDEX('Customers (2)'!B:B,MATCH('Customers (2)'!A478,'Customers (2)'!A:A,0))</f>
        <v>Gardy Dimitriou</v>
      </c>
      <c r="E478" t="s">
        <v>254</v>
      </c>
      <c r="F478">
        <v>6</v>
      </c>
      <c r="G478">
        <f>INDEX([1]products!$A$1:$G$49,MATCH([1]orders!$D478,[1]products!$A$1:$A$49,0),MATCH([1]orders!K$1,[1]products!$A$1:$G$1,0))</f>
        <v>0.2</v>
      </c>
      <c r="H478">
        <f>INDEX([1]products!$A$1:$G$49,MATCH([1]orders!$D478,[1]products!$A$1:$A$49,0),MATCH([1]orders!L$1,[1]products!$A$1:$G$1,0))</f>
        <v>4.4550000000000001</v>
      </c>
      <c r="I478">
        <f t="shared" si="7"/>
        <v>26.73</v>
      </c>
    </row>
    <row r="479" spans="1:9" x14ac:dyDescent="0.25">
      <c r="A479" t="s">
        <v>950</v>
      </c>
      <c r="B479">
        <v>43962</v>
      </c>
      <c r="C479" t="s">
        <v>951</v>
      </c>
      <c r="D479" t="str">
        <f>INDEX('Customers (2)'!B:B,MATCH('Customers (2)'!A479,'Customers (2)'!A:A,0))</f>
        <v>Fanny Flanagan</v>
      </c>
      <c r="E479" t="s">
        <v>77</v>
      </c>
      <c r="F479">
        <v>6</v>
      </c>
      <c r="G479">
        <f>INDEX([1]products!$A$1:$G$49,MATCH([1]orders!$D479,[1]products!$A$1:$A$49,0),MATCH([1]orders!K$1,[1]products!$A$1:$G$1,0))</f>
        <v>0.2</v>
      </c>
      <c r="H479">
        <f>INDEX([1]products!$A$1:$G$49,MATCH([1]orders!$D479,[1]products!$A$1:$A$49,0),MATCH([1]orders!L$1,[1]products!$A$1:$G$1,0))</f>
        <v>4.3650000000000002</v>
      </c>
      <c r="I479">
        <f t="shared" si="7"/>
        <v>26.19</v>
      </c>
    </row>
    <row r="480" spans="1:9" x14ac:dyDescent="0.25">
      <c r="A480" t="s">
        <v>952</v>
      </c>
      <c r="B480">
        <v>43624</v>
      </c>
      <c r="C480" t="s">
        <v>935</v>
      </c>
      <c r="D480" t="str">
        <f>INDEX('Customers (2)'!B:B,MATCH('Customers (2)'!A480,'Customers (2)'!A:A,0))</f>
        <v>Ailey Brash</v>
      </c>
      <c r="E480" t="s">
        <v>179</v>
      </c>
      <c r="F480">
        <v>6</v>
      </c>
      <c r="G480">
        <f>INDEX([1]products!$A$1:$G$49,MATCH([1]orders!$D480,[1]products!$A$1:$A$49,0),MATCH([1]orders!K$1,[1]products!$A$1:$G$1,0))</f>
        <v>1</v>
      </c>
      <c r="H480">
        <f>INDEX([1]products!$A$1:$G$49,MATCH([1]orders!$D480,[1]products!$A$1:$A$49,0),MATCH([1]orders!L$1,[1]products!$A$1:$G$1,0))</f>
        <v>8.9499999999999993</v>
      </c>
      <c r="I480">
        <f t="shared" si="7"/>
        <v>53.699999999999996</v>
      </c>
    </row>
    <row r="481" spans="1:9" x14ac:dyDescent="0.25">
      <c r="A481" t="s">
        <v>952</v>
      </c>
      <c r="B481">
        <v>43624</v>
      </c>
      <c r="C481" t="s">
        <v>935</v>
      </c>
      <c r="D481" t="str">
        <f>INDEX('Customers (2)'!B:B,MATCH('Customers (2)'!A481,'Customers (2)'!A:A,0))</f>
        <v>Tatiana Thorn</v>
      </c>
      <c r="E481" t="s">
        <v>112</v>
      </c>
      <c r="F481">
        <v>4</v>
      </c>
      <c r="G481">
        <f>INDEX([1]products!$A$1:$G$49,MATCH([1]orders!$D481,[1]products!$A$1:$A$49,0),MATCH([1]orders!K$1,[1]products!$A$1:$G$1,0))</f>
        <v>2.5</v>
      </c>
      <c r="H481">
        <f>INDEX([1]products!$A$1:$G$49,MATCH([1]orders!$D481,[1]products!$A$1:$A$49,0),MATCH([1]orders!L$1,[1]products!$A$1:$G$1,0))</f>
        <v>31.624999999999996</v>
      </c>
      <c r="I481">
        <f t="shared" si="7"/>
        <v>126.49999999999999</v>
      </c>
    </row>
    <row r="482" spans="1:9" x14ac:dyDescent="0.25">
      <c r="A482" t="s">
        <v>952</v>
      </c>
      <c r="B482">
        <v>43624</v>
      </c>
      <c r="C482" t="s">
        <v>935</v>
      </c>
      <c r="D482" t="str">
        <f>INDEX('Customers (2)'!B:B,MATCH('Customers (2)'!A482,'Customers (2)'!A:A,0))</f>
        <v>Wendeline McInerney</v>
      </c>
      <c r="E482" t="s">
        <v>64</v>
      </c>
      <c r="F482">
        <v>1</v>
      </c>
      <c r="G482">
        <f>INDEX([1]products!$A$1:$G$49,MATCH([1]orders!$D482,[1]products!$A$1:$A$49,0),MATCH([1]orders!K$1,[1]products!$A$1:$G$1,0))</f>
        <v>0.2</v>
      </c>
      <c r="H482">
        <f>INDEX([1]products!$A$1:$G$49,MATCH([1]orders!$D482,[1]products!$A$1:$A$49,0),MATCH([1]orders!L$1,[1]products!$A$1:$G$1,0))</f>
        <v>4.125</v>
      </c>
      <c r="I482">
        <f t="shared" si="7"/>
        <v>4.125</v>
      </c>
    </row>
    <row r="483" spans="1:9" x14ac:dyDescent="0.25">
      <c r="A483" t="s">
        <v>953</v>
      </c>
      <c r="B483">
        <v>43747</v>
      </c>
      <c r="C483" t="s">
        <v>954</v>
      </c>
      <c r="D483" t="str">
        <f>INDEX('Customers (2)'!B:B,MATCH('Customers (2)'!A483,'Customers (2)'!A:A,0))</f>
        <v>Nanny Izhakov</v>
      </c>
      <c r="E483" t="s">
        <v>189</v>
      </c>
      <c r="F483">
        <v>2</v>
      </c>
      <c r="G483">
        <f>INDEX([1]products!$A$1:$G$49,MATCH([1]orders!$D483,[1]products!$A$1:$A$49,0),MATCH([1]orders!K$1,[1]products!$A$1:$G$1,0))</f>
        <v>1</v>
      </c>
      <c r="H483">
        <f>INDEX([1]products!$A$1:$G$49,MATCH([1]orders!$D483,[1]products!$A$1:$A$49,0),MATCH([1]orders!L$1,[1]products!$A$1:$G$1,0))</f>
        <v>11.95</v>
      </c>
      <c r="I483">
        <f t="shared" si="7"/>
        <v>23.9</v>
      </c>
    </row>
    <row r="484" spans="1:9" x14ac:dyDescent="0.25">
      <c r="A484" t="s">
        <v>955</v>
      </c>
      <c r="B484">
        <v>44247</v>
      </c>
      <c r="C484" t="s">
        <v>956</v>
      </c>
      <c r="D484" t="str">
        <f>INDEX('Customers (2)'!B:B,MATCH('Customers (2)'!A484,'Customers (2)'!A:A,0))</f>
        <v>Stanly Keets</v>
      </c>
      <c r="E484" t="s">
        <v>530</v>
      </c>
      <c r="F484">
        <v>5</v>
      </c>
      <c r="G484">
        <f>INDEX([1]products!$A$1:$G$49,MATCH([1]orders!$D484,[1]products!$A$1:$A$49,0),MATCH([1]orders!K$1,[1]products!$A$1:$G$1,0))</f>
        <v>2.5</v>
      </c>
      <c r="H484">
        <f>INDEX([1]products!$A$1:$G$49,MATCH([1]orders!$D484,[1]products!$A$1:$A$49,0),MATCH([1]orders!L$1,[1]products!$A$1:$G$1,0))</f>
        <v>27.945</v>
      </c>
      <c r="I484">
        <f t="shared" si="7"/>
        <v>139.72499999999999</v>
      </c>
    </row>
    <row r="485" spans="1:9" x14ac:dyDescent="0.25">
      <c r="A485" t="s">
        <v>957</v>
      </c>
      <c r="B485">
        <v>43790</v>
      </c>
      <c r="C485" t="s">
        <v>958</v>
      </c>
      <c r="D485" t="str">
        <f>INDEX('Customers (2)'!B:B,MATCH('Customers (2)'!A485,'Customers (2)'!A:A,0))</f>
        <v>Orion Dyott</v>
      </c>
      <c r="E485" t="s">
        <v>109</v>
      </c>
      <c r="F485">
        <v>2</v>
      </c>
      <c r="G485">
        <f>INDEX([1]products!$A$1:$G$49,MATCH([1]orders!$D485,[1]products!$A$1:$A$49,0),MATCH([1]orders!K$1,[1]products!$A$1:$G$1,0))</f>
        <v>2.5</v>
      </c>
      <c r="H485">
        <f>INDEX([1]products!$A$1:$G$49,MATCH([1]orders!$D485,[1]products!$A$1:$A$49,0),MATCH([1]orders!L$1,[1]products!$A$1:$G$1,0))</f>
        <v>29.784999999999997</v>
      </c>
      <c r="I485">
        <f t="shared" si="7"/>
        <v>59.569999999999993</v>
      </c>
    </row>
    <row r="486" spans="1:9" x14ac:dyDescent="0.25">
      <c r="A486" t="s">
        <v>959</v>
      </c>
      <c r="B486">
        <v>44479</v>
      </c>
      <c r="C486" t="s">
        <v>960</v>
      </c>
      <c r="D486" t="str">
        <f>INDEX('Customers (2)'!B:B,MATCH('Customers (2)'!A486,'Customers (2)'!A:A,0))</f>
        <v>Keefer Cake</v>
      </c>
      <c r="E486" t="s">
        <v>83</v>
      </c>
      <c r="F486">
        <v>6</v>
      </c>
      <c r="G486">
        <f>INDEX([1]products!$A$1:$G$49,MATCH([1]orders!$D486,[1]products!$A$1:$A$49,0),MATCH([1]orders!K$1,[1]products!$A$1:$G$1,0))</f>
        <v>0.5</v>
      </c>
      <c r="H486">
        <f>INDEX([1]products!$A$1:$G$49,MATCH([1]orders!$D486,[1]products!$A$1:$A$49,0),MATCH([1]orders!L$1,[1]products!$A$1:$G$1,0))</f>
        <v>9.51</v>
      </c>
      <c r="I486">
        <f t="shared" si="7"/>
        <v>57.06</v>
      </c>
    </row>
    <row r="487" spans="1:9" x14ac:dyDescent="0.25">
      <c r="A487" t="s">
        <v>961</v>
      </c>
      <c r="B487">
        <v>44413</v>
      </c>
      <c r="C487" t="s">
        <v>962</v>
      </c>
      <c r="D487" t="str">
        <f>INDEX('Customers (2)'!B:B,MATCH('Customers (2)'!A487,'Customers (2)'!A:A,0))</f>
        <v>Morna Hansed</v>
      </c>
      <c r="E487" t="s">
        <v>182</v>
      </c>
      <c r="F487">
        <v>6</v>
      </c>
      <c r="G487">
        <f>INDEX([1]products!$A$1:$G$49,MATCH([1]orders!$D487,[1]products!$A$1:$A$49,0),MATCH([1]orders!K$1,[1]products!$A$1:$G$1,0))</f>
        <v>0.2</v>
      </c>
      <c r="H487">
        <f>INDEX([1]products!$A$1:$G$49,MATCH([1]orders!$D487,[1]products!$A$1:$A$49,0),MATCH([1]orders!L$1,[1]products!$A$1:$G$1,0))</f>
        <v>3.5849999999999995</v>
      </c>
      <c r="I487">
        <f t="shared" si="7"/>
        <v>21.509999999999998</v>
      </c>
    </row>
    <row r="488" spans="1:9" x14ac:dyDescent="0.25">
      <c r="A488" t="s">
        <v>963</v>
      </c>
      <c r="B488">
        <v>44043</v>
      </c>
      <c r="C488" t="s">
        <v>964</v>
      </c>
      <c r="D488" t="str">
        <f>INDEX('Customers (2)'!B:B,MATCH('Customers (2)'!A488,'Customers (2)'!A:A,0))</f>
        <v>Franny Kienlein</v>
      </c>
      <c r="E488" t="s">
        <v>78</v>
      </c>
      <c r="F488">
        <v>6</v>
      </c>
      <c r="G488">
        <f>INDEX([1]products!$A$1:$G$49,MATCH([1]orders!$D488,[1]products!$A$1:$A$49,0),MATCH([1]orders!K$1,[1]products!$A$1:$G$1,0))</f>
        <v>0.5</v>
      </c>
      <c r="H488">
        <f>INDEX([1]products!$A$1:$G$49,MATCH([1]orders!$D488,[1]products!$A$1:$A$49,0),MATCH([1]orders!L$1,[1]products!$A$1:$G$1,0))</f>
        <v>8.73</v>
      </c>
      <c r="I488">
        <f t="shared" si="7"/>
        <v>52.38</v>
      </c>
    </row>
    <row r="489" spans="1:9" x14ac:dyDescent="0.25">
      <c r="A489" t="s">
        <v>965</v>
      </c>
      <c r="B489">
        <v>44093</v>
      </c>
      <c r="C489" t="s">
        <v>966</v>
      </c>
      <c r="D489" t="str">
        <f>INDEX('Customers (2)'!B:B,MATCH('Customers (2)'!A489,'Customers (2)'!A:A,0))</f>
        <v>Klarika Egglestone</v>
      </c>
      <c r="E489" t="s">
        <v>245</v>
      </c>
      <c r="F489">
        <v>6</v>
      </c>
      <c r="G489">
        <f>INDEX([1]products!$A$1:$G$49,MATCH([1]orders!$D489,[1]products!$A$1:$A$49,0),MATCH([1]orders!K$1,[1]products!$A$1:$G$1,0))</f>
        <v>1</v>
      </c>
      <c r="H489">
        <f>INDEX([1]products!$A$1:$G$49,MATCH([1]orders!$D489,[1]products!$A$1:$A$49,0),MATCH([1]orders!L$1,[1]products!$A$1:$G$1,0))</f>
        <v>12.15</v>
      </c>
      <c r="I489">
        <f t="shared" si="7"/>
        <v>72.900000000000006</v>
      </c>
    </row>
    <row r="490" spans="1:9" x14ac:dyDescent="0.25">
      <c r="A490" t="s">
        <v>967</v>
      </c>
      <c r="B490">
        <v>43954</v>
      </c>
      <c r="C490" t="s">
        <v>968</v>
      </c>
      <c r="D490" t="str">
        <f>INDEX('Customers (2)'!B:B,MATCH('Customers (2)'!A490,'Customers (2)'!A:A,0))</f>
        <v>Becky Semkins</v>
      </c>
      <c r="E490" t="s">
        <v>162</v>
      </c>
      <c r="F490">
        <v>5</v>
      </c>
      <c r="G490">
        <f>INDEX([1]products!$A$1:$G$49,MATCH([1]orders!$D490,[1]products!$A$1:$A$49,0),MATCH([1]orders!K$1,[1]products!$A$1:$G$1,0))</f>
        <v>0.2</v>
      </c>
      <c r="H490">
        <f>INDEX([1]products!$A$1:$G$49,MATCH([1]orders!$D490,[1]products!$A$1:$A$49,0),MATCH([1]orders!L$1,[1]products!$A$1:$G$1,0))</f>
        <v>2.9849999999999999</v>
      </c>
      <c r="I490">
        <f t="shared" si="7"/>
        <v>14.924999999999999</v>
      </c>
    </row>
    <row r="491" spans="1:9" x14ac:dyDescent="0.25">
      <c r="A491" t="s">
        <v>969</v>
      </c>
      <c r="B491">
        <v>43654</v>
      </c>
      <c r="C491" t="s">
        <v>970</v>
      </c>
      <c r="D491" t="str">
        <f>INDEX('Customers (2)'!B:B,MATCH('Customers (2)'!A491,'Customers (2)'!A:A,0))</f>
        <v>Sean Lorenzetti</v>
      </c>
      <c r="E491" t="s">
        <v>132</v>
      </c>
      <c r="F491">
        <v>6</v>
      </c>
      <c r="G491">
        <f>INDEX([1]products!$A$1:$G$49,MATCH([1]orders!$D491,[1]products!$A$1:$A$49,0),MATCH([1]orders!K$1,[1]products!$A$1:$G$1,0))</f>
        <v>1</v>
      </c>
      <c r="H491">
        <f>INDEX([1]products!$A$1:$G$49,MATCH([1]orders!$D491,[1]products!$A$1:$A$49,0),MATCH([1]orders!L$1,[1]products!$A$1:$G$1,0))</f>
        <v>15.85</v>
      </c>
      <c r="I491">
        <f t="shared" si="7"/>
        <v>95.1</v>
      </c>
    </row>
    <row r="492" spans="1:9" x14ac:dyDescent="0.25">
      <c r="A492" t="s">
        <v>971</v>
      </c>
      <c r="B492">
        <v>43764</v>
      </c>
      <c r="C492" t="s">
        <v>972</v>
      </c>
      <c r="D492" t="str">
        <f>INDEX('Customers (2)'!B:B,MATCH('Customers (2)'!A492,'Customers (2)'!A:A,0))</f>
        <v>Bob Giannazzi</v>
      </c>
      <c r="E492" t="s">
        <v>123</v>
      </c>
      <c r="F492">
        <v>2</v>
      </c>
      <c r="G492">
        <f>INDEX([1]products!$A$1:$G$49,MATCH([1]orders!$D492,[1]products!$A$1:$A$49,0),MATCH([1]orders!K$1,[1]products!$A$1:$G$1,0))</f>
        <v>0.5</v>
      </c>
      <c r="H492">
        <f>INDEX([1]products!$A$1:$G$49,MATCH([1]orders!$D492,[1]products!$A$1:$A$49,0),MATCH([1]orders!L$1,[1]products!$A$1:$G$1,0))</f>
        <v>7.77</v>
      </c>
      <c r="I492">
        <f t="shared" si="7"/>
        <v>15.54</v>
      </c>
    </row>
    <row r="493" spans="1:9" x14ac:dyDescent="0.25">
      <c r="A493" t="s">
        <v>973</v>
      </c>
      <c r="B493">
        <v>44101</v>
      </c>
      <c r="C493" t="s">
        <v>974</v>
      </c>
      <c r="D493" t="str">
        <f>INDEX('Customers (2)'!B:B,MATCH('Customers (2)'!A493,'Customers (2)'!A:A,0))</f>
        <v>Kendra Backshell</v>
      </c>
      <c r="E493" t="s">
        <v>38</v>
      </c>
      <c r="F493">
        <v>6</v>
      </c>
      <c r="G493">
        <f>INDEX([1]products!$A$1:$G$49,MATCH([1]orders!$D493,[1]products!$A$1:$A$49,0),MATCH([1]orders!K$1,[1]products!$A$1:$G$1,0))</f>
        <v>0.2</v>
      </c>
      <c r="H493">
        <f>INDEX([1]products!$A$1:$G$49,MATCH([1]orders!$D493,[1]products!$A$1:$A$49,0),MATCH([1]orders!L$1,[1]products!$A$1:$G$1,0))</f>
        <v>3.8849999999999998</v>
      </c>
      <c r="I493">
        <f t="shared" si="7"/>
        <v>23.31</v>
      </c>
    </row>
    <row r="494" spans="1:9" x14ac:dyDescent="0.25">
      <c r="A494" t="s">
        <v>975</v>
      </c>
      <c r="B494">
        <v>44620</v>
      </c>
      <c r="C494" t="s">
        <v>976</v>
      </c>
      <c r="D494" t="str">
        <f>INDEX('Customers (2)'!B:B,MATCH('Customers (2)'!A494,'Customers (2)'!A:A,0))</f>
        <v>Uriah Lethbrig</v>
      </c>
      <c r="E494" t="s">
        <v>64</v>
      </c>
      <c r="F494">
        <v>1</v>
      </c>
      <c r="G494">
        <f>INDEX([1]products!$A$1:$G$49,MATCH([1]orders!$D494,[1]products!$A$1:$A$49,0),MATCH([1]orders!K$1,[1]products!$A$1:$G$1,0))</f>
        <v>0.2</v>
      </c>
      <c r="H494">
        <f>INDEX([1]products!$A$1:$G$49,MATCH([1]orders!$D494,[1]products!$A$1:$A$49,0),MATCH([1]orders!L$1,[1]products!$A$1:$G$1,0))</f>
        <v>4.125</v>
      </c>
      <c r="I494">
        <f t="shared" si="7"/>
        <v>4.125</v>
      </c>
    </row>
    <row r="495" spans="1:9" x14ac:dyDescent="0.25">
      <c r="A495" t="s">
        <v>977</v>
      </c>
      <c r="B495">
        <v>44090</v>
      </c>
      <c r="C495" t="s">
        <v>978</v>
      </c>
      <c r="D495" t="str">
        <f>INDEX('Customers (2)'!B:B,MATCH('Customers (2)'!A495,'Customers (2)'!A:A,0))</f>
        <v>Sky Farnish</v>
      </c>
      <c r="E495" t="s">
        <v>22</v>
      </c>
      <c r="F495">
        <v>6</v>
      </c>
      <c r="G495">
        <f>INDEX([1]products!$A$1:$G$49,MATCH([1]orders!$D495,[1]products!$A$1:$A$49,0),MATCH([1]orders!K$1,[1]products!$A$1:$G$1,0))</f>
        <v>0.5</v>
      </c>
      <c r="H495">
        <f>INDEX([1]products!$A$1:$G$49,MATCH([1]orders!$D495,[1]products!$A$1:$A$49,0),MATCH([1]orders!L$1,[1]products!$A$1:$G$1,0))</f>
        <v>5.97</v>
      </c>
      <c r="I495">
        <f t="shared" si="7"/>
        <v>35.82</v>
      </c>
    </row>
    <row r="496" spans="1:9" x14ac:dyDescent="0.25">
      <c r="A496" t="s">
        <v>979</v>
      </c>
      <c r="B496">
        <v>44132</v>
      </c>
      <c r="C496" t="s">
        <v>980</v>
      </c>
      <c r="D496" t="str">
        <f>INDEX('Customers (2)'!B:B,MATCH('Customers (2)'!A496,'Customers (2)'!A:A,0))</f>
        <v>Felicia Jecock</v>
      </c>
      <c r="E496" t="s">
        <v>132</v>
      </c>
      <c r="F496">
        <v>2</v>
      </c>
      <c r="G496">
        <f>INDEX([1]products!$A$1:$G$49,MATCH([1]orders!$D496,[1]products!$A$1:$A$49,0),MATCH([1]orders!K$1,[1]products!$A$1:$G$1,0))</f>
        <v>1</v>
      </c>
      <c r="H496">
        <f>INDEX([1]products!$A$1:$G$49,MATCH([1]orders!$D496,[1]products!$A$1:$A$49,0),MATCH([1]orders!L$1,[1]products!$A$1:$G$1,0))</f>
        <v>15.85</v>
      </c>
      <c r="I496">
        <f t="shared" si="7"/>
        <v>31.7</v>
      </c>
    </row>
    <row r="497" spans="1:9" x14ac:dyDescent="0.25">
      <c r="A497" t="s">
        <v>981</v>
      </c>
      <c r="B497">
        <v>43710</v>
      </c>
      <c r="C497" t="s">
        <v>982</v>
      </c>
      <c r="D497" t="str">
        <f>INDEX('Customers (2)'!B:B,MATCH('Customers (2)'!A497,'Customers (2)'!A:A,0))</f>
        <v>Currey MacAllister</v>
      </c>
      <c r="E497" t="s">
        <v>132</v>
      </c>
      <c r="F497">
        <v>5</v>
      </c>
      <c r="G497">
        <f>INDEX([1]products!$A$1:$G$49,MATCH([1]orders!$D497,[1]products!$A$1:$A$49,0),MATCH([1]orders!K$1,[1]products!$A$1:$G$1,0))</f>
        <v>1</v>
      </c>
      <c r="H497">
        <f>INDEX([1]products!$A$1:$G$49,MATCH([1]orders!$D497,[1]products!$A$1:$A$49,0),MATCH([1]orders!L$1,[1]products!$A$1:$G$1,0))</f>
        <v>15.85</v>
      </c>
      <c r="I497">
        <f t="shared" si="7"/>
        <v>79.25</v>
      </c>
    </row>
    <row r="498" spans="1:9" x14ac:dyDescent="0.25">
      <c r="A498" t="s">
        <v>983</v>
      </c>
      <c r="B498">
        <v>44438</v>
      </c>
      <c r="C498" t="s">
        <v>984</v>
      </c>
      <c r="D498" t="str">
        <f>INDEX('Customers (2)'!B:B,MATCH('Customers (2)'!A498,'Customers (2)'!A:A,0))</f>
        <v>Hamlen Pallister</v>
      </c>
      <c r="E498" t="s">
        <v>51</v>
      </c>
      <c r="F498">
        <v>3</v>
      </c>
      <c r="G498">
        <f>INDEX([1]products!$A$1:$G$49,MATCH([1]orders!$D498,[1]products!$A$1:$A$49,0),MATCH([1]orders!K$1,[1]products!$A$1:$G$1,0))</f>
        <v>0.2</v>
      </c>
      <c r="H498">
        <f>INDEX([1]products!$A$1:$G$49,MATCH([1]orders!$D498,[1]products!$A$1:$A$49,0),MATCH([1]orders!L$1,[1]products!$A$1:$G$1,0))</f>
        <v>3.645</v>
      </c>
      <c r="I498">
        <f t="shared" si="7"/>
        <v>10.935</v>
      </c>
    </row>
    <row r="499" spans="1:9" x14ac:dyDescent="0.25">
      <c r="A499" t="s">
        <v>985</v>
      </c>
      <c r="B499">
        <v>44351</v>
      </c>
      <c r="C499" t="s">
        <v>986</v>
      </c>
      <c r="D499" t="str">
        <f>INDEX('Customers (2)'!B:B,MATCH('Customers (2)'!A499,'Customers (2)'!A:A,0))</f>
        <v>Chantal Mersh</v>
      </c>
      <c r="E499" t="s">
        <v>27</v>
      </c>
      <c r="F499">
        <v>4</v>
      </c>
      <c r="G499">
        <f>INDEX([1]products!$A$1:$G$49,MATCH([1]orders!$D499,[1]products!$A$1:$A$49,0),MATCH([1]orders!K$1,[1]products!$A$1:$G$1,0))</f>
        <v>1</v>
      </c>
      <c r="H499">
        <f>INDEX([1]products!$A$1:$G$49,MATCH([1]orders!$D499,[1]products!$A$1:$A$49,0),MATCH([1]orders!L$1,[1]products!$A$1:$G$1,0))</f>
        <v>9.9499999999999993</v>
      </c>
      <c r="I499">
        <f t="shared" si="7"/>
        <v>39.799999999999997</v>
      </c>
    </row>
    <row r="500" spans="1:9" x14ac:dyDescent="0.25">
      <c r="A500" t="s">
        <v>987</v>
      </c>
      <c r="B500">
        <v>44159</v>
      </c>
      <c r="C500" t="s">
        <v>988</v>
      </c>
      <c r="D500" t="str">
        <f>INDEX('Customers (2)'!B:B,MATCH('Customers (2)'!A500,'Customers (2)'!A:A,0))</f>
        <v>Brendin Bredee</v>
      </c>
      <c r="E500" t="s">
        <v>2</v>
      </c>
      <c r="F500">
        <v>5</v>
      </c>
      <c r="G500">
        <f>INDEX([1]products!$A$1:$G$49,MATCH([1]orders!$D500,[1]products!$A$1:$A$49,0),MATCH([1]orders!K$1,[1]products!$A$1:$G$1,0))</f>
        <v>1</v>
      </c>
      <c r="H500">
        <f>INDEX([1]products!$A$1:$G$49,MATCH([1]orders!$D500,[1]products!$A$1:$A$49,0),MATCH([1]orders!L$1,[1]products!$A$1:$G$1,0))</f>
        <v>9.9499999999999993</v>
      </c>
      <c r="I500">
        <f t="shared" si="7"/>
        <v>49.75</v>
      </c>
    </row>
    <row r="501" spans="1:9" x14ac:dyDescent="0.25">
      <c r="A501" t="s">
        <v>989</v>
      </c>
      <c r="B501">
        <v>44003</v>
      </c>
      <c r="C501" t="s">
        <v>990</v>
      </c>
      <c r="D501" t="str">
        <f>INDEX('Customers (2)'!B:B,MATCH('Customers (2)'!A501,'Customers (2)'!A:A,0))</f>
        <v>Malynda Purbrick</v>
      </c>
      <c r="E501" t="s">
        <v>101</v>
      </c>
      <c r="F501">
        <v>3</v>
      </c>
      <c r="G501">
        <f>INDEX([1]products!$A$1:$G$49,MATCH([1]orders!$D501,[1]products!$A$1:$A$49,0),MATCH([1]orders!K$1,[1]products!$A$1:$G$1,0))</f>
        <v>0.2</v>
      </c>
      <c r="H501">
        <f>INDEX([1]products!$A$1:$G$49,MATCH([1]orders!$D501,[1]products!$A$1:$A$49,0),MATCH([1]orders!L$1,[1]products!$A$1:$G$1,0))</f>
        <v>2.6849999999999996</v>
      </c>
      <c r="I501">
        <f t="shared" si="7"/>
        <v>8.0549999999999997</v>
      </c>
    </row>
    <row r="502" spans="1:9" x14ac:dyDescent="0.25">
      <c r="A502" t="s">
        <v>991</v>
      </c>
      <c r="B502">
        <v>44025</v>
      </c>
      <c r="C502" t="s">
        <v>992</v>
      </c>
      <c r="D502" t="str">
        <f>INDEX('Customers (2)'!B:B,MATCH('Customers (2)'!A502,'Customers (2)'!A:A,0))</f>
        <v>Alf Housaman</v>
      </c>
      <c r="E502" t="s">
        <v>189</v>
      </c>
      <c r="F502">
        <v>4</v>
      </c>
      <c r="G502">
        <f>INDEX([1]products!$A$1:$G$49,MATCH([1]orders!$D502,[1]products!$A$1:$A$49,0),MATCH([1]orders!K$1,[1]products!$A$1:$G$1,0))</f>
        <v>1</v>
      </c>
      <c r="H502">
        <f>INDEX([1]products!$A$1:$G$49,MATCH([1]orders!$D502,[1]products!$A$1:$A$49,0),MATCH([1]orders!L$1,[1]products!$A$1:$G$1,0))</f>
        <v>11.95</v>
      </c>
      <c r="I502">
        <f t="shared" si="7"/>
        <v>47.8</v>
      </c>
    </row>
    <row r="503" spans="1:9" x14ac:dyDescent="0.25">
      <c r="A503" t="s">
        <v>993</v>
      </c>
      <c r="B503">
        <v>43467</v>
      </c>
      <c r="C503" t="s">
        <v>994</v>
      </c>
      <c r="D503" t="str">
        <f>INDEX('Customers (2)'!B:B,MATCH('Customers (2)'!A503,'Customers (2)'!A:A,0))</f>
        <v>Gladi Ducker</v>
      </c>
      <c r="E503" t="s">
        <v>162</v>
      </c>
      <c r="F503">
        <v>4</v>
      </c>
      <c r="G503">
        <f>INDEX([1]products!$A$1:$G$49,MATCH([1]orders!$D503,[1]products!$A$1:$A$49,0),MATCH([1]orders!K$1,[1]products!$A$1:$G$1,0))</f>
        <v>0.2</v>
      </c>
      <c r="H503">
        <f>INDEX([1]products!$A$1:$G$49,MATCH([1]orders!$D503,[1]products!$A$1:$A$49,0),MATCH([1]orders!L$1,[1]products!$A$1:$G$1,0))</f>
        <v>2.9849999999999999</v>
      </c>
      <c r="I503">
        <f t="shared" si="7"/>
        <v>11.94</v>
      </c>
    </row>
    <row r="504" spans="1:9" x14ac:dyDescent="0.25">
      <c r="A504" t="s">
        <v>993</v>
      </c>
      <c r="B504">
        <v>43467</v>
      </c>
      <c r="C504" t="s">
        <v>994</v>
      </c>
      <c r="D504" t="str">
        <f>INDEX('Customers (2)'!B:B,MATCH('Customers (2)'!A504,'Customers (2)'!A:A,0))</f>
        <v>Emelita Shearsby</v>
      </c>
      <c r="E504" t="s">
        <v>64</v>
      </c>
      <c r="F504">
        <v>4</v>
      </c>
      <c r="G504">
        <f>INDEX([1]products!$A$1:$G$49,MATCH([1]orders!$D504,[1]products!$A$1:$A$49,0),MATCH([1]orders!K$1,[1]products!$A$1:$G$1,0))</f>
        <v>0.2</v>
      </c>
      <c r="H504">
        <f>INDEX([1]products!$A$1:$G$49,MATCH([1]orders!$D504,[1]products!$A$1:$A$49,0),MATCH([1]orders!L$1,[1]products!$A$1:$G$1,0))</f>
        <v>4.125</v>
      </c>
      <c r="I504">
        <f t="shared" si="7"/>
        <v>16.5</v>
      </c>
    </row>
    <row r="505" spans="1:9" x14ac:dyDescent="0.25">
      <c r="A505" t="s">
        <v>993</v>
      </c>
      <c r="B505">
        <v>43467</v>
      </c>
      <c r="C505" t="s">
        <v>994</v>
      </c>
      <c r="D505" t="str">
        <f>INDEX('Customers (2)'!B:B,MATCH('Customers (2)'!A505,'Customers (2)'!A:A,0))</f>
        <v>Berte Gaddes</v>
      </c>
      <c r="E505" t="s">
        <v>13</v>
      </c>
      <c r="F505">
        <v>4</v>
      </c>
      <c r="G505">
        <f>INDEX([1]products!$A$1:$G$49,MATCH([1]orders!$D505,[1]products!$A$1:$A$49,0),MATCH([1]orders!K$1,[1]products!$A$1:$G$1,0))</f>
        <v>1</v>
      </c>
      <c r="H505">
        <f>INDEX([1]products!$A$1:$G$49,MATCH([1]orders!$D505,[1]products!$A$1:$A$49,0),MATCH([1]orders!L$1,[1]products!$A$1:$G$1,0))</f>
        <v>12.95</v>
      </c>
      <c r="I505">
        <f t="shared" si="7"/>
        <v>51.8</v>
      </c>
    </row>
    <row r="506" spans="1:9" x14ac:dyDescent="0.25">
      <c r="A506" t="s">
        <v>993</v>
      </c>
      <c r="B506">
        <v>43467</v>
      </c>
      <c r="C506" t="s">
        <v>994</v>
      </c>
      <c r="D506" t="str">
        <f>INDEX('Customers (2)'!B:B,MATCH('Customers (2)'!A506,'Customers (2)'!A:A,0))</f>
        <v>Nadia Erswell</v>
      </c>
      <c r="E506" t="s">
        <v>19</v>
      </c>
      <c r="F506">
        <v>3</v>
      </c>
      <c r="G506">
        <f>INDEX([1]products!$A$1:$G$49,MATCH([1]orders!$D506,[1]products!$A$1:$A$49,0),MATCH([1]orders!K$1,[1]products!$A$1:$G$1,0))</f>
        <v>0.2</v>
      </c>
      <c r="H506">
        <f>INDEX([1]products!$A$1:$G$49,MATCH([1]orders!$D506,[1]products!$A$1:$A$49,0),MATCH([1]orders!L$1,[1]products!$A$1:$G$1,0))</f>
        <v>4.7549999999999999</v>
      </c>
      <c r="I506">
        <f t="shared" si="7"/>
        <v>14.265000000000001</v>
      </c>
    </row>
    <row r="507" spans="1:9" x14ac:dyDescent="0.25">
      <c r="A507" t="s">
        <v>995</v>
      </c>
      <c r="B507">
        <v>44609</v>
      </c>
      <c r="C507" t="s">
        <v>996</v>
      </c>
      <c r="D507" t="str">
        <f>INDEX('Customers (2)'!B:B,MATCH('Customers (2)'!A507,'Customers (2)'!A:A,0))</f>
        <v>Wain Stearley</v>
      </c>
      <c r="E507" t="s">
        <v>77</v>
      </c>
      <c r="F507">
        <v>6</v>
      </c>
      <c r="G507">
        <f>INDEX([1]products!$A$1:$G$49,MATCH([1]orders!$D507,[1]products!$A$1:$A$49,0),MATCH([1]orders!K$1,[1]products!$A$1:$G$1,0))</f>
        <v>0.2</v>
      </c>
      <c r="H507">
        <f>INDEX([1]products!$A$1:$G$49,MATCH([1]orders!$D507,[1]products!$A$1:$A$49,0),MATCH([1]orders!L$1,[1]products!$A$1:$G$1,0))</f>
        <v>4.3650000000000002</v>
      </c>
      <c r="I507">
        <f t="shared" si="7"/>
        <v>26.19</v>
      </c>
    </row>
    <row r="508" spans="1:9" x14ac:dyDescent="0.25">
      <c r="A508" t="s">
        <v>997</v>
      </c>
      <c r="B508">
        <v>44184</v>
      </c>
      <c r="C508" t="s">
        <v>998</v>
      </c>
      <c r="D508" t="str">
        <f>INDEX('Customers (2)'!B:B,MATCH('Customers (2)'!A508,'Customers (2)'!A:A,0))</f>
        <v>Diane-marie Wincer</v>
      </c>
      <c r="E508" t="s">
        <v>6</v>
      </c>
      <c r="F508">
        <v>2</v>
      </c>
      <c r="G508">
        <f>INDEX([1]products!$A$1:$G$49,MATCH([1]orders!$D508,[1]products!$A$1:$A$49,0),MATCH([1]orders!K$1,[1]products!$A$1:$G$1,0))</f>
        <v>1</v>
      </c>
      <c r="H508">
        <f>INDEX([1]products!$A$1:$G$49,MATCH([1]orders!$D508,[1]products!$A$1:$A$49,0),MATCH([1]orders!L$1,[1]products!$A$1:$G$1,0))</f>
        <v>12.95</v>
      </c>
      <c r="I508">
        <f t="shared" si="7"/>
        <v>25.9</v>
      </c>
    </row>
    <row r="509" spans="1:9" x14ac:dyDescent="0.25">
      <c r="A509" t="s">
        <v>999</v>
      </c>
      <c r="B509">
        <v>43516</v>
      </c>
      <c r="C509" t="s">
        <v>1000</v>
      </c>
      <c r="D509" t="str">
        <f>INDEX('Customers (2)'!B:B,MATCH('Customers (2)'!A509,'Customers (2)'!A:A,0))</f>
        <v>Perry Lyfield</v>
      </c>
      <c r="E509" t="s">
        <v>204</v>
      </c>
      <c r="F509">
        <v>3</v>
      </c>
      <c r="G509">
        <f>INDEX([1]products!$A$1:$G$49,MATCH([1]orders!$D509,[1]products!$A$1:$A$49,0),MATCH([1]orders!K$1,[1]products!$A$1:$G$1,0))</f>
        <v>2.5</v>
      </c>
      <c r="H509">
        <f>INDEX([1]products!$A$1:$G$49,MATCH([1]orders!$D509,[1]products!$A$1:$A$49,0),MATCH([1]orders!L$1,[1]products!$A$1:$G$1,0))</f>
        <v>29.784999999999997</v>
      </c>
      <c r="I509">
        <f t="shared" si="7"/>
        <v>89.35499999999999</v>
      </c>
    </row>
    <row r="510" spans="1:9" x14ac:dyDescent="0.25">
      <c r="A510" t="s">
        <v>1001</v>
      </c>
      <c r="B510">
        <v>44210</v>
      </c>
      <c r="C510" t="s">
        <v>1002</v>
      </c>
      <c r="D510" t="str">
        <f>INDEX('Customers (2)'!B:B,MATCH('Customers (2)'!A510,'Customers (2)'!A:A,0))</f>
        <v>Heall Perris</v>
      </c>
      <c r="E510" t="s">
        <v>123</v>
      </c>
      <c r="F510">
        <v>6</v>
      </c>
      <c r="G510">
        <f>INDEX([1]products!$A$1:$G$49,MATCH([1]orders!$D510,[1]products!$A$1:$A$49,0),MATCH([1]orders!K$1,[1]products!$A$1:$G$1,0))</f>
        <v>0.5</v>
      </c>
      <c r="H510">
        <f>INDEX([1]products!$A$1:$G$49,MATCH([1]orders!$D510,[1]products!$A$1:$A$49,0),MATCH([1]orders!L$1,[1]products!$A$1:$G$1,0))</f>
        <v>7.77</v>
      </c>
      <c r="I510">
        <f t="shared" si="7"/>
        <v>46.62</v>
      </c>
    </row>
    <row r="511" spans="1:9" x14ac:dyDescent="0.25">
      <c r="A511" t="s">
        <v>1003</v>
      </c>
      <c r="B511">
        <v>43785</v>
      </c>
      <c r="C511" t="s">
        <v>988</v>
      </c>
      <c r="D511" t="str">
        <f>INDEX('Customers (2)'!B:B,MATCH('Customers (2)'!A511,'Customers (2)'!A:A,0))</f>
        <v>Marja Urion</v>
      </c>
      <c r="E511" t="s">
        <v>27</v>
      </c>
      <c r="F511">
        <v>3</v>
      </c>
      <c r="G511">
        <f>INDEX([1]products!$A$1:$G$49,MATCH([1]orders!$D511,[1]products!$A$1:$A$49,0),MATCH([1]orders!K$1,[1]products!$A$1:$G$1,0))</f>
        <v>1</v>
      </c>
      <c r="H511">
        <f>INDEX([1]products!$A$1:$G$49,MATCH([1]orders!$D511,[1]products!$A$1:$A$49,0),MATCH([1]orders!L$1,[1]products!$A$1:$G$1,0))</f>
        <v>9.9499999999999993</v>
      </c>
      <c r="I511">
        <f t="shared" si="7"/>
        <v>29.849999999999998</v>
      </c>
    </row>
    <row r="512" spans="1:9" x14ac:dyDescent="0.25">
      <c r="A512" t="s">
        <v>1004</v>
      </c>
      <c r="B512">
        <v>43803</v>
      </c>
      <c r="C512" t="s">
        <v>1005</v>
      </c>
      <c r="D512" t="str">
        <f>INDEX('Customers (2)'!B:B,MATCH('Customers (2)'!A512,'Customers (2)'!A:A,0))</f>
        <v>Camellia Kid</v>
      </c>
      <c r="E512" t="s">
        <v>182</v>
      </c>
      <c r="F512">
        <v>3</v>
      </c>
      <c r="G512">
        <f>INDEX([1]products!$A$1:$G$49,MATCH([1]orders!$D512,[1]products!$A$1:$A$49,0),MATCH([1]orders!K$1,[1]products!$A$1:$G$1,0))</f>
        <v>0.2</v>
      </c>
      <c r="H512">
        <f>INDEX([1]products!$A$1:$G$49,MATCH([1]orders!$D512,[1]products!$A$1:$A$49,0),MATCH([1]orders!L$1,[1]products!$A$1:$G$1,0))</f>
        <v>3.5849999999999995</v>
      </c>
      <c r="I512">
        <f t="shared" si="7"/>
        <v>10.754999999999999</v>
      </c>
    </row>
    <row r="513" spans="1:9" x14ac:dyDescent="0.25">
      <c r="A513" t="s">
        <v>1006</v>
      </c>
      <c r="B513">
        <v>44043</v>
      </c>
      <c r="C513" t="s">
        <v>1007</v>
      </c>
      <c r="D513" t="str">
        <f>INDEX('Customers (2)'!B:B,MATCH('Customers (2)'!A513,'Customers (2)'!A:A,0))</f>
        <v>Carolann Beine</v>
      </c>
      <c r="E513" t="s">
        <v>44</v>
      </c>
      <c r="F513">
        <v>4</v>
      </c>
      <c r="G513">
        <f>INDEX([1]products!$A$1:$G$49,MATCH([1]orders!$D513,[1]products!$A$1:$A$49,0),MATCH([1]orders!K$1,[1]products!$A$1:$G$1,0))</f>
        <v>0.2</v>
      </c>
      <c r="H513">
        <f>INDEX([1]products!$A$1:$G$49,MATCH([1]orders!$D513,[1]products!$A$1:$A$49,0),MATCH([1]orders!L$1,[1]products!$A$1:$G$1,0))</f>
        <v>3.375</v>
      </c>
      <c r="I513">
        <f t="shared" si="7"/>
        <v>13.5</v>
      </c>
    </row>
    <row r="514" spans="1:9" x14ac:dyDescent="0.25">
      <c r="A514" t="s">
        <v>1008</v>
      </c>
      <c r="B514">
        <v>43535</v>
      </c>
      <c r="C514" t="s">
        <v>1009</v>
      </c>
      <c r="D514" t="str">
        <f>INDEX('Customers (2)'!B:B,MATCH('Customers (2)'!A514,'Customers (2)'!A:A,0))</f>
        <v>Celia Bakeup</v>
      </c>
      <c r="E514" t="s">
        <v>132</v>
      </c>
      <c r="F514">
        <v>3</v>
      </c>
      <c r="G514">
        <f>INDEX([1]products!$A$1:$G$49,MATCH([1]orders!$D514,[1]products!$A$1:$A$49,0),MATCH([1]orders!K$1,[1]products!$A$1:$G$1,0))</f>
        <v>1</v>
      </c>
      <c r="H514">
        <f>INDEX([1]products!$A$1:$G$49,MATCH([1]orders!$D514,[1]products!$A$1:$A$49,0),MATCH([1]orders!L$1,[1]products!$A$1:$G$1,0))</f>
        <v>15.85</v>
      </c>
      <c r="I514">
        <f t="shared" ref="I514:I577" si="8">F514*H514</f>
        <v>47.55</v>
      </c>
    </row>
    <row r="515" spans="1:9" x14ac:dyDescent="0.25">
      <c r="A515" t="s">
        <v>1010</v>
      </c>
      <c r="B515">
        <v>44691</v>
      </c>
      <c r="C515" t="s">
        <v>1011</v>
      </c>
      <c r="D515" t="str">
        <f>INDEX('Customers (2)'!B:B,MATCH('Customers (2)'!A515,'Customers (2)'!A:A,0))</f>
        <v>Nataniel Helkin</v>
      </c>
      <c r="E515" t="s">
        <v>132</v>
      </c>
      <c r="F515">
        <v>5</v>
      </c>
      <c r="G515">
        <f>INDEX([1]products!$A$1:$G$49,MATCH([1]orders!$D515,[1]products!$A$1:$A$49,0),MATCH([1]orders!K$1,[1]products!$A$1:$G$1,0))</f>
        <v>1</v>
      </c>
      <c r="H515">
        <f>INDEX([1]products!$A$1:$G$49,MATCH([1]orders!$D515,[1]products!$A$1:$A$49,0),MATCH([1]orders!L$1,[1]products!$A$1:$G$1,0))</f>
        <v>15.85</v>
      </c>
      <c r="I515">
        <f t="shared" si="8"/>
        <v>79.25</v>
      </c>
    </row>
    <row r="516" spans="1:9" x14ac:dyDescent="0.25">
      <c r="A516" t="s">
        <v>1012</v>
      </c>
      <c r="B516">
        <v>44555</v>
      </c>
      <c r="C516" t="s">
        <v>1013</v>
      </c>
      <c r="D516" t="str">
        <f>INDEX('Customers (2)'!B:B,MATCH('Customers (2)'!A516,'Customers (2)'!A:A,0))</f>
        <v>Pippo Witherington</v>
      </c>
      <c r="E516" t="s">
        <v>77</v>
      </c>
      <c r="F516">
        <v>6</v>
      </c>
      <c r="G516">
        <f>INDEX([1]products!$A$1:$G$49,MATCH([1]orders!$D516,[1]products!$A$1:$A$49,0),MATCH([1]orders!K$1,[1]products!$A$1:$G$1,0))</f>
        <v>0.2</v>
      </c>
      <c r="H516">
        <f>INDEX([1]products!$A$1:$G$49,MATCH([1]orders!$D516,[1]products!$A$1:$A$49,0),MATCH([1]orders!L$1,[1]products!$A$1:$G$1,0))</f>
        <v>4.3650000000000002</v>
      </c>
      <c r="I516">
        <f t="shared" si="8"/>
        <v>26.19</v>
      </c>
    </row>
    <row r="517" spans="1:9" x14ac:dyDescent="0.25">
      <c r="A517" t="s">
        <v>1014</v>
      </c>
      <c r="B517">
        <v>44673</v>
      </c>
      <c r="C517" t="s">
        <v>1015</v>
      </c>
      <c r="D517" t="str">
        <f>INDEX('Customers (2)'!B:B,MATCH('Customers (2)'!A517,'Customers (2)'!A:A,0))</f>
        <v>Tildie Tilzey</v>
      </c>
      <c r="E517" t="s">
        <v>157</v>
      </c>
      <c r="F517">
        <v>3</v>
      </c>
      <c r="G517">
        <f>INDEX([1]products!$A$1:$G$49,MATCH([1]orders!$D517,[1]products!$A$1:$A$49,0),MATCH([1]orders!K$1,[1]products!$A$1:$G$1,0))</f>
        <v>0.5</v>
      </c>
      <c r="H517">
        <f>INDEX([1]products!$A$1:$G$49,MATCH([1]orders!$D517,[1]products!$A$1:$A$49,0),MATCH([1]orders!L$1,[1]products!$A$1:$G$1,0))</f>
        <v>7.169999999999999</v>
      </c>
      <c r="I517">
        <f t="shared" si="8"/>
        <v>21.509999999999998</v>
      </c>
    </row>
    <row r="518" spans="1:9" x14ac:dyDescent="0.25">
      <c r="A518" t="s">
        <v>1016</v>
      </c>
      <c r="B518">
        <v>44723</v>
      </c>
      <c r="C518" t="s">
        <v>1017</v>
      </c>
      <c r="D518" t="str">
        <f>INDEX('Customers (2)'!B:B,MATCH('Customers (2)'!A518,'Customers (2)'!A:A,0))</f>
        <v>Cindra Burling</v>
      </c>
      <c r="E518" t="s">
        <v>35</v>
      </c>
      <c r="F518">
        <v>5</v>
      </c>
      <c r="G518">
        <f>INDEX([1]products!$A$1:$G$49,MATCH([1]orders!$D518,[1]products!$A$1:$A$49,0),MATCH([1]orders!K$1,[1]products!$A$1:$G$1,0))</f>
        <v>2.5</v>
      </c>
      <c r="H518">
        <f>INDEX([1]products!$A$1:$G$49,MATCH([1]orders!$D518,[1]products!$A$1:$A$49,0),MATCH([1]orders!L$1,[1]products!$A$1:$G$1,0))</f>
        <v>20.584999999999997</v>
      </c>
      <c r="I518">
        <f t="shared" si="8"/>
        <v>102.92499999999998</v>
      </c>
    </row>
    <row r="519" spans="1:9" x14ac:dyDescent="0.25">
      <c r="A519" t="s">
        <v>1018</v>
      </c>
      <c r="B519">
        <v>44678</v>
      </c>
      <c r="C519" t="s">
        <v>1019</v>
      </c>
      <c r="D519" t="str">
        <f>INDEX('Customers (2)'!B:B,MATCH('Customers (2)'!A519,'Customers (2)'!A:A,0))</f>
        <v>Channa Belamy</v>
      </c>
      <c r="E519" t="s">
        <v>38</v>
      </c>
      <c r="F519">
        <v>2</v>
      </c>
      <c r="G519">
        <f>INDEX([1]products!$A$1:$G$49,MATCH([1]orders!$D519,[1]products!$A$1:$A$49,0),MATCH([1]orders!K$1,[1]products!$A$1:$G$1,0))</f>
        <v>0.2</v>
      </c>
      <c r="H519">
        <f>INDEX([1]products!$A$1:$G$49,MATCH([1]orders!$D519,[1]products!$A$1:$A$49,0),MATCH([1]orders!L$1,[1]products!$A$1:$G$1,0))</f>
        <v>3.8849999999999998</v>
      </c>
      <c r="I519">
        <f t="shared" si="8"/>
        <v>7.77</v>
      </c>
    </row>
    <row r="520" spans="1:9" x14ac:dyDescent="0.25">
      <c r="A520" t="s">
        <v>1020</v>
      </c>
      <c r="B520">
        <v>44194</v>
      </c>
      <c r="C520" t="s">
        <v>1021</v>
      </c>
      <c r="D520" t="str">
        <f>INDEX('Customers (2)'!B:B,MATCH('Customers (2)'!A520,'Customers (2)'!A:A,0))</f>
        <v>Karl Imorts</v>
      </c>
      <c r="E520" t="s">
        <v>530</v>
      </c>
      <c r="F520">
        <v>5</v>
      </c>
      <c r="G520">
        <f>INDEX([1]products!$A$1:$G$49,MATCH([1]orders!$D520,[1]products!$A$1:$A$49,0),MATCH([1]orders!K$1,[1]products!$A$1:$G$1,0))</f>
        <v>2.5</v>
      </c>
      <c r="H520">
        <f>INDEX([1]products!$A$1:$G$49,MATCH([1]orders!$D520,[1]products!$A$1:$A$49,0),MATCH([1]orders!L$1,[1]products!$A$1:$G$1,0))</f>
        <v>27.945</v>
      </c>
      <c r="I520">
        <f t="shared" si="8"/>
        <v>139.72499999999999</v>
      </c>
    </row>
    <row r="521" spans="1:9" x14ac:dyDescent="0.25">
      <c r="A521" t="s">
        <v>1022</v>
      </c>
      <c r="B521">
        <v>44026</v>
      </c>
      <c r="C521" t="s">
        <v>988</v>
      </c>
      <c r="D521" t="str">
        <f>INDEX('Customers (2)'!B:B,MATCH('Customers (2)'!A521,'Customers (2)'!A:A,0))</f>
        <v>Philippine Starte</v>
      </c>
      <c r="E521" t="s">
        <v>72</v>
      </c>
      <c r="F521">
        <v>2</v>
      </c>
      <c r="G521">
        <f>INDEX([1]products!$A$1:$G$49,MATCH([1]orders!$D521,[1]products!$A$1:$A$49,0),MATCH([1]orders!K$1,[1]products!$A$1:$G$1,0))</f>
        <v>0.5</v>
      </c>
      <c r="H521">
        <f>INDEX([1]products!$A$1:$G$49,MATCH([1]orders!$D521,[1]products!$A$1:$A$49,0),MATCH([1]orders!L$1,[1]products!$A$1:$G$1,0))</f>
        <v>5.97</v>
      </c>
      <c r="I521">
        <f t="shared" si="8"/>
        <v>11.94</v>
      </c>
    </row>
    <row r="522" spans="1:9" x14ac:dyDescent="0.25">
      <c r="A522" t="s">
        <v>1023</v>
      </c>
      <c r="B522">
        <v>44446</v>
      </c>
      <c r="C522" t="s">
        <v>1024</v>
      </c>
      <c r="D522" t="str">
        <f>INDEX('Customers (2)'!B:B,MATCH('Customers (2)'!A522,'Customers (2)'!A:A,0))</f>
        <v>Mag Armistead</v>
      </c>
      <c r="E522" t="s">
        <v>38</v>
      </c>
      <c r="F522">
        <v>1</v>
      </c>
      <c r="G522">
        <f>INDEX([1]products!$A$1:$G$49,MATCH([1]orders!$D522,[1]products!$A$1:$A$49,0),MATCH([1]orders!K$1,[1]products!$A$1:$G$1,0))</f>
        <v>0.2</v>
      </c>
      <c r="H522">
        <f>INDEX([1]products!$A$1:$G$49,MATCH([1]orders!$D522,[1]products!$A$1:$A$49,0),MATCH([1]orders!L$1,[1]products!$A$1:$G$1,0))</f>
        <v>3.8849999999999998</v>
      </c>
      <c r="I522">
        <f t="shared" si="8"/>
        <v>3.8849999999999998</v>
      </c>
    </row>
    <row r="523" spans="1:9" x14ac:dyDescent="0.25">
      <c r="A523" t="s">
        <v>1023</v>
      </c>
      <c r="B523">
        <v>44446</v>
      </c>
      <c r="C523" t="s">
        <v>1024</v>
      </c>
      <c r="D523" t="str">
        <f>INDEX('Customers (2)'!B:B,MATCH('Customers (2)'!A523,'Customers (2)'!A:A,0))</f>
        <v>Janela Lemerle</v>
      </c>
      <c r="E523" t="s">
        <v>2</v>
      </c>
      <c r="F523">
        <v>4</v>
      </c>
      <c r="G523">
        <f>INDEX([1]products!$A$1:$G$49,MATCH([1]orders!$D523,[1]products!$A$1:$A$49,0),MATCH([1]orders!K$1,[1]products!$A$1:$G$1,0))</f>
        <v>1</v>
      </c>
      <c r="H523">
        <f>INDEX([1]products!$A$1:$G$49,MATCH([1]orders!$D523,[1]products!$A$1:$A$49,0),MATCH([1]orders!L$1,[1]products!$A$1:$G$1,0))</f>
        <v>9.9499999999999993</v>
      </c>
      <c r="I523">
        <f t="shared" si="8"/>
        <v>39.799999999999997</v>
      </c>
    </row>
    <row r="524" spans="1:9" x14ac:dyDescent="0.25">
      <c r="A524" t="s">
        <v>1025</v>
      </c>
      <c r="B524">
        <v>43625</v>
      </c>
      <c r="C524" t="s">
        <v>1026</v>
      </c>
      <c r="D524" t="str">
        <f>INDEX('Customers (2)'!B:B,MATCH('Customers (2)'!A524,'Customers (2)'!A:A,0))</f>
        <v>Vasili Upstone</v>
      </c>
      <c r="E524" t="s">
        <v>22</v>
      </c>
      <c r="F524">
        <v>5</v>
      </c>
      <c r="G524">
        <f>INDEX([1]products!$A$1:$G$49,MATCH([1]orders!$D524,[1]products!$A$1:$A$49,0),MATCH([1]orders!K$1,[1]products!$A$1:$G$1,0))</f>
        <v>0.5</v>
      </c>
      <c r="H524">
        <f>INDEX([1]products!$A$1:$G$49,MATCH([1]orders!$D524,[1]products!$A$1:$A$49,0),MATCH([1]orders!L$1,[1]products!$A$1:$G$1,0))</f>
        <v>5.97</v>
      </c>
      <c r="I524">
        <f t="shared" si="8"/>
        <v>29.849999999999998</v>
      </c>
    </row>
    <row r="525" spans="1:9" x14ac:dyDescent="0.25">
      <c r="A525" t="s">
        <v>1027</v>
      </c>
      <c r="B525">
        <v>44129</v>
      </c>
      <c r="C525" t="s">
        <v>1028</v>
      </c>
      <c r="D525" t="str">
        <f>INDEX('Customers (2)'!B:B,MATCH('Customers (2)'!A525,'Customers (2)'!A:A,0))</f>
        <v>Berty Beelby</v>
      </c>
      <c r="E525" t="s">
        <v>109</v>
      </c>
      <c r="F525">
        <v>1</v>
      </c>
      <c r="G525">
        <f>INDEX([1]products!$A$1:$G$49,MATCH([1]orders!$D525,[1]products!$A$1:$A$49,0),MATCH([1]orders!K$1,[1]products!$A$1:$G$1,0))</f>
        <v>2.5</v>
      </c>
      <c r="H525">
        <f>INDEX([1]products!$A$1:$G$49,MATCH([1]orders!$D525,[1]products!$A$1:$A$49,0),MATCH([1]orders!L$1,[1]products!$A$1:$G$1,0))</f>
        <v>29.784999999999997</v>
      </c>
      <c r="I525">
        <f t="shared" si="8"/>
        <v>29.784999999999997</v>
      </c>
    </row>
    <row r="526" spans="1:9" x14ac:dyDescent="0.25">
      <c r="A526" t="s">
        <v>1029</v>
      </c>
      <c r="B526">
        <v>44255</v>
      </c>
      <c r="C526" t="s">
        <v>1030</v>
      </c>
      <c r="D526" t="str">
        <f>INDEX('Customers (2)'!B:B,MATCH('Customers (2)'!A526,'Customers (2)'!A:A,0))</f>
        <v>Erny Stenyng</v>
      </c>
      <c r="E526" t="s">
        <v>104</v>
      </c>
      <c r="F526">
        <v>2</v>
      </c>
      <c r="G526">
        <f>INDEX([1]products!$A$1:$G$49,MATCH([1]orders!$D526,[1]products!$A$1:$A$49,0),MATCH([1]orders!K$1,[1]products!$A$1:$G$1,0))</f>
        <v>2.5</v>
      </c>
      <c r="H526">
        <f>INDEX([1]products!$A$1:$G$49,MATCH([1]orders!$D526,[1]products!$A$1:$A$49,0),MATCH([1]orders!L$1,[1]products!$A$1:$G$1,0))</f>
        <v>36.454999999999998</v>
      </c>
      <c r="I526">
        <f t="shared" si="8"/>
        <v>72.91</v>
      </c>
    </row>
    <row r="527" spans="1:9" x14ac:dyDescent="0.25">
      <c r="A527" t="s">
        <v>1031</v>
      </c>
      <c r="B527">
        <v>44038</v>
      </c>
      <c r="C527" t="s">
        <v>1032</v>
      </c>
      <c r="D527" t="str">
        <f>INDEX('Customers (2)'!B:B,MATCH('Customers (2)'!A527,'Customers (2)'!A:A,0))</f>
        <v>Edin Yantsurev</v>
      </c>
      <c r="E527" t="s">
        <v>101</v>
      </c>
      <c r="F527">
        <v>5</v>
      </c>
      <c r="G527">
        <f>INDEX([1]products!$A$1:$G$49,MATCH([1]orders!$D527,[1]products!$A$1:$A$49,0),MATCH([1]orders!K$1,[1]products!$A$1:$G$1,0))</f>
        <v>0.2</v>
      </c>
      <c r="H527">
        <f>INDEX([1]products!$A$1:$G$49,MATCH([1]orders!$D527,[1]products!$A$1:$A$49,0),MATCH([1]orders!L$1,[1]products!$A$1:$G$1,0))</f>
        <v>2.6849999999999996</v>
      </c>
      <c r="I527">
        <f t="shared" si="8"/>
        <v>13.424999999999997</v>
      </c>
    </row>
    <row r="528" spans="1:9" x14ac:dyDescent="0.25">
      <c r="A528" t="s">
        <v>1033</v>
      </c>
      <c r="B528">
        <v>44717</v>
      </c>
      <c r="C528" t="s">
        <v>1034</v>
      </c>
      <c r="D528" t="str">
        <f>INDEX('Customers (2)'!B:B,MATCH('Customers (2)'!A528,'Customers (2)'!A:A,0))</f>
        <v>Webb Speechly</v>
      </c>
      <c r="E528" t="s">
        <v>112</v>
      </c>
      <c r="F528">
        <v>4</v>
      </c>
      <c r="G528">
        <f>INDEX([1]products!$A$1:$G$49,MATCH([1]orders!$D528,[1]products!$A$1:$A$49,0),MATCH([1]orders!K$1,[1]products!$A$1:$G$1,0))</f>
        <v>2.5</v>
      </c>
      <c r="H528">
        <f>INDEX([1]products!$A$1:$G$49,MATCH([1]orders!$D528,[1]products!$A$1:$A$49,0),MATCH([1]orders!L$1,[1]products!$A$1:$G$1,0))</f>
        <v>31.624999999999996</v>
      </c>
      <c r="I528">
        <f t="shared" si="8"/>
        <v>126.49999999999999</v>
      </c>
    </row>
    <row r="529" spans="1:9" x14ac:dyDescent="0.25">
      <c r="A529" t="s">
        <v>1035</v>
      </c>
      <c r="B529">
        <v>43517</v>
      </c>
      <c r="C529" t="s">
        <v>1036</v>
      </c>
      <c r="D529" t="str">
        <f>INDEX('Customers (2)'!B:B,MATCH('Customers (2)'!A529,'Customers (2)'!A:A,0))</f>
        <v>Irvine Phillpot</v>
      </c>
      <c r="E529" t="s">
        <v>3</v>
      </c>
      <c r="F529">
        <v>5</v>
      </c>
      <c r="G529">
        <f>INDEX([1]products!$A$1:$G$49,MATCH([1]orders!$D529,[1]products!$A$1:$A$49,0),MATCH([1]orders!K$1,[1]products!$A$1:$G$1,0))</f>
        <v>0.5</v>
      </c>
      <c r="H529">
        <f>INDEX([1]products!$A$1:$G$49,MATCH([1]orders!$D529,[1]products!$A$1:$A$49,0),MATCH([1]orders!L$1,[1]products!$A$1:$G$1,0))</f>
        <v>8.25</v>
      </c>
      <c r="I529">
        <f t="shared" si="8"/>
        <v>41.25</v>
      </c>
    </row>
    <row r="530" spans="1:9" x14ac:dyDescent="0.25">
      <c r="A530" t="s">
        <v>1037</v>
      </c>
      <c r="B530">
        <v>43926</v>
      </c>
      <c r="C530" t="s">
        <v>1038</v>
      </c>
      <c r="D530" t="str">
        <f>INDEX('Customers (2)'!B:B,MATCH('Customers (2)'!A530,'Customers (2)'!A:A,0))</f>
        <v>Lem Pennacci</v>
      </c>
      <c r="E530" t="s">
        <v>176</v>
      </c>
      <c r="F530">
        <v>6</v>
      </c>
      <c r="G530">
        <f>INDEX([1]products!$A$1:$G$49,MATCH([1]orders!$D530,[1]products!$A$1:$A$49,0),MATCH([1]orders!K$1,[1]products!$A$1:$G$1,0))</f>
        <v>0.5</v>
      </c>
      <c r="H530">
        <f>INDEX([1]products!$A$1:$G$49,MATCH([1]orders!$D530,[1]products!$A$1:$A$49,0),MATCH([1]orders!L$1,[1]products!$A$1:$G$1,0))</f>
        <v>8.91</v>
      </c>
      <c r="I530">
        <f t="shared" si="8"/>
        <v>53.46</v>
      </c>
    </row>
    <row r="531" spans="1:9" x14ac:dyDescent="0.25">
      <c r="A531" t="s">
        <v>1039</v>
      </c>
      <c r="B531">
        <v>43475</v>
      </c>
      <c r="C531" t="s">
        <v>1040</v>
      </c>
      <c r="D531" t="str">
        <f>INDEX('Customers (2)'!B:B,MATCH('Customers (2)'!A531,'Customers (2)'!A:A,0))</f>
        <v>Starr Arpin</v>
      </c>
      <c r="E531" t="s">
        <v>2</v>
      </c>
      <c r="F531">
        <v>6</v>
      </c>
      <c r="G531">
        <f>INDEX([1]products!$A$1:$G$49,MATCH([1]orders!$D531,[1]products!$A$1:$A$49,0),MATCH([1]orders!K$1,[1]products!$A$1:$G$1,0))</f>
        <v>1</v>
      </c>
      <c r="H531">
        <f>INDEX([1]products!$A$1:$G$49,MATCH([1]orders!$D531,[1]products!$A$1:$A$49,0),MATCH([1]orders!L$1,[1]products!$A$1:$G$1,0))</f>
        <v>9.9499999999999993</v>
      </c>
      <c r="I531">
        <f t="shared" si="8"/>
        <v>59.699999999999996</v>
      </c>
    </row>
    <row r="532" spans="1:9" x14ac:dyDescent="0.25">
      <c r="A532" t="s">
        <v>1041</v>
      </c>
      <c r="B532">
        <v>44663</v>
      </c>
      <c r="C532" t="s">
        <v>1042</v>
      </c>
      <c r="D532" t="str">
        <f>INDEX('Customers (2)'!B:B,MATCH('Customers (2)'!A532,'Customers (2)'!A:A,0))</f>
        <v>Donny Fries</v>
      </c>
      <c r="E532" t="s">
        <v>2</v>
      </c>
      <c r="F532">
        <v>6</v>
      </c>
      <c r="G532">
        <f>INDEX([1]products!$A$1:$G$49,MATCH([1]orders!$D532,[1]products!$A$1:$A$49,0),MATCH([1]orders!K$1,[1]products!$A$1:$G$1,0))</f>
        <v>1</v>
      </c>
      <c r="H532">
        <f>INDEX([1]products!$A$1:$G$49,MATCH([1]orders!$D532,[1]products!$A$1:$A$49,0),MATCH([1]orders!L$1,[1]products!$A$1:$G$1,0))</f>
        <v>9.9499999999999993</v>
      </c>
      <c r="I532">
        <f t="shared" si="8"/>
        <v>59.699999999999996</v>
      </c>
    </row>
    <row r="533" spans="1:9" x14ac:dyDescent="0.25">
      <c r="A533" t="s">
        <v>1043</v>
      </c>
      <c r="B533">
        <v>44591</v>
      </c>
      <c r="C533" t="s">
        <v>1044</v>
      </c>
      <c r="D533" t="str">
        <f>INDEX('Customers (2)'!B:B,MATCH('Customers (2)'!A533,'Customers (2)'!A:A,0))</f>
        <v>Rana Sharer</v>
      </c>
      <c r="E533" t="s">
        <v>179</v>
      </c>
      <c r="F533">
        <v>5</v>
      </c>
      <c r="G533">
        <f>INDEX([1]products!$A$1:$G$49,MATCH([1]orders!$D533,[1]products!$A$1:$A$49,0),MATCH([1]orders!K$1,[1]products!$A$1:$G$1,0))</f>
        <v>1</v>
      </c>
      <c r="H533">
        <f>INDEX([1]products!$A$1:$G$49,MATCH([1]orders!$D533,[1]products!$A$1:$A$49,0),MATCH([1]orders!L$1,[1]products!$A$1:$G$1,0))</f>
        <v>8.9499999999999993</v>
      </c>
      <c r="I533">
        <f t="shared" si="8"/>
        <v>44.75</v>
      </c>
    </row>
    <row r="534" spans="1:9" x14ac:dyDescent="0.25">
      <c r="A534" t="s">
        <v>1045</v>
      </c>
      <c r="B534">
        <v>44330</v>
      </c>
      <c r="C534" t="s">
        <v>1046</v>
      </c>
      <c r="D534" t="str">
        <f>INDEX('Customers (2)'!B:B,MATCH('Customers (2)'!A534,'Customers (2)'!A:A,0))</f>
        <v>Nannie Naseby</v>
      </c>
      <c r="E534" t="s">
        <v>3</v>
      </c>
      <c r="F534">
        <v>2</v>
      </c>
      <c r="G534">
        <f>INDEX([1]products!$A$1:$G$49,MATCH([1]orders!$D534,[1]products!$A$1:$A$49,0),MATCH([1]orders!K$1,[1]products!$A$1:$G$1,0))</f>
        <v>0.5</v>
      </c>
      <c r="H534">
        <f>INDEX([1]products!$A$1:$G$49,MATCH([1]orders!$D534,[1]products!$A$1:$A$49,0),MATCH([1]orders!L$1,[1]products!$A$1:$G$1,0))</f>
        <v>8.25</v>
      </c>
      <c r="I534">
        <f t="shared" si="8"/>
        <v>16.5</v>
      </c>
    </row>
    <row r="535" spans="1:9" x14ac:dyDescent="0.25">
      <c r="A535" t="s">
        <v>1047</v>
      </c>
      <c r="B535">
        <v>44724</v>
      </c>
      <c r="C535" t="s">
        <v>1048</v>
      </c>
      <c r="D535" t="str">
        <f>INDEX('Customers (2)'!B:B,MATCH('Customers (2)'!A535,'Customers (2)'!A:A,0))</f>
        <v>Rea Offell</v>
      </c>
      <c r="E535" t="s">
        <v>146</v>
      </c>
      <c r="F535">
        <v>4</v>
      </c>
      <c r="G535">
        <f>INDEX([1]products!$A$1:$G$49,MATCH([1]orders!$D535,[1]products!$A$1:$A$49,0),MATCH([1]orders!K$1,[1]products!$A$1:$G$1,0))</f>
        <v>0.5</v>
      </c>
      <c r="H535">
        <f>INDEX([1]products!$A$1:$G$49,MATCH([1]orders!$D535,[1]products!$A$1:$A$49,0),MATCH([1]orders!L$1,[1]products!$A$1:$G$1,0))</f>
        <v>5.3699999999999992</v>
      </c>
      <c r="I535">
        <f t="shared" si="8"/>
        <v>21.479999999999997</v>
      </c>
    </row>
    <row r="536" spans="1:9" x14ac:dyDescent="0.25">
      <c r="A536" t="s">
        <v>1049</v>
      </c>
      <c r="B536">
        <v>44563</v>
      </c>
      <c r="C536" t="s">
        <v>1050</v>
      </c>
      <c r="D536" t="str">
        <f>INDEX('Customers (2)'!B:B,MATCH('Customers (2)'!A536,'Customers (2)'!A:A,0))</f>
        <v>Kris O'Cullen</v>
      </c>
      <c r="E536" t="s">
        <v>41</v>
      </c>
      <c r="F536">
        <v>2</v>
      </c>
      <c r="G536">
        <f>INDEX([1]products!$A$1:$G$49,MATCH([1]orders!$D536,[1]products!$A$1:$A$49,0),MATCH([1]orders!K$1,[1]products!$A$1:$G$1,0))</f>
        <v>2.5</v>
      </c>
      <c r="H536">
        <f>INDEX([1]products!$A$1:$G$49,MATCH([1]orders!$D536,[1]products!$A$1:$A$49,0),MATCH([1]orders!L$1,[1]products!$A$1:$G$1,0))</f>
        <v>22.884999999999998</v>
      </c>
      <c r="I536">
        <f t="shared" si="8"/>
        <v>45.769999999999996</v>
      </c>
    </row>
    <row r="537" spans="1:9" x14ac:dyDescent="0.25">
      <c r="A537" t="s">
        <v>1051</v>
      </c>
      <c r="B537">
        <v>44585</v>
      </c>
      <c r="C537" t="s">
        <v>1052</v>
      </c>
      <c r="D537" t="str">
        <f>INDEX('Customers (2)'!B:B,MATCH('Customers (2)'!A537,'Customers (2)'!A:A,0))</f>
        <v>Timoteo Glisane</v>
      </c>
      <c r="E537" t="s">
        <v>19</v>
      </c>
      <c r="F537">
        <v>2</v>
      </c>
      <c r="G537">
        <f>INDEX([1]products!$A$1:$G$49,MATCH([1]orders!$D537,[1]products!$A$1:$A$49,0),MATCH([1]orders!K$1,[1]products!$A$1:$G$1,0))</f>
        <v>0.2</v>
      </c>
      <c r="H537">
        <f>INDEX([1]products!$A$1:$G$49,MATCH([1]orders!$D537,[1]products!$A$1:$A$49,0),MATCH([1]orders!L$1,[1]products!$A$1:$G$1,0))</f>
        <v>4.7549999999999999</v>
      </c>
      <c r="I537">
        <f t="shared" si="8"/>
        <v>9.51</v>
      </c>
    </row>
    <row r="538" spans="1:9" x14ac:dyDescent="0.25">
      <c r="A538" t="s">
        <v>1053</v>
      </c>
      <c r="B538">
        <v>43544</v>
      </c>
      <c r="C538" t="s">
        <v>988</v>
      </c>
      <c r="D538" t="str">
        <f>INDEX('Customers (2)'!B:B,MATCH('Customers (2)'!A538,'Customers (2)'!A:A,0))</f>
        <v>Wyatan Cokly</v>
      </c>
      <c r="E538" t="s">
        <v>101</v>
      </c>
      <c r="F538">
        <v>3</v>
      </c>
      <c r="G538">
        <f>INDEX([1]products!$A$1:$G$49,MATCH([1]orders!$D538,[1]products!$A$1:$A$49,0),MATCH([1]orders!K$1,[1]products!$A$1:$G$1,0))</f>
        <v>0.2</v>
      </c>
      <c r="H538">
        <f>INDEX([1]products!$A$1:$G$49,MATCH([1]orders!$D538,[1]products!$A$1:$A$49,0),MATCH([1]orders!L$1,[1]products!$A$1:$G$1,0))</f>
        <v>2.6849999999999996</v>
      </c>
      <c r="I538">
        <f t="shared" si="8"/>
        <v>8.0549999999999997</v>
      </c>
    </row>
    <row r="539" spans="1:9" x14ac:dyDescent="0.25">
      <c r="A539" t="s">
        <v>1054</v>
      </c>
      <c r="B539">
        <v>44156</v>
      </c>
      <c r="C539" t="s">
        <v>1055</v>
      </c>
      <c r="D539" t="str">
        <f>INDEX('Customers (2)'!B:B,MATCH('Customers (2)'!A539,'Customers (2)'!A:A,0))</f>
        <v>Hildegarde Brangan</v>
      </c>
      <c r="E539" t="s">
        <v>530</v>
      </c>
      <c r="F539">
        <v>4</v>
      </c>
      <c r="G539">
        <f>INDEX([1]products!$A$1:$G$49,MATCH([1]orders!$D539,[1]products!$A$1:$A$49,0),MATCH([1]orders!K$1,[1]products!$A$1:$G$1,0))</f>
        <v>2.5</v>
      </c>
      <c r="H539">
        <f>INDEX([1]products!$A$1:$G$49,MATCH([1]orders!$D539,[1]products!$A$1:$A$49,0),MATCH([1]orders!L$1,[1]products!$A$1:$G$1,0))</f>
        <v>27.945</v>
      </c>
      <c r="I539">
        <f t="shared" si="8"/>
        <v>111.78</v>
      </c>
    </row>
    <row r="540" spans="1:9" x14ac:dyDescent="0.25">
      <c r="A540" t="s">
        <v>1056</v>
      </c>
      <c r="B540">
        <v>44482</v>
      </c>
      <c r="C540" t="s">
        <v>1057</v>
      </c>
      <c r="D540" t="str">
        <f>INDEX('Customers (2)'!B:B,MATCH('Customers (2)'!A540,'Customers (2)'!A:A,0))</f>
        <v>Amii Gallyon</v>
      </c>
      <c r="E540" t="s">
        <v>101</v>
      </c>
      <c r="F540">
        <v>4</v>
      </c>
      <c r="G540">
        <f>INDEX([1]products!$A$1:$G$49,MATCH([1]orders!$D540,[1]products!$A$1:$A$49,0),MATCH([1]orders!K$1,[1]products!$A$1:$G$1,0))</f>
        <v>0.2</v>
      </c>
      <c r="H540">
        <f>INDEX([1]products!$A$1:$G$49,MATCH([1]orders!$D540,[1]products!$A$1:$A$49,0),MATCH([1]orders!L$1,[1]products!$A$1:$G$1,0))</f>
        <v>2.6849999999999996</v>
      </c>
      <c r="I540">
        <f t="shared" si="8"/>
        <v>10.739999999999998</v>
      </c>
    </row>
    <row r="541" spans="1:9" x14ac:dyDescent="0.25">
      <c r="A541" t="s">
        <v>1058</v>
      </c>
      <c r="B541">
        <v>44488</v>
      </c>
      <c r="C541" t="s">
        <v>1059</v>
      </c>
      <c r="D541" t="str">
        <f>INDEX('Customers (2)'!B:B,MATCH('Customers (2)'!A541,'Customers (2)'!A:A,0))</f>
        <v>Birgit Domange</v>
      </c>
      <c r="E541" t="s">
        <v>146</v>
      </c>
      <c r="F541">
        <v>5</v>
      </c>
      <c r="G541">
        <f>INDEX([1]products!$A$1:$G$49,MATCH([1]orders!$D541,[1]products!$A$1:$A$49,0),MATCH([1]orders!K$1,[1]products!$A$1:$G$1,0))</f>
        <v>0.5</v>
      </c>
      <c r="H541">
        <f>INDEX([1]products!$A$1:$G$49,MATCH([1]orders!$D541,[1]products!$A$1:$A$49,0),MATCH([1]orders!L$1,[1]products!$A$1:$G$1,0))</f>
        <v>5.3699999999999992</v>
      </c>
      <c r="I541">
        <f t="shared" si="8"/>
        <v>26.849999999999994</v>
      </c>
    </row>
    <row r="542" spans="1:9" x14ac:dyDescent="0.25">
      <c r="A542" t="s">
        <v>1060</v>
      </c>
      <c r="B542">
        <v>43584</v>
      </c>
      <c r="C542" t="s">
        <v>1061</v>
      </c>
      <c r="D542" t="str">
        <f>INDEX('Customers (2)'!B:B,MATCH('Customers (2)'!A542,'Customers (2)'!A:A,0))</f>
        <v>Killian Osler</v>
      </c>
      <c r="E542" t="s">
        <v>132</v>
      </c>
      <c r="F542">
        <v>4</v>
      </c>
      <c r="G542">
        <f>INDEX([1]products!$A$1:$G$49,MATCH([1]orders!$D542,[1]products!$A$1:$A$49,0),MATCH([1]orders!K$1,[1]products!$A$1:$G$1,0))</f>
        <v>1</v>
      </c>
      <c r="H542">
        <f>INDEX([1]products!$A$1:$G$49,MATCH([1]orders!$D542,[1]products!$A$1:$A$49,0),MATCH([1]orders!L$1,[1]products!$A$1:$G$1,0))</f>
        <v>15.85</v>
      </c>
      <c r="I542">
        <f t="shared" si="8"/>
        <v>63.4</v>
      </c>
    </row>
    <row r="543" spans="1:9" x14ac:dyDescent="0.25">
      <c r="A543" t="s">
        <v>1062</v>
      </c>
      <c r="B543">
        <v>43750</v>
      </c>
      <c r="C543" t="s">
        <v>1063</v>
      </c>
      <c r="D543" t="str">
        <f>INDEX('Customers (2)'!B:B,MATCH('Customers (2)'!A543,'Customers (2)'!A:A,0))</f>
        <v>Lora Dukes</v>
      </c>
      <c r="E543" t="s">
        <v>118</v>
      </c>
      <c r="F543">
        <v>1</v>
      </c>
      <c r="G543">
        <f>INDEX([1]products!$A$1:$G$49,MATCH([1]orders!$D543,[1]products!$A$1:$A$49,0),MATCH([1]orders!K$1,[1]products!$A$1:$G$1,0))</f>
        <v>2.5</v>
      </c>
      <c r="H543">
        <f>INDEX([1]products!$A$1:$G$49,MATCH([1]orders!$D543,[1]products!$A$1:$A$49,0),MATCH([1]orders!L$1,[1]products!$A$1:$G$1,0))</f>
        <v>22.884999999999998</v>
      </c>
      <c r="I543">
        <f t="shared" si="8"/>
        <v>22.884999999999998</v>
      </c>
    </row>
    <row r="544" spans="1:9" x14ac:dyDescent="0.25">
      <c r="A544" t="s">
        <v>1064</v>
      </c>
      <c r="B544">
        <v>44335</v>
      </c>
      <c r="C544" t="s">
        <v>1065</v>
      </c>
      <c r="D544" t="str">
        <f>INDEX('Customers (2)'!B:B,MATCH('Customers (2)'!A544,'Customers (2)'!A:A,0))</f>
        <v>Zack Pellett</v>
      </c>
      <c r="E544" t="s">
        <v>171</v>
      </c>
      <c r="F544">
        <v>4</v>
      </c>
      <c r="G544">
        <f>INDEX([1]products!$A$1:$G$49,MATCH([1]orders!$D544,[1]products!$A$1:$A$49,0),MATCH([1]orders!K$1,[1]products!$A$1:$G$1,0))</f>
        <v>2.5</v>
      </c>
      <c r="H544">
        <f>INDEX([1]products!$A$1:$G$49,MATCH([1]orders!$D544,[1]products!$A$1:$A$49,0),MATCH([1]orders!L$1,[1]products!$A$1:$G$1,0))</f>
        <v>25.874999999999996</v>
      </c>
      <c r="I544">
        <f t="shared" si="8"/>
        <v>103.49999999999999</v>
      </c>
    </row>
    <row r="545" spans="1:9" x14ac:dyDescent="0.25">
      <c r="A545" t="s">
        <v>1066</v>
      </c>
      <c r="B545">
        <v>44380</v>
      </c>
      <c r="C545" t="s">
        <v>1067</v>
      </c>
      <c r="D545" t="str">
        <f>INDEX('Customers (2)'!B:B,MATCH('Customers (2)'!A545,'Customers (2)'!A:A,0))</f>
        <v>Ilaire Sprakes</v>
      </c>
      <c r="E545" t="s">
        <v>10</v>
      </c>
      <c r="F545">
        <v>2</v>
      </c>
      <c r="G545">
        <f>INDEX([1]products!$A$1:$G$49,MATCH([1]orders!$D545,[1]products!$A$1:$A$49,0),MATCH([1]orders!K$1,[1]products!$A$1:$G$1,0))</f>
        <v>2.5</v>
      </c>
      <c r="H545">
        <f>INDEX([1]products!$A$1:$G$49,MATCH([1]orders!$D545,[1]products!$A$1:$A$49,0),MATCH([1]orders!L$1,[1]products!$A$1:$G$1,0))</f>
        <v>27.484999999999996</v>
      </c>
      <c r="I545">
        <f t="shared" si="8"/>
        <v>54.969999999999992</v>
      </c>
    </row>
    <row r="546" spans="1:9" x14ac:dyDescent="0.25">
      <c r="A546" t="s">
        <v>1068</v>
      </c>
      <c r="B546">
        <v>43869</v>
      </c>
      <c r="C546" t="s">
        <v>1069</v>
      </c>
      <c r="D546" t="str">
        <f>INDEX('Customers (2)'!B:B,MATCH('Customers (2)'!A546,'Customers (2)'!A:A,0))</f>
        <v>Heda Fromant</v>
      </c>
      <c r="E546" t="s">
        <v>192</v>
      </c>
      <c r="F546">
        <v>2</v>
      </c>
      <c r="G546">
        <f>INDEX([1]products!$A$1:$G$49,MATCH([1]orders!$D546,[1]products!$A$1:$A$49,0),MATCH([1]orders!K$1,[1]products!$A$1:$G$1,0))</f>
        <v>0.5</v>
      </c>
      <c r="H546">
        <f>INDEX([1]products!$A$1:$G$49,MATCH([1]orders!$D546,[1]products!$A$1:$A$49,0),MATCH([1]orders!L$1,[1]products!$A$1:$G$1,0))</f>
        <v>7.77</v>
      </c>
      <c r="I546">
        <f t="shared" si="8"/>
        <v>15.54</v>
      </c>
    </row>
    <row r="547" spans="1:9" x14ac:dyDescent="0.25">
      <c r="A547" t="s">
        <v>1070</v>
      </c>
      <c r="B547">
        <v>44120</v>
      </c>
      <c r="C547" t="s">
        <v>1071</v>
      </c>
      <c r="D547" t="str">
        <f>INDEX('Customers (2)'!B:B,MATCH('Customers (2)'!A547,'Customers (2)'!A:A,0))</f>
        <v>Rufus Flear</v>
      </c>
      <c r="E547" t="s">
        <v>38</v>
      </c>
      <c r="F547">
        <v>4</v>
      </c>
      <c r="G547">
        <f>INDEX([1]products!$A$1:$G$49,MATCH([1]orders!$D547,[1]products!$A$1:$A$49,0),MATCH([1]orders!K$1,[1]products!$A$1:$G$1,0))</f>
        <v>0.2</v>
      </c>
      <c r="H547">
        <f>INDEX([1]products!$A$1:$G$49,MATCH([1]orders!$D547,[1]products!$A$1:$A$49,0),MATCH([1]orders!L$1,[1]products!$A$1:$G$1,0))</f>
        <v>3.8849999999999998</v>
      </c>
      <c r="I547">
        <f t="shared" si="8"/>
        <v>15.54</v>
      </c>
    </row>
    <row r="548" spans="1:9" x14ac:dyDescent="0.25">
      <c r="A548" t="s">
        <v>1072</v>
      </c>
      <c r="B548">
        <v>44127</v>
      </c>
      <c r="C548" t="s">
        <v>1073</v>
      </c>
      <c r="D548" t="str">
        <f>INDEX('Customers (2)'!B:B,MATCH('Customers (2)'!A548,'Customers (2)'!A:A,0))</f>
        <v>Dom Milella</v>
      </c>
      <c r="E548" t="s">
        <v>530</v>
      </c>
      <c r="F548">
        <v>3</v>
      </c>
      <c r="G548">
        <f>INDEX([1]products!$A$1:$G$49,MATCH([1]orders!$D548,[1]products!$A$1:$A$49,0),MATCH([1]orders!K$1,[1]products!$A$1:$G$1,0))</f>
        <v>2.5</v>
      </c>
      <c r="H548">
        <f>INDEX([1]products!$A$1:$G$49,MATCH([1]orders!$D548,[1]products!$A$1:$A$49,0),MATCH([1]orders!L$1,[1]products!$A$1:$G$1,0))</f>
        <v>27.945</v>
      </c>
      <c r="I548">
        <f t="shared" si="8"/>
        <v>83.835000000000008</v>
      </c>
    </row>
    <row r="549" spans="1:9" x14ac:dyDescent="0.25">
      <c r="A549" t="s">
        <v>1074</v>
      </c>
      <c r="B549">
        <v>44265</v>
      </c>
      <c r="C549" t="s">
        <v>1075</v>
      </c>
      <c r="D549" t="str">
        <f>INDEX('Customers (2)'!B:B,MATCH('Customers (2)'!A549,'Customers (2)'!A:A,0))</f>
        <v>Almire MacAless</v>
      </c>
      <c r="E549" t="s">
        <v>182</v>
      </c>
      <c r="F549">
        <v>3</v>
      </c>
      <c r="G549">
        <f>INDEX([1]products!$A$1:$G$49,MATCH([1]orders!$D549,[1]products!$A$1:$A$49,0),MATCH([1]orders!K$1,[1]products!$A$1:$G$1,0))</f>
        <v>0.2</v>
      </c>
      <c r="H549">
        <f>INDEX([1]products!$A$1:$G$49,MATCH([1]orders!$D549,[1]products!$A$1:$A$49,0),MATCH([1]orders!L$1,[1]products!$A$1:$G$1,0))</f>
        <v>3.5849999999999995</v>
      </c>
      <c r="I549">
        <f t="shared" si="8"/>
        <v>10.754999999999999</v>
      </c>
    </row>
    <row r="550" spans="1:9" x14ac:dyDescent="0.25">
      <c r="A550" t="s">
        <v>1076</v>
      </c>
      <c r="B550">
        <v>44384</v>
      </c>
      <c r="C550" t="s">
        <v>1077</v>
      </c>
      <c r="D550" t="str">
        <f>INDEX('Customers (2)'!B:B,MATCH('Customers (2)'!A550,'Customers (2)'!A:A,0))</f>
        <v>Bette-ann Munden</v>
      </c>
      <c r="E550" t="s">
        <v>254</v>
      </c>
      <c r="F550">
        <v>3</v>
      </c>
      <c r="G550">
        <f>INDEX([1]products!$A$1:$G$49,MATCH([1]orders!$D550,[1]products!$A$1:$A$49,0),MATCH([1]orders!K$1,[1]products!$A$1:$G$1,0))</f>
        <v>0.2</v>
      </c>
      <c r="H550">
        <f>INDEX([1]products!$A$1:$G$49,MATCH([1]orders!$D550,[1]products!$A$1:$A$49,0),MATCH([1]orders!L$1,[1]products!$A$1:$G$1,0))</f>
        <v>4.4550000000000001</v>
      </c>
      <c r="I550">
        <f t="shared" si="8"/>
        <v>13.365</v>
      </c>
    </row>
    <row r="551" spans="1:9" x14ac:dyDescent="0.25">
      <c r="A551" t="s">
        <v>1078</v>
      </c>
      <c r="B551">
        <v>44232</v>
      </c>
      <c r="C551" t="s">
        <v>1075</v>
      </c>
      <c r="D551" t="str">
        <f>INDEX('Customers (2)'!B:B,MATCH('Customers (2)'!A551,'Customers (2)'!A:A,0))</f>
        <v>Wilek Lightollers</v>
      </c>
      <c r="E551" t="s">
        <v>254</v>
      </c>
      <c r="F551">
        <v>4</v>
      </c>
      <c r="G551">
        <f>INDEX([1]products!$A$1:$G$49,MATCH([1]orders!$D551,[1]products!$A$1:$A$49,0),MATCH([1]orders!K$1,[1]products!$A$1:$G$1,0))</f>
        <v>0.2</v>
      </c>
      <c r="H551">
        <f>INDEX([1]products!$A$1:$G$49,MATCH([1]orders!$D551,[1]products!$A$1:$A$49,0),MATCH([1]orders!L$1,[1]products!$A$1:$G$1,0))</f>
        <v>4.4550000000000001</v>
      </c>
      <c r="I551">
        <f t="shared" si="8"/>
        <v>17.82</v>
      </c>
    </row>
    <row r="552" spans="1:9" x14ac:dyDescent="0.25">
      <c r="A552" t="s">
        <v>1079</v>
      </c>
      <c r="B552">
        <v>44176</v>
      </c>
      <c r="C552" t="s">
        <v>1080</v>
      </c>
      <c r="D552" t="str">
        <f>INDEX('Customers (2)'!B:B,MATCH('Customers (2)'!A552,'Customers (2)'!A:A,0))</f>
        <v>Nick Brakespear</v>
      </c>
      <c r="E552" t="s">
        <v>38</v>
      </c>
      <c r="F552">
        <v>6</v>
      </c>
      <c r="G552">
        <f>INDEX([1]products!$A$1:$G$49,MATCH([1]orders!$D552,[1]products!$A$1:$A$49,0),MATCH([1]orders!K$1,[1]products!$A$1:$G$1,0))</f>
        <v>0.2</v>
      </c>
      <c r="H552">
        <f>INDEX([1]products!$A$1:$G$49,MATCH([1]orders!$D552,[1]products!$A$1:$A$49,0),MATCH([1]orders!L$1,[1]products!$A$1:$G$1,0))</f>
        <v>3.8849999999999998</v>
      </c>
      <c r="I552">
        <f t="shared" si="8"/>
        <v>23.31</v>
      </c>
    </row>
    <row r="553" spans="1:9" x14ac:dyDescent="0.25">
      <c r="A553" t="s">
        <v>1081</v>
      </c>
      <c r="B553">
        <v>44694</v>
      </c>
      <c r="C553" t="s">
        <v>1082</v>
      </c>
      <c r="D553" t="str">
        <f>INDEX('Customers (2)'!B:B,MATCH('Customers (2)'!A553,'Customers (2)'!A:A,0))</f>
        <v>Malynda Glawsop</v>
      </c>
      <c r="E553" t="s">
        <v>51</v>
      </c>
      <c r="F553">
        <v>2</v>
      </c>
      <c r="G553">
        <f>INDEX([1]products!$A$1:$G$49,MATCH([1]orders!$D553,[1]products!$A$1:$A$49,0),MATCH([1]orders!K$1,[1]products!$A$1:$G$1,0))</f>
        <v>0.2</v>
      </c>
      <c r="H553">
        <f>INDEX([1]products!$A$1:$G$49,MATCH([1]orders!$D553,[1]products!$A$1:$A$49,0),MATCH([1]orders!L$1,[1]products!$A$1:$G$1,0))</f>
        <v>3.645</v>
      </c>
      <c r="I553">
        <f t="shared" si="8"/>
        <v>7.29</v>
      </c>
    </row>
    <row r="554" spans="1:9" x14ac:dyDescent="0.25">
      <c r="A554" t="s">
        <v>1083</v>
      </c>
      <c r="B554">
        <v>43761</v>
      </c>
      <c r="C554" t="s">
        <v>1084</v>
      </c>
      <c r="D554" t="str">
        <f>INDEX('Customers (2)'!B:B,MATCH('Customers (2)'!A554,'Customers (2)'!A:A,0))</f>
        <v>Granville Alberts</v>
      </c>
      <c r="E554" t="s">
        <v>254</v>
      </c>
      <c r="F554">
        <v>4</v>
      </c>
      <c r="G554">
        <f>INDEX([1]products!$A$1:$G$49,MATCH([1]orders!$D554,[1]products!$A$1:$A$49,0),MATCH([1]orders!K$1,[1]products!$A$1:$G$1,0))</f>
        <v>0.2</v>
      </c>
      <c r="H554">
        <f>INDEX([1]products!$A$1:$G$49,MATCH([1]orders!$D554,[1]products!$A$1:$A$49,0),MATCH([1]orders!L$1,[1]products!$A$1:$G$1,0))</f>
        <v>4.4550000000000001</v>
      </c>
      <c r="I554">
        <f t="shared" si="8"/>
        <v>17.82</v>
      </c>
    </row>
    <row r="555" spans="1:9" x14ac:dyDescent="0.25">
      <c r="A555" t="s">
        <v>1085</v>
      </c>
      <c r="B555">
        <v>44085</v>
      </c>
      <c r="C555" t="s">
        <v>1086</v>
      </c>
      <c r="D555" t="str">
        <f>INDEX('Customers (2)'!B:B,MATCH('Customers (2)'!A555,'Customers (2)'!A:A,0))</f>
        <v>Vasily Polglase</v>
      </c>
      <c r="E555" t="s">
        <v>9</v>
      </c>
      <c r="F555">
        <v>5</v>
      </c>
      <c r="G555">
        <f>INDEX([1]products!$A$1:$G$49,MATCH([1]orders!$D555,[1]products!$A$1:$A$49,0),MATCH([1]orders!K$1,[1]products!$A$1:$G$1,0))</f>
        <v>1</v>
      </c>
      <c r="H555">
        <f>INDEX([1]products!$A$1:$G$49,MATCH([1]orders!$D555,[1]products!$A$1:$A$49,0),MATCH([1]orders!L$1,[1]products!$A$1:$G$1,0))</f>
        <v>13.75</v>
      </c>
      <c r="I555">
        <f t="shared" si="8"/>
        <v>68.75</v>
      </c>
    </row>
    <row r="556" spans="1:9" x14ac:dyDescent="0.25">
      <c r="A556" t="s">
        <v>1087</v>
      </c>
      <c r="B556">
        <v>43737</v>
      </c>
      <c r="C556" t="s">
        <v>1088</v>
      </c>
      <c r="D556" t="str">
        <f>INDEX('Customers (2)'!B:B,MATCH('Customers (2)'!A556,'Customers (2)'!A:A,0))</f>
        <v>Madelaine Sharples</v>
      </c>
      <c r="E556" t="s">
        <v>10</v>
      </c>
      <c r="F556">
        <v>2</v>
      </c>
      <c r="G556">
        <f>INDEX([1]products!$A$1:$G$49,MATCH([1]orders!$D556,[1]products!$A$1:$A$49,0),MATCH([1]orders!K$1,[1]products!$A$1:$G$1,0))</f>
        <v>2.5</v>
      </c>
      <c r="H556">
        <f>INDEX([1]products!$A$1:$G$49,MATCH([1]orders!$D556,[1]products!$A$1:$A$49,0),MATCH([1]orders!L$1,[1]products!$A$1:$G$1,0))</f>
        <v>27.484999999999996</v>
      </c>
      <c r="I556">
        <f t="shared" si="8"/>
        <v>54.969999999999992</v>
      </c>
    </row>
    <row r="557" spans="1:9" x14ac:dyDescent="0.25">
      <c r="A557" t="s">
        <v>1089</v>
      </c>
      <c r="B557">
        <v>44258</v>
      </c>
      <c r="C557" t="s">
        <v>1090</v>
      </c>
      <c r="D557" t="str">
        <f>INDEX('Customers (2)'!B:B,MATCH('Customers (2)'!A557,'Customers (2)'!A:A,0))</f>
        <v>Sigfrid Busch</v>
      </c>
      <c r="E557" t="s">
        <v>9</v>
      </c>
      <c r="F557">
        <v>6</v>
      </c>
      <c r="G557">
        <f>INDEX([1]products!$A$1:$G$49,MATCH([1]orders!$D557,[1]products!$A$1:$A$49,0),MATCH([1]orders!K$1,[1]products!$A$1:$G$1,0))</f>
        <v>1</v>
      </c>
      <c r="H557">
        <f>INDEX([1]products!$A$1:$G$49,MATCH([1]orders!$D557,[1]products!$A$1:$A$49,0),MATCH([1]orders!L$1,[1]products!$A$1:$G$1,0))</f>
        <v>13.75</v>
      </c>
      <c r="I557">
        <f t="shared" si="8"/>
        <v>82.5</v>
      </c>
    </row>
    <row r="558" spans="1:9" x14ac:dyDescent="0.25">
      <c r="A558" t="s">
        <v>1091</v>
      </c>
      <c r="B558">
        <v>44523</v>
      </c>
      <c r="C558" t="s">
        <v>1092</v>
      </c>
      <c r="D558" t="str">
        <f>INDEX('Customers (2)'!B:B,MATCH('Customers (2)'!A558,'Customers (2)'!A:A,0))</f>
        <v>Cissiee Raisbeck</v>
      </c>
      <c r="E558" t="s">
        <v>77</v>
      </c>
      <c r="F558">
        <v>2</v>
      </c>
      <c r="G558">
        <f>INDEX([1]products!$A$1:$G$49,MATCH([1]orders!$D558,[1]products!$A$1:$A$49,0),MATCH([1]orders!K$1,[1]products!$A$1:$G$1,0))</f>
        <v>0.2</v>
      </c>
      <c r="H558">
        <f>INDEX([1]products!$A$1:$G$49,MATCH([1]orders!$D558,[1]products!$A$1:$A$49,0),MATCH([1]orders!L$1,[1]products!$A$1:$G$1,0))</f>
        <v>4.3650000000000002</v>
      </c>
      <c r="I558">
        <f t="shared" si="8"/>
        <v>8.73</v>
      </c>
    </row>
    <row r="559" spans="1:9" x14ac:dyDescent="0.25">
      <c r="A559" t="s">
        <v>1093</v>
      </c>
      <c r="B559">
        <v>44506</v>
      </c>
      <c r="C559" t="s">
        <v>988</v>
      </c>
      <c r="D559" t="str">
        <f>INDEX('Customers (2)'!B:B,MATCH('Customers (2)'!A559,'Customers (2)'!A:A,0))</f>
        <v>Leslie Laughton</v>
      </c>
      <c r="E559" t="s">
        <v>137</v>
      </c>
      <c r="F559">
        <v>4</v>
      </c>
      <c r="G559">
        <f>INDEX([1]products!$A$1:$G$49,MATCH([1]orders!$D559,[1]products!$A$1:$A$49,0),MATCH([1]orders!K$1,[1]products!$A$1:$G$1,0))</f>
        <v>1</v>
      </c>
      <c r="H559">
        <f>INDEX([1]products!$A$1:$G$49,MATCH([1]orders!$D559,[1]products!$A$1:$A$49,0),MATCH([1]orders!L$1,[1]products!$A$1:$G$1,0))</f>
        <v>14.85</v>
      </c>
      <c r="I559">
        <f t="shared" si="8"/>
        <v>59.4</v>
      </c>
    </row>
    <row r="560" spans="1:9" x14ac:dyDescent="0.25">
      <c r="A560" t="s">
        <v>1094</v>
      </c>
      <c r="B560">
        <v>44225</v>
      </c>
      <c r="C560" t="s">
        <v>1095</v>
      </c>
      <c r="D560" t="str">
        <f>INDEX('Customers (2)'!B:B,MATCH('Customers (2)'!A560,'Customers (2)'!A:A,0))</f>
        <v>Kenton Wetherick</v>
      </c>
      <c r="E560" t="s">
        <v>38</v>
      </c>
      <c r="F560">
        <v>4</v>
      </c>
      <c r="G560">
        <f>INDEX([1]products!$A$1:$G$49,MATCH([1]orders!$D560,[1]products!$A$1:$A$49,0),MATCH([1]orders!K$1,[1]products!$A$1:$G$1,0))</f>
        <v>0.2</v>
      </c>
      <c r="H560">
        <f>INDEX([1]products!$A$1:$G$49,MATCH([1]orders!$D560,[1]products!$A$1:$A$49,0),MATCH([1]orders!L$1,[1]products!$A$1:$G$1,0))</f>
        <v>3.8849999999999998</v>
      </c>
      <c r="I560">
        <f t="shared" si="8"/>
        <v>15.54</v>
      </c>
    </row>
    <row r="561" spans="1:9" x14ac:dyDescent="0.25">
      <c r="A561" t="s">
        <v>1096</v>
      </c>
      <c r="B561">
        <v>44667</v>
      </c>
      <c r="C561" t="s">
        <v>1097</v>
      </c>
      <c r="D561" t="str">
        <f>INDEX('Customers (2)'!B:B,MATCH('Customers (2)'!A561,'Customers (2)'!A:A,0))</f>
        <v>Reamonn Aynold</v>
      </c>
      <c r="E561" t="s">
        <v>6</v>
      </c>
      <c r="F561">
        <v>3</v>
      </c>
      <c r="G561">
        <f>INDEX([1]products!$A$1:$G$49,MATCH([1]orders!$D561,[1]products!$A$1:$A$49,0),MATCH([1]orders!K$1,[1]products!$A$1:$G$1,0))</f>
        <v>1</v>
      </c>
      <c r="H561">
        <f>INDEX([1]products!$A$1:$G$49,MATCH([1]orders!$D561,[1]products!$A$1:$A$49,0),MATCH([1]orders!L$1,[1]products!$A$1:$G$1,0))</f>
        <v>12.95</v>
      </c>
      <c r="I561">
        <f t="shared" si="8"/>
        <v>38.849999999999994</v>
      </c>
    </row>
    <row r="562" spans="1:9" x14ac:dyDescent="0.25">
      <c r="A562" t="s">
        <v>1098</v>
      </c>
      <c r="B562">
        <v>44401</v>
      </c>
      <c r="C562" t="s">
        <v>1099</v>
      </c>
      <c r="D562" t="str">
        <f>INDEX('Customers (2)'!B:B,MATCH('Customers (2)'!A562,'Customers (2)'!A:A,0))</f>
        <v>Hatty Dovydenas</v>
      </c>
      <c r="E562" t="s">
        <v>112</v>
      </c>
      <c r="F562">
        <v>6</v>
      </c>
      <c r="G562">
        <f>INDEX([1]products!$A$1:$G$49,MATCH([1]orders!$D562,[1]products!$A$1:$A$49,0),MATCH([1]orders!K$1,[1]products!$A$1:$G$1,0))</f>
        <v>2.5</v>
      </c>
      <c r="H562">
        <f>INDEX([1]products!$A$1:$G$49,MATCH([1]orders!$D562,[1]products!$A$1:$A$49,0),MATCH([1]orders!L$1,[1]products!$A$1:$G$1,0))</f>
        <v>31.624999999999996</v>
      </c>
      <c r="I562">
        <f t="shared" si="8"/>
        <v>189.74999999999997</v>
      </c>
    </row>
    <row r="563" spans="1:9" x14ac:dyDescent="0.25">
      <c r="A563" t="s">
        <v>1100</v>
      </c>
      <c r="B563">
        <v>43688</v>
      </c>
      <c r="C563" t="s">
        <v>1101</v>
      </c>
      <c r="D563" t="str">
        <f>INDEX('Customers (2)'!B:B,MATCH('Customers (2)'!A563,'Customers (2)'!A:A,0))</f>
        <v>Nathaniel Bloxland</v>
      </c>
      <c r="E563" t="s">
        <v>54</v>
      </c>
      <c r="F563">
        <v>6</v>
      </c>
      <c r="G563">
        <f>INDEX([1]products!$A$1:$G$49,MATCH([1]orders!$D563,[1]products!$A$1:$A$49,0),MATCH([1]orders!K$1,[1]products!$A$1:$G$1,0))</f>
        <v>0.2</v>
      </c>
      <c r="H563">
        <f>INDEX([1]products!$A$1:$G$49,MATCH([1]orders!$D563,[1]products!$A$1:$A$49,0),MATCH([1]orders!L$1,[1]products!$A$1:$G$1,0))</f>
        <v>2.9849999999999999</v>
      </c>
      <c r="I563">
        <f t="shared" si="8"/>
        <v>17.91</v>
      </c>
    </row>
    <row r="564" spans="1:9" x14ac:dyDescent="0.25">
      <c r="A564" t="s">
        <v>1102</v>
      </c>
      <c r="B564">
        <v>43669</v>
      </c>
      <c r="C564" t="s">
        <v>1103</v>
      </c>
      <c r="D564" t="str">
        <f>INDEX('Customers (2)'!B:B,MATCH('Customers (2)'!A564,'Customers (2)'!A:A,0))</f>
        <v>Brendan Grece</v>
      </c>
      <c r="E564" t="s">
        <v>19</v>
      </c>
      <c r="F564">
        <v>6</v>
      </c>
      <c r="G564">
        <f>INDEX([1]products!$A$1:$G$49,MATCH([1]orders!$D564,[1]products!$A$1:$A$49,0),MATCH([1]orders!K$1,[1]products!$A$1:$G$1,0))</f>
        <v>0.2</v>
      </c>
      <c r="H564">
        <f>INDEX([1]products!$A$1:$G$49,MATCH([1]orders!$D564,[1]products!$A$1:$A$49,0),MATCH([1]orders!L$1,[1]products!$A$1:$G$1,0))</f>
        <v>4.7549999999999999</v>
      </c>
      <c r="I564">
        <f t="shared" si="8"/>
        <v>28.53</v>
      </c>
    </row>
    <row r="565" spans="1:9" x14ac:dyDescent="0.25">
      <c r="A565" t="s">
        <v>1104</v>
      </c>
      <c r="B565">
        <v>43991</v>
      </c>
      <c r="C565" t="s">
        <v>1105</v>
      </c>
      <c r="D565" t="str">
        <f>INDEX('Customers (2)'!B:B,MATCH('Customers (2)'!A565,'Customers (2)'!A:A,0))</f>
        <v>Steffie Maddrell</v>
      </c>
      <c r="E565" t="s">
        <v>9</v>
      </c>
      <c r="F565">
        <v>6</v>
      </c>
      <c r="G565">
        <f>INDEX([1]products!$A$1:$G$49,MATCH([1]orders!$D565,[1]products!$A$1:$A$49,0),MATCH([1]orders!K$1,[1]products!$A$1:$G$1,0))</f>
        <v>1</v>
      </c>
      <c r="H565">
        <f>INDEX([1]products!$A$1:$G$49,MATCH([1]orders!$D565,[1]products!$A$1:$A$49,0),MATCH([1]orders!L$1,[1]products!$A$1:$G$1,0))</f>
        <v>13.75</v>
      </c>
      <c r="I565">
        <f t="shared" si="8"/>
        <v>82.5</v>
      </c>
    </row>
    <row r="566" spans="1:9" x14ac:dyDescent="0.25">
      <c r="A566" t="s">
        <v>1106</v>
      </c>
      <c r="B566">
        <v>43883</v>
      </c>
      <c r="C566" t="s">
        <v>1107</v>
      </c>
      <c r="D566" t="str">
        <f>INDEX('Customers (2)'!B:B,MATCH('Customers (2)'!A566,'Customers (2)'!A:A,0))</f>
        <v>Abbe Thys</v>
      </c>
      <c r="E566" t="s">
        <v>157</v>
      </c>
      <c r="F566">
        <v>2</v>
      </c>
      <c r="G566">
        <f>INDEX([1]products!$A$1:$G$49,MATCH([1]orders!$D566,[1]products!$A$1:$A$49,0),MATCH([1]orders!K$1,[1]products!$A$1:$G$1,0))</f>
        <v>0.5</v>
      </c>
      <c r="H566">
        <f>INDEX([1]products!$A$1:$G$49,MATCH([1]orders!$D566,[1]products!$A$1:$A$49,0),MATCH([1]orders!L$1,[1]products!$A$1:$G$1,0))</f>
        <v>7.169999999999999</v>
      </c>
      <c r="I566">
        <f t="shared" si="8"/>
        <v>14.339999999999998</v>
      </c>
    </row>
    <row r="567" spans="1:9" x14ac:dyDescent="0.25">
      <c r="A567" t="s">
        <v>1108</v>
      </c>
      <c r="B567">
        <v>44031</v>
      </c>
      <c r="C567" t="s">
        <v>1109</v>
      </c>
      <c r="D567" t="str">
        <f>INDEX('Customers (2)'!B:B,MATCH('Customers (2)'!A567,'Customers (2)'!A:A,0))</f>
        <v>Jackquelin Chugg</v>
      </c>
      <c r="E567" t="s">
        <v>35</v>
      </c>
      <c r="F567">
        <v>4</v>
      </c>
      <c r="G567">
        <f>INDEX([1]products!$A$1:$G$49,MATCH([1]orders!$D567,[1]products!$A$1:$A$49,0),MATCH([1]orders!K$1,[1]products!$A$1:$G$1,0))</f>
        <v>2.5</v>
      </c>
      <c r="H567">
        <f>INDEX([1]products!$A$1:$G$49,MATCH([1]orders!$D567,[1]products!$A$1:$A$49,0),MATCH([1]orders!L$1,[1]products!$A$1:$G$1,0))</f>
        <v>20.584999999999997</v>
      </c>
      <c r="I567">
        <f t="shared" si="8"/>
        <v>82.339999999999989</v>
      </c>
    </row>
    <row r="568" spans="1:9" x14ac:dyDescent="0.25">
      <c r="A568" t="s">
        <v>1110</v>
      </c>
      <c r="B568">
        <v>44459</v>
      </c>
      <c r="C568" t="s">
        <v>1111</v>
      </c>
      <c r="D568" t="str">
        <f>INDEX('Customers (2)'!B:B,MATCH('Customers (2)'!A568,'Customers (2)'!A:A,0))</f>
        <v>Audra Kelston</v>
      </c>
      <c r="E568" t="s">
        <v>44</v>
      </c>
      <c r="F568">
        <v>6</v>
      </c>
      <c r="G568">
        <f>INDEX([1]products!$A$1:$G$49,MATCH([1]orders!$D568,[1]products!$A$1:$A$49,0),MATCH([1]orders!K$1,[1]products!$A$1:$G$1,0))</f>
        <v>0.2</v>
      </c>
      <c r="H568">
        <f>INDEX([1]products!$A$1:$G$49,MATCH([1]orders!$D568,[1]products!$A$1:$A$49,0),MATCH([1]orders!L$1,[1]products!$A$1:$G$1,0))</f>
        <v>3.375</v>
      </c>
      <c r="I568">
        <f t="shared" si="8"/>
        <v>20.25</v>
      </c>
    </row>
    <row r="569" spans="1:9" x14ac:dyDescent="0.25">
      <c r="A569" t="s">
        <v>1112</v>
      </c>
      <c r="B569">
        <v>44318</v>
      </c>
      <c r="C569" t="s">
        <v>1113</v>
      </c>
      <c r="D569" t="str">
        <f>INDEX('Customers (2)'!B:B,MATCH('Customers (2)'!A569,'Customers (2)'!A:A,0))</f>
        <v>Elvina Angel</v>
      </c>
      <c r="E569" t="s">
        <v>10</v>
      </c>
      <c r="F569">
        <v>6</v>
      </c>
      <c r="G569">
        <f>INDEX([1]products!$A$1:$G$49,MATCH([1]orders!$D569,[1]products!$A$1:$A$49,0),MATCH([1]orders!K$1,[1]products!$A$1:$G$1,0))</f>
        <v>2.5</v>
      </c>
      <c r="H569">
        <f>INDEX([1]products!$A$1:$G$49,MATCH([1]orders!$D569,[1]products!$A$1:$A$49,0),MATCH([1]orders!L$1,[1]products!$A$1:$G$1,0))</f>
        <v>27.484999999999996</v>
      </c>
      <c r="I569">
        <f t="shared" si="8"/>
        <v>164.90999999999997</v>
      </c>
    </row>
    <row r="570" spans="1:9" x14ac:dyDescent="0.25">
      <c r="A570" t="s">
        <v>1114</v>
      </c>
      <c r="B570">
        <v>44526</v>
      </c>
      <c r="C570" t="s">
        <v>1115</v>
      </c>
      <c r="D570" t="str">
        <f>INDEX('Customers (2)'!B:B,MATCH('Customers (2)'!A570,'Customers (2)'!A:A,0))</f>
        <v>Claiborne Mottram</v>
      </c>
      <c r="E570" t="s">
        <v>19</v>
      </c>
      <c r="F570">
        <v>4</v>
      </c>
      <c r="G570">
        <f>INDEX([1]products!$A$1:$G$49,MATCH([1]orders!$D570,[1]products!$A$1:$A$49,0),MATCH([1]orders!K$1,[1]products!$A$1:$G$1,0))</f>
        <v>0.2</v>
      </c>
      <c r="H570">
        <f>INDEX([1]products!$A$1:$G$49,MATCH([1]orders!$D570,[1]products!$A$1:$A$49,0),MATCH([1]orders!L$1,[1]products!$A$1:$G$1,0))</f>
        <v>4.7549999999999999</v>
      </c>
      <c r="I570">
        <f t="shared" si="8"/>
        <v>19.02</v>
      </c>
    </row>
    <row r="571" spans="1:9" x14ac:dyDescent="0.25">
      <c r="A571" t="s">
        <v>1116</v>
      </c>
      <c r="B571">
        <v>43879</v>
      </c>
      <c r="C571" t="s">
        <v>1105</v>
      </c>
      <c r="D571" t="str">
        <f>INDEX('Customers (2)'!B:B,MATCH('Customers (2)'!A571,'Customers (2)'!A:A,0))</f>
        <v>Dilly Marrison</v>
      </c>
      <c r="E571" t="s">
        <v>118</v>
      </c>
      <c r="F571">
        <v>6</v>
      </c>
      <c r="G571">
        <f>INDEX([1]products!$A$1:$G$49,MATCH([1]orders!$D571,[1]products!$A$1:$A$49,0),MATCH([1]orders!K$1,[1]products!$A$1:$G$1,0))</f>
        <v>2.5</v>
      </c>
      <c r="H571">
        <f>INDEX([1]products!$A$1:$G$49,MATCH([1]orders!$D571,[1]products!$A$1:$A$49,0),MATCH([1]orders!L$1,[1]products!$A$1:$G$1,0))</f>
        <v>22.884999999999998</v>
      </c>
      <c r="I571">
        <f t="shared" si="8"/>
        <v>137.31</v>
      </c>
    </row>
    <row r="572" spans="1:9" x14ac:dyDescent="0.25">
      <c r="A572" t="s">
        <v>1117</v>
      </c>
      <c r="B572">
        <v>43928</v>
      </c>
      <c r="C572" t="s">
        <v>1118</v>
      </c>
      <c r="D572" t="str">
        <f>INDEX('Customers (2)'!B:B,MATCH('Customers (2)'!A572,'Customers (2)'!A:A,0))</f>
        <v>Donalt Sangwin</v>
      </c>
      <c r="E572" t="s">
        <v>67</v>
      </c>
      <c r="F572">
        <v>4</v>
      </c>
      <c r="G572">
        <f>INDEX([1]products!$A$1:$G$49,MATCH([1]orders!$D572,[1]products!$A$1:$A$49,0),MATCH([1]orders!K$1,[1]products!$A$1:$G$1,0))</f>
        <v>0.5</v>
      </c>
      <c r="H572">
        <f>INDEX([1]products!$A$1:$G$49,MATCH([1]orders!$D572,[1]products!$A$1:$A$49,0),MATCH([1]orders!L$1,[1]products!$A$1:$G$1,0))</f>
        <v>6.75</v>
      </c>
      <c r="I572">
        <f t="shared" si="8"/>
        <v>27</v>
      </c>
    </row>
    <row r="573" spans="1:9" x14ac:dyDescent="0.25">
      <c r="A573" t="s">
        <v>1119</v>
      </c>
      <c r="B573">
        <v>44592</v>
      </c>
      <c r="C573" t="s">
        <v>1120</v>
      </c>
      <c r="D573" t="str">
        <f>INDEX('Customers (2)'!B:B,MATCH('Customers (2)'!A573,'Customers (2)'!A:A,0))</f>
        <v>Elizabet Aizikowitz</v>
      </c>
      <c r="E573" t="s">
        <v>176</v>
      </c>
      <c r="F573">
        <v>4</v>
      </c>
      <c r="G573">
        <f>INDEX([1]products!$A$1:$G$49,MATCH([1]orders!$D573,[1]products!$A$1:$A$49,0),MATCH([1]orders!K$1,[1]products!$A$1:$G$1,0))</f>
        <v>0.5</v>
      </c>
      <c r="H573">
        <f>INDEX([1]products!$A$1:$G$49,MATCH([1]orders!$D573,[1]products!$A$1:$A$49,0),MATCH([1]orders!L$1,[1]products!$A$1:$G$1,0))</f>
        <v>8.91</v>
      </c>
      <c r="I573">
        <f t="shared" si="8"/>
        <v>35.64</v>
      </c>
    </row>
    <row r="574" spans="1:9" x14ac:dyDescent="0.25">
      <c r="A574" t="s">
        <v>1121</v>
      </c>
      <c r="B574">
        <v>43515</v>
      </c>
      <c r="C574" t="s">
        <v>1122</v>
      </c>
      <c r="D574" t="str">
        <f>INDEX('Customers (2)'!B:B,MATCH('Customers (2)'!A574,'Customers (2)'!A:A,0))</f>
        <v>Herbie Peppard</v>
      </c>
      <c r="E574" t="s">
        <v>54</v>
      </c>
      <c r="F574">
        <v>2</v>
      </c>
      <c r="G574">
        <f>INDEX([1]products!$A$1:$G$49,MATCH([1]orders!$D574,[1]products!$A$1:$A$49,0),MATCH([1]orders!K$1,[1]products!$A$1:$G$1,0))</f>
        <v>0.2</v>
      </c>
      <c r="H574">
        <f>INDEX([1]products!$A$1:$G$49,MATCH([1]orders!$D574,[1]products!$A$1:$A$49,0),MATCH([1]orders!L$1,[1]products!$A$1:$G$1,0))</f>
        <v>2.9849999999999999</v>
      </c>
      <c r="I574">
        <f t="shared" si="8"/>
        <v>5.97</v>
      </c>
    </row>
    <row r="575" spans="1:9" x14ac:dyDescent="0.25">
      <c r="A575" t="s">
        <v>1123</v>
      </c>
      <c r="B575">
        <v>43781</v>
      </c>
      <c r="C575" t="s">
        <v>1124</v>
      </c>
      <c r="D575" t="str">
        <f>INDEX('Customers (2)'!B:B,MATCH('Customers (2)'!A575,'Customers (2)'!A:A,0))</f>
        <v>Cornie Venour</v>
      </c>
      <c r="E575" t="s">
        <v>61</v>
      </c>
      <c r="F575">
        <v>6</v>
      </c>
      <c r="G575">
        <f>INDEX([1]products!$A$1:$G$49,MATCH([1]orders!$D575,[1]products!$A$1:$A$49,0),MATCH([1]orders!K$1,[1]products!$A$1:$G$1,0))</f>
        <v>1</v>
      </c>
      <c r="H575">
        <f>INDEX([1]products!$A$1:$G$49,MATCH([1]orders!$D575,[1]products!$A$1:$A$49,0),MATCH([1]orders!L$1,[1]products!$A$1:$G$1,0))</f>
        <v>11.25</v>
      </c>
      <c r="I575">
        <f t="shared" si="8"/>
        <v>67.5</v>
      </c>
    </row>
    <row r="576" spans="1:9" x14ac:dyDescent="0.25">
      <c r="A576" t="s">
        <v>1125</v>
      </c>
      <c r="B576">
        <v>44697</v>
      </c>
      <c r="C576" t="s">
        <v>1126</v>
      </c>
      <c r="D576" t="str">
        <f>INDEX('Customers (2)'!B:B,MATCH('Customers (2)'!A576,'Customers (2)'!A:A,0))</f>
        <v>Maggy Harby</v>
      </c>
      <c r="E576" t="s">
        <v>182</v>
      </c>
      <c r="F576">
        <v>6</v>
      </c>
      <c r="G576">
        <f>INDEX([1]products!$A$1:$G$49,MATCH([1]orders!$D576,[1]products!$A$1:$A$49,0),MATCH([1]orders!K$1,[1]products!$A$1:$G$1,0))</f>
        <v>0.2</v>
      </c>
      <c r="H576">
        <f>INDEX([1]products!$A$1:$G$49,MATCH([1]orders!$D576,[1]products!$A$1:$A$49,0),MATCH([1]orders!L$1,[1]products!$A$1:$G$1,0))</f>
        <v>3.5849999999999995</v>
      </c>
      <c r="I576">
        <f t="shared" si="8"/>
        <v>21.509999999999998</v>
      </c>
    </row>
    <row r="577" spans="1:9" x14ac:dyDescent="0.25">
      <c r="A577" t="s">
        <v>1127</v>
      </c>
      <c r="B577">
        <v>44239</v>
      </c>
      <c r="C577" t="s">
        <v>1128</v>
      </c>
      <c r="D577" t="str">
        <f>INDEX('Customers (2)'!B:B,MATCH('Customers (2)'!A577,'Customers (2)'!A:A,0))</f>
        <v>Reggie Thickpenny</v>
      </c>
      <c r="E577" t="s">
        <v>197</v>
      </c>
      <c r="F577">
        <v>2</v>
      </c>
      <c r="G577">
        <f>INDEX([1]products!$A$1:$G$49,MATCH([1]orders!$D577,[1]products!$A$1:$A$49,0),MATCH([1]orders!K$1,[1]products!$A$1:$G$1,0))</f>
        <v>2.5</v>
      </c>
      <c r="H577">
        <f>INDEX([1]products!$A$1:$G$49,MATCH([1]orders!$D577,[1]products!$A$1:$A$49,0),MATCH([1]orders!L$1,[1]products!$A$1:$G$1,0))</f>
        <v>33.464999999999996</v>
      </c>
      <c r="I577">
        <f t="shared" si="8"/>
        <v>66.929999999999993</v>
      </c>
    </row>
    <row r="578" spans="1:9" x14ac:dyDescent="0.25">
      <c r="A578" t="s">
        <v>1129</v>
      </c>
      <c r="B578">
        <v>44290</v>
      </c>
      <c r="C578" t="s">
        <v>1130</v>
      </c>
      <c r="D578" t="str">
        <f>INDEX('Customers (2)'!B:B,MATCH('Customers (2)'!A578,'Customers (2)'!A:A,0))</f>
        <v>Phyllys Ormerod</v>
      </c>
      <c r="E578" t="s">
        <v>54</v>
      </c>
      <c r="F578">
        <v>6</v>
      </c>
      <c r="G578">
        <f>INDEX([1]products!$A$1:$G$49,MATCH([1]orders!$D578,[1]products!$A$1:$A$49,0),MATCH([1]orders!K$1,[1]products!$A$1:$G$1,0))</f>
        <v>0.2</v>
      </c>
      <c r="H578">
        <f>INDEX([1]products!$A$1:$G$49,MATCH([1]orders!$D578,[1]products!$A$1:$A$49,0),MATCH([1]orders!L$1,[1]products!$A$1:$G$1,0))</f>
        <v>2.9849999999999999</v>
      </c>
      <c r="I578">
        <f t="shared" ref="I578:I641" si="9">F578*H578</f>
        <v>17.91</v>
      </c>
    </row>
    <row r="579" spans="1:9" x14ac:dyDescent="0.25">
      <c r="A579" t="s">
        <v>1131</v>
      </c>
      <c r="B579">
        <v>44410</v>
      </c>
      <c r="C579" t="s">
        <v>1105</v>
      </c>
      <c r="D579" t="str">
        <f>INDEX('Customers (2)'!B:B,MATCH('Customers (2)'!A579,'Customers (2)'!A:A,0))</f>
        <v>Don Flintiff</v>
      </c>
      <c r="E579" t="s">
        <v>96</v>
      </c>
      <c r="F579">
        <v>4</v>
      </c>
      <c r="G579">
        <f>INDEX([1]products!$A$1:$G$49,MATCH([1]orders!$D579,[1]products!$A$1:$A$49,0),MATCH([1]orders!K$1,[1]products!$A$1:$G$1,0))</f>
        <v>1</v>
      </c>
      <c r="H579">
        <f>INDEX([1]products!$A$1:$G$49,MATCH([1]orders!$D579,[1]products!$A$1:$A$49,0),MATCH([1]orders!L$1,[1]products!$A$1:$G$1,0))</f>
        <v>14.55</v>
      </c>
      <c r="I579">
        <f t="shared" si="9"/>
        <v>58.2</v>
      </c>
    </row>
    <row r="580" spans="1:9" x14ac:dyDescent="0.25">
      <c r="A580" t="s">
        <v>1132</v>
      </c>
      <c r="B580">
        <v>44720</v>
      </c>
      <c r="C580" t="s">
        <v>1133</v>
      </c>
      <c r="D580" t="str">
        <f>INDEX('Customers (2)'!B:B,MATCH('Customers (2)'!A580,'Customers (2)'!A:A,0))</f>
        <v>Tymon Zanetti</v>
      </c>
      <c r="E580" t="s">
        <v>254</v>
      </c>
      <c r="F580">
        <v>3</v>
      </c>
      <c r="G580">
        <f>INDEX([1]products!$A$1:$G$49,MATCH([1]orders!$D580,[1]products!$A$1:$A$49,0),MATCH([1]orders!K$1,[1]products!$A$1:$G$1,0))</f>
        <v>0.2</v>
      </c>
      <c r="H580">
        <f>INDEX([1]products!$A$1:$G$49,MATCH([1]orders!$D580,[1]products!$A$1:$A$49,0),MATCH([1]orders!L$1,[1]products!$A$1:$G$1,0))</f>
        <v>4.4550000000000001</v>
      </c>
      <c r="I580">
        <f t="shared" si="9"/>
        <v>13.365</v>
      </c>
    </row>
    <row r="581" spans="1:9" x14ac:dyDescent="0.25">
      <c r="A581" t="s">
        <v>1132</v>
      </c>
      <c r="B581">
        <v>44720</v>
      </c>
      <c r="C581" t="s">
        <v>1133</v>
      </c>
      <c r="D581" t="str">
        <f>INDEX('Customers (2)'!B:B,MATCH('Customers (2)'!A581,'Customers (2)'!A:A,0))</f>
        <v>Bili Follet</v>
      </c>
      <c r="E581" t="s">
        <v>67</v>
      </c>
      <c r="F581">
        <v>5</v>
      </c>
      <c r="G581">
        <f>INDEX([1]products!$A$1:$G$49,MATCH([1]orders!$D581,[1]products!$A$1:$A$49,0),MATCH([1]orders!K$1,[1]products!$A$1:$G$1,0))</f>
        <v>0.5</v>
      </c>
      <c r="H581">
        <f>INDEX([1]products!$A$1:$G$49,MATCH([1]orders!$D581,[1]products!$A$1:$A$49,0),MATCH([1]orders!L$1,[1]products!$A$1:$G$1,0))</f>
        <v>6.75</v>
      </c>
      <c r="I581">
        <f t="shared" si="9"/>
        <v>33.75</v>
      </c>
    </row>
    <row r="582" spans="1:9" x14ac:dyDescent="0.25">
      <c r="A582" t="s">
        <v>1134</v>
      </c>
      <c r="B582">
        <v>43965</v>
      </c>
      <c r="C582" t="s">
        <v>1135</v>
      </c>
      <c r="D582" t="str">
        <f>INDEX('Customers (2)'!B:B,MATCH('Customers (2)'!A582,'Customers (2)'!A:A,0))</f>
        <v>Reinaldos Kirtley</v>
      </c>
      <c r="E582" t="s">
        <v>137</v>
      </c>
      <c r="F582">
        <v>3</v>
      </c>
      <c r="G582">
        <f>INDEX([1]products!$A$1:$G$49,MATCH([1]orders!$D582,[1]products!$A$1:$A$49,0),MATCH([1]orders!K$1,[1]products!$A$1:$G$1,0))</f>
        <v>1</v>
      </c>
      <c r="H582">
        <f>INDEX([1]products!$A$1:$G$49,MATCH([1]orders!$D582,[1]products!$A$1:$A$49,0),MATCH([1]orders!L$1,[1]products!$A$1:$G$1,0))</f>
        <v>14.85</v>
      </c>
      <c r="I582">
        <f t="shared" si="9"/>
        <v>44.55</v>
      </c>
    </row>
    <row r="583" spans="1:9" x14ac:dyDescent="0.25">
      <c r="A583" t="s">
        <v>1136</v>
      </c>
      <c r="B583">
        <v>44190</v>
      </c>
      <c r="C583" t="s">
        <v>1137</v>
      </c>
      <c r="D583" t="str">
        <f>INDEX('Customers (2)'!B:B,MATCH('Customers (2)'!A583,'Customers (2)'!A:A,0))</f>
        <v>Carney Clemencet</v>
      </c>
      <c r="E583" t="s">
        <v>176</v>
      </c>
      <c r="F583">
        <v>5</v>
      </c>
      <c r="G583">
        <f>INDEX([1]products!$A$1:$G$49,MATCH([1]orders!$D583,[1]products!$A$1:$A$49,0),MATCH([1]orders!K$1,[1]products!$A$1:$G$1,0))</f>
        <v>0.5</v>
      </c>
      <c r="H583">
        <f>INDEX([1]products!$A$1:$G$49,MATCH([1]orders!$D583,[1]products!$A$1:$A$49,0),MATCH([1]orders!L$1,[1]products!$A$1:$G$1,0))</f>
        <v>8.91</v>
      </c>
      <c r="I583">
        <f t="shared" si="9"/>
        <v>44.55</v>
      </c>
    </row>
    <row r="584" spans="1:9" x14ac:dyDescent="0.25">
      <c r="A584" t="s">
        <v>1138</v>
      </c>
      <c r="B584">
        <v>44382</v>
      </c>
      <c r="C584" t="s">
        <v>1139</v>
      </c>
      <c r="D584" t="str">
        <f>INDEX('Customers (2)'!B:B,MATCH('Customers (2)'!A584,'Customers (2)'!A:A,0))</f>
        <v>Russell Donet</v>
      </c>
      <c r="E584" t="s">
        <v>245</v>
      </c>
      <c r="F584">
        <v>5</v>
      </c>
      <c r="G584">
        <f>INDEX([1]products!$A$1:$G$49,MATCH([1]orders!$D584,[1]products!$A$1:$A$49,0),MATCH([1]orders!K$1,[1]products!$A$1:$G$1,0))</f>
        <v>1</v>
      </c>
      <c r="H584">
        <f>INDEX([1]products!$A$1:$G$49,MATCH([1]orders!$D584,[1]products!$A$1:$A$49,0),MATCH([1]orders!L$1,[1]products!$A$1:$G$1,0))</f>
        <v>12.15</v>
      </c>
      <c r="I584">
        <f t="shared" si="9"/>
        <v>60.75</v>
      </c>
    </row>
    <row r="585" spans="1:9" x14ac:dyDescent="0.25">
      <c r="A585" t="s">
        <v>1140</v>
      </c>
      <c r="B585">
        <v>43538</v>
      </c>
      <c r="C585" t="s">
        <v>1141</v>
      </c>
      <c r="D585" t="str">
        <f>INDEX('Customers (2)'!B:B,MATCH('Customers (2)'!A585,'Customers (2)'!A:A,0))</f>
        <v>Sidney Gawen</v>
      </c>
      <c r="E585" t="s">
        <v>182</v>
      </c>
      <c r="F585">
        <v>1</v>
      </c>
      <c r="G585">
        <f>INDEX([1]products!$A$1:$G$49,MATCH([1]orders!$D585,[1]products!$A$1:$A$49,0),MATCH([1]orders!K$1,[1]products!$A$1:$G$1,0))</f>
        <v>0.2</v>
      </c>
      <c r="H585">
        <f>INDEX([1]products!$A$1:$G$49,MATCH([1]orders!$D585,[1]products!$A$1:$A$49,0),MATCH([1]orders!L$1,[1]products!$A$1:$G$1,0))</f>
        <v>3.5849999999999995</v>
      </c>
      <c r="I585">
        <f t="shared" si="9"/>
        <v>3.5849999999999995</v>
      </c>
    </row>
    <row r="586" spans="1:9" x14ac:dyDescent="0.25">
      <c r="A586" t="s">
        <v>1142</v>
      </c>
      <c r="B586">
        <v>44262</v>
      </c>
      <c r="C586" t="s">
        <v>1143</v>
      </c>
      <c r="D586" t="str">
        <f>INDEX('Customers (2)'!B:B,MATCH('Customers (2)'!A586,'Customers (2)'!A:A,0))</f>
        <v>Rickey Readie</v>
      </c>
      <c r="E586" t="s">
        <v>182</v>
      </c>
      <c r="F586">
        <v>6</v>
      </c>
      <c r="G586">
        <f>INDEX([1]products!$A$1:$G$49,MATCH([1]orders!$D586,[1]products!$A$1:$A$49,0),MATCH([1]orders!K$1,[1]products!$A$1:$G$1,0))</f>
        <v>0.2</v>
      </c>
      <c r="H586">
        <f>INDEX([1]products!$A$1:$G$49,MATCH([1]orders!$D586,[1]products!$A$1:$A$49,0),MATCH([1]orders!L$1,[1]products!$A$1:$G$1,0))</f>
        <v>3.5849999999999995</v>
      </c>
      <c r="I586">
        <f t="shared" si="9"/>
        <v>21.509999999999998</v>
      </c>
    </row>
    <row r="587" spans="1:9" x14ac:dyDescent="0.25">
      <c r="A587" t="s">
        <v>1144</v>
      </c>
      <c r="B587">
        <v>44505</v>
      </c>
      <c r="C587" t="s">
        <v>1145</v>
      </c>
      <c r="D587" t="str">
        <f>INDEX('Customers (2)'!B:B,MATCH('Customers (2)'!A587,'Customers (2)'!A:A,0))</f>
        <v>Conchita Dietzler</v>
      </c>
      <c r="E587" t="s">
        <v>3</v>
      </c>
      <c r="F587">
        <v>2</v>
      </c>
      <c r="G587">
        <f>INDEX([1]products!$A$1:$G$49,MATCH([1]orders!$D587,[1]products!$A$1:$A$49,0),MATCH([1]orders!K$1,[1]products!$A$1:$G$1,0))</f>
        <v>0.5</v>
      </c>
      <c r="H587">
        <f>INDEX([1]products!$A$1:$G$49,MATCH([1]orders!$D587,[1]products!$A$1:$A$49,0),MATCH([1]orders!L$1,[1]products!$A$1:$G$1,0))</f>
        <v>8.25</v>
      </c>
      <c r="I587">
        <f t="shared" si="9"/>
        <v>16.5</v>
      </c>
    </row>
    <row r="588" spans="1:9" x14ac:dyDescent="0.25">
      <c r="A588" t="s">
        <v>1146</v>
      </c>
      <c r="B588">
        <v>43867</v>
      </c>
      <c r="C588" t="s">
        <v>1147</v>
      </c>
      <c r="D588" t="str">
        <f>INDEX('Customers (2)'!B:B,MATCH('Customers (2)'!A588,'Customers (2)'!A:A,0))</f>
        <v>Zilvia Claisse</v>
      </c>
      <c r="E588" t="s">
        <v>10</v>
      </c>
      <c r="F588">
        <v>3</v>
      </c>
      <c r="G588">
        <f>INDEX([1]products!$A$1:$G$49,MATCH([1]orders!$D588,[1]products!$A$1:$A$49,0),MATCH([1]orders!K$1,[1]products!$A$1:$G$1,0))</f>
        <v>2.5</v>
      </c>
      <c r="H588">
        <f>INDEX([1]products!$A$1:$G$49,MATCH([1]orders!$D588,[1]products!$A$1:$A$49,0),MATCH([1]orders!L$1,[1]products!$A$1:$G$1,0))</f>
        <v>27.484999999999996</v>
      </c>
      <c r="I588">
        <f t="shared" si="9"/>
        <v>82.454999999999984</v>
      </c>
    </row>
    <row r="589" spans="1:9" x14ac:dyDescent="0.25">
      <c r="A589" t="s">
        <v>1148</v>
      </c>
      <c r="B589">
        <v>44267</v>
      </c>
      <c r="C589" t="s">
        <v>1149</v>
      </c>
      <c r="D589" t="str">
        <f>INDEX('Customers (2)'!B:B,MATCH('Customers (2)'!A589,'Customers (2)'!A:A,0))</f>
        <v>Bar O' Mahony</v>
      </c>
      <c r="E589" t="s">
        <v>123</v>
      </c>
      <c r="F589">
        <v>1</v>
      </c>
      <c r="G589">
        <f>INDEX([1]products!$A$1:$G$49,MATCH([1]orders!$D589,[1]products!$A$1:$A$49,0),MATCH([1]orders!K$1,[1]products!$A$1:$G$1,0))</f>
        <v>0.5</v>
      </c>
      <c r="H589">
        <f>INDEX([1]products!$A$1:$G$49,MATCH([1]orders!$D589,[1]products!$A$1:$A$49,0),MATCH([1]orders!L$1,[1]products!$A$1:$G$1,0))</f>
        <v>7.77</v>
      </c>
      <c r="I589">
        <f t="shared" si="9"/>
        <v>7.77</v>
      </c>
    </row>
    <row r="590" spans="1:9" x14ac:dyDescent="0.25">
      <c r="A590" t="s">
        <v>1150</v>
      </c>
      <c r="B590">
        <v>44046</v>
      </c>
      <c r="C590" t="s">
        <v>1151</v>
      </c>
      <c r="D590" t="str">
        <f>INDEX('Customers (2)'!B:B,MATCH('Customers (2)'!A590,'Customers (2)'!A:A,0))</f>
        <v>Valenka Stansbury</v>
      </c>
      <c r="E590" t="s">
        <v>22</v>
      </c>
      <c r="F590">
        <v>2</v>
      </c>
      <c r="G590">
        <f>INDEX([1]products!$A$1:$G$49,MATCH([1]orders!$D590,[1]products!$A$1:$A$49,0),MATCH([1]orders!K$1,[1]products!$A$1:$G$1,0))</f>
        <v>0.5</v>
      </c>
      <c r="H590">
        <f>INDEX([1]products!$A$1:$G$49,MATCH([1]orders!$D590,[1]products!$A$1:$A$49,0),MATCH([1]orders!L$1,[1]products!$A$1:$G$1,0))</f>
        <v>5.97</v>
      </c>
      <c r="I590">
        <f t="shared" si="9"/>
        <v>11.94</v>
      </c>
    </row>
    <row r="591" spans="1:9" x14ac:dyDescent="0.25">
      <c r="A591" t="s">
        <v>1152</v>
      </c>
      <c r="B591">
        <v>43671</v>
      </c>
      <c r="C591" t="s">
        <v>1153</v>
      </c>
      <c r="D591" t="str">
        <f>INDEX('Customers (2)'!B:B,MATCH('Customers (2)'!A591,'Customers (2)'!A:A,0))</f>
        <v>Daniel Heinonen</v>
      </c>
      <c r="E591" t="s">
        <v>30</v>
      </c>
      <c r="F591">
        <v>6</v>
      </c>
      <c r="G591">
        <f>INDEX([1]products!$A$1:$G$49,MATCH([1]orders!$D591,[1]products!$A$1:$A$49,0),MATCH([1]orders!K$1,[1]products!$A$1:$G$1,0))</f>
        <v>2.5</v>
      </c>
      <c r="H591">
        <f>INDEX([1]products!$A$1:$G$49,MATCH([1]orders!$D591,[1]products!$A$1:$A$49,0),MATCH([1]orders!L$1,[1]products!$A$1:$G$1,0))</f>
        <v>34.154999999999994</v>
      </c>
      <c r="I591">
        <f t="shared" si="9"/>
        <v>204.92999999999995</v>
      </c>
    </row>
    <row r="592" spans="1:9" x14ac:dyDescent="0.25">
      <c r="A592" t="s">
        <v>1154</v>
      </c>
      <c r="B592">
        <v>43950</v>
      </c>
      <c r="C592" t="s">
        <v>1155</v>
      </c>
      <c r="D592" t="str">
        <f>INDEX('Customers (2)'!B:B,MATCH('Customers (2)'!A592,'Customers (2)'!A:A,0))</f>
        <v>Jewelle Shenton</v>
      </c>
      <c r="E592" t="s">
        <v>112</v>
      </c>
      <c r="F592">
        <v>2</v>
      </c>
      <c r="G592">
        <f>INDEX([1]products!$A$1:$G$49,MATCH([1]orders!$D592,[1]products!$A$1:$A$49,0),MATCH([1]orders!K$1,[1]products!$A$1:$G$1,0))</f>
        <v>2.5</v>
      </c>
      <c r="H592">
        <f>INDEX([1]products!$A$1:$G$49,MATCH([1]orders!$D592,[1]products!$A$1:$A$49,0),MATCH([1]orders!L$1,[1]products!$A$1:$G$1,0))</f>
        <v>31.624999999999996</v>
      </c>
      <c r="I592">
        <f t="shared" si="9"/>
        <v>63.249999999999993</v>
      </c>
    </row>
    <row r="593" spans="1:9" x14ac:dyDescent="0.25">
      <c r="A593" t="s">
        <v>1156</v>
      </c>
      <c r="B593">
        <v>43587</v>
      </c>
      <c r="C593" t="s">
        <v>1157</v>
      </c>
      <c r="D593" t="str">
        <f>INDEX('Customers (2)'!B:B,MATCH('Customers (2)'!A593,'Customers (2)'!A:A,0))</f>
        <v>Jennifer Wilkisson</v>
      </c>
      <c r="E593" t="s">
        <v>101</v>
      </c>
      <c r="F593">
        <v>3</v>
      </c>
      <c r="G593">
        <f>INDEX([1]products!$A$1:$G$49,MATCH([1]orders!$D593,[1]products!$A$1:$A$49,0),MATCH([1]orders!K$1,[1]products!$A$1:$G$1,0))</f>
        <v>0.2</v>
      </c>
      <c r="H593">
        <f>INDEX([1]products!$A$1:$G$49,MATCH([1]orders!$D593,[1]products!$A$1:$A$49,0),MATCH([1]orders!L$1,[1]products!$A$1:$G$1,0))</f>
        <v>2.6849999999999996</v>
      </c>
      <c r="I593">
        <f t="shared" si="9"/>
        <v>8.0549999999999997</v>
      </c>
    </row>
    <row r="594" spans="1:9" x14ac:dyDescent="0.25">
      <c r="A594" t="s">
        <v>1158</v>
      </c>
      <c r="B594">
        <v>44437</v>
      </c>
      <c r="C594" t="s">
        <v>1159</v>
      </c>
      <c r="D594" t="str">
        <f>INDEX('Customers (2)'!B:B,MATCH('Customers (2)'!A594,'Customers (2)'!A:A,0))</f>
        <v>Kylie Mowat</v>
      </c>
      <c r="E594" t="s">
        <v>171</v>
      </c>
      <c r="F594">
        <v>2</v>
      </c>
      <c r="G594">
        <f>INDEX([1]products!$A$1:$G$49,MATCH([1]orders!$D594,[1]products!$A$1:$A$49,0),MATCH([1]orders!K$1,[1]products!$A$1:$G$1,0))</f>
        <v>2.5</v>
      </c>
      <c r="H594">
        <f>INDEX([1]products!$A$1:$G$49,MATCH([1]orders!$D594,[1]products!$A$1:$A$49,0),MATCH([1]orders!L$1,[1]products!$A$1:$G$1,0))</f>
        <v>25.874999999999996</v>
      </c>
      <c r="I594">
        <f t="shared" si="9"/>
        <v>51.749999999999993</v>
      </c>
    </row>
    <row r="595" spans="1:9" x14ac:dyDescent="0.25">
      <c r="A595" t="s">
        <v>1160</v>
      </c>
      <c r="B595">
        <v>43903</v>
      </c>
      <c r="C595" t="s">
        <v>1145</v>
      </c>
      <c r="D595" t="str">
        <f>INDEX('Customers (2)'!B:B,MATCH('Customers (2)'!A595,'Customers (2)'!A:A,0))</f>
        <v>Cody Verissimo</v>
      </c>
      <c r="E595" t="s">
        <v>530</v>
      </c>
      <c r="F595">
        <v>1</v>
      </c>
      <c r="G595">
        <f>INDEX([1]products!$A$1:$G$49,MATCH([1]orders!$D595,[1]products!$A$1:$A$49,0),MATCH([1]orders!K$1,[1]products!$A$1:$G$1,0))</f>
        <v>2.5</v>
      </c>
      <c r="H595">
        <f>INDEX([1]products!$A$1:$G$49,MATCH([1]orders!$D595,[1]products!$A$1:$A$49,0),MATCH([1]orders!L$1,[1]products!$A$1:$G$1,0))</f>
        <v>27.945</v>
      </c>
      <c r="I595">
        <f t="shared" si="9"/>
        <v>27.945</v>
      </c>
    </row>
    <row r="596" spans="1:9" x14ac:dyDescent="0.25">
      <c r="A596" t="s">
        <v>1161</v>
      </c>
      <c r="B596">
        <v>43512</v>
      </c>
      <c r="C596" t="s">
        <v>1162</v>
      </c>
      <c r="D596" t="str">
        <f>INDEX('Customers (2)'!B:B,MATCH('Customers (2)'!A596,'Customers (2)'!A:A,0))</f>
        <v>Gabriel Starcks</v>
      </c>
      <c r="E596" t="s">
        <v>204</v>
      </c>
      <c r="F596">
        <v>2</v>
      </c>
      <c r="G596">
        <f>INDEX([1]products!$A$1:$G$49,MATCH([1]orders!$D596,[1]products!$A$1:$A$49,0),MATCH([1]orders!K$1,[1]products!$A$1:$G$1,0))</f>
        <v>2.5</v>
      </c>
      <c r="H596">
        <f>INDEX([1]products!$A$1:$G$49,MATCH([1]orders!$D596,[1]products!$A$1:$A$49,0),MATCH([1]orders!L$1,[1]products!$A$1:$G$1,0))</f>
        <v>29.784999999999997</v>
      </c>
      <c r="I596">
        <f t="shared" si="9"/>
        <v>59.569999999999993</v>
      </c>
    </row>
    <row r="597" spans="1:9" x14ac:dyDescent="0.25">
      <c r="A597" t="s">
        <v>1163</v>
      </c>
      <c r="B597">
        <v>44527</v>
      </c>
      <c r="C597" t="s">
        <v>1164</v>
      </c>
      <c r="D597" t="str">
        <f>INDEX('Customers (2)'!B:B,MATCH('Customers (2)'!A597,'Customers (2)'!A:A,0))</f>
        <v>Darby Dummer</v>
      </c>
      <c r="E597" t="s">
        <v>137</v>
      </c>
      <c r="F597">
        <v>1</v>
      </c>
      <c r="G597">
        <f>INDEX([1]products!$A$1:$G$49,MATCH([1]orders!$D597,[1]products!$A$1:$A$49,0),MATCH([1]orders!K$1,[1]products!$A$1:$G$1,0))</f>
        <v>1</v>
      </c>
      <c r="H597">
        <f>INDEX([1]products!$A$1:$G$49,MATCH([1]orders!$D597,[1]products!$A$1:$A$49,0),MATCH([1]orders!L$1,[1]products!$A$1:$G$1,0))</f>
        <v>14.85</v>
      </c>
      <c r="I597">
        <f t="shared" si="9"/>
        <v>14.85</v>
      </c>
    </row>
    <row r="598" spans="1:9" x14ac:dyDescent="0.25">
      <c r="A598" t="s">
        <v>1165</v>
      </c>
      <c r="B598">
        <v>44523</v>
      </c>
      <c r="C598" t="s">
        <v>1166</v>
      </c>
      <c r="D598" t="str">
        <f>INDEX('Customers (2)'!B:B,MATCH('Customers (2)'!A598,'Customers (2)'!A:A,0))</f>
        <v>Kienan Scholard</v>
      </c>
      <c r="E598" t="s">
        <v>67</v>
      </c>
      <c r="F598">
        <v>5</v>
      </c>
      <c r="G598">
        <f>INDEX([1]products!$A$1:$G$49,MATCH([1]orders!$D598,[1]products!$A$1:$A$49,0),MATCH([1]orders!K$1,[1]products!$A$1:$G$1,0))</f>
        <v>0.5</v>
      </c>
      <c r="H598">
        <f>INDEX([1]products!$A$1:$G$49,MATCH([1]orders!$D598,[1]products!$A$1:$A$49,0),MATCH([1]orders!L$1,[1]products!$A$1:$G$1,0))</f>
        <v>6.75</v>
      </c>
      <c r="I598">
        <f t="shared" si="9"/>
        <v>33.75</v>
      </c>
    </row>
    <row r="599" spans="1:9" x14ac:dyDescent="0.25">
      <c r="A599" t="s">
        <v>1167</v>
      </c>
      <c r="B599">
        <v>44532</v>
      </c>
      <c r="C599" t="s">
        <v>1168</v>
      </c>
      <c r="D599" t="str">
        <f>INDEX('Customers (2)'!B:B,MATCH('Customers (2)'!A599,'Customers (2)'!A:A,0))</f>
        <v>Bo Kindley</v>
      </c>
      <c r="E599" t="s">
        <v>104</v>
      </c>
      <c r="F599">
        <v>4</v>
      </c>
      <c r="G599">
        <f>INDEX([1]products!$A$1:$G$49,MATCH([1]orders!$D599,[1]products!$A$1:$A$49,0),MATCH([1]orders!K$1,[1]products!$A$1:$G$1,0))</f>
        <v>2.5</v>
      </c>
      <c r="H599">
        <f>INDEX([1]products!$A$1:$G$49,MATCH([1]orders!$D599,[1]products!$A$1:$A$49,0),MATCH([1]orders!L$1,[1]products!$A$1:$G$1,0))</f>
        <v>36.454999999999998</v>
      </c>
      <c r="I599">
        <f t="shared" si="9"/>
        <v>145.82</v>
      </c>
    </row>
    <row r="600" spans="1:9" x14ac:dyDescent="0.25">
      <c r="A600" t="s">
        <v>1169</v>
      </c>
      <c r="B600">
        <v>43471</v>
      </c>
      <c r="C600" t="s">
        <v>1170</v>
      </c>
      <c r="D600" t="str">
        <f>INDEX('Customers (2)'!B:B,MATCH('Customers (2)'!A600,'Customers (2)'!A:A,0))</f>
        <v>Krissie Hammett</v>
      </c>
      <c r="E600" t="s">
        <v>162</v>
      </c>
      <c r="F600">
        <v>4</v>
      </c>
      <c r="G600">
        <f>INDEX([1]products!$A$1:$G$49,MATCH([1]orders!$D600,[1]products!$A$1:$A$49,0),MATCH([1]orders!K$1,[1]products!$A$1:$G$1,0))</f>
        <v>0.2</v>
      </c>
      <c r="H600">
        <f>INDEX([1]products!$A$1:$G$49,MATCH([1]orders!$D600,[1]products!$A$1:$A$49,0),MATCH([1]orders!L$1,[1]products!$A$1:$G$1,0))</f>
        <v>2.9849999999999999</v>
      </c>
      <c r="I600">
        <f t="shared" si="9"/>
        <v>11.94</v>
      </c>
    </row>
    <row r="601" spans="1:9" x14ac:dyDescent="0.25">
      <c r="A601" t="s">
        <v>1171</v>
      </c>
      <c r="B601">
        <v>44321</v>
      </c>
      <c r="C601" t="s">
        <v>1172</v>
      </c>
      <c r="D601" t="str">
        <f>INDEX('Customers (2)'!B:B,MATCH('Customers (2)'!A601,'Customers (2)'!A:A,0))</f>
        <v>Alisha Hulburt</v>
      </c>
      <c r="E601" t="s">
        <v>54</v>
      </c>
      <c r="F601">
        <v>4</v>
      </c>
      <c r="G601">
        <f>INDEX([1]products!$A$1:$G$49,MATCH([1]orders!$D601,[1]products!$A$1:$A$49,0),MATCH([1]orders!K$1,[1]products!$A$1:$G$1,0))</f>
        <v>0.2</v>
      </c>
      <c r="H601">
        <f>INDEX([1]products!$A$1:$G$49,MATCH([1]orders!$D601,[1]products!$A$1:$A$49,0),MATCH([1]orders!L$1,[1]products!$A$1:$G$1,0))</f>
        <v>2.9849999999999999</v>
      </c>
      <c r="I601">
        <f t="shared" si="9"/>
        <v>11.94</v>
      </c>
    </row>
    <row r="602" spans="1:9" x14ac:dyDescent="0.25">
      <c r="A602" t="s">
        <v>1173</v>
      </c>
      <c r="B602">
        <v>44492</v>
      </c>
      <c r="C602" t="s">
        <v>1174</v>
      </c>
      <c r="D602" t="str">
        <f>INDEX('Customers (2)'!B:B,MATCH('Customers (2)'!A602,'Customers (2)'!A:A,0))</f>
        <v>Peyter Lauritzen</v>
      </c>
      <c r="E602" t="s">
        <v>123</v>
      </c>
      <c r="F602">
        <v>1</v>
      </c>
      <c r="G602">
        <f>INDEX([1]products!$A$1:$G$49,MATCH([1]orders!$D602,[1]products!$A$1:$A$49,0),MATCH([1]orders!K$1,[1]products!$A$1:$G$1,0))</f>
        <v>0.5</v>
      </c>
      <c r="H602">
        <f>INDEX([1]products!$A$1:$G$49,MATCH([1]orders!$D602,[1]products!$A$1:$A$49,0),MATCH([1]orders!L$1,[1]products!$A$1:$G$1,0))</f>
        <v>7.77</v>
      </c>
      <c r="I602">
        <f t="shared" si="9"/>
        <v>7.77</v>
      </c>
    </row>
    <row r="603" spans="1:9" x14ac:dyDescent="0.25">
      <c r="A603" t="s">
        <v>1175</v>
      </c>
      <c r="B603">
        <v>43815</v>
      </c>
      <c r="C603" t="s">
        <v>1176</v>
      </c>
      <c r="D603" t="str">
        <f>INDEX('Customers (2)'!B:B,MATCH('Customers (2)'!A603,'Customers (2)'!A:A,0))</f>
        <v>Aurelia Burgwin</v>
      </c>
      <c r="E603" t="s">
        <v>10</v>
      </c>
      <c r="F603">
        <v>4</v>
      </c>
      <c r="G603">
        <f>INDEX([1]products!$A$1:$G$49,MATCH([1]orders!$D603,[1]products!$A$1:$A$49,0),MATCH([1]orders!K$1,[1]products!$A$1:$G$1,0))</f>
        <v>2.5</v>
      </c>
      <c r="H603">
        <f>INDEX([1]products!$A$1:$G$49,MATCH([1]orders!$D603,[1]products!$A$1:$A$49,0),MATCH([1]orders!L$1,[1]products!$A$1:$G$1,0))</f>
        <v>27.484999999999996</v>
      </c>
      <c r="I603">
        <f t="shared" si="9"/>
        <v>109.93999999999998</v>
      </c>
    </row>
    <row r="604" spans="1:9" x14ac:dyDescent="0.25">
      <c r="A604" t="s">
        <v>1177</v>
      </c>
      <c r="B604">
        <v>43603</v>
      </c>
      <c r="C604" t="s">
        <v>1178</v>
      </c>
      <c r="D604" t="str">
        <f>INDEX('Customers (2)'!B:B,MATCH('Customers (2)'!A604,'Customers (2)'!A:A,0))</f>
        <v>Emalee Rolin</v>
      </c>
      <c r="E604" t="s">
        <v>254</v>
      </c>
      <c r="F604">
        <v>5</v>
      </c>
      <c r="G604">
        <f>INDEX([1]products!$A$1:$G$49,MATCH([1]orders!$D604,[1]products!$A$1:$A$49,0),MATCH([1]orders!K$1,[1]products!$A$1:$G$1,0))</f>
        <v>0.2</v>
      </c>
      <c r="H604">
        <f>INDEX([1]products!$A$1:$G$49,MATCH([1]orders!$D604,[1]products!$A$1:$A$49,0),MATCH([1]orders!L$1,[1]products!$A$1:$G$1,0))</f>
        <v>4.4550000000000001</v>
      </c>
      <c r="I604">
        <f t="shared" si="9"/>
        <v>22.274999999999999</v>
      </c>
    </row>
    <row r="605" spans="1:9" x14ac:dyDescent="0.25">
      <c r="A605" t="s">
        <v>1179</v>
      </c>
      <c r="B605">
        <v>43660</v>
      </c>
      <c r="C605" t="s">
        <v>1180</v>
      </c>
      <c r="D605" t="str">
        <f>INDEX('Customers (2)'!B:B,MATCH('Customers (2)'!A605,'Customers (2)'!A:A,0))</f>
        <v>Donavon Fowle</v>
      </c>
      <c r="E605" t="s">
        <v>162</v>
      </c>
      <c r="F605">
        <v>3</v>
      </c>
      <c r="G605">
        <f>INDEX([1]products!$A$1:$G$49,MATCH([1]orders!$D605,[1]products!$A$1:$A$49,0),MATCH([1]orders!K$1,[1]products!$A$1:$G$1,0))</f>
        <v>0.2</v>
      </c>
      <c r="H605">
        <f>INDEX([1]products!$A$1:$G$49,MATCH([1]orders!$D605,[1]products!$A$1:$A$49,0),MATCH([1]orders!L$1,[1]products!$A$1:$G$1,0))</f>
        <v>2.9849999999999999</v>
      </c>
      <c r="I605">
        <f t="shared" si="9"/>
        <v>8.9550000000000001</v>
      </c>
    </row>
    <row r="606" spans="1:9" x14ac:dyDescent="0.25">
      <c r="A606" t="s">
        <v>1181</v>
      </c>
      <c r="B606">
        <v>44148</v>
      </c>
      <c r="C606" t="s">
        <v>1182</v>
      </c>
      <c r="D606" t="str">
        <f>INDEX('Customers (2)'!B:B,MATCH('Customers (2)'!A606,'Customers (2)'!A:A,0))</f>
        <v>Jorge Bettison</v>
      </c>
      <c r="E606" t="s">
        <v>109</v>
      </c>
      <c r="F606">
        <v>4</v>
      </c>
      <c r="G606">
        <f>INDEX([1]products!$A$1:$G$49,MATCH([1]orders!$D606,[1]products!$A$1:$A$49,0),MATCH([1]orders!K$1,[1]products!$A$1:$G$1,0))</f>
        <v>2.5</v>
      </c>
      <c r="H606">
        <f>INDEX([1]products!$A$1:$G$49,MATCH([1]orders!$D606,[1]products!$A$1:$A$49,0),MATCH([1]orders!L$1,[1]products!$A$1:$G$1,0))</f>
        <v>29.784999999999997</v>
      </c>
      <c r="I606">
        <f t="shared" si="9"/>
        <v>119.13999999999999</v>
      </c>
    </row>
    <row r="607" spans="1:9" x14ac:dyDescent="0.25">
      <c r="A607" t="s">
        <v>1183</v>
      </c>
      <c r="B607">
        <v>44028</v>
      </c>
      <c r="C607" t="s">
        <v>1184</v>
      </c>
      <c r="D607" t="str">
        <f>INDEX('Customers (2)'!B:B,MATCH('Customers (2)'!A607,'Customers (2)'!A:A,0))</f>
        <v>Wang Powlesland</v>
      </c>
      <c r="E607" t="s">
        <v>204</v>
      </c>
      <c r="F607">
        <v>5</v>
      </c>
      <c r="G607">
        <f>INDEX([1]products!$A$1:$G$49,MATCH([1]orders!$D607,[1]products!$A$1:$A$49,0),MATCH([1]orders!K$1,[1]products!$A$1:$G$1,0))</f>
        <v>2.5</v>
      </c>
      <c r="H607">
        <f>INDEX([1]products!$A$1:$G$49,MATCH([1]orders!$D607,[1]products!$A$1:$A$49,0),MATCH([1]orders!L$1,[1]products!$A$1:$G$1,0))</f>
        <v>29.784999999999997</v>
      </c>
      <c r="I607">
        <f t="shared" si="9"/>
        <v>148.92499999999998</v>
      </c>
    </row>
    <row r="608" spans="1:9" x14ac:dyDescent="0.25">
      <c r="A608" t="s">
        <v>1185</v>
      </c>
      <c r="B608">
        <v>44138</v>
      </c>
      <c r="C608" t="s">
        <v>1145</v>
      </c>
      <c r="D608" t="str">
        <f>INDEX('Customers (2)'!B:B,MATCH('Customers (2)'!A608,'Customers (2)'!A:A,0))</f>
        <v>Brendin Peattie</v>
      </c>
      <c r="E608" t="s">
        <v>104</v>
      </c>
      <c r="F608">
        <v>3</v>
      </c>
      <c r="G608">
        <f>INDEX([1]products!$A$1:$G$49,MATCH([1]orders!$D608,[1]products!$A$1:$A$49,0),MATCH([1]orders!K$1,[1]products!$A$1:$G$1,0))</f>
        <v>2.5</v>
      </c>
      <c r="H608">
        <f>INDEX([1]products!$A$1:$G$49,MATCH([1]orders!$D608,[1]products!$A$1:$A$49,0),MATCH([1]orders!L$1,[1]products!$A$1:$G$1,0))</f>
        <v>36.454999999999998</v>
      </c>
      <c r="I608">
        <f t="shared" si="9"/>
        <v>109.36499999999999</v>
      </c>
    </row>
    <row r="609" spans="1:9" x14ac:dyDescent="0.25">
      <c r="A609" t="s">
        <v>1186</v>
      </c>
      <c r="B609">
        <v>44640</v>
      </c>
      <c r="C609" t="s">
        <v>1187</v>
      </c>
      <c r="D609" t="str">
        <f>INDEX('Customers (2)'!B:B,MATCH('Customers (2)'!A609,'Customers (2)'!A:A,0))</f>
        <v>Laurence Ellingham</v>
      </c>
      <c r="E609" t="s">
        <v>51</v>
      </c>
      <c r="F609">
        <v>1</v>
      </c>
      <c r="G609">
        <f>INDEX([1]products!$A$1:$G$49,MATCH([1]orders!$D609,[1]products!$A$1:$A$49,0),MATCH([1]orders!K$1,[1]products!$A$1:$G$1,0))</f>
        <v>0.2</v>
      </c>
      <c r="H609">
        <f>INDEX([1]products!$A$1:$G$49,MATCH([1]orders!$D609,[1]products!$A$1:$A$49,0),MATCH([1]orders!L$1,[1]products!$A$1:$G$1,0))</f>
        <v>3.645</v>
      </c>
      <c r="I609">
        <f t="shared" si="9"/>
        <v>3.645</v>
      </c>
    </row>
    <row r="610" spans="1:9" x14ac:dyDescent="0.25">
      <c r="A610" t="s">
        <v>1188</v>
      </c>
      <c r="B610">
        <v>44608</v>
      </c>
      <c r="C610" t="s">
        <v>1189</v>
      </c>
      <c r="D610" t="str">
        <f>INDEX('Customers (2)'!B:B,MATCH('Customers (2)'!A610,'Customers (2)'!A:A,0))</f>
        <v>Billy Neiland</v>
      </c>
      <c r="E610" t="s">
        <v>530</v>
      </c>
      <c r="F610">
        <v>2</v>
      </c>
      <c r="G610">
        <f>INDEX([1]products!$A$1:$G$49,MATCH([1]orders!$D610,[1]products!$A$1:$A$49,0),MATCH([1]orders!K$1,[1]products!$A$1:$G$1,0))</f>
        <v>2.5</v>
      </c>
      <c r="H610">
        <f>INDEX([1]products!$A$1:$G$49,MATCH([1]orders!$D610,[1]products!$A$1:$A$49,0),MATCH([1]orders!L$1,[1]products!$A$1:$G$1,0))</f>
        <v>27.945</v>
      </c>
      <c r="I610">
        <f t="shared" si="9"/>
        <v>55.89</v>
      </c>
    </row>
    <row r="611" spans="1:9" x14ac:dyDescent="0.25">
      <c r="A611" t="s">
        <v>1190</v>
      </c>
      <c r="B611">
        <v>44147</v>
      </c>
      <c r="C611" t="s">
        <v>1191</v>
      </c>
      <c r="D611" t="str">
        <f>INDEX('Customers (2)'!B:B,MATCH('Customers (2)'!A611,'Customers (2)'!A:A,0))</f>
        <v>Ancell Fendt</v>
      </c>
      <c r="E611" t="s">
        <v>77</v>
      </c>
      <c r="F611">
        <v>6</v>
      </c>
      <c r="G611">
        <f>INDEX([1]products!$A$1:$G$49,MATCH([1]orders!$D611,[1]products!$A$1:$A$49,0),MATCH([1]orders!K$1,[1]products!$A$1:$G$1,0))</f>
        <v>0.2</v>
      </c>
      <c r="H611">
        <f>INDEX([1]products!$A$1:$G$49,MATCH([1]orders!$D611,[1]products!$A$1:$A$49,0),MATCH([1]orders!L$1,[1]products!$A$1:$G$1,0))</f>
        <v>4.3650000000000002</v>
      </c>
      <c r="I611">
        <f t="shared" si="9"/>
        <v>26.19</v>
      </c>
    </row>
    <row r="612" spans="1:9" x14ac:dyDescent="0.25">
      <c r="A612" t="s">
        <v>1192</v>
      </c>
      <c r="B612">
        <v>43743</v>
      </c>
      <c r="C612" t="s">
        <v>1193</v>
      </c>
      <c r="D612" t="str">
        <f>INDEX('Customers (2)'!B:B,MATCH('Customers (2)'!A612,'Customers (2)'!A:A,0))</f>
        <v>Angelia Cleyburn</v>
      </c>
      <c r="E612" t="s">
        <v>2</v>
      </c>
      <c r="F612">
        <v>4</v>
      </c>
      <c r="G612">
        <f>INDEX([1]products!$A$1:$G$49,MATCH([1]orders!$D612,[1]products!$A$1:$A$49,0),MATCH([1]orders!K$1,[1]products!$A$1:$G$1,0))</f>
        <v>1</v>
      </c>
      <c r="H612">
        <f>INDEX([1]products!$A$1:$G$49,MATCH([1]orders!$D612,[1]products!$A$1:$A$49,0),MATCH([1]orders!L$1,[1]products!$A$1:$G$1,0))</f>
        <v>9.9499999999999993</v>
      </c>
      <c r="I612">
        <f t="shared" si="9"/>
        <v>39.799999999999997</v>
      </c>
    </row>
    <row r="613" spans="1:9" x14ac:dyDescent="0.25">
      <c r="A613" t="s">
        <v>1194</v>
      </c>
      <c r="B613">
        <v>43739</v>
      </c>
      <c r="C613" t="s">
        <v>1195</v>
      </c>
      <c r="D613" t="str">
        <f>INDEX('Customers (2)'!B:B,MATCH('Customers (2)'!A613,'Customers (2)'!A:A,0))</f>
        <v>Temple Castiglione</v>
      </c>
      <c r="E613" t="s">
        <v>30</v>
      </c>
      <c r="F613">
        <v>2</v>
      </c>
      <c r="G613">
        <f>INDEX([1]products!$A$1:$G$49,MATCH([1]orders!$D613,[1]products!$A$1:$A$49,0),MATCH([1]orders!K$1,[1]products!$A$1:$G$1,0))</f>
        <v>2.5</v>
      </c>
      <c r="H613">
        <f>INDEX([1]products!$A$1:$G$49,MATCH([1]orders!$D613,[1]products!$A$1:$A$49,0),MATCH([1]orders!L$1,[1]products!$A$1:$G$1,0))</f>
        <v>34.154999999999994</v>
      </c>
      <c r="I613">
        <f t="shared" si="9"/>
        <v>68.309999999999988</v>
      </c>
    </row>
    <row r="614" spans="1:9" x14ac:dyDescent="0.25">
      <c r="A614" t="s">
        <v>1196</v>
      </c>
      <c r="B614">
        <v>43896</v>
      </c>
      <c r="C614" t="s">
        <v>1197</v>
      </c>
      <c r="D614" t="str">
        <f>INDEX('Customers (2)'!B:B,MATCH('Customers (2)'!A614,'Customers (2)'!A:A,0))</f>
        <v>Betti Lacasa</v>
      </c>
      <c r="E614" t="s">
        <v>44</v>
      </c>
      <c r="F614">
        <v>4</v>
      </c>
      <c r="G614">
        <f>INDEX([1]products!$A$1:$G$49,MATCH([1]orders!$D614,[1]products!$A$1:$A$49,0),MATCH([1]orders!K$1,[1]products!$A$1:$G$1,0))</f>
        <v>0.2</v>
      </c>
      <c r="H614">
        <f>INDEX([1]products!$A$1:$G$49,MATCH([1]orders!$D614,[1]products!$A$1:$A$49,0),MATCH([1]orders!L$1,[1]products!$A$1:$G$1,0))</f>
        <v>3.375</v>
      </c>
      <c r="I614">
        <f t="shared" si="9"/>
        <v>13.5</v>
      </c>
    </row>
    <row r="615" spans="1:9" x14ac:dyDescent="0.25">
      <c r="A615" t="s">
        <v>1198</v>
      </c>
      <c r="B615">
        <v>43761</v>
      </c>
      <c r="C615" t="s">
        <v>1199</v>
      </c>
      <c r="D615" t="str">
        <f>INDEX('Customers (2)'!B:B,MATCH('Customers (2)'!A615,'Customers (2)'!A:A,0))</f>
        <v>Gunilla Lynch</v>
      </c>
      <c r="E615" t="s">
        <v>22</v>
      </c>
      <c r="F615">
        <v>1</v>
      </c>
      <c r="G615">
        <f>INDEX([1]products!$A$1:$G$49,MATCH([1]orders!$D615,[1]products!$A$1:$A$49,0),MATCH([1]orders!K$1,[1]products!$A$1:$G$1,0))</f>
        <v>0.5</v>
      </c>
      <c r="H615">
        <f>INDEX([1]products!$A$1:$G$49,MATCH([1]orders!$D615,[1]products!$A$1:$A$49,0),MATCH([1]orders!L$1,[1]products!$A$1:$G$1,0))</f>
        <v>5.97</v>
      </c>
      <c r="I615">
        <f t="shared" si="9"/>
        <v>5.97</v>
      </c>
    </row>
    <row r="616" spans="1:9" x14ac:dyDescent="0.25">
      <c r="A616" t="s">
        <v>1200</v>
      </c>
      <c r="B616">
        <v>43944</v>
      </c>
      <c r="C616" t="s">
        <v>1145</v>
      </c>
      <c r="D616" t="str">
        <f>INDEX('Customers (2)'!B:B,MATCH('Customers (2)'!A616,'Customers (2)'!A:A,0))</f>
        <v>Vita Pummery</v>
      </c>
      <c r="E616" t="s">
        <v>22</v>
      </c>
      <c r="F616">
        <v>5</v>
      </c>
      <c r="G616">
        <f>INDEX([1]products!$A$1:$G$49,MATCH([1]orders!$D616,[1]products!$A$1:$A$49,0),MATCH([1]orders!K$1,[1]products!$A$1:$G$1,0))</f>
        <v>0.5</v>
      </c>
      <c r="H616">
        <f>INDEX([1]products!$A$1:$G$49,MATCH([1]orders!$D616,[1]products!$A$1:$A$49,0),MATCH([1]orders!L$1,[1]products!$A$1:$G$1,0))</f>
        <v>5.97</v>
      </c>
      <c r="I616">
        <f t="shared" si="9"/>
        <v>29.849999999999998</v>
      </c>
    </row>
    <row r="617" spans="1:9" x14ac:dyDescent="0.25">
      <c r="A617" t="s">
        <v>1201</v>
      </c>
      <c r="B617">
        <v>44006</v>
      </c>
      <c r="C617" t="s">
        <v>1202</v>
      </c>
      <c r="D617" t="str">
        <f>INDEX('Customers (2)'!B:B,MATCH('Customers (2)'!A617,'Customers (2)'!A:A,0))</f>
        <v>Shay Couronne</v>
      </c>
      <c r="E617" t="s">
        <v>104</v>
      </c>
      <c r="F617">
        <v>2</v>
      </c>
      <c r="G617">
        <f>INDEX([1]products!$A$1:$G$49,MATCH([1]orders!$D617,[1]products!$A$1:$A$49,0),MATCH([1]orders!K$1,[1]products!$A$1:$G$1,0))</f>
        <v>2.5</v>
      </c>
      <c r="H617">
        <f>INDEX([1]products!$A$1:$G$49,MATCH([1]orders!$D617,[1]products!$A$1:$A$49,0),MATCH([1]orders!L$1,[1]products!$A$1:$G$1,0))</f>
        <v>36.454999999999998</v>
      </c>
      <c r="I617">
        <f t="shared" si="9"/>
        <v>72.91</v>
      </c>
    </row>
    <row r="618" spans="1:9" x14ac:dyDescent="0.25">
      <c r="A618" t="s">
        <v>1203</v>
      </c>
      <c r="B618">
        <v>44271</v>
      </c>
      <c r="C618" t="s">
        <v>1204</v>
      </c>
      <c r="D618" t="str">
        <f>INDEX('Customers (2)'!B:B,MATCH('Customers (2)'!A618,'Customers (2)'!A:A,0))</f>
        <v>Linus Flippelli</v>
      </c>
      <c r="E618" t="s">
        <v>112</v>
      </c>
      <c r="F618">
        <v>4</v>
      </c>
      <c r="G618">
        <f>INDEX([1]products!$A$1:$G$49,MATCH([1]orders!$D618,[1]products!$A$1:$A$49,0),MATCH([1]orders!K$1,[1]products!$A$1:$G$1,0))</f>
        <v>2.5</v>
      </c>
      <c r="H618">
        <f>INDEX([1]products!$A$1:$G$49,MATCH([1]orders!$D618,[1]products!$A$1:$A$49,0),MATCH([1]orders!L$1,[1]products!$A$1:$G$1,0))</f>
        <v>31.624999999999996</v>
      </c>
      <c r="I618">
        <f t="shared" si="9"/>
        <v>126.49999999999999</v>
      </c>
    </row>
    <row r="619" spans="1:9" x14ac:dyDescent="0.25">
      <c r="A619" t="s">
        <v>1205</v>
      </c>
      <c r="B619">
        <v>43928</v>
      </c>
      <c r="C619" t="s">
        <v>1206</v>
      </c>
      <c r="D619" t="str">
        <f>INDEX('Customers (2)'!B:B,MATCH('Customers (2)'!A619,'Customers (2)'!A:A,0))</f>
        <v>Rachelle Elizabeth</v>
      </c>
      <c r="E619" t="s">
        <v>197</v>
      </c>
      <c r="F619">
        <v>1</v>
      </c>
      <c r="G619">
        <f>INDEX([1]products!$A$1:$G$49,MATCH([1]orders!$D619,[1]products!$A$1:$A$49,0),MATCH([1]orders!K$1,[1]products!$A$1:$G$1,0))</f>
        <v>2.5</v>
      </c>
      <c r="H619">
        <f>INDEX([1]products!$A$1:$G$49,MATCH([1]orders!$D619,[1]products!$A$1:$A$49,0),MATCH([1]orders!L$1,[1]products!$A$1:$G$1,0))</f>
        <v>33.464999999999996</v>
      </c>
      <c r="I619">
        <f t="shared" si="9"/>
        <v>33.464999999999996</v>
      </c>
    </row>
    <row r="620" spans="1:9" x14ac:dyDescent="0.25">
      <c r="A620" t="s">
        <v>1207</v>
      </c>
      <c r="B620">
        <v>44469</v>
      </c>
      <c r="C620" t="s">
        <v>1208</v>
      </c>
      <c r="D620" t="str">
        <f>INDEX('Customers (2)'!B:B,MATCH('Customers (2)'!A620,'Customers (2)'!A:A,0))</f>
        <v>Innis Renhard</v>
      </c>
      <c r="E620" t="s">
        <v>245</v>
      </c>
      <c r="F620">
        <v>6</v>
      </c>
      <c r="G620">
        <f>INDEX([1]products!$A$1:$G$49,MATCH([1]orders!$D620,[1]products!$A$1:$A$49,0),MATCH([1]orders!K$1,[1]products!$A$1:$G$1,0))</f>
        <v>1</v>
      </c>
      <c r="H620">
        <f>INDEX([1]products!$A$1:$G$49,MATCH([1]orders!$D620,[1]products!$A$1:$A$49,0),MATCH([1]orders!L$1,[1]products!$A$1:$G$1,0))</f>
        <v>12.15</v>
      </c>
      <c r="I620">
        <f t="shared" si="9"/>
        <v>72.900000000000006</v>
      </c>
    </row>
    <row r="621" spans="1:9" x14ac:dyDescent="0.25">
      <c r="A621" t="s">
        <v>1209</v>
      </c>
      <c r="B621">
        <v>44682</v>
      </c>
      <c r="C621" t="s">
        <v>1210</v>
      </c>
      <c r="D621" t="str">
        <f>INDEX('Customers (2)'!B:B,MATCH('Customers (2)'!A621,'Customers (2)'!A:A,0))</f>
        <v>Winne Roche</v>
      </c>
      <c r="E621" t="s">
        <v>123</v>
      </c>
      <c r="F621">
        <v>2</v>
      </c>
      <c r="G621">
        <f>INDEX([1]products!$A$1:$G$49,MATCH([1]orders!$D621,[1]products!$A$1:$A$49,0),MATCH([1]orders!K$1,[1]products!$A$1:$G$1,0))</f>
        <v>0.5</v>
      </c>
      <c r="H621">
        <f>INDEX([1]products!$A$1:$G$49,MATCH([1]orders!$D621,[1]products!$A$1:$A$49,0),MATCH([1]orders!L$1,[1]products!$A$1:$G$1,0))</f>
        <v>7.77</v>
      </c>
      <c r="I621">
        <f t="shared" si="9"/>
        <v>15.54</v>
      </c>
    </row>
    <row r="622" spans="1:9" x14ac:dyDescent="0.25">
      <c r="A622" t="s">
        <v>1211</v>
      </c>
      <c r="B622">
        <v>44217</v>
      </c>
      <c r="C622" t="s">
        <v>1212</v>
      </c>
      <c r="D622" t="str">
        <f>INDEX('Customers (2)'!B:B,MATCH('Customers (2)'!A622,'Customers (2)'!A:A,0))</f>
        <v>Josy Bus</v>
      </c>
      <c r="E622" t="s">
        <v>44</v>
      </c>
      <c r="F622">
        <v>6</v>
      </c>
      <c r="G622">
        <f>INDEX([1]products!$A$1:$G$49,MATCH([1]orders!$D622,[1]products!$A$1:$A$49,0),MATCH([1]orders!K$1,[1]products!$A$1:$G$1,0))</f>
        <v>0.2</v>
      </c>
      <c r="H622">
        <f>INDEX([1]products!$A$1:$G$49,MATCH([1]orders!$D622,[1]products!$A$1:$A$49,0),MATCH([1]orders!L$1,[1]products!$A$1:$G$1,0))</f>
        <v>3.375</v>
      </c>
      <c r="I622">
        <f t="shared" si="9"/>
        <v>20.25</v>
      </c>
    </row>
    <row r="623" spans="1:9" x14ac:dyDescent="0.25">
      <c r="A623" t="s">
        <v>1213</v>
      </c>
      <c r="B623">
        <v>44006</v>
      </c>
      <c r="C623" t="s">
        <v>1214</v>
      </c>
      <c r="D623" t="str">
        <f>INDEX('Customers (2)'!B:B,MATCH('Customers (2)'!A623,'Customers (2)'!A:A,0))</f>
        <v>Cordy Odgaard</v>
      </c>
      <c r="E623" t="s">
        <v>6</v>
      </c>
      <c r="F623">
        <v>6</v>
      </c>
      <c r="G623">
        <f>INDEX([1]products!$A$1:$G$49,MATCH([1]orders!$D623,[1]products!$A$1:$A$49,0),MATCH([1]orders!K$1,[1]products!$A$1:$G$1,0))</f>
        <v>1</v>
      </c>
      <c r="H623">
        <f>INDEX([1]products!$A$1:$G$49,MATCH([1]orders!$D623,[1]products!$A$1:$A$49,0),MATCH([1]orders!L$1,[1]products!$A$1:$G$1,0))</f>
        <v>12.95</v>
      </c>
      <c r="I623">
        <f t="shared" si="9"/>
        <v>77.699999999999989</v>
      </c>
    </row>
    <row r="624" spans="1:9" x14ac:dyDescent="0.25">
      <c r="A624" t="s">
        <v>1215</v>
      </c>
      <c r="B624">
        <v>43527</v>
      </c>
      <c r="C624" t="s">
        <v>1216</v>
      </c>
      <c r="D624" t="str">
        <f>INDEX('Customers (2)'!B:B,MATCH('Customers (2)'!A624,'Customers (2)'!A:A,0))</f>
        <v>Bertine Byrd</v>
      </c>
      <c r="E624" t="s">
        <v>197</v>
      </c>
      <c r="F624">
        <v>4</v>
      </c>
      <c r="G624">
        <f>INDEX([1]products!$A$1:$G$49,MATCH([1]orders!$D624,[1]products!$A$1:$A$49,0),MATCH([1]orders!K$1,[1]products!$A$1:$G$1,0))</f>
        <v>2.5</v>
      </c>
      <c r="H624">
        <f>INDEX([1]products!$A$1:$G$49,MATCH([1]orders!$D624,[1]products!$A$1:$A$49,0),MATCH([1]orders!L$1,[1]products!$A$1:$G$1,0))</f>
        <v>33.464999999999996</v>
      </c>
      <c r="I624">
        <f t="shared" si="9"/>
        <v>133.85999999999999</v>
      </c>
    </row>
    <row r="625" spans="1:9" x14ac:dyDescent="0.25">
      <c r="A625" t="s">
        <v>1217</v>
      </c>
      <c r="B625">
        <v>44224</v>
      </c>
      <c r="C625" t="s">
        <v>1218</v>
      </c>
      <c r="D625" t="str">
        <f>INDEX('Customers (2)'!B:B,MATCH('Customers (2)'!A625,'Customers (2)'!A:A,0))</f>
        <v>Nelie Garnson</v>
      </c>
      <c r="E625" t="s">
        <v>245</v>
      </c>
      <c r="F625">
        <v>1</v>
      </c>
      <c r="G625">
        <f>INDEX([1]products!$A$1:$G$49,MATCH([1]orders!$D625,[1]products!$A$1:$A$49,0),MATCH([1]orders!K$1,[1]products!$A$1:$G$1,0))</f>
        <v>1</v>
      </c>
      <c r="H625">
        <f>INDEX([1]products!$A$1:$G$49,MATCH([1]orders!$D625,[1]products!$A$1:$A$49,0),MATCH([1]orders!L$1,[1]products!$A$1:$G$1,0))</f>
        <v>12.15</v>
      </c>
      <c r="I625">
        <f t="shared" si="9"/>
        <v>12.15</v>
      </c>
    </row>
    <row r="626" spans="1:9" x14ac:dyDescent="0.25">
      <c r="A626" t="s">
        <v>1219</v>
      </c>
      <c r="B626">
        <v>44010</v>
      </c>
      <c r="C626" t="s">
        <v>1220</v>
      </c>
      <c r="D626" t="str">
        <f>INDEX('Customers (2)'!B:B,MATCH('Customers (2)'!A626,'Customers (2)'!A:A,0))</f>
        <v>Dianne Chardin</v>
      </c>
      <c r="E626" t="s">
        <v>112</v>
      </c>
      <c r="F626">
        <v>2</v>
      </c>
      <c r="G626">
        <f>INDEX([1]products!$A$1:$G$49,MATCH([1]orders!$D626,[1]products!$A$1:$A$49,0),MATCH([1]orders!K$1,[1]products!$A$1:$G$1,0))</f>
        <v>2.5</v>
      </c>
      <c r="H626">
        <f>INDEX([1]products!$A$1:$G$49,MATCH([1]orders!$D626,[1]products!$A$1:$A$49,0),MATCH([1]orders!L$1,[1]products!$A$1:$G$1,0))</f>
        <v>31.624999999999996</v>
      </c>
      <c r="I626">
        <f t="shared" si="9"/>
        <v>63.249999999999993</v>
      </c>
    </row>
    <row r="627" spans="1:9" x14ac:dyDescent="0.25">
      <c r="A627" t="s">
        <v>1221</v>
      </c>
      <c r="B627">
        <v>44017</v>
      </c>
      <c r="C627" t="s">
        <v>1222</v>
      </c>
      <c r="D627" t="str">
        <f>INDEX('Customers (2)'!B:B,MATCH('Customers (2)'!A627,'Customers (2)'!A:A,0))</f>
        <v>Hailee Radbone</v>
      </c>
      <c r="E627" t="s">
        <v>157</v>
      </c>
      <c r="F627">
        <v>5</v>
      </c>
      <c r="G627">
        <f>INDEX([1]products!$A$1:$G$49,MATCH([1]orders!$D627,[1]products!$A$1:$A$49,0),MATCH([1]orders!K$1,[1]products!$A$1:$G$1,0))</f>
        <v>0.5</v>
      </c>
      <c r="H627">
        <f>INDEX([1]products!$A$1:$G$49,MATCH([1]orders!$D627,[1]products!$A$1:$A$49,0),MATCH([1]orders!L$1,[1]products!$A$1:$G$1,0))</f>
        <v>7.169999999999999</v>
      </c>
      <c r="I627">
        <f t="shared" si="9"/>
        <v>35.849999999999994</v>
      </c>
    </row>
    <row r="628" spans="1:9" x14ac:dyDescent="0.25">
      <c r="A628" t="s">
        <v>1223</v>
      </c>
      <c r="B628">
        <v>43526</v>
      </c>
      <c r="C628" t="s">
        <v>1224</v>
      </c>
      <c r="D628" t="str">
        <f>INDEX('Customers (2)'!B:B,MATCH('Customers (2)'!A628,'Customers (2)'!A:A,0))</f>
        <v>Wallis Bernth</v>
      </c>
      <c r="E628" t="s">
        <v>171</v>
      </c>
      <c r="F628">
        <v>3</v>
      </c>
      <c r="G628">
        <f>INDEX([1]products!$A$1:$G$49,MATCH([1]orders!$D628,[1]products!$A$1:$A$49,0),MATCH([1]orders!K$1,[1]products!$A$1:$G$1,0))</f>
        <v>2.5</v>
      </c>
      <c r="H628">
        <f>INDEX([1]products!$A$1:$G$49,MATCH([1]orders!$D628,[1]products!$A$1:$A$49,0),MATCH([1]orders!L$1,[1]products!$A$1:$G$1,0))</f>
        <v>25.874999999999996</v>
      </c>
      <c r="I628">
        <f t="shared" si="9"/>
        <v>77.624999999999986</v>
      </c>
    </row>
    <row r="629" spans="1:9" x14ac:dyDescent="0.25">
      <c r="A629" t="s">
        <v>1225</v>
      </c>
      <c r="B629">
        <v>44682</v>
      </c>
      <c r="C629" t="s">
        <v>1226</v>
      </c>
      <c r="D629" t="str">
        <f>INDEX('Customers (2)'!B:B,MATCH('Customers (2)'!A629,'Customers (2)'!A:A,0))</f>
        <v>Byron Acarson</v>
      </c>
      <c r="E629" t="s">
        <v>112</v>
      </c>
      <c r="F629">
        <v>2</v>
      </c>
      <c r="G629">
        <f>INDEX([1]products!$A$1:$G$49,MATCH([1]orders!$D629,[1]products!$A$1:$A$49,0),MATCH([1]orders!K$1,[1]products!$A$1:$G$1,0))</f>
        <v>2.5</v>
      </c>
      <c r="H629">
        <f>INDEX([1]products!$A$1:$G$49,MATCH([1]orders!$D629,[1]products!$A$1:$A$49,0),MATCH([1]orders!L$1,[1]products!$A$1:$G$1,0))</f>
        <v>31.624999999999996</v>
      </c>
      <c r="I629">
        <f t="shared" si="9"/>
        <v>63.249999999999993</v>
      </c>
    </row>
    <row r="630" spans="1:9" x14ac:dyDescent="0.25">
      <c r="A630" t="s">
        <v>1227</v>
      </c>
      <c r="B630">
        <v>44680</v>
      </c>
      <c r="C630" t="s">
        <v>1228</v>
      </c>
      <c r="D630" t="str">
        <f>INDEX('Customers (2)'!B:B,MATCH('Customers (2)'!A630,'Customers (2)'!A:A,0))</f>
        <v>Faunie Brigham</v>
      </c>
      <c r="E630" t="s">
        <v>254</v>
      </c>
      <c r="F630">
        <v>6</v>
      </c>
      <c r="G630">
        <f>INDEX([1]products!$A$1:$G$49,MATCH([1]orders!$D630,[1]products!$A$1:$A$49,0),MATCH([1]orders!K$1,[1]products!$A$1:$G$1,0))</f>
        <v>0.2</v>
      </c>
      <c r="H630">
        <f>INDEX([1]products!$A$1:$G$49,MATCH([1]orders!$D630,[1]products!$A$1:$A$49,0),MATCH([1]orders!L$1,[1]products!$A$1:$G$1,0))</f>
        <v>4.4550000000000001</v>
      </c>
      <c r="I630">
        <f t="shared" si="9"/>
        <v>26.73</v>
      </c>
    </row>
    <row r="631" spans="1:9" x14ac:dyDescent="0.25">
      <c r="A631" t="s">
        <v>1227</v>
      </c>
      <c r="B631">
        <v>44680</v>
      </c>
      <c r="C631" t="s">
        <v>1228</v>
      </c>
      <c r="D631" t="str">
        <f>INDEX('Customers (2)'!B:B,MATCH('Customers (2)'!A631,'Customers (2)'!A:A,0))</f>
        <v>Linn Alaway</v>
      </c>
      <c r="E631" t="s">
        <v>123</v>
      </c>
      <c r="F631">
        <v>4</v>
      </c>
      <c r="G631">
        <f>INDEX([1]products!$A$1:$G$49,MATCH([1]orders!$D631,[1]products!$A$1:$A$49,0),MATCH([1]orders!K$1,[1]products!$A$1:$G$1,0))</f>
        <v>0.5</v>
      </c>
      <c r="H631">
        <f>INDEX([1]products!$A$1:$G$49,MATCH([1]orders!$D631,[1]products!$A$1:$A$49,0),MATCH([1]orders!L$1,[1]products!$A$1:$G$1,0))</f>
        <v>7.77</v>
      </c>
      <c r="I631">
        <f t="shared" si="9"/>
        <v>31.08</v>
      </c>
    </row>
    <row r="632" spans="1:9" x14ac:dyDescent="0.25">
      <c r="A632" t="s">
        <v>1227</v>
      </c>
      <c r="B632">
        <v>44680</v>
      </c>
      <c r="C632" t="s">
        <v>1228</v>
      </c>
      <c r="D632" t="str">
        <f>INDEX('Customers (2)'!B:B,MATCH('Customers (2)'!A632,'Customers (2)'!A:A,0))</f>
        <v>Cami Meir</v>
      </c>
      <c r="E632" t="s">
        <v>54</v>
      </c>
      <c r="F632">
        <v>1</v>
      </c>
      <c r="G632">
        <f>INDEX([1]products!$A$1:$G$49,MATCH([1]orders!$D632,[1]products!$A$1:$A$49,0),MATCH([1]orders!K$1,[1]products!$A$1:$G$1,0))</f>
        <v>0.2</v>
      </c>
      <c r="H632">
        <f>INDEX([1]products!$A$1:$G$49,MATCH([1]orders!$D632,[1]products!$A$1:$A$49,0),MATCH([1]orders!L$1,[1]products!$A$1:$G$1,0))</f>
        <v>2.9849999999999999</v>
      </c>
      <c r="I632">
        <f t="shared" si="9"/>
        <v>2.9849999999999999</v>
      </c>
    </row>
    <row r="633" spans="1:9" x14ac:dyDescent="0.25">
      <c r="A633" t="s">
        <v>1227</v>
      </c>
      <c r="B633">
        <v>44680</v>
      </c>
      <c r="C633" t="s">
        <v>1228</v>
      </c>
      <c r="D633" t="str">
        <f>INDEX('Customers (2)'!B:B,MATCH('Customers (2)'!A633,'Customers (2)'!A:A,0))</f>
        <v>Marcie Aingell</v>
      </c>
      <c r="E633" t="s">
        <v>35</v>
      </c>
      <c r="F633">
        <v>5</v>
      </c>
      <c r="G633">
        <f>INDEX([1]products!$A$1:$G$49,MATCH([1]orders!$D633,[1]products!$A$1:$A$49,0),MATCH([1]orders!K$1,[1]products!$A$1:$G$1,0))</f>
        <v>2.5</v>
      </c>
      <c r="H633">
        <f>INDEX([1]products!$A$1:$G$49,MATCH([1]orders!$D633,[1]products!$A$1:$A$49,0),MATCH([1]orders!L$1,[1]products!$A$1:$G$1,0))</f>
        <v>20.584999999999997</v>
      </c>
      <c r="I633">
        <f t="shared" si="9"/>
        <v>102.92499999999998</v>
      </c>
    </row>
    <row r="634" spans="1:9" x14ac:dyDescent="0.25">
      <c r="A634" t="s">
        <v>1229</v>
      </c>
      <c r="B634">
        <v>44049</v>
      </c>
      <c r="C634" t="s">
        <v>1230</v>
      </c>
      <c r="D634" t="str">
        <f>INDEX('Customers (2)'!B:B,MATCH('Customers (2)'!A634,'Customers (2)'!A:A,0))</f>
        <v>Marjorie Yoxen</v>
      </c>
      <c r="E634" t="s">
        <v>176</v>
      </c>
      <c r="F634">
        <v>4</v>
      </c>
      <c r="G634">
        <f>INDEX([1]products!$A$1:$G$49,MATCH([1]orders!$D634,[1]products!$A$1:$A$49,0),MATCH([1]orders!K$1,[1]products!$A$1:$G$1,0))</f>
        <v>0.5</v>
      </c>
      <c r="H634">
        <f>INDEX([1]products!$A$1:$G$49,MATCH([1]orders!$D634,[1]products!$A$1:$A$49,0),MATCH([1]orders!L$1,[1]products!$A$1:$G$1,0))</f>
        <v>8.91</v>
      </c>
      <c r="I634">
        <f t="shared" si="9"/>
        <v>35.64</v>
      </c>
    </row>
    <row r="635" spans="1:9" x14ac:dyDescent="0.25">
      <c r="A635" t="s">
        <v>1231</v>
      </c>
      <c r="B635">
        <v>43820</v>
      </c>
      <c r="C635" t="s">
        <v>1232</v>
      </c>
      <c r="D635" t="str">
        <f>INDEX('Customers (2)'!B:B,MATCH('Customers (2)'!A635,'Customers (2)'!A:A,0))</f>
        <v>Gaspar McGavin</v>
      </c>
      <c r="E635" t="s">
        <v>189</v>
      </c>
      <c r="F635">
        <v>4</v>
      </c>
      <c r="G635">
        <f>INDEX([1]products!$A$1:$G$49,MATCH([1]orders!$D635,[1]products!$A$1:$A$49,0),MATCH([1]orders!K$1,[1]products!$A$1:$G$1,0))</f>
        <v>1</v>
      </c>
      <c r="H635">
        <f>INDEX([1]products!$A$1:$G$49,MATCH([1]orders!$D635,[1]products!$A$1:$A$49,0),MATCH([1]orders!L$1,[1]products!$A$1:$G$1,0))</f>
        <v>11.95</v>
      </c>
      <c r="I635">
        <f t="shared" si="9"/>
        <v>47.8</v>
      </c>
    </row>
    <row r="636" spans="1:9" x14ac:dyDescent="0.25">
      <c r="A636" t="s">
        <v>1233</v>
      </c>
      <c r="B636">
        <v>43940</v>
      </c>
      <c r="C636" t="s">
        <v>1234</v>
      </c>
      <c r="D636" t="str">
        <f>INDEX('Customers (2)'!B:B,MATCH('Customers (2)'!A636,'Customers (2)'!A:A,0))</f>
        <v>Lindy Uttermare</v>
      </c>
      <c r="E636" t="s">
        <v>96</v>
      </c>
      <c r="F636">
        <v>3</v>
      </c>
      <c r="G636">
        <f>INDEX([1]products!$A$1:$G$49,MATCH([1]orders!$D636,[1]products!$A$1:$A$49,0),MATCH([1]orders!K$1,[1]products!$A$1:$G$1,0))</f>
        <v>1</v>
      </c>
      <c r="H636">
        <f>INDEX([1]products!$A$1:$G$49,MATCH([1]orders!$D636,[1]products!$A$1:$A$49,0),MATCH([1]orders!L$1,[1]products!$A$1:$G$1,0))</f>
        <v>14.55</v>
      </c>
      <c r="I636">
        <f t="shared" si="9"/>
        <v>43.650000000000006</v>
      </c>
    </row>
    <row r="637" spans="1:9" x14ac:dyDescent="0.25">
      <c r="A637" t="s">
        <v>1235</v>
      </c>
      <c r="B637">
        <v>44578</v>
      </c>
      <c r="C637" t="s">
        <v>1236</v>
      </c>
      <c r="D637" t="str">
        <f>INDEX('Customers (2)'!B:B,MATCH('Customers (2)'!A637,'Customers (2)'!A:A,0))</f>
        <v>Eal D'Ambrogio</v>
      </c>
      <c r="E637" t="s">
        <v>176</v>
      </c>
      <c r="F637">
        <v>4</v>
      </c>
      <c r="G637">
        <f>INDEX([1]products!$A$1:$G$49,MATCH([1]orders!$D637,[1]products!$A$1:$A$49,0),MATCH([1]orders!K$1,[1]products!$A$1:$G$1,0))</f>
        <v>0.5</v>
      </c>
      <c r="H637">
        <f>INDEX([1]products!$A$1:$G$49,MATCH([1]orders!$D637,[1]products!$A$1:$A$49,0),MATCH([1]orders!L$1,[1]products!$A$1:$G$1,0))</f>
        <v>8.91</v>
      </c>
      <c r="I637">
        <f t="shared" si="9"/>
        <v>35.64</v>
      </c>
    </row>
    <row r="638" spans="1:9" x14ac:dyDescent="0.25">
      <c r="A638" t="s">
        <v>1237</v>
      </c>
      <c r="B638">
        <v>43487</v>
      </c>
      <c r="C638" t="s">
        <v>1238</v>
      </c>
      <c r="D638" t="str">
        <f>INDEX('Customers (2)'!B:B,MATCH('Customers (2)'!A638,'Customers (2)'!A:A,0))</f>
        <v>Carolee Winchcombe</v>
      </c>
      <c r="E638" t="s">
        <v>132</v>
      </c>
      <c r="F638">
        <v>6</v>
      </c>
      <c r="G638">
        <f>INDEX([1]products!$A$1:$G$49,MATCH([1]orders!$D638,[1]products!$A$1:$A$49,0),MATCH([1]orders!K$1,[1]products!$A$1:$G$1,0))</f>
        <v>1</v>
      </c>
      <c r="H638">
        <f>INDEX([1]products!$A$1:$G$49,MATCH([1]orders!$D638,[1]products!$A$1:$A$49,0),MATCH([1]orders!L$1,[1]products!$A$1:$G$1,0))</f>
        <v>15.85</v>
      </c>
      <c r="I638">
        <f t="shared" si="9"/>
        <v>95.1</v>
      </c>
    </row>
    <row r="639" spans="1:9" x14ac:dyDescent="0.25">
      <c r="A639" t="s">
        <v>1239</v>
      </c>
      <c r="B639">
        <v>43889</v>
      </c>
      <c r="C639" t="s">
        <v>1240</v>
      </c>
      <c r="D639" t="str">
        <f>INDEX('Customers (2)'!B:B,MATCH('Customers (2)'!A639,'Customers (2)'!A:A,0))</f>
        <v>Benedikta Paumier</v>
      </c>
      <c r="E639" t="s">
        <v>112</v>
      </c>
      <c r="F639">
        <v>1</v>
      </c>
      <c r="G639">
        <f>INDEX([1]products!$A$1:$G$49,MATCH([1]orders!$D639,[1]products!$A$1:$A$49,0),MATCH([1]orders!K$1,[1]products!$A$1:$G$1,0))</f>
        <v>2.5</v>
      </c>
      <c r="H639">
        <f>INDEX([1]products!$A$1:$G$49,MATCH([1]orders!$D639,[1]products!$A$1:$A$49,0),MATCH([1]orders!L$1,[1]products!$A$1:$G$1,0))</f>
        <v>31.624999999999996</v>
      </c>
      <c r="I639">
        <f t="shared" si="9"/>
        <v>31.624999999999996</v>
      </c>
    </row>
    <row r="640" spans="1:9" x14ac:dyDescent="0.25">
      <c r="A640" t="s">
        <v>1241</v>
      </c>
      <c r="B640">
        <v>43684</v>
      </c>
      <c r="C640" t="s">
        <v>1242</v>
      </c>
      <c r="D640" t="str">
        <f>INDEX('Customers (2)'!B:B,MATCH('Customers (2)'!A640,'Customers (2)'!A:A,0))</f>
        <v>Neville Piatto</v>
      </c>
      <c r="E640" t="s">
        <v>171</v>
      </c>
      <c r="F640">
        <v>3</v>
      </c>
      <c r="G640">
        <f>INDEX([1]products!$A$1:$G$49,MATCH([1]orders!$D640,[1]products!$A$1:$A$49,0),MATCH([1]orders!K$1,[1]products!$A$1:$G$1,0))</f>
        <v>2.5</v>
      </c>
      <c r="H640">
        <f>INDEX([1]products!$A$1:$G$49,MATCH([1]orders!$D640,[1]products!$A$1:$A$49,0),MATCH([1]orders!L$1,[1]products!$A$1:$G$1,0))</f>
        <v>25.874999999999996</v>
      </c>
      <c r="I640">
        <f t="shared" si="9"/>
        <v>77.624999999999986</v>
      </c>
    </row>
    <row r="641" spans="1:9" x14ac:dyDescent="0.25">
      <c r="A641" t="s">
        <v>1243</v>
      </c>
      <c r="B641">
        <v>44331</v>
      </c>
      <c r="C641" t="s">
        <v>1244</v>
      </c>
      <c r="D641" t="str">
        <f>INDEX('Customers (2)'!B:B,MATCH('Customers (2)'!A641,'Customers (2)'!A:A,0))</f>
        <v>Jeno Capey</v>
      </c>
      <c r="E641" t="s">
        <v>38</v>
      </c>
      <c r="F641">
        <v>1</v>
      </c>
      <c r="G641">
        <f>INDEX([1]products!$A$1:$G$49,MATCH([1]orders!$D641,[1]products!$A$1:$A$49,0),MATCH([1]orders!K$1,[1]products!$A$1:$G$1,0))</f>
        <v>0.2</v>
      </c>
      <c r="H641">
        <f>INDEX([1]products!$A$1:$G$49,MATCH([1]orders!$D641,[1]products!$A$1:$A$49,0),MATCH([1]orders!L$1,[1]products!$A$1:$G$1,0))</f>
        <v>3.8849999999999998</v>
      </c>
      <c r="I641">
        <f t="shared" si="9"/>
        <v>3.8849999999999998</v>
      </c>
    </row>
    <row r="642" spans="1:9" x14ac:dyDescent="0.25">
      <c r="A642" t="s">
        <v>1245</v>
      </c>
      <c r="B642">
        <v>44547</v>
      </c>
      <c r="C642" t="s">
        <v>1246</v>
      </c>
      <c r="D642" t="str">
        <f>INDEX('Customers (2)'!B:B,MATCH('Customers (2)'!A642,'Customers (2)'!A:A,0))</f>
        <v>Carmella Bruffell</v>
      </c>
      <c r="E642" t="s">
        <v>10</v>
      </c>
      <c r="F642">
        <v>5</v>
      </c>
      <c r="G642">
        <f>INDEX([1]products!$A$1:$G$49,MATCH([1]orders!$D642,[1]products!$A$1:$A$49,0),MATCH([1]orders!K$1,[1]products!$A$1:$G$1,0))</f>
        <v>2.5</v>
      </c>
      <c r="H642">
        <f>INDEX([1]products!$A$1:$G$49,MATCH([1]orders!$D642,[1]products!$A$1:$A$49,0),MATCH([1]orders!L$1,[1]products!$A$1:$G$1,0))</f>
        <v>27.484999999999996</v>
      </c>
      <c r="I642">
        <f t="shared" ref="I642:I705" si="10">F642*H642</f>
        <v>137.42499999999998</v>
      </c>
    </row>
    <row r="643" spans="1:9" x14ac:dyDescent="0.25">
      <c r="A643" t="s">
        <v>1247</v>
      </c>
      <c r="B643">
        <v>44448</v>
      </c>
      <c r="C643" t="s">
        <v>1248</v>
      </c>
      <c r="D643" t="str">
        <f>INDEX('Customers (2)'!B:B,MATCH('Customers (2)'!A643,'Customers (2)'!A:A,0))</f>
        <v>Yardley Basill</v>
      </c>
      <c r="E643" t="s">
        <v>189</v>
      </c>
      <c r="F643">
        <v>3</v>
      </c>
      <c r="G643">
        <f>INDEX([1]products!$A$1:$G$49,MATCH([1]orders!$D643,[1]products!$A$1:$A$49,0),MATCH([1]orders!K$1,[1]products!$A$1:$G$1,0))</f>
        <v>1</v>
      </c>
      <c r="H643">
        <f>INDEX([1]products!$A$1:$G$49,MATCH([1]orders!$D643,[1]products!$A$1:$A$49,0),MATCH([1]orders!L$1,[1]products!$A$1:$G$1,0))</f>
        <v>11.95</v>
      </c>
      <c r="I643">
        <f t="shared" si="10"/>
        <v>35.849999999999994</v>
      </c>
    </row>
    <row r="644" spans="1:9" x14ac:dyDescent="0.25">
      <c r="A644" t="s">
        <v>1249</v>
      </c>
      <c r="B644">
        <v>43880</v>
      </c>
      <c r="C644" t="s">
        <v>1250</v>
      </c>
      <c r="D644" t="str">
        <f>INDEX('Customers (2)'!B:B,MATCH('Customers (2)'!A644,'Customers (2)'!A:A,0))</f>
        <v>Maggy Baistow</v>
      </c>
      <c r="E644" t="s">
        <v>64</v>
      </c>
      <c r="F644">
        <v>2</v>
      </c>
      <c r="G644">
        <f>INDEX([1]products!$A$1:$G$49,MATCH([1]orders!$D644,[1]products!$A$1:$A$49,0),MATCH([1]orders!K$1,[1]products!$A$1:$G$1,0))</f>
        <v>0.2</v>
      </c>
      <c r="H644">
        <f>INDEX([1]products!$A$1:$G$49,MATCH([1]orders!$D644,[1]products!$A$1:$A$49,0),MATCH([1]orders!L$1,[1]products!$A$1:$G$1,0))</f>
        <v>4.125</v>
      </c>
      <c r="I644">
        <f t="shared" si="10"/>
        <v>8.25</v>
      </c>
    </row>
    <row r="645" spans="1:9" x14ac:dyDescent="0.25">
      <c r="A645" t="s">
        <v>1251</v>
      </c>
      <c r="B645">
        <v>44011</v>
      </c>
      <c r="C645" t="s">
        <v>1252</v>
      </c>
      <c r="D645" t="str">
        <f>INDEX('Customers (2)'!B:B,MATCH('Customers (2)'!A645,'Customers (2)'!A:A,0))</f>
        <v>Courtney Pallant</v>
      </c>
      <c r="E645" t="s">
        <v>30</v>
      </c>
      <c r="F645">
        <v>3</v>
      </c>
      <c r="G645">
        <f>INDEX([1]products!$A$1:$G$49,MATCH([1]orders!$D645,[1]products!$A$1:$A$49,0),MATCH([1]orders!K$1,[1]products!$A$1:$G$1,0))</f>
        <v>2.5</v>
      </c>
      <c r="H645">
        <f>INDEX([1]products!$A$1:$G$49,MATCH([1]orders!$D645,[1]products!$A$1:$A$49,0),MATCH([1]orders!L$1,[1]products!$A$1:$G$1,0))</f>
        <v>34.154999999999994</v>
      </c>
      <c r="I645">
        <f t="shared" si="10"/>
        <v>102.46499999999997</v>
      </c>
    </row>
    <row r="646" spans="1:9" x14ac:dyDescent="0.25">
      <c r="A646" t="s">
        <v>1253</v>
      </c>
      <c r="B646">
        <v>44694</v>
      </c>
      <c r="C646" t="s">
        <v>1254</v>
      </c>
      <c r="D646" t="str">
        <f>INDEX('Customers (2)'!B:B,MATCH('Customers (2)'!A646,'Customers (2)'!A:A,0))</f>
        <v>Marne Mingey</v>
      </c>
      <c r="E646" t="s">
        <v>35</v>
      </c>
      <c r="F646">
        <v>2</v>
      </c>
      <c r="G646">
        <f>INDEX([1]products!$A$1:$G$49,MATCH([1]orders!$D646,[1]products!$A$1:$A$49,0),MATCH([1]orders!K$1,[1]products!$A$1:$G$1,0))</f>
        <v>2.5</v>
      </c>
      <c r="H646">
        <f>INDEX([1]products!$A$1:$G$49,MATCH([1]orders!$D646,[1]products!$A$1:$A$49,0),MATCH([1]orders!L$1,[1]products!$A$1:$G$1,0))</f>
        <v>20.584999999999997</v>
      </c>
      <c r="I646">
        <f t="shared" si="10"/>
        <v>41.169999999999995</v>
      </c>
    </row>
    <row r="647" spans="1:9" x14ac:dyDescent="0.25">
      <c r="A647" t="s">
        <v>1255</v>
      </c>
      <c r="B647">
        <v>44106</v>
      </c>
      <c r="C647" t="s">
        <v>1256</v>
      </c>
      <c r="D647" t="str">
        <f>INDEX('Customers (2)'!B:B,MATCH('Customers (2)'!A647,'Customers (2)'!A:A,0))</f>
        <v>Denny O' Ronan</v>
      </c>
      <c r="E647" t="s">
        <v>118</v>
      </c>
      <c r="F647">
        <v>3</v>
      </c>
      <c r="G647">
        <f>INDEX([1]products!$A$1:$G$49,MATCH([1]orders!$D647,[1]products!$A$1:$A$49,0),MATCH([1]orders!K$1,[1]products!$A$1:$G$1,0))</f>
        <v>2.5</v>
      </c>
      <c r="H647">
        <f>INDEX([1]products!$A$1:$G$49,MATCH([1]orders!$D647,[1]products!$A$1:$A$49,0),MATCH([1]orders!L$1,[1]products!$A$1:$G$1,0))</f>
        <v>22.884999999999998</v>
      </c>
      <c r="I647">
        <f t="shared" si="10"/>
        <v>68.655000000000001</v>
      </c>
    </row>
    <row r="648" spans="1:9" x14ac:dyDescent="0.25">
      <c r="A648" t="s">
        <v>1257</v>
      </c>
      <c r="B648">
        <v>44532</v>
      </c>
      <c r="C648" t="s">
        <v>1258</v>
      </c>
      <c r="D648" t="str">
        <f>INDEX('Customers (2)'!B:B,MATCH('Customers (2)'!A648,'Customers (2)'!A:A,0))</f>
        <v>Dottie Rallin</v>
      </c>
      <c r="E648" t="s">
        <v>27</v>
      </c>
      <c r="F648">
        <v>1</v>
      </c>
      <c r="G648">
        <f>INDEX([1]products!$A$1:$G$49,MATCH([1]orders!$D648,[1]products!$A$1:$A$49,0),MATCH([1]orders!K$1,[1]products!$A$1:$G$1,0))</f>
        <v>1</v>
      </c>
      <c r="H648">
        <f>INDEX([1]products!$A$1:$G$49,MATCH([1]orders!$D648,[1]products!$A$1:$A$49,0),MATCH([1]orders!L$1,[1]products!$A$1:$G$1,0))</f>
        <v>9.9499999999999993</v>
      </c>
      <c r="I648">
        <f t="shared" si="10"/>
        <v>9.9499999999999993</v>
      </c>
    </row>
    <row r="649" spans="1:9" x14ac:dyDescent="0.25">
      <c r="A649" t="s">
        <v>1259</v>
      </c>
      <c r="B649">
        <v>44502</v>
      </c>
      <c r="C649" t="s">
        <v>1260</v>
      </c>
      <c r="D649" t="str">
        <f>INDEX('Customers (2)'!B:B,MATCH('Customers (2)'!A649,'Customers (2)'!A:A,0))</f>
        <v>Ardith Chill</v>
      </c>
      <c r="E649" t="s">
        <v>83</v>
      </c>
      <c r="F649">
        <v>3</v>
      </c>
      <c r="G649">
        <f>INDEX([1]products!$A$1:$G$49,MATCH([1]orders!$D649,[1]products!$A$1:$A$49,0),MATCH([1]orders!K$1,[1]products!$A$1:$G$1,0))</f>
        <v>0.5</v>
      </c>
      <c r="H649">
        <f>INDEX([1]products!$A$1:$G$49,MATCH([1]orders!$D649,[1]products!$A$1:$A$49,0),MATCH([1]orders!L$1,[1]products!$A$1:$G$1,0))</f>
        <v>9.51</v>
      </c>
      <c r="I649">
        <f t="shared" si="10"/>
        <v>28.53</v>
      </c>
    </row>
    <row r="650" spans="1:9" x14ac:dyDescent="0.25">
      <c r="A650" t="s">
        <v>1261</v>
      </c>
      <c r="B650">
        <v>43884</v>
      </c>
      <c r="C650" t="s">
        <v>1246</v>
      </c>
      <c r="D650" t="str">
        <f>INDEX('Customers (2)'!B:B,MATCH('Customers (2)'!A650,'Customers (2)'!A:A,0))</f>
        <v>Tuckie Mathonnet</v>
      </c>
      <c r="E650" t="s">
        <v>101</v>
      </c>
      <c r="F650">
        <v>6</v>
      </c>
      <c r="G650">
        <f>INDEX([1]products!$A$1:$G$49,MATCH([1]orders!$D650,[1]products!$A$1:$A$49,0),MATCH([1]orders!K$1,[1]products!$A$1:$G$1,0))</f>
        <v>0.2</v>
      </c>
      <c r="H650">
        <f>INDEX([1]products!$A$1:$G$49,MATCH([1]orders!$D650,[1]products!$A$1:$A$49,0),MATCH([1]orders!L$1,[1]products!$A$1:$G$1,0))</f>
        <v>2.6849999999999996</v>
      </c>
      <c r="I650">
        <f t="shared" si="10"/>
        <v>16.11</v>
      </c>
    </row>
    <row r="651" spans="1:9" x14ac:dyDescent="0.25">
      <c r="A651" t="s">
        <v>1262</v>
      </c>
      <c r="B651">
        <v>44015</v>
      </c>
      <c r="C651" t="s">
        <v>1263</v>
      </c>
      <c r="D651" t="str">
        <f>INDEX('Customers (2)'!B:B,MATCH('Customers (2)'!A651,'Customers (2)'!A:A,0))</f>
        <v>Charmane Denys</v>
      </c>
      <c r="E651" t="s">
        <v>132</v>
      </c>
      <c r="F651">
        <v>6</v>
      </c>
      <c r="G651">
        <f>INDEX([1]products!$A$1:$G$49,MATCH([1]orders!$D651,[1]products!$A$1:$A$49,0),MATCH([1]orders!K$1,[1]products!$A$1:$G$1,0))</f>
        <v>1</v>
      </c>
      <c r="H651">
        <f>INDEX([1]products!$A$1:$G$49,MATCH([1]orders!$D651,[1]products!$A$1:$A$49,0),MATCH([1]orders!L$1,[1]products!$A$1:$G$1,0))</f>
        <v>15.85</v>
      </c>
      <c r="I651">
        <f t="shared" si="10"/>
        <v>95.1</v>
      </c>
    </row>
    <row r="652" spans="1:9" x14ac:dyDescent="0.25">
      <c r="A652" t="s">
        <v>1264</v>
      </c>
      <c r="B652">
        <v>43507</v>
      </c>
      <c r="C652" t="s">
        <v>1265</v>
      </c>
      <c r="D652" t="str">
        <f>INDEX('Customers (2)'!B:B,MATCH('Customers (2)'!A652,'Customers (2)'!A:A,0))</f>
        <v>Cecily Stebbings</v>
      </c>
      <c r="E652" t="s">
        <v>146</v>
      </c>
      <c r="F652">
        <v>1</v>
      </c>
      <c r="G652">
        <f>INDEX([1]products!$A$1:$G$49,MATCH([1]orders!$D652,[1]products!$A$1:$A$49,0),MATCH([1]orders!K$1,[1]products!$A$1:$G$1,0))</f>
        <v>0.5</v>
      </c>
      <c r="H652">
        <f>INDEX([1]products!$A$1:$G$49,MATCH([1]orders!$D652,[1]products!$A$1:$A$49,0),MATCH([1]orders!L$1,[1]products!$A$1:$G$1,0))</f>
        <v>5.3699999999999992</v>
      </c>
      <c r="I652">
        <f t="shared" si="10"/>
        <v>5.3699999999999992</v>
      </c>
    </row>
    <row r="653" spans="1:9" x14ac:dyDescent="0.25">
      <c r="A653" t="s">
        <v>1266</v>
      </c>
      <c r="B653">
        <v>44084</v>
      </c>
      <c r="C653" t="s">
        <v>1267</v>
      </c>
      <c r="D653" t="str">
        <f>INDEX('Customers (2)'!B:B,MATCH('Customers (2)'!A653,'Customers (2)'!A:A,0))</f>
        <v>Giana Tonnesen</v>
      </c>
      <c r="E653" t="s">
        <v>189</v>
      </c>
      <c r="F653">
        <v>4</v>
      </c>
      <c r="G653">
        <f>INDEX([1]products!$A$1:$G$49,MATCH([1]orders!$D653,[1]products!$A$1:$A$49,0),MATCH([1]orders!K$1,[1]products!$A$1:$G$1,0))</f>
        <v>1</v>
      </c>
      <c r="H653">
        <f>INDEX([1]products!$A$1:$G$49,MATCH([1]orders!$D653,[1]products!$A$1:$A$49,0),MATCH([1]orders!L$1,[1]products!$A$1:$G$1,0))</f>
        <v>11.95</v>
      </c>
      <c r="I653">
        <f t="shared" si="10"/>
        <v>47.8</v>
      </c>
    </row>
    <row r="654" spans="1:9" x14ac:dyDescent="0.25">
      <c r="A654" t="s">
        <v>1268</v>
      </c>
      <c r="B654">
        <v>43892</v>
      </c>
      <c r="C654" t="s">
        <v>1269</v>
      </c>
      <c r="D654" t="str">
        <f>INDEX('Customers (2)'!B:B,MATCH('Customers (2)'!A654,'Customers (2)'!A:A,0))</f>
        <v>Rhetta Zywicki</v>
      </c>
      <c r="E654" t="s">
        <v>132</v>
      </c>
      <c r="F654">
        <v>4</v>
      </c>
      <c r="G654">
        <f>INDEX([1]products!$A$1:$G$49,MATCH([1]orders!$D654,[1]products!$A$1:$A$49,0),MATCH([1]orders!K$1,[1]products!$A$1:$G$1,0))</f>
        <v>1</v>
      </c>
      <c r="H654">
        <f>INDEX([1]products!$A$1:$G$49,MATCH([1]orders!$D654,[1]products!$A$1:$A$49,0),MATCH([1]orders!L$1,[1]products!$A$1:$G$1,0))</f>
        <v>15.85</v>
      </c>
      <c r="I654">
        <f t="shared" si="10"/>
        <v>63.4</v>
      </c>
    </row>
    <row r="655" spans="1:9" x14ac:dyDescent="0.25">
      <c r="A655" t="s">
        <v>1270</v>
      </c>
      <c r="B655">
        <v>44375</v>
      </c>
      <c r="C655" t="s">
        <v>1271</v>
      </c>
      <c r="D655" t="str">
        <f>INDEX('Customers (2)'!B:B,MATCH('Customers (2)'!A655,'Customers (2)'!A:A,0))</f>
        <v>Almeria Burgett</v>
      </c>
      <c r="E655" t="s">
        <v>171</v>
      </c>
      <c r="F655">
        <v>4</v>
      </c>
      <c r="G655">
        <f>INDEX([1]products!$A$1:$G$49,MATCH([1]orders!$D655,[1]products!$A$1:$A$49,0),MATCH([1]orders!K$1,[1]products!$A$1:$G$1,0))</f>
        <v>2.5</v>
      </c>
      <c r="H655">
        <f>INDEX([1]products!$A$1:$G$49,MATCH([1]orders!$D655,[1]products!$A$1:$A$49,0),MATCH([1]orders!L$1,[1]products!$A$1:$G$1,0))</f>
        <v>25.874999999999996</v>
      </c>
      <c r="I655">
        <f t="shared" si="10"/>
        <v>103.49999999999999</v>
      </c>
    </row>
    <row r="656" spans="1:9" x14ac:dyDescent="0.25">
      <c r="A656" t="s">
        <v>1272</v>
      </c>
      <c r="B656">
        <v>43476</v>
      </c>
      <c r="C656" t="s">
        <v>1273</v>
      </c>
      <c r="D656" t="str">
        <f>INDEX('Customers (2)'!B:B,MATCH('Customers (2)'!A656,'Customers (2)'!A:A,0))</f>
        <v>Marvin Malloy</v>
      </c>
      <c r="E656" t="s">
        <v>118</v>
      </c>
      <c r="F656">
        <v>3</v>
      </c>
      <c r="G656">
        <f>INDEX([1]products!$A$1:$G$49,MATCH([1]orders!$D656,[1]products!$A$1:$A$49,0),MATCH([1]orders!K$1,[1]products!$A$1:$G$1,0))</f>
        <v>2.5</v>
      </c>
      <c r="H656">
        <f>INDEX([1]products!$A$1:$G$49,MATCH([1]orders!$D656,[1]products!$A$1:$A$49,0),MATCH([1]orders!L$1,[1]products!$A$1:$G$1,0))</f>
        <v>22.884999999999998</v>
      </c>
      <c r="I656">
        <f t="shared" si="10"/>
        <v>68.655000000000001</v>
      </c>
    </row>
    <row r="657" spans="1:9" x14ac:dyDescent="0.25">
      <c r="A657" t="s">
        <v>1274</v>
      </c>
      <c r="B657">
        <v>43728</v>
      </c>
      <c r="C657" t="s">
        <v>1275</v>
      </c>
      <c r="D657" t="str">
        <f>INDEX('Customers (2)'!B:B,MATCH('Customers (2)'!A657,'Customers (2)'!A:A,0))</f>
        <v>Maxim McParland</v>
      </c>
      <c r="E657" t="s">
        <v>41</v>
      </c>
      <c r="F657">
        <v>2</v>
      </c>
      <c r="G657">
        <f>INDEX([1]products!$A$1:$G$49,MATCH([1]orders!$D657,[1]products!$A$1:$A$49,0),MATCH([1]orders!K$1,[1]products!$A$1:$G$1,0))</f>
        <v>2.5</v>
      </c>
      <c r="H657">
        <f>INDEX([1]products!$A$1:$G$49,MATCH([1]orders!$D657,[1]products!$A$1:$A$49,0),MATCH([1]orders!L$1,[1]products!$A$1:$G$1,0))</f>
        <v>22.884999999999998</v>
      </c>
      <c r="I657">
        <f t="shared" si="10"/>
        <v>45.769999999999996</v>
      </c>
    </row>
    <row r="658" spans="1:9" x14ac:dyDescent="0.25">
      <c r="A658" t="s">
        <v>1276</v>
      </c>
      <c r="B658">
        <v>44485</v>
      </c>
      <c r="C658" t="s">
        <v>1277</v>
      </c>
      <c r="D658" t="str">
        <f>INDEX('Customers (2)'!B:B,MATCH('Customers (2)'!A658,'Customers (2)'!A:A,0))</f>
        <v>Sylas Jennaroy</v>
      </c>
      <c r="E658" t="s">
        <v>13</v>
      </c>
      <c r="F658">
        <v>4</v>
      </c>
      <c r="G658">
        <f>INDEX([1]products!$A$1:$G$49,MATCH([1]orders!$D658,[1]products!$A$1:$A$49,0),MATCH([1]orders!K$1,[1]products!$A$1:$G$1,0))</f>
        <v>1</v>
      </c>
      <c r="H658">
        <f>INDEX([1]products!$A$1:$G$49,MATCH([1]orders!$D658,[1]products!$A$1:$A$49,0),MATCH([1]orders!L$1,[1]products!$A$1:$G$1,0))</f>
        <v>12.95</v>
      </c>
      <c r="I658">
        <f t="shared" si="10"/>
        <v>51.8</v>
      </c>
    </row>
    <row r="659" spans="1:9" x14ac:dyDescent="0.25">
      <c r="A659" t="s">
        <v>1278</v>
      </c>
      <c r="B659">
        <v>43831</v>
      </c>
      <c r="C659" t="s">
        <v>1279</v>
      </c>
      <c r="D659" t="str">
        <f>INDEX('Customers (2)'!B:B,MATCH('Customers (2)'!A659,'Customers (2)'!A:A,0))</f>
        <v>Wren Place</v>
      </c>
      <c r="E659" t="s">
        <v>67</v>
      </c>
      <c r="F659">
        <v>2</v>
      </c>
      <c r="G659">
        <f>INDEX([1]products!$A$1:$G$49,MATCH([1]orders!$D659,[1]products!$A$1:$A$49,0),MATCH([1]orders!K$1,[1]products!$A$1:$G$1,0))</f>
        <v>0.5</v>
      </c>
      <c r="H659">
        <f>INDEX([1]products!$A$1:$G$49,MATCH([1]orders!$D659,[1]products!$A$1:$A$49,0),MATCH([1]orders!L$1,[1]products!$A$1:$G$1,0))</f>
        <v>6.75</v>
      </c>
      <c r="I659">
        <f t="shared" si="10"/>
        <v>13.5</v>
      </c>
    </row>
    <row r="660" spans="1:9" x14ac:dyDescent="0.25">
      <c r="A660" t="s">
        <v>1280</v>
      </c>
      <c r="B660">
        <v>44630</v>
      </c>
      <c r="C660" t="s">
        <v>1281</v>
      </c>
      <c r="D660" t="str">
        <f>INDEX('Customers (2)'!B:B,MATCH('Customers (2)'!A660,'Customers (2)'!A:A,0))</f>
        <v>Hewitt Jarret</v>
      </c>
      <c r="E660" t="s">
        <v>3</v>
      </c>
      <c r="F660">
        <v>3</v>
      </c>
      <c r="G660">
        <f>INDEX([1]products!$A$1:$G$49,MATCH([1]orders!$D660,[1]products!$A$1:$A$49,0),MATCH([1]orders!K$1,[1]products!$A$1:$G$1,0))</f>
        <v>0.5</v>
      </c>
      <c r="H660">
        <f>INDEX([1]products!$A$1:$G$49,MATCH([1]orders!$D660,[1]products!$A$1:$A$49,0),MATCH([1]orders!L$1,[1]products!$A$1:$G$1,0))</f>
        <v>8.25</v>
      </c>
      <c r="I660">
        <f t="shared" si="10"/>
        <v>24.75</v>
      </c>
    </row>
    <row r="661" spans="1:9" x14ac:dyDescent="0.25">
      <c r="A661" t="s">
        <v>1282</v>
      </c>
      <c r="B661">
        <v>44693</v>
      </c>
      <c r="C661" t="s">
        <v>1283</v>
      </c>
      <c r="D661" t="str">
        <f>INDEX('Customers (2)'!B:B,MATCH('Customers (2)'!A661,'Customers (2)'!A:A,0))</f>
        <v>Dollie Gadsden</v>
      </c>
      <c r="E661" t="s">
        <v>118</v>
      </c>
      <c r="F661">
        <v>2</v>
      </c>
      <c r="G661">
        <f>INDEX([1]products!$A$1:$G$49,MATCH([1]orders!$D661,[1]products!$A$1:$A$49,0),MATCH([1]orders!K$1,[1]products!$A$1:$G$1,0))</f>
        <v>2.5</v>
      </c>
      <c r="H661">
        <f>INDEX([1]products!$A$1:$G$49,MATCH([1]orders!$D661,[1]products!$A$1:$A$49,0),MATCH([1]orders!L$1,[1]products!$A$1:$G$1,0))</f>
        <v>22.884999999999998</v>
      </c>
      <c r="I661">
        <f t="shared" si="10"/>
        <v>45.769999999999996</v>
      </c>
    </row>
    <row r="662" spans="1:9" x14ac:dyDescent="0.25">
      <c r="A662" t="s">
        <v>1284</v>
      </c>
      <c r="B662">
        <v>44084</v>
      </c>
      <c r="C662" t="s">
        <v>1285</v>
      </c>
      <c r="D662" t="str">
        <f>INDEX('Customers (2)'!B:B,MATCH('Customers (2)'!A662,'Customers (2)'!A:A,0))</f>
        <v>Val Wakelin</v>
      </c>
      <c r="E662" t="s">
        <v>176</v>
      </c>
      <c r="F662">
        <v>6</v>
      </c>
      <c r="G662">
        <f>INDEX([1]products!$A$1:$G$49,MATCH([1]orders!$D662,[1]products!$A$1:$A$49,0),MATCH([1]orders!K$1,[1]products!$A$1:$G$1,0))</f>
        <v>0.5</v>
      </c>
      <c r="H662">
        <f>INDEX([1]products!$A$1:$G$49,MATCH([1]orders!$D662,[1]products!$A$1:$A$49,0),MATCH([1]orders!L$1,[1]products!$A$1:$G$1,0))</f>
        <v>8.91</v>
      </c>
      <c r="I662">
        <f t="shared" si="10"/>
        <v>53.46</v>
      </c>
    </row>
    <row r="663" spans="1:9" x14ac:dyDescent="0.25">
      <c r="A663" t="s">
        <v>1286</v>
      </c>
      <c r="B663">
        <v>44485</v>
      </c>
      <c r="C663" t="s">
        <v>1287</v>
      </c>
      <c r="D663" t="str">
        <f>INDEX('Customers (2)'!B:B,MATCH('Customers (2)'!A663,'Customers (2)'!A:A,0))</f>
        <v>Annie Campsall</v>
      </c>
      <c r="E663" t="s">
        <v>44</v>
      </c>
      <c r="F663">
        <v>6</v>
      </c>
      <c r="G663">
        <f>INDEX([1]products!$A$1:$G$49,MATCH([1]orders!$D663,[1]products!$A$1:$A$49,0),MATCH([1]orders!K$1,[1]products!$A$1:$G$1,0))</f>
        <v>0.2</v>
      </c>
      <c r="H663">
        <f>INDEX([1]products!$A$1:$G$49,MATCH([1]orders!$D663,[1]products!$A$1:$A$49,0),MATCH([1]orders!L$1,[1]products!$A$1:$G$1,0))</f>
        <v>3.375</v>
      </c>
      <c r="I663">
        <f t="shared" si="10"/>
        <v>20.25</v>
      </c>
    </row>
    <row r="664" spans="1:9" x14ac:dyDescent="0.25">
      <c r="A664" t="s">
        <v>1288</v>
      </c>
      <c r="B664">
        <v>44364</v>
      </c>
      <c r="C664" t="s">
        <v>1289</v>
      </c>
      <c r="D664" t="str">
        <f>INDEX('Customers (2)'!B:B,MATCH('Customers (2)'!A664,'Customers (2)'!A:A,0))</f>
        <v>Shermy Moseby</v>
      </c>
      <c r="E664" t="s">
        <v>109</v>
      </c>
      <c r="F664">
        <v>5</v>
      </c>
      <c r="G664">
        <f>INDEX([1]products!$A$1:$G$49,MATCH([1]orders!$D664,[1]products!$A$1:$A$49,0),MATCH([1]orders!K$1,[1]products!$A$1:$G$1,0))</f>
        <v>2.5</v>
      </c>
      <c r="H664">
        <f>INDEX([1]products!$A$1:$G$49,MATCH([1]orders!$D664,[1]products!$A$1:$A$49,0),MATCH([1]orders!L$1,[1]products!$A$1:$G$1,0))</f>
        <v>29.784999999999997</v>
      </c>
      <c r="I664">
        <f t="shared" si="10"/>
        <v>148.92499999999998</v>
      </c>
    </row>
    <row r="665" spans="1:9" x14ac:dyDescent="0.25">
      <c r="A665" t="s">
        <v>1290</v>
      </c>
      <c r="B665">
        <v>43554</v>
      </c>
      <c r="C665" t="s">
        <v>1291</v>
      </c>
      <c r="D665" t="str">
        <f>INDEX('Customers (2)'!B:B,MATCH('Customers (2)'!A665,'Customers (2)'!A:A,0))</f>
        <v>Corrie Wass</v>
      </c>
      <c r="E665" t="s">
        <v>61</v>
      </c>
      <c r="F665">
        <v>6</v>
      </c>
      <c r="G665">
        <f>INDEX([1]products!$A$1:$G$49,MATCH([1]orders!$D665,[1]products!$A$1:$A$49,0),MATCH([1]orders!K$1,[1]products!$A$1:$G$1,0))</f>
        <v>1</v>
      </c>
      <c r="H665">
        <f>INDEX([1]products!$A$1:$G$49,MATCH([1]orders!$D665,[1]products!$A$1:$A$49,0),MATCH([1]orders!L$1,[1]products!$A$1:$G$1,0))</f>
        <v>11.25</v>
      </c>
      <c r="I665">
        <f t="shared" si="10"/>
        <v>67.5</v>
      </c>
    </row>
    <row r="666" spans="1:9" x14ac:dyDescent="0.25">
      <c r="A666" t="s">
        <v>1292</v>
      </c>
      <c r="B666">
        <v>44549</v>
      </c>
      <c r="C666" t="s">
        <v>1293</v>
      </c>
      <c r="D666" t="str">
        <f>INDEX('Customers (2)'!B:B,MATCH('Customers (2)'!A666,'Customers (2)'!A:A,0))</f>
        <v>Ira Sjostrom</v>
      </c>
      <c r="E666" t="s">
        <v>245</v>
      </c>
      <c r="F666">
        <v>6</v>
      </c>
      <c r="G666">
        <f>INDEX([1]products!$A$1:$G$49,MATCH([1]orders!$D666,[1]products!$A$1:$A$49,0),MATCH([1]orders!K$1,[1]products!$A$1:$G$1,0))</f>
        <v>1</v>
      </c>
      <c r="H666">
        <f>INDEX([1]products!$A$1:$G$49,MATCH([1]orders!$D666,[1]products!$A$1:$A$49,0),MATCH([1]orders!L$1,[1]products!$A$1:$G$1,0))</f>
        <v>12.15</v>
      </c>
      <c r="I666">
        <f t="shared" si="10"/>
        <v>72.900000000000006</v>
      </c>
    </row>
    <row r="667" spans="1:9" x14ac:dyDescent="0.25">
      <c r="A667" t="s">
        <v>1292</v>
      </c>
      <c r="B667">
        <v>44549</v>
      </c>
      <c r="C667" t="s">
        <v>1293</v>
      </c>
      <c r="D667" t="str">
        <f>INDEX('Customers (2)'!B:B,MATCH('Customers (2)'!A667,'Customers (2)'!A:A,0))</f>
        <v>Helli Load</v>
      </c>
      <c r="E667" t="s">
        <v>38</v>
      </c>
      <c r="F667">
        <v>2</v>
      </c>
      <c r="G667">
        <f>INDEX([1]products!$A$1:$G$49,MATCH([1]orders!$D667,[1]products!$A$1:$A$49,0),MATCH([1]orders!K$1,[1]products!$A$1:$G$1,0))</f>
        <v>0.2</v>
      </c>
      <c r="H667">
        <f>INDEX([1]products!$A$1:$G$49,MATCH([1]orders!$D667,[1]products!$A$1:$A$49,0),MATCH([1]orders!L$1,[1]products!$A$1:$G$1,0))</f>
        <v>3.8849999999999998</v>
      </c>
      <c r="I667">
        <f t="shared" si="10"/>
        <v>7.77</v>
      </c>
    </row>
    <row r="668" spans="1:9" x14ac:dyDescent="0.25">
      <c r="A668" t="s">
        <v>1294</v>
      </c>
      <c r="B668">
        <v>43987</v>
      </c>
      <c r="C668" t="s">
        <v>1295</v>
      </c>
      <c r="D668" t="str">
        <f>INDEX('Customers (2)'!B:B,MATCH('Customers (2)'!A668,'Customers (2)'!A:A,0))</f>
        <v>Jermaine Branchett</v>
      </c>
      <c r="E668" t="s">
        <v>118</v>
      </c>
      <c r="F668">
        <v>4</v>
      </c>
      <c r="G668">
        <f>INDEX([1]products!$A$1:$G$49,MATCH([1]orders!$D668,[1]products!$A$1:$A$49,0),MATCH([1]orders!K$1,[1]products!$A$1:$G$1,0))</f>
        <v>2.5</v>
      </c>
      <c r="H668">
        <f>INDEX([1]products!$A$1:$G$49,MATCH([1]orders!$D668,[1]products!$A$1:$A$49,0),MATCH([1]orders!L$1,[1]products!$A$1:$G$1,0))</f>
        <v>22.884999999999998</v>
      </c>
      <c r="I668">
        <f t="shared" si="10"/>
        <v>91.539999999999992</v>
      </c>
    </row>
    <row r="669" spans="1:9" x14ac:dyDescent="0.25">
      <c r="A669" t="s">
        <v>1296</v>
      </c>
      <c r="B669">
        <v>44451</v>
      </c>
      <c r="C669" t="s">
        <v>1297</v>
      </c>
      <c r="D669" t="str">
        <f>INDEX('Customers (2)'!B:B,MATCH('Customers (2)'!A669,'Customers (2)'!A:A,0))</f>
        <v>Nissie Rudland</v>
      </c>
      <c r="E669" t="s">
        <v>27</v>
      </c>
      <c r="F669">
        <v>6</v>
      </c>
      <c r="G669">
        <f>INDEX([1]products!$A$1:$G$49,MATCH([1]orders!$D669,[1]products!$A$1:$A$49,0),MATCH([1]orders!K$1,[1]products!$A$1:$G$1,0))</f>
        <v>1</v>
      </c>
      <c r="H669">
        <f>INDEX([1]products!$A$1:$G$49,MATCH([1]orders!$D669,[1]products!$A$1:$A$49,0),MATCH([1]orders!L$1,[1]products!$A$1:$G$1,0))</f>
        <v>9.9499999999999993</v>
      </c>
      <c r="I669">
        <f t="shared" si="10"/>
        <v>59.699999999999996</v>
      </c>
    </row>
    <row r="670" spans="1:9" x14ac:dyDescent="0.25">
      <c r="A670" t="s">
        <v>1298</v>
      </c>
      <c r="B670">
        <v>44636</v>
      </c>
      <c r="C670" t="s">
        <v>1281</v>
      </c>
      <c r="D670" t="str">
        <f>INDEX('Customers (2)'!B:B,MATCH('Customers (2)'!A670,'Customers (2)'!A:A,0))</f>
        <v>Janella Millett</v>
      </c>
      <c r="E670" t="s">
        <v>10</v>
      </c>
      <c r="F670">
        <v>5</v>
      </c>
      <c r="G670">
        <f>INDEX([1]products!$A$1:$G$49,MATCH([1]orders!$D670,[1]products!$A$1:$A$49,0),MATCH([1]orders!K$1,[1]products!$A$1:$G$1,0))</f>
        <v>2.5</v>
      </c>
      <c r="H670">
        <f>INDEX([1]products!$A$1:$G$49,MATCH([1]orders!$D670,[1]products!$A$1:$A$49,0),MATCH([1]orders!L$1,[1]products!$A$1:$G$1,0))</f>
        <v>27.484999999999996</v>
      </c>
      <c r="I670">
        <f t="shared" si="10"/>
        <v>137.42499999999998</v>
      </c>
    </row>
    <row r="671" spans="1:9" x14ac:dyDescent="0.25">
      <c r="A671" t="s">
        <v>1299</v>
      </c>
      <c r="B671">
        <v>44551</v>
      </c>
      <c r="C671" t="s">
        <v>1300</v>
      </c>
      <c r="D671" t="str">
        <f>INDEX('Customers (2)'!B:B,MATCH('Customers (2)'!A671,'Customers (2)'!A:A,0))</f>
        <v>Ferdie Tourry</v>
      </c>
      <c r="E671" t="s">
        <v>197</v>
      </c>
      <c r="F671">
        <v>2</v>
      </c>
      <c r="G671">
        <f>INDEX([1]products!$A$1:$G$49,MATCH([1]orders!$D671,[1]products!$A$1:$A$49,0),MATCH([1]orders!K$1,[1]products!$A$1:$G$1,0))</f>
        <v>2.5</v>
      </c>
      <c r="H671">
        <f>INDEX([1]products!$A$1:$G$49,MATCH([1]orders!$D671,[1]products!$A$1:$A$49,0),MATCH([1]orders!L$1,[1]products!$A$1:$G$1,0))</f>
        <v>33.464999999999996</v>
      </c>
      <c r="I671">
        <f t="shared" si="10"/>
        <v>66.929999999999993</v>
      </c>
    </row>
    <row r="672" spans="1:9" x14ac:dyDescent="0.25">
      <c r="A672" t="s">
        <v>1301</v>
      </c>
      <c r="B672">
        <v>43606</v>
      </c>
      <c r="C672" t="s">
        <v>1302</v>
      </c>
      <c r="D672" t="str">
        <f>INDEX('Customers (2)'!B:B,MATCH('Customers (2)'!A672,'Customers (2)'!A:A,0))</f>
        <v>Cecil Weatherall</v>
      </c>
      <c r="E672" t="s">
        <v>77</v>
      </c>
      <c r="F672">
        <v>3</v>
      </c>
      <c r="G672">
        <f>INDEX([1]products!$A$1:$G$49,MATCH([1]orders!$D672,[1]products!$A$1:$A$49,0),MATCH([1]orders!K$1,[1]products!$A$1:$G$1,0))</f>
        <v>0.2</v>
      </c>
      <c r="H672">
        <f>INDEX([1]products!$A$1:$G$49,MATCH([1]orders!$D672,[1]products!$A$1:$A$49,0),MATCH([1]orders!L$1,[1]products!$A$1:$G$1,0))</f>
        <v>4.3650000000000002</v>
      </c>
      <c r="I672">
        <f t="shared" si="10"/>
        <v>13.095000000000001</v>
      </c>
    </row>
    <row r="673" spans="1:9" x14ac:dyDescent="0.25">
      <c r="A673" t="s">
        <v>1303</v>
      </c>
      <c r="B673">
        <v>44495</v>
      </c>
      <c r="C673" t="s">
        <v>1304</v>
      </c>
      <c r="D673" t="str">
        <f>INDEX('Customers (2)'!B:B,MATCH('Customers (2)'!A673,'Customers (2)'!A:A,0))</f>
        <v>Gale Heindrick</v>
      </c>
      <c r="E673" t="s">
        <v>189</v>
      </c>
      <c r="F673">
        <v>5</v>
      </c>
      <c r="G673">
        <f>INDEX([1]products!$A$1:$G$49,MATCH([1]orders!$D673,[1]products!$A$1:$A$49,0),MATCH([1]orders!K$1,[1]products!$A$1:$G$1,0))</f>
        <v>1</v>
      </c>
      <c r="H673">
        <f>INDEX([1]products!$A$1:$G$49,MATCH([1]orders!$D673,[1]products!$A$1:$A$49,0),MATCH([1]orders!L$1,[1]products!$A$1:$G$1,0))</f>
        <v>11.95</v>
      </c>
      <c r="I673">
        <f t="shared" si="10"/>
        <v>59.75</v>
      </c>
    </row>
    <row r="674" spans="1:9" x14ac:dyDescent="0.25">
      <c r="A674" t="s">
        <v>1305</v>
      </c>
      <c r="B674">
        <v>43916</v>
      </c>
      <c r="C674" t="s">
        <v>1306</v>
      </c>
      <c r="D674" t="str">
        <f>INDEX('Customers (2)'!B:B,MATCH('Customers (2)'!A674,'Customers (2)'!A:A,0))</f>
        <v>Layne Imason</v>
      </c>
      <c r="E674" t="s">
        <v>78</v>
      </c>
      <c r="F674">
        <v>5</v>
      </c>
      <c r="G674">
        <f>INDEX([1]products!$A$1:$G$49,MATCH([1]orders!$D674,[1]products!$A$1:$A$49,0),MATCH([1]orders!K$1,[1]products!$A$1:$G$1,0))</f>
        <v>0.5</v>
      </c>
      <c r="H674">
        <f>INDEX([1]products!$A$1:$G$49,MATCH([1]orders!$D674,[1]products!$A$1:$A$49,0),MATCH([1]orders!L$1,[1]products!$A$1:$G$1,0))</f>
        <v>8.73</v>
      </c>
      <c r="I674">
        <f t="shared" si="10"/>
        <v>43.650000000000006</v>
      </c>
    </row>
    <row r="675" spans="1:9" x14ac:dyDescent="0.25">
      <c r="A675" t="s">
        <v>1307</v>
      </c>
      <c r="B675">
        <v>44118</v>
      </c>
      <c r="C675" t="s">
        <v>1308</v>
      </c>
      <c r="D675" t="str">
        <f>INDEX('Customers (2)'!B:B,MATCH('Customers (2)'!A675,'Customers (2)'!A:A,0))</f>
        <v>Hazel Saill</v>
      </c>
      <c r="E675" t="s">
        <v>9</v>
      </c>
      <c r="F675">
        <v>6</v>
      </c>
      <c r="G675">
        <f>INDEX([1]products!$A$1:$G$49,MATCH([1]orders!$D675,[1]products!$A$1:$A$49,0),MATCH([1]orders!K$1,[1]products!$A$1:$G$1,0))</f>
        <v>1</v>
      </c>
      <c r="H675">
        <f>INDEX([1]products!$A$1:$G$49,MATCH([1]orders!$D675,[1]products!$A$1:$A$49,0),MATCH([1]orders!L$1,[1]products!$A$1:$G$1,0))</f>
        <v>13.75</v>
      </c>
      <c r="I675">
        <f t="shared" si="10"/>
        <v>82.5</v>
      </c>
    </row>
    <row r="676" spans="1:9" x14ac:dyDescent="0.25">
      <c r="A676" t="s">
        <v>1309</v>
      </c>
      <c r="B676">
        <v>44543</v>
      </c>
      <c r="C676" t="s">
        <v>1310</v>
      </c>
      <c r="D676" t="str">
        <f>INDEX('Customers (2)'!B:B,MATCH('Customers (2)'!A676,'Customers (2)'!A:A,0))</f>
        <v>Hermann Larvor</v>
      </c>
      <c r="E676" t="s">
        <v>204</v>
      </c>
      <c r="F676">
        <v>6</v>
      </c>
      <c r="G676">
        <f>INDEX([1]products!$A$1:$G$49,MATCH([1]orders!$D676,[1]products!$A$1:$A$49,0),MATCH([1]orders!K$1,[1]products!$A$1:$G$1,0))</f>
        <v>2.5</v>
      </c>
      <c r="H676">
        <f>INDEX([1]products!$A$1:$G$49,MATCH([1]orders!$D676,[1]products!$A$1:$A$49,0),MATCH([1]orders!L$1,[1]products!$A$1:$G$1,0))</f>
        <v>29.784999999999997</v>
      </c>
      <c r="I676">
        <f t="shared" si="10"/>
        <v>178.70999999999998</v>
      </c>
    </row>
    <row r="677" spans="1:9" x14ac:dyDescent="0.25">
      <c r="A677" t="s">
        <v>1311</v>
      </c>
      <c r="B677">
        <v>44263</v>
      </c>
      <c r="C677" t="s">
        <v>1312</v>
      </c>
      <c r="D677" t="str">
        <f>INDEX('Customers (2)'!B:B,MATCH('Customers (2)'!A677,'Customers (2)'!A:A,0))</f>
        <v>Terri Lyford</v>
      </c>
      <c r="E677" t="s">
        <v>109</v>
      </c>
      <c r="F677">
        <v>4</v>
      </c>
      <c r="G677">
        <f>INDEX([1]products!$A$1:$G$49,MATCH([1]orders!$D677,[1]products!$A$1:$A$49,0),MATCH([1]orders!K$1,[1]products!$A$1:$G$1,0))</f>
        <v>2.5</v>
      </c>
      <c r="H677">
        <f>INDEX([1]products!$A$1:$G$49,MATCH([1]orders!$D677,[1]products!$A$1:$A$49,0),MATCH([1]orders!L$1,[1]products!$A$1:$G$1,0))</f>
        <v>29.784999999999997</v>
      </c>
      <c r="I677">
        <f t="shared" si="10"/>
        <v>119.13999999999999</v>
      </c>
    </row>
    <row r="678" spans="1:9" x14ac:dyDescent="0.25">
      <c r="A678" t="s">
        <v>1313</v>
      </c>
      <c r="B678">
        <v>44217</v>
      </c>
      <c r="C678" t="s">
        <v>1314</v>
      </c>
      <c r="D678" t="str">
        <f>INDEX('Customers (2)'!B:B,MATCH('Customers (2)'!A678,'Customers (2)'!A:A,0))</f>
        <v>Gabey Cogan</v>
      </c>
      <c r="E678" t="s">
        <v>83</v>
      </c>
      <c r="F678">
        <v>5</v>
      </c>
      <c r="G678">
        <f>INDEX([1]products!$A$1:$G$49,MATCH([1]orders!$D678,[1]products!$A$1:$A$49,0),MATCH([1]orders!K$1,[1]products!$A$1:$G$1,0))</f>
        <v>0.5</v>
      </c>
      <c r="H678">
        <f>INDEX([1]products!$A$1:$G$49,MATCH([1]orders!$D678,[1]products!$A$1:$A$49,0),MATCH([1]orders!L$1,[1]products!$A$1:$G$1,0))</f>
        <v>9.51</v>
      </c>
      <c r="I678">
        <f t="shared" si="10"/>
        <v>47.55</v>
      </c>
    </row>
    <row r="679" spans="1:9" x14ac:dyDescent="0.25">
      <c r="A679" t="s">
        <v>1315</v>
      </c>
      <c r="B679">
        <v>44206</v>
      </c>
      <c r="C679" t="s">
        <v>1316</v>
      </c>
      <c r="D679" t="str">
        <f>INDEX('Customers (2)'!B:B,MATCH('Customers (2)'!A679,'Customers (2)'!A:A,0))</f>
        <v>Charin Penwarden</v>
      </c>
      <c r="E679" t="s">
        <v>78</v>
      </c>
      <c r="F679">
        <v>5</v>
      </c>
      <c r="G679">
        <f>INDEX([1]products!$A$1:$G$49,MATCH([1]orders!$D679,[1]products!$A$1:$A$49,0),MATCH([1]orders!K$1,[1]products!$A$1:$G$1,0))</f>
        <v>0.5</v>
      </c>
      <c r="H679">
        <f>INDEX([1]products!$A$1:$G$49,MATCH([1]orders!$D679,[1]products!$A$1:$A$49,0),MATCH([1]orders!L$1,[1]products!$A$1:$G$1,0))</f>
        <v>8.73</v>
      </c>
      <c r="I679">
        <f t="shared" si="10"/>
        <v>43.650000000000006</v>
      </c>
    </row>
    <row r="680" spans="1:9" x14ac:dyDescent="0.25">
      <c r="A680" t="s">
        <v>1317</v>
      </c>
      <c r="B680">
        <v>44281</v>
      </c>
      <c r="C680" t="s">
        <v>1318</v>
      </c>
      <c r="D680" t="str">
        <f>INDEX('Customers (2)'!B:B,MATCH('Customers (2)'!A680,'Customers (2)'!A:A,0))</f>
        <v>Milty Middis</v>
      </c>
      <c r="E680" t="s">
        <v>204</v>
      </c>
      <c r="F680">
        <v>6</v>
      </c>
      <c r="G680">
        <f>INDEX([1]products!$A$1:$G$49,MATCH([1]orders!$D680,[1]products!$A$1:$A$49,0),MATCH([1]orders!K$1,[1]products!$A$1:$G$1,0))</f>
        <v>2.5</v>
      </c>
      <c r="H680">
        <f>INDEX([1]products!$A$1:$G$49,MATCH([1]orders!$D680,[1]products!$A$1:$A$49,0),MATCH([1]orders!L$1,[1]products!$A$1:$G$1,0))</f>
        <v>29.784999999999997</v>
      </c>
      <c r="I680">
        <f t="shared" si="10"/>
        <v>178.70999999999998</v>
      </c>
    </row>
    <row r="681" spans="1:9" x14ac:dyDescent="0.25">
      <c r="A681" t="s">
        <v>1319</v>
      </c>
      <c r="B681">
        <v>44645</v>
      </c>
      <c r="C681" t="s">
        <v>1320</v>
      </c>
      <c r="D681" t="str">
        <f>INDEX('Customers (2)'!B:B,MATCH('Customers (2)'!A681,'Customers (2)'!A:A,0))</f>
        <v>Adrianne Vairow</v>
      </c>
      <c r="E681" t="s">
        <v>10</v>
      </c>
      <c r="F681">
        <v>1</v>
      </c>
      <c r="G681">
        <f>INDEX([1]products!$A$1:$G$49,MATCH([1]orders!$D681,[1]products!$A$1:$A$49,0),MATCH([1]orders!K$1,[1]products!$A$1:$G$1,0))</f>
        <v>2.5</v>
      </c>
      <c r="H681">
        <f>INDEX([1]products!$A$1:$G$49,MATCH([1]orders!$D681,[1]products!$A$1:$A$49,0),MATCH([1]orders!L$1,[1]products!$A$1:$G$1,0))</f>
        <v>27.484999999999996</v>
      </c>
      <c r="I681">
        <f t="shared" si="10"/>
        <v>27.484999999999996</v>
      </c>
    </row>
    <row r="682" spans="1:9" x14ac:dyDescent="0.25">
      <c r="A682" t="s">
        <v>1321</v>
      </c>
      <c r="B682">
        <v>44399</v>
      </c>
      <c r="C682" t="s">
        <v>1322</v>
      </c>
      <c r="D682" t="str">
        <f>INDEX('Customers (2)'!B:B,MATCH('Customers (2)'!A682,'Customers (2)'!A:A,0))</f>
        <v>Anjanette Goldie</v>
      </c>
      <c r="E682" t="s">
        <v>61</v>
      </c>
      <c r="F682">
        <v>5</v>
      </c>
      <c r="G682">
        <f>INDEX([1]products!$A$1:$G$49,MATCH([1]orders!$D682,[1]products!$A$1:$A$49,0),MATCH([1]orders!K$1,[1]products!$A$1:$G$1,0))</f>
        <v>1</v>
      </c>
      <c r="H682">
        <f>INDEX([1]products!$A$1:$G$49,MATCH([1]orders!$D682,[1]products!$A$1:$A$49,0),MATCH([1]orders!L$1,[1]products!$A$1:$G$1,0))</f>
        <v>11.25</v>
      </c>
      <c r="I682">
        <f t="shared" si="10"/>
        <v>56.25</v>
      </c>
    </row>
    <row r="683" spans="1:9" x14ac:dyDescent="0.25">
      <c r="A683" t="s">
        <v>1323</v>
      </c>
      <c r="B683">
        <v>44080</v>
      </c>
      <c r="C683" t="s">
        <v>1324</v>
      </c>
      <c r="D683" t="str">
        <f>INDEX('Customers (2)'!B:B,MATCH('Customers (2)'!A683,'Customers (2)'!A:A,0))</f>
        <v>Nicky Ayris</v>
      </c>
      <c r="E683" t="s">
        <v>19</v>
      </c>
      <c r="F683">
        <v>2</v>
      </c>
      <c r="G683">
        <f>INDEX([1]products!$A$1:$G$49,MATCH([1]orders!$D683,[1]products!$A$1:$A$49,0),MATCH([1]orders!K$1,[1]products!$A$1:$G$1,0))</f>
        <v>0.2</v>
      </c>
      <c r="H683">
        <f>INDEX([1]products!$A$1:$G$49,MATCH([1]orders!$D683,[1]products!$A$1:$A$49,0),MATCH([1]orders!L$1,[1]products!$A$1:$G$1,0))</f>
        <v>4.7549999999999999</v>
      </c>
      <c r="I683">
        <f t="shared" si="10"/>
        <v>9.51</v>
      </c>
    </row>
    <row r="684" spans="1:9" x14ac:dyDescent="0.25">
      <c r="A684" t="s">
        <v>1325</v>
      </c>
      <c r="B684">
        <v>43827</v>
      </c>
      <c r="C684" t="s">
        <v>1326</v>
      </c>
      <c r="D684" t="str">
        <f>INDEX('Customers (2)'!B:B,MATCH('Customers (2)'!A684,'Customers (2)'!A:A,0))</f>
        <v>Laryssa Benediktovich</v>
      </c>
      <c r="E684" t="s">
        <v>64</v>
      </c>
      <c r="F684">
        <v>2</v>
      </c>
      <c r="G684">
        <f>INDEX([1]products!$A$1:$G$49,MATCH([1]orders!$D684,[1]products!$A$1:$A$49,0),MATCH([1]orders!K$1,[1]products!$A$1:$G$1,0))</f>
        <v>0.2</v>
      </c>
      <c r="H684">
        <f>INDEX([1]products!$A$1:$G$49,MATCH([1]orders!$D684,[1]products!$A$1:$A$49,0),MATCH([1]orders!L$1,[1]products!$A$1:$G$1,0))</f>
        <v>4.125</v>
      </c>
      <c r="I684">
        <f t="shared" si="10"/>
        <v>8.25</v>
      </c>
    </row>
    <row r="685" spans="1:9" x14ac:dyDescent="0.25">
      <c r="A685" t="s">
        <v>1327</v>
      </c>
      <c r="B685">
        <v>43941</v>
      </c>
      <c r="C685" t="s">
        <v>1328</v>
      </c>
      <c r="D685" t="str">
        <f>INDEX('Customers (2)'!B:B,MATCH('Customers (2)'!A685,'Customers (2)'!A:A,0))</f>
        <v>Theo Jacobovitz</v>
      </c>
      <c r="E685" t="s">
        <v>123</v>
      </c>
      <c r="F685">
        <v>6</v>
      </c>
      <c r="G685">
        <f>INDEX([1]products!$A$1:$G$49,MATCH([1]orders!$D685,[1]products!$A$1:$A$49,0),MATCH([1]orders!K$1,[1]products!$A$1:$G$1,0))</f>
        <v>0.5</v>
      </c>
      <c r="H685">
        <f>INDEX([1]products!$A$1:$G$49,MATCH([1]orders!$D685,[1]products!$A$1:$A$49,0),MATCH([1]orders!L$1,[1]products!$A$1:$G$1,0))</f>
        <v>7.77</v>
      </c>
      <c r="I685">
        <f t="shared" si="10"/>
        <v>46.62</v>
      </c>
    </row>
    <row r="686" spans="1:9" x14ac:dyDescent="0.25">
      <c r="A686" t="s">
        <v>1329</v>
      </c>
      <c r="B686">
        <v>43517</v>
      </c>
      <c r="C686" t="s">
        <v>1330</v>
      </c>
      <c r="D686" t="str">
        <f>INDEX('Customers (2)'!B:B,MATCH('Customers (2)'!A686,'Customers (2)'!A:A,0))</f>
        <v>Becca Ableson</v>
      </c>
      <c r="E686" t="s">
        <v>189</v>
      </c>
      <c r="F686">
        <v>6</v>
      </c>
      <c r="G686">
        <f>INDEX([1]products!$A$1:$G$49,MATCH([1]orders!$D686,[1]products!$A$1:$A$49,0),MATCH([1]orders!K$1,[1]products!$A$1:$G$1,0))</f>
        <v>1</v>
      </c>
      <c r="H686">
        <f>INDEX([1]products!$A$1:$G$49,MATCH([1]orders!$D686,[1]products!$A$1:$A$49,0),MATCH([1]orders!L$1,[1]products!$A$1:$G$1,0))</f>
        <v>11.95</v>
      </c>
      <c r="I686">
        <f t="shared" si="10"/>
        <v>71.699999999999989</v>
      </c>
    </row>
    <row r="687" spans="1:9" x14ac:dyDescent="0.25">
      <c r="A687" t="s">
        <v>1331</v>
      </c>
      <c r="B687">
        <v>44637</v>
      </c>
      <c r="C687" t="s">
        <v>1332</v>
      </c>
      <c r="D687" t="str">
        <f>INDEX('Customers (2)'!B:B,MATCH('Customers (2)'!A687,'Customers (2)'!A:A,0))</f>
        <v>Jeno Druitt</v>
      </c>
      <c r="E687" t="s">
        <v>104</v>
      </c>
      <c r="F687">
        <v>2</v>
      </c>
      <c r="G687">
        <f>INDEX([1]products!$A$1:$G$49,MATCH([1]orders!$D687,[1]products!$A$1:$A$49,0),MATCH([1]orders!K$1,[1]products!$A$1:$G$1,0))</f>
        <v>2.5</v>
      </c>
      <c r="H687">
        <f>INDEX([1]products!$A$1:$G$49,MATCH([1]orders!$D687,[1]products!$A$1:$A$49,0),MATCH([1]orders!L$1,[1]products!$A$1:$G$1,0))</f>
        <v>36.454999999999998</v>
      </c>
      <c r="I687">
        <f t="shared" si="10"/>
        <v>72.91</v>
      </c>
    </row>
    <row r="688" spans="1:9" x14ac:dyDescent="0.25">
      <c r="A688" t="s">
        <v>1333</v>
      </c>
      <c r="B688">
        <v>44330</v>
      </c>
      <c r="C688" t="s">
        <v>1334</v>
      </c>
      <c r="D688" t="str">
        <f>INDEX('Customers (2)'!B:B,MATCH('Customers (2)'!A688,'Customers (2)'!A:A,0))</f>
        <v>Deonne Shortall</v>
      </c>
      <c r="E688" t="s">
        <v>101</v>
      </c>
      <c r="F688">
        <v>3</v>
      </c>
      <c r="G688">
        <f>INDEX([1]products!$A$1:$G$49,MATCH([1]orders!$D688,[1]products!$A$1:$A$49,0),MATCH([1]orders!K$1,[1]products!$A$1:$G$1,0))</f>
        <v>0.2</v>
      </c>
      <c r="H688">
        <f>INDEX([1]products!$A$1:$G$49,MATCH([1]orders!$D688,[1]products!$A$1:$A$49,0),MATCH([1]orders!L$1,[1]products!$A$1:$G$1,0))</f>
        <v>2.6849999999999996</v>
      </c>
      <c r="I688">
        <f t="shared" si="10"/>
        <v>8.0549999999999997</v>
      </c>
    </row>
    <row r="689" spans="1:9" x14ac:dyDescent="0.25">
      <c r="A689" t="s">
        <v>1335</v>
      </c>
      <c r="B689">
        <v>43471</v>
      </c>
      <c r="C689" t="s">
        <v>1336</v>
      </c>
      <c r="D689" t="str">
        <f>INDEX('Customers (2)'!B:B,MATCH('Customers (2)'!A689,'Customers (2)'!A:A,0))</f>
        <v>Wilton Cottier</v>
      </c>
      <c r="E689" t="s">
        <v>3</v>
      </c>
      <c r="F689">
        <v>2</v>
      </c>
      <c r="G689">
        <f>INDEX([1]products!$A$1:$G$49,MATCH([1]orders!$D689,[1]products!$A$1:$A$49,0),MATCH([1]orders!K$1,[1]products!$A$1:$G$1,0))</f>
        <v>0.5</v>
      </c>
      <c r="H689">
        <f>INDEX([1]products!$A$1:$G$49,MATCH([1]orders!$D689,[1]products!$A$1:$A$49,0),MATCH([1]orders!L$1,[1]products!$A$1:$G$1,0))</f>
        <v>8.25</v>
      </c>
      <c r="I689">
        <f t="shared" si="10"/>
        <v>16.5</v>
      </c>
    </row>
    <row r="690" spans="1:9" x14ac:dyDescent="0.25">
      <c r="A690" t="s">
        <v>1337</v>
      </c>
      <c r="B690">
        <v>43579</v>
      </c>
      <c r="C690" t="s">
        <v>1338</v>
      </c>
      <c r="D690" t="str">
        <f>INDEX('Customers (2)'!B:B,MATCH('Customers (2)'!A690,'Customers (2)'!A:A,0))</f>
        <v>Kevan Grinsted</v>
      </c>
      <c r="E690" t="s">
        <v>6</v>
      </c>
      <c r="F690">
        <v>5</v>
      </c>
      <c r="G690">
        <f>INDEX([1]products!$A$1:$G$49,MATCH([1]orders!$D690,[1]products!$A$1:$A$49,0),MATCH([1]orders!K$1,[1]products!$A$1:$G$1,0))</f>
        <v>1</v>
      </c>
      <c r="H690">
        <f>INDEX([1]products!$A$1:$G$49,MATCH([1]orders!$D690,[1]products!$A$1:$A$49,0),MATCH([1]orders!L$1,[1]products!$A$1:$G$1,0))</f>
        <v>12.95</v>
      </c>
      <c r="I690">
        <f t="shared" si="10"/>
        <v>64.75</v>
      </c>
    </row>
    <row r="691" spans="1:9" x14ac:dyDescent="0.25">
      <c r="A691" t="s">
        <v>1339</v>
      </c>
      <c r="B691">
        <v>44346</v>
      </c>
      <c r="C691" t="s">
        <v>1340</v>
      </c>
      <c r="D691" t="str">
        <f>INDEX('Customers (2)'!B:B,MATCH('Customers (2)'!A691,'Customers (2)'!A:A,0))</f>
        <v>Dionne Skyner</v>
      </c>
      <c r="E691" t="s">
        <v>67</v>
      </c>
      <c r="F691">
        <v>5</v>
      </c>
      <c r="G691">
        <f>INDEX([1]products!$A$1:$G$49,MATCH([1]orders!$D691,[1]products!$A$1:$A$49,0),MATCH([1]orders!K$1,[1]products!$A$1:$G$1,0))</f>
        <v>0.5</v>
      </c>
      <c r="H691">
        <f>INDEX([1]products!$A$1:$G$49,MATCH([1]orders!$D691,[1]products!$A$1:$A$49,0),MATCH([1]orders!L$1,[1]products!$A$1:$G$1,0))</f>
        <v>6.75</v>
      </c>
      <c r="I691">
        <f t="shared" si="10"/>
        <v>33.75</v>
      </c>
    </row>
    <row r="692" spans="1:9" x14ac:dyDescent="0.25">
      <c r="A692" t="s">
        <v>1341</v>
      </c>
      <c r="B692">
        <v>44754</v>
      </c>
      <c r="C692" t="s">
        <v>1342</v>
      </c>
      <c r="D692" t="str">
        <f>INDEX('Customers (2)'!B:B,MATCH('Customers (2)'!A692,'Customers (2)'!A:A,0))</f>
        <v>Francesco Dressel</v>
      </c>
      <c r="E692" t="s">
        <v>109</v>
      </c>
      <c r="F692">
        <v>6</v>
      </c>
      <c r="G692">
        <f>INDEX([1]products!$A$1:$G$49,MATCH([1]orders!$D692,[1]products!$A$1:$A$49,0),MATCH([1]orders!K$1,[1]products!$A$1:$G$1,0))</f>
        <v>2.5</v>
      </c>
      <c r="H692">
        <f>INDEX([1]products!$A$1:$G$49,MATCH([1]orders!$D692,[1]products!$A$1:$A$49,0),MATCH([1]orders!L$1,[1]products!$A$1:$G$1,0))</f>
        <v>29.784999999999997</v>
      </c>
      <c r="I692">
        <f t="shared" si="10"/>
        <v>178.70999999999998</v>
      </c>
    </row>
    <row r="693" spans="1:9" x14ac:dyDescent="0.25">
      <c r="A693" t="s">
        <v>1343</v>
      </c>
      <c r="B693">
        <v>44227</v>
      </c>
      <c r="C693" t="s">
        <v>1344</v>
      </c>
      <c r="D693" t="str">
        <f>INDEX('Customers (2)'!B:B,MATCH('Customers (2)'!A693,'Customers (2)'!A:A,0))</f>
        <v>Paola Normanvill</v>
      </c>
      <c r="E693" t="s">
        <v>61</v>
      </c>
      <c r="F693">
        <v>2</v>
      </c>
      <c r="G693">
        <f>INDEX([1]products!$A$1:$G$49,MATCH([1]orders!$D693,[1]products!$A$1:$A$49,0),MATCH([1]orders!K$1,[1]products!$A$1:$G$1,0))</f>
        <v>1</v>
      </c>
      <c r="H693">
        <f>INDEX([1]products!$A$1:$G$49,MATCH([1]orders!$D693,[1]products!$A$1:$A$49,0),MATCH([1]orders!L$1,[1]products!$A$1:$G$1,0))</f>
        <v>11.25</v>
      </c>
      <c r="I693">
        <f t="shared" si="10"/>
        <v>22.5</v>
      </c>
    </row>
    <row r="694" spans="1:9" x14ac:dyDescent="0.25">
      <c r="A694" t="s">
        <v>1345</v>
      </c>
      <c r="B694">
        <v>43720</v>
      </c>
      <c r="C694" t="s">
        <v>1346</v>
      </c>
      <c r="D694" t="str">
        <f>INDEX('Customers (2)'!B:B,MATCH('Customers (2)'!A694,'Customers (2)'!A:A,0))</f>
        <v>Ambrosio Weinmann</v>
      </c>
      <c r="E694" t="s">
        <v>13</v>
      </c>
      <c r="F694">
        <v>1</v>
      </c>
      <c r="G694">
        <f>INDEX([1]products!$A$1:$G$49,MATCH([1]orders!$D694,[1]products!$A$1:$A$49,0),MATCH([1]orders!K$1,[1]products!$A$1:$G$1,0))</f>
        <v>1</v>
      </c>
      <c r="H694">
        <f>INDEX([1]products!$A$1:$G$49,MATCH([1]orders!$D694,[1]products!$A$1:$A$49,0),MATCH([1]orders!L$1,[1]products!$A$1:$G$1,0))</f>
        <v>12.95</v>
      </c>
      <c r="I694">
        <f t="shared" si="10"/>
        <v>12.95</v>
      </c>
    </row>
    <row r="695" spans="1:9" x14ac:dyDescent="0.25">
      <c r="A695" t="s">
        <v>1347</v>
      </c>
      <c r="B695">
        <v>44012</v>
      </c>
      <c r="C695" t="s">
        <v>1348</v>
      </c>
      <c r="D695" t="str">
        <f>INDEX('Customers (2)'!B:B,MATCH('Customers (2)'!A695,'Customers (2)'!A:A,0))</f>
        <v>Elden Andriessen</v>
      </c>
      <c r="E695" t="s">
        <v>171</v>
      </c>
      <c r="F695">
        <v>2</v>
      </c>
      <c r="G695">
        <f>INDEX([1]products!$A$1:$G$49,MATCH([1]orders!$D695,[1]products!$A$1:$A$49,0),MATCH([1]orders!K$1,[1]products!$A$1:$G$1,0))</f>
        <v>2.5</v>
      </c>
      <c r="H695">
        <f>INDEX([1]products!$A$1:$G$49,MATCH([1]orders!$D695,[1]products!$A$1:$A$49,0),MATCH([1]orders!L$1,[1]products!$A$1:$G$1,0))</f>
        <v>25.874999999999996</v>
      </c>
      <c r="I695">
        <f t="shared" si="10"/>
        <v>51.749999999999993</v>
      </c>
    </row>
    <row r="696" spans="1:9" x14ac:dyDescent="0.25">
      <c r="A696" t="s">
        <v>1349</v>
      </c>
      <c r="B696">
        <v>43915</v>
      </c>
      <c r="C696" t="s">
        <v>1350</v>
      </c>
      <c r="D696" t="str">
        <f>INDEX('Customers (2)'!B:B,MATCH('Customers (2)'!A696,'Customers (2)'!A:A,0))</f>
        <v>Roxie Deaconson</v>
      </c>
      <c r="E696" t="s">
        <v>16</v>
      </c>
      <c r="F696">
        <v>5</v>
      </c>
      <c r="G696">
        <f>INDEX([1]products!$A$1:$G$49,MATCH([1]orders!$D696,[1]products!$A$1:$A$49,0),MATCH([1]orders!K$1,[1]products!$A$1:$G$1,0))</f>
        <v>0.5</v>
      </c>
      <c r="H696">
        <f>INDEX([1]products!$A$1:$G$49,MATCH([1]orders!$D696,[1]products!$A$1:$A$49,0),MATCH([1]orders!L$1,[1]products!$A$1:$G$1,0))</f>
        <v>7.29</v>
      </c>
      <c r="I696">
        <f t="shared" si="10"/>
        <v>36.450000000000003</v>
      </c>
    </row>
    <row r="697" spans="1:9" x14ac:dyDescent="0.25">
      <c r="A697" t="s">
        <v>1351</v>
      </c>
      <c r="B697">
        <v>44300</v>
      </c>
      <c r="C697" t="s">
        <v>1352</v>
      </c>
      <c r="D697" t="str">
        <f>INDEX('Customers (2)'!B:B,MATCH('Customers (2)'!A697,'Customers (2)'!A:A,0))</f>
        <v>Davida Caro</v>
      </c>
      <c r="E697" t="s">
        <v>104</v>
      </c>
      <c r="F697">
        <v>5</v>
      </c>
      <c r="G697">
        <f>INDEX([1]products!$A$1:$G$49,MATCH([1]orders!$D697,[1]products!$A$1:$A$49,0),MATCH([1]orders!K$1,[1]products!$A$1:$G$1,0))</f>
        <v>2.5</v>
      </c>
      <c r="H697">
        <f>INDEX([1]products!$A$1:$G$49,MATCH([1]orders!$D697,[1]products!$A$1:$A$49,0),MATCH([1]orders!L$1,[1]products!$A$1:$G$1,0))</f>
        <v>36.454999999999998</v>
      </c>
      <c r="I697">
        <f t="shared" si="10"/>
        <v>182.27499999999998</v>
      </c>
    </row>
    <row r="698" spans="1:9" x14ac:dyDescent="0.25">
      <c r="A698" t="s">
        <v>1353</v>
      </c>
      <c r="B698">
        <v>43693</v>
      </c>
      <c r="C698" t="s">
        <v>1354</v>
      </c>
      <c r="D698" t="str">
        <f>INDEX('Customers (2)'!B:B,MATCH('Customers (2)'!A698,'Customers (2)'!A:A,0))</f>
        <v>Johna Bluck</v>
      </c>
      <c r="E698" t="s">
        <v>123</v>
      </c>
      <c r="F698">
        <v>4</v>
      </c>
      <c r="G698">
        <f>INDEX([1]products!$A$1:$G$49,MATCH([1]orders!$D698,[1]products!$A$1:$A$49,0),MATCH([1]orders!K$1,[1]products!$A$1:$G$1,0))</f>
        <v>0.5</v>
      </c>
      <c r="H698">
        <f>INDEX([1]products!$A$1:$G$49,MATCH([1]orders!$D698,[1]products!$A$1:$A$49,0),MATCH([1]orders!L$1,[1]products!$A$1:$G$1,0))</f>
        <v>7.77</v>
      </c>
      <c r="I698">
        <f t="shared" si="10"/>
        <v>31.08</v>
      </c>
    </row>
    <row r="699" spans="1:9" x14ac:dyDescent="0.25">
      <c r="A699" t="s">
        <v>1355</v>
      </c>
      <c r="B699">
        <v>44547</v>
      </c>
      <c r="C699" t="s">
        <v>1356</v>
      </c>
      <c r="D699" t="str">
        <f>INDEX('Customers (2)'!B:B,MATCH('Customers (2)'!A699,'Customers (2)'!A:A,0))</f>
        <v>Myrle Dearden</v>
      </c>
      <c r="E699" t="s">
        <v>67</v>
      </c>
      <c r="F699">
        <v>3</v>
      </c>
      <c r="G699">
        <f>INDEX([1]products!$A$1:$G$49,MATCH([1]orders!$D699,[1]products!$A$1:$A$49,0),MATCH([1]orders!K$1,[1]products!$A$1:$G$1,0))</f>
        <v>0.5</v>
      </c>
      <c r="H699">
        <f>INDEX([1]products!$A$1:$G$49,MATCH([1]orders!$D699,[1]products!$A$1:$A$49,0),MATCH([1]orders!L$1,[1]products!$A$1:$G$1,0))</f>
        <v>6.75</v>
      </c>
      <c r="I699">
        <f t="shared" si="10"/>
        <v>20.25</v>
      </c>
    </row>
    <row r="700" spans="1:9" x14ac:dyDescent="0.25">
      <c r="A700" t="s">
        <v>1357</v>
      </c>
      <c r="B700">
        <v>43830</v>
      </c>
      <c r="C700" t="s">
        <v>1344</v>
      </c>
      <c r="D700" t="str">
        <f>INDEX('Customers (2)'!B:B,MATCH('Customers (2)'!A700,'Customers (2)'!A:A,0))</f>
        <v>Jimmy Dymoke</v>
      </c>
      <c r="E700" t="s">
        <v>13</v>
      </c>
      <c r="F700">
        <v>2</v>
      </c>
      <c r="G700">
        <f>INDEX([1]products!$A$1:$G$49,MATCH([1]orders!$D700,[1]products!$A$1:$A$49,0),MATCH([1]orders!K$1,[1]products!$A$1:$G$1,0))</f>
        <v>1</v>
      </c>
      <c r="H700">
        <f>INDEX([1]products!$A$1:$G$49,MATCH([1]orders!$D700,[1]products!$A$1:$A$49,0),MATCH([1]orders!L$1,[1]products!$A$1:$G$1,0))</f>
        <v>12.95</v>
      </c>
      <c r="I700">
        <f t="shared" si="10"/>
        <v>25.9</v>
      </c>
    </row>
    <row r="701" spans="1:9" x14ac:dyDescent="0.25">
      <c r="A701" t="s">
        <v>1358</v>
      </c>
      <c r="B701">
        <v>44298</v>
      </c>
      <c r="C701" t="s">
        <v>1359</v>
      </c>
      <c r="D701" t="str">
        <f>INDEX('Customers (2)'!B:B,MATCH('Customers (2)'!A701,'Customers (2)'!A:A,0))</f>
        <v>Orland Tadman</v>
      </c>
      <c r="E701" t="s">
        <v>72</v>
      </c>
      <c r="F701">
        <v>4</v>
      </c>
      <c r="G701">
        <f>INDEX([1]products!$A$1:$G$49,MATCH([1]orders!$D701,[1]products!$A$1:$A$49,0),MATCH([1]orders!K$1,[1]products!$A$1:$G$1,0))</f>
        <v>0.5</v>
      </c>
      <c r="H701">
        <f>INDEX([1]products!$A$1:$G$49,MATCH([1]orders!$D701,[1]products!$A$1:$A$49,0),MATCH([1]orders!L$1,[1]products!$A$1:$G$1,0))</f>
        <v>5.97</v>
      </c>
      <c r="I701">
        <f t="shared" si="10"/>
        <v>23.88</v>
      </c>
    </row>
    <row r="702" spans="1:9" x14ac:dyDescent="0.25">
      <c r="A702" t="s">
        <v>1360</v>
      </c>
      <c r="B702">
        <v>43736</v>
      </c>
      <c r="C702" t="s">
        <v>1361</v>
      </c>
      <c r="D702" t="str">
        <f>INDEX('Customers (2)'!B:B,MATCH('Customers (2)'!A702,'Customers (2)'!A:A,0))</f>
        <v>Barrett Gudde</v>
      </c>
      <c r="E702" t="s">
        <v>83</v>
      </c>
      <c r="F702">
        <v>2</v>
      </c>
      <c r="G702">
        <f>INDEX([1]products!$A$1:$G$49,MATCH([1]orders!$D702,[1]products!$A$1:$A$49,0),MATCH([1]orders!K$1,[1]products!$A$1:$G$1,0))</f>
        <v>0.5</v>
      </c>
      <c r="H702">
        <f>INDEX([1]products!$A$1:$G$49,MATCH([1]orders!$D702,[1]products!$A$1:$A$49,0),MATCH([1]orders!L$1,[1]products!$A$1:$G$1,0))</f>
        <v>9.51</v>
      </c>
      <c r="I702">
        <f t="shared" si="10"/>
        <v>19.02</v>
      </c>
    </row>
    <row r="703" spans="1:9" x14ac:dyDescent="0.25">
      <c r="A703" t="s">
        <v>1362</v>
      </c>
      <c r="B703">
        <v>44727</v>
      </c>
      <c r="C703" t="s">
        <v>1363</v>
      </c>
      <c r="D703" t="str">
        <f>INDEX('Customers (2)'!B:B,MATCH('Customers (2)'!A703,'Customers (2)'!A:A,0))</f>
        <v>Nathan Sictornes</v>
      </c>
      <c r="E703" t="s">
        <v>72</v>
      </c>
      <c r="F703">
        <v>5</v>
      </c>
      <c r="G703">
        <f>INDEX([1]products!$A$1:$G$49,MATCH([1]orders!$D703,[1]products!$A$1:$A$49,0),MATCH([1]orders!K$1,[1]products!$A$1:$G$1,0))</f>
        <v>0.5</v>
      </c>
      <c r="H703">
        <f>INDEX([1]products!$A$1:$G$49,MATCH([1]orders!$D703,[1]products!$A$1:$A$49,0),MATCH([1]orders!L$1,[1]products!$A$1:$G$1,0))</f>
        <v>5.97</v>
      </c>
      <c r="I703">
        <f t="shared" si="10"/>
        <v>29.849999999999998</v>
      </c>
    </row>
    <row r="704" spans="1:9" x14ac:dyDescent="0.25">
      <c r="A704" t="s">
        <v>1364</v>
      </c>
      <c r="B704">
        <v>43661</v>
      </c>
      <c r="C704" t="s">
        <v>1365</v>
      </c>
      <c r="D704" t="str">
        <f>INDEX('Customers (2)'!B:B,MATCH('Customers (2)'!A704,'Customers (2)'!A:A,0))</f>
        <v>Vivyan Dunning</v>
      </c>
      <c r="E704" t="s">
        <v>192</v>
      </c>
      <c r="F704">
        <v>1</v>
      </c>
      <c r="G704">
        <f>INDEX([1]products!$A$1:$G$49,MATCH([1]orders!$D704,[1]products!$A$1:$A$49,0),MATCH([1]orders!K$1,[1]products!$A$1:$G$1,0))</f>
        <v>0.5</v>
      </c>
      <c r="H704">
        <f>INDEX([1]products!$A$1:$G$49,MATCH([1]orders!$D704,[1]products!$A$1:$A$49,0),MATCH([1]orders!L$1,[1]products!$A$1:$G$1,0))</f>
        <v>7.77</v>
      </c>
      <c r="I704">
        <f t="shared" si="10"/>
        <v>7.77</v>
      </c>
    </row>
    <row r="705" spans="1:9" x14ac:dyDescent="0.25">
      <c r="A705" t="s">
        <v>1366</v>
      </c>
      <c r="B705">
        <v>43506</v>
      </c>
      <c r="C705" t="s">
        <v>1367</v>
      </c>
      <c r="D705" t="str">
        <f>INDEX('Customers (2)'!B:B,MATCH('Customers (2)'!A705,'Customers (2)'!A:A,0))</f>
        <v>Doralin Baison</v>
      </c>
      <c r="E705" t="s">
        <v>109</v>
      </c>
      <c r="F705">
        <v>4</v>
      </c>
      <c r="G705">
        <f>INDEX([1]products!$A$1:$G$49,MATCH([1]orders!$D705,[1]products!$A$1:$A$49,0),MATCH([1]orders!K$1,[1]products!$A$1:$G$1,0))</f>
        <v>2.5</v>
      </c>
      <c r="H705">
        <f>INDEX([1]products!$A$1:$G$49,MATCH([1]orders!$D705,[1]products!$A$1:$A$49,0),MATCH([1]orders!L$1,[1]products!$A$1:$G$1,0))</f>
        <v>29.784999999999997</v>
      </c>
      <c r="I705">
        <f t="shared" si="10"/>
        <v>119.13999999999999</v>
      </c>
    </row>
    <row r="706" spans="1:9" x14ac:dyDescent="0.25">
      <c r="A706" t="s">
        <v>1368</v>
      </c>
      <c r="B706">
        <v>44716</v>
      </c>
      <c r="C706" t="s">
        <v>1369</v>
      </c>
      <c r="D706" t="str">
        <f>INDEX('Customers (2)'!B:B,MATCH('Customers (2)'!A706,'Customers (2)'!A:A,0))</f>
        <v>Josefina Ferens</v>
      </c>
      <c r="E706" t="s">
        <v>51</v>
      </c>
      <c r="F706">
        <v>6</v>
      </c>
      <c r="G706">
        <f>INDEX([1]products!$A$1:$G$49,MATCH([1]orders!$D706,[1]products!$A$1:$A$49,0),MATCH([1]orders!K$1,[1]products!$A$1:$G$1,0))</f>
        <v>0.2</v>
      </c>
      <c r="H706">
        <f>INDEX([1]products!$A$1:$G$49,MATCH([1]orders!$D706,[1]products!$A$1:$A$49,0),MATCH([1]orders!L$1,[1]products!$A$1:$G$1,0))</f>
        <v>3.645</v>
      </c>
      <c r="I706">
        <f t="shared" ref="I706:I769" si="11">F706*H706</f>
        <v>21.87</v>
      </c>
    </row>
    <row r="707" spans="1:9" x14ac:dyDescent="0.25">
      <c r="A707" t="s">
        <v>1370</v>
      </c>
      <c r="B707">
        <v>44114</v>
      </c>
      <c r="C707" t="s">
        <v>1371</v>
      </c>
      <c r="D707" t="str">
        <f>INDEX('Customers (2)'!B:B,MATCH('Customers (2)'!A707,'Customers (2)'!A:A,0))</f>
        <v>Shelley Gehring</v>
      </c>
      <c r="E707" t="s">
        <v>176</v>
      </c>
      <c r="F707">
        <v>2</v>
      </c>
      <c r="G707">
        <f>INDEX([1]products!$A$1:$G$49,MATCH([1]orders!$D707,[1]products!$A$1:$A$49,0),MATCH([1]orders!K$1,[1]products!$A$1:$G$1,0))</f>
        <v>0.5</v>
      </c>
      <c r="H707">
        <f>INDEX([1]products!$A$1:$G$49,MATCH([1]orders!$D707,[1]products!$A$1:$A$49,0),MATCH([1]orders!L$1,[1]products!$A$1:$G$1,0))</f>
        <v>8.91</v>
      </c>
      <c r="I707">
        <f t="shared" si="11"/>
        <v>17.82</v>
      </c>
    </row>
    <row r="708" spans="1:9" x14ac:dyDescent="0.25">
      <c r="A708" t="s">
        <v>1372</v>
      </c>
      <c r="B708">
        <v>44353</v>
      </c>
      <c r="C708" t="s">
        <v>1373</v>
      </c>
      <c r="D708" t="str">
        <f>INDEX('Customers (2)'!B:B,MATCH('Customers (2)'!A708,'Customers (2)'!A:A,0))</f>
        <v>Barrie Fallowes</v>
      </c>
      <c r="E708" t="s">
        <v>64</v>
      </c>
      <c r="F708">
        <v>3</v>
      </c>
      <c r="G708">
        <f>INDEX([1]products!$A$1:$G$49,MATCH([1]orders!$D708,[1]products!$A$1:$A$49,0),MATCH([1]orders!K$1,[1]products!$A$1:$G$1,0))</f>
        <v>0.2</v>
      </c>
      <c r="H708">
        <f>INDEX([1]products!$A$1:$G$49,MATCH([1]orders!$D708,[1]products!$A$1:$A$49,0),MATCH([1]orders!L$1,[1]products!$A$1:$G$1,0))</f>
        <v>4.125</v>
      </c>
      <c r="I708">
        <f t="shared" si="11"/>
        <v>12.375</v>
      </c>
    </row>
    <row r="709" spans="1:9" x14ac:dyDescent="0.25">
      <c r="A709" t="s">
        <v>1374</v>
      </c>
      <c r="B709">
        <v>43540</v>
      </c>
      <c r="C709" t="s">
        <v>1375</v>
      </c>
      <c r="D709" t="str">
        <f>INDEX('Customers (2)'!B:B,MATCH('Customers (2)'!A709,'Customers (2)'!A:A,0))</f>
        <v>Nicolas Aiton</v>
      </c>
      <c r="E709" t="s">
        <v>13</v>
      </c>
      <c r="F709">
        <v>2</v>
      </c>
      <c r="G709">
        <f>INDEX([1]products!$A$1:$G$49,MATCH([1]orders!$D709,[1]products!$A$1:$A$49,0),MATCH([1]orders!K$1,[1]products!$A$1:$G$1,0))</f>
        <v>1</v>
      </c>
      <c r="H709">
        <f>INDEX([1]products!$A$1:$G$49,MATCH([1]orders!$D709,[1]products!$A$1:$A$49,0),MATCH([1]orders!L$1,[1]products!$A$1:$G$1,0))</f>
        <v>12.95</v>
      </c>
      <c r="I709">
        <f t="shared" si="11"/>
        <v>25.9</v>
      </c>
    </row>
    <row r="710" spans="1:9" x14ac:dyDescent="0.25">
      <c r="A710" t="s">
        <v>1376</v>
      </c>
      <c r="B710">
        <v>43804</v>
      </c>
      <c r="C710" t="s">
        <v>1377</v>
      </c>
      <c r="D710" t="str">
        <f>INDEX('Customers (2)'!B:B,MATCH('Customers (2)'!A710,'Customers (2)'!A:A,0))</f>
        <v>Shelli De Banke</v>
      </c>
      <c r="E710" t="s">
        <v>67</v>
      </c>
      <c r="F710">
        <v>2</v>
      </c>
      <c r="G710">
        <f>INDEX([1]products!$A$1:$G$49,MATCH([1]orders!$D710,[1]products!$A$1:$A$49,0),MATCH([1]orders!K$1,[1]products!$A$1:$G$1,0))</f>
        <v>0.5</v>
      </c>
      <c r="H710">
        <f>INDEX([1]products!$A$1:$G$49,MATCH([1]orders!$D710,[1]products!$A$1:$A$49,0),MATCH([1]orders!L$1,[1]products!$A$1:$G$1,0))</f>
        <v>6.75</v>
      </c>
      <c r="I710">
        <f t="shared" si="11"/>
        <v>13.5</v>
      </c>
    </row>
    <row r="711" spans="1:9" x14ac:dyDescent="0.25">
      <c r="A711" t="s">
        <v>1378</v>
      </c>
      <c r="B711">
        <v>43485</v>
      </c>
      <c r="C711" t="s">
        <v>1379</v>
      </c>
      <c r="D711" t="str">
        <f>INDEX('Customers (2)'!B:B,MATCH('Customers (2)'!A711,'Customers (2)'!A:A,0))</f>
        <v>Lyell Murch</v>
      </c>
      <c r="E711" t="s">
        <v>176</v>
      </c>
      <c r="F711">
        <v>2</v>
      </c>
      <c r="G711">
        <f>INDEX([1]products!$A$1:$G$49,MATCH([1]orders!$D711,[1]products!$A$1:$A$49,0),MATCH([1]orders!K$1,[1]products!$A$1:$G$1,0))</f>
        <v>0.5</v>
      </c>
      <c r="H711">
        <f>INDEX([1]products!$A$1:$G$49,MATCH([1]orders!$D711,[1]products!$A$1:$A$49,0),MATCH([1]orders!L$1,[1]products!$A$1:$G$1,0))</f>
        <v>8.91</v>
      </c>
      <c r="I711">
        <f t="shared" si="11"/>
        <v>17.82</v>
      </c>
    </row>
    <row r="712" spans="1:9" x14ac:dyDescent="0.25">
      <c r="A712" t="s">
        <v>1380</v>
      </c>
      <c r="B712">
        <v>44655</v>
      </c>
      <c r="C712" t="s">
        <v>1381</v>
      </c>
      <c r="D712" t="str">
        <f>INDEX('Customers (2)'!B:B,MATCH('Customers (2)'!A712,'Customers (2)'!A:A,0))</f>
        <v>Stearne Count</v>
      </c>
      <c r="E712" t="s">
        <v>3</v>
      </c>
      <c r="F712">
        <v>3</v>
      </c>
      <c r="G712">
        <f>INDEX([1]products!$A$1:$G$49,MATCH([1]orders!$D712,[1]products!$A$1:$A$49,0),MATCH([1]orders!K$1,[1]products!$A$1:$G$1,0))</f>
        <v>0.5</v>
      </c>
      <c r="H712">
        <f>INDEX([1]products!$A$1:$G$49,MATCH([1]orders!$D712,[1]products!$A$1:$A$49,0),MATCH([1]orders!L$1,[1]products!$A$1:$G$1,0))</f>
        <v>8.25</v>
      </c>
      <c r="I712">
        <f t="shared" si="11"/>
        <v>24.75</v>
      </c>
    </row>
    <row r="713" spans="1:9" x14ac:dyDescent="0.25">
      <c r="A713" t="s">
        <v>1382</v>
      </c>
      <c r="B713">
        <v>44600</v>
      </c>
      <c r="C713" t="s">
        <v>1383</v>
      </c>
      <c r="D713" t="str">
        <f>INDEX('Customers (2)'!B:B,MATCH('Customers (2)'!A713,'Customers (2)'!A:A,0))</f>
        <v>Selia Ragles</v>
      </c>
      <c r="E713" t="s">
        <v>162</v>
      </c>
      <c r="F713">
        <v>6</v>
      </c>
      <c r="G713">
        <f>INDEX([1]products!$A$1:$G$49,MATCH([1]orders!$D713,[1]products!$A$1:$A$49,0),MATCH([1]orders!K$1,[1]products!$A$1:$G$1,0))</f>
        <v>0.2</v>
      </c>
      <c r="H713">
        <f>INDEX([1]products!$A$1:$G$49,MATCH([1]orders!$D713,[1]products!$A$1:$A$49,0),MATCH([1]orders!L$1,[1]products!$A$1:$G$1,0))</f>
        <v>2.9849999999999999</v>
      </c>
      <c r="I713">
        <f t="shared" si="11"/>
        <v>17.91</v>
      </c>
    </row>
    <row r="714" spans="1:9" x14ac:dyDescent="0.25">
      <c r="A714" t="s">
        <v>1384</v>
      </c>
      <c r="B714">
        <v>43646</v>
      </c>
      <c r="C714" t="s">
        <v>1385</v>
      </c>
      <c r="D714" t="str">
        <f>INDEX('Customers (2)'!B:B,MATCH('Customers (2)'!A714,'Customers (2)'!A:A,0))</f>
        <v>Silas Deehan</v>
      </c>
      <c r="E714" t="s">
        <v>3</v>
      </c>
      <c r="F714">
        <v>2</v>
      </c>
      <c r="G714">
        <f>INDEX([1]products!$A$1:$G$49,MATCH([1]orders!$D714,[1]products!$A$1:$A$49,0),MATCH([1]orders!K$1,[1]products!$A$1:$G$1,0))</f>
        <v>0.5</v>
      </c>
      <c r="H714">
        <f>INDEX([1]products!$A$1:$G$49,MATCH([1]orders!$D714,[1]products!$A$1:$A$49,0),MATCH([1]orders!L$1,[1]products!$A$1:$G$1,0))</f>
        <v>8.25</v>
      </c>
      <c r="I714">
        <f t="shared" si="11"/>
        <v>16.5</v>
      </c>
    </row>
    <row r="715" spans="1:9" x14ac:dyDescent="0.25">
      <c r="A715" t="s">
        <v>1386</v>
      </c>
      <c r="B715">
        <v>43960</v>
      </c>
      <c r="C715" t="s">
        <v>1387</v>
      </c>
      <c r="D715" t="str">
        <f>INDEX('Customers (2)'!B:B,MATCH('Customers (2)'!A715,'Customers (2)'!A:A,0))</f>
        <v>Sacha Bruun</v>
      </c>
      <c r="E715" t="s">
        <v>162</v>
      </c>
      <c r="F715">
        <v>1</v>
      </c>
      <c r="G715">
        <f>INDEX([1]products!$A$1:$G$49,MATCH([1]orders!$D715,[1]products!$A$1:$A$49,0),MATCH([1]orders!K$1,[1]products!$A$1:$G$1,0))</f>
        <v>0.2</v>
      </c>
      <c r="H715">
        <f>INDEX([1]products!$A$1:$G$49,MATCH([1]orders!$D715,[1]products!$A$1:$A$49,0),MATCH([1]orders!L$1,[1]products!$A$1:$G$1,0))</f>
        <v>2.9849999999999999</v>
      </c>
      <c r="I715">
        <f t="shared" si="11"/>
        <v>2.9849999999999999</v>
      </c>
    </row>
    <row r="716" spans="1:9" x14ac:dyDescent="0.25">
      <c r="A716" t="s">
        <v>1388</v>
      </c>
      <c r="B716">
        <v>44358</v>
      </c>
      <c r="C716" t="s">
        <v>1389</v>
      </c>
      <c r="D716" t="str">
        <f>INDEX('Customers (2)'!B:B,MATCH('Customers (2)'!A716,'Customers (2)'!A:A,0))</f>
        <v>Alon Pllu</v>
      </c>
      <c r="E716" t="s">
        <v>51</v>
      </c>
      <c r="F716">
        <v>4</v>
      </c>
      <c r="G716">
        <f>INDEX([1]products!$A$1:$G$49,MATCH([1]orders!$D716,[1]products!$A$1:$A$49,0),MATCH([1]orders!K$1,[1]products!$A$1:$G$1,0))</f>
        <v>0.2</v>
      </c>
      <c r="H716">
        <f>INDEX([1]products!$A$1:$G$49,MATCH([1]orders!$D716,[1]products!$A$1:$A$49,0),MATCH([1]orders!L$1,[1]products!$A$1:$G$1,0))</f>
        <v>3.645</v>
      </c>
      <c r="I716">
        <f t="shared" si="11"/>
        <v>14.58</v>
      </c>
    </row>
    <row r="717" spans="1:9" x14ac:dyDescent="0.25">
      <c r="A717" t="s">
        <v>1390</v>
      </c>
      <c r="B717">
        <v>44504</v>
      </c>
      <c r="C717" t="s">
        <v>1391</v>
      </c>
      <c r="D717" t="str">
        <f>INDEX('Customers (2)'!B:B,MATCH('Customers (2)'!A717,'Customers (2)'!A:A,0))</f>
        <v>Gilberto Cornier</v>
      </c>
      <c r="E717" t="s">
        <v>137</v>
      </c>
      <c r="F717">
        <v>6</v>
      </c>
      <c r="G717">
        <f>INDEX([1]products!$A$1:$G$49,MATCH([1]orders!$D717,[1]products!$A$1:$A$49,0),MATCH([1]orders!K$1,[1]products!$A$1:$G$1,0))</f>
        <v>1</v>
      </c>
      <c r="H717">
        <f>INDEX([1]products!$A$1:$G$49,MATCH([1]orders!$D717,[1]products!$A$1:$A$49,0),MATCH([1]orders!L$1,[1]products!$A$1:$G$1,0))</f>
        <v>14.85</v>
      </c>
      <c r="I717">
        <f t="shared" si="11"/>
        <v>89.1</v>
      </c>
    </row>
    <row r="718" spans="1:9" x14ac:dyDescent="0.25">
      <c r="A718" t="s">
        <v>1392</v>
      </c>
      <c r="B718">
        <v>44612</v>
      </c>
      <c r="C718" t="s">
        <v>1344</v>
      </c>
      <c r="D718" t="str">
        <f>INDEX('Customers (2)'!B:B,MATCH('Customers (2)'!A718,'Customers (2)'!A:A,0))</f>
        <v>Selestina Greedyer</v>
      </c>
      <c r="E718" t="s">
        <v>189</v>
      </c>
      <c r="F718">
        <v>3</v>
      </c>
      <c r="G718">
        <f>INDEX([1]products!$A$1:$G$49,MATCH([1]orders!$D718,[1]products!$A$1:$A$49,0),MATCH([1]orders!K$1,[1]products!$A$1:$G$1,0))</f>
        <v>1</v>
      </c>
      <c r="H718">
        <f>INDEX([1]products!$A$1:$G$49,MATCH([1]orders!$D718,[1]products!$A$1:$A$49,0),MATCH([1]orders!L$1,[1]products!$A$1:$G$1,0))</f>
        <v>11.95</v>
      </c>
      <c r="I718">
        <f t="shared" si="11"/>
        <v>35.849999999999994</v>
      </c>
    </row>
    <row r="719" spans="1:9" x14ac:dyDescent="0.25">
      <c r="A719" t="s">
        <v>1393</v>
      </c>
      <c r="B719">
        <v>43649</v>
      </c>
      <c r="C719" t="s">
        <v>1394</v>
      </c>
      <c r="D719" t="str">
        <f>INDEX('Customers (2)'!B:B,MATCH('Customers (2)'!A719,'Customers (2)'!A:A,0))</f>
        <v>Willabella Harvison</v>
      </c>
      <c r="E719" t="s">
        <v>118</v>
      </c>
      <c r="F719">
        <v>3</v>
      </c>
      <c r="G719">
        <f>INDEX([1]products!$A$1:$G$49,MATCH([1]orders!$D719,[1]products!$A$1:$A$49,0),MATCH([1]orders!K$1,[1]products!$A$1:$G$1,0))</f>
        <v>2.5</v>
      </c>
      <c r="H719">
        <f>INDEX([1]products!$A$1:$G$49,MATCH([1]orders!$D719,[1]products!$A$1:$A$49,0),MATCH([1]orders!L$1,[1]products!$A$1:$G$1,0))</f>
        <v>22.884999999999998</v>
      </c>
      <c r="I719">
        <f t="shared" si="11"/>
        <v>68.655000000000001</v>
      </c>
    </row>
    <row r="720" spans="1:9" x14ac:dyDescent="0.25">
      <c r="A720" t="s">
        <v>1395</v>
      </c>
      <c r="B720">
        <v>44348</v>
      </c>
      <c r="C720" t="s">
        <v>1396</v>
      </c>
      <c r="D720" t="str">
        <f>INDEX('Customers (2)'!B:B,MATCH('Customers (2)'!A720,'Customers (2)'!A:A,0))</f>
        <v>Darice Heaford</v>
      </c>
      <c r="E720" t="s">
        <v>13</v>
      </c>
      <c r="F720">
        <v>3</v>
      </c>
      <c r="G720">
        <f>INDEX([1]products!$A$1:$G$49,MATCH([1]orders!$D720,[1]products!$A$1:$A$49,0),MATCH([1]orders!K$1,[1]products!$A$1:$G$1,0))</f>
        <v>1</v>
      </c>
      <c r="H720">
        <f>INDEX([1]products!$A$1:$G$49,MATCH([1]orders!$D720,[1]products!$A$1:$A$49,0),MATCH([1]orders!L$1,[1]products!$A$1:$G$1,0))</f>
        <v>12.95</v>
      </c>
      <c r="I720">
        <f t="shared" si="11"/>
        <v>38.849999999999994</v>
      </c>
    </row>
    <row r="721" spans="1:9" x14ac:dyDescent="0.25">
      <c r="A721" t="s">
        <v>1397</v>
      </c>
      <c r="B721">
        <v>44150</v>
      </c>
      <c r="C721" t="s">
        <v>1398</v>
      </c>
      <c r="D721" t="str">
        <f>INDEX('Customers (2)'!B:B,MATCH('Customers (2)'!A721,'Customers (2)'!A:A,0))</f>
        <v>Granger Fantham</v>
      </c>
      <c r="E721" t="s">
        <v>132</v>
      </c>
      <c r="F721">
        <v>5</v>
      </c>
      <c r="G721">
        <f>INDEX([1]products!$A$1:$G$49,MATCH([1]orders!$D721,[1]products!$A$1:$A$49,0),MATCH([1]orders!K$1,[1]products!$A$1:$G$1,0))</f>
        <v>1</v>
      </c>
      <c r="H721">
        <f>INDEX([1]products!$A$1:$G$49,MATCH([1]orders!$D721,[1]products!$A$1:$A$49,0),MATCH([1]orders!L$1,[1]products!$A$1:$G$1,0))</f>
        <v>15.85</v>
      </c>
      <c r="I721">
        <f t="shared" si="11"/>
        <v>79.25</v>
      </c>
    </row>
    <row r="722" spans="1:9" x14ac:dyDescent="0.25">
      <c r="A722" t="s">
        <v>1399</v>
      </c>
      <c r="B722">
        <v>44215</v>
      </c>
      <c r="C722" t="s">
        <v>1400</v>
      </c>
      <c r="D722" t="str">
        <f>INDEX('Customers (2)'!B:B,MATCH('Customers (2)'!A722,'Customers (2)'!A:A,0))</f>
        <v>Reynolds Crookshanks</v>
      </c>
      <c r="E722" t="s">
        <v>16</v>
      </c>
      <c r="F722">
        <v>5</v>
      </c>
      <c r="G722">
        <f>INDEX([1]products!$A$1:$G$49,MATCH([1]orders!$D722,[1]products!$A$1:$A$49,0),MATCH([1]orders!K$1,[1]products!$A$1:$G$1,0))</f>
        <v>0.5</v>
      </c>
      <c r="H722">
        <f>INDEX([1]products!$A$1:$G$49,MATCH([1]orders!$D722,[1]products!$A$1:$A$49,0),MATCH([1]orders!L$1,[1]products!$A$1:$G$1,0))</f>
        <v>7.29</v>
      </c>
      <c r="I722">
        <f t="shared" si="11"/>
        <v>36.450000000000003</v>
      </c>
    </row>
    <row r="723" spans="1:9" x14ac:dyDescent="0.25">
      <c r="A723" t="s">
        <v>1401</v>
      </c>
      <c r="B723">
        <v>44479</v>
      </c>
      <c r="C723" t="s">
        <v>1402</v>
      </c>
      <c r="D723" t="str">
        <f>INDEX('Customers (2)'!B:B,MATCH('Customers (2)'!A723,'Customers (2)'!A:A,0))</f>
        <v>Niels Leake</v>
      </c>
      <c r="E723" t="s">
        <v>162</v>
      </c>
      <c r="F723">
        <v>3</v>
      </c>
      <c r="G723">
        <f>INDEX([1]products!$A$1:$G$49,MATCH([1]orders!$D723,[1]products!$A$1:$A$49,0),MATCH([1]orders!K$1,[1]products!$A$1:$G$1,0))</f>
        <v>0.2</v>
      </c>
      <c r="H723">
        <f>INDEX([1]products!$A$1:$G$49,MATCH([1]orders!$D723,[1]products!$A$1:$A$49,0),MATCH([1]orders!L$1,[1]products!$A$1:$G$1,0))</f>
        <v>2.9849999999999999</v>
      </c>
      <c r="I723">
        <f t="shared" si="11"/>
        <v>8.9550000000000001</v>
      </c>
    </row>
    <row r="724" spans="1:9" x14ac:dyDescent="0.25">
      <c r="A724" t="s">
        <v>1403</v>
      </c>
      <c r="B724">
        <v>44620</v>
      </c>
      <c r="C724" t="s">
        <v>1404</v>
      </c>
      <c r="D724" t="str">
        <f>INDEX('Customers (2)'!B:B,MATCH('Customers (2)'!A724,'Customers (2)'!A:A,0))</f>
        <v>Hetti Measures</v>
      </c>
      <c r="E724" t="s">
        <v>245</v>
      </c>
      <c r="F724">
        <v>2</v>
      </c>
      <c r="G724">
        <f>INDEX([1]products!$A$1:$G$49,MATCH([1]orders!$D724,[1]products!$A$1:$A$49,0),MATCH([1]orders!K$1,[1]products!$A$1:$G$1,0))</f>
        <v>1</v>
      </c>
      <c r="H724">
        <f>INDEX([1]products!$A$1:$G$49,MATCH([1]orders!$D724,[1]products!$A$1:$A$49,0),MATCH([1]orders!L$1,[1]products!$A$1:$G$1,0))</f>
        <v>12.15</v>
      </c>
      <c r="I724">
        <f t="shared" si="11"/>
        <v>24.3</v>
      </c>
    </row>
    <row r="725" spans="1:9" x14ac:dyDescent="0.25">
      <c r="A725" t="s">
        <v>1405</v>
      </c>
      <c r="B725">
        <v>44470</v>
      </c>
      <c r="C725" t="s">
        <v>1406</v>
      </c>
      <c r="D725" t="str">
        <f>INDEX('Customers (2)'!B:B,MATCH('Customers (2)'!A725,'Customers (2)'!A:A,0))</f>
        <v>Gay Eilhersen</v>
      </c>
      <c r="E725" t="s">
        <v>112</v>
      </c>
      <c r="F725">
        <v>2</v>
      </c>
      <c r="G725">
        <f>INDEX([1]products!$A$1:$G$49,MATCH([1]orders!$D725,[1]products!$A$1:$A$49,0),MATCH([1]orders!K$1,[1]products!$A$1:$G$1,0))</f>
        <v>2.5</v>
      </c>
      <c r="H725">
        <f>INDEX([1]products!$A$1:$G$49,MATCH([1]orders!$D725,[1]products!$A$1:$A$49,0),MATCH([1]orders!L$1,[1]products!$A$1:$G$1,0))</f>
        <v>31.624999999999996</v>
      </c>
      <c r="I725">
        <f t="shared" si="11"/>
        <v>63.249999999999993</v>
      </c>
    </row>
    <row r="726" spans="1:9" x14ac:dyDescent="0.25">
      <c r="A726" t="s">
        <v>1407</v>
      </c>
      <c r="B726">
        <v>44076</v>
      </c>
      <c r="C726" t="s">
        <v>1408</v>
      </c>
      <c r="D726" t="str">
        <f>INDEX('Customers (2)'!B:B,MATCH('Customers (2)'!A726,'Customers (2)'!A:A,0))</f>
        <v>Nico Hubert</v>
      </c>
      <c r="E726" t="s">
        <v>44</v>
      </c>
      <c r="F726">
        <v>2</v>
      </c>
      <c r="G726">
        <f>INDEX([1]products!$A$1:$G$49,MATCH([1]orders!$D726,[1]products!$A$1:$A$49,0),MATCH([1]orders!K$1,[1]products!$A$1:$G$1,0))</f>
        <v>0.2</v>
      </c>
      <c r="H726">
        <f>INDEX([1]products!$A$1:$G$49,MATCH([1]orders!$D726,[1]products!$A$1:$A$49,0),MATCH([1]orders!L$1,[1]products!$A$1:$G$1,0))</f>
        <v>3.375</v>
      </c>
      <c r="I726">
        <f t="shared" si="11"/>
        <v>6.75</v>
      </c>
    </row>
    <row r="727" spans="1:9" x14ac:dyDescent="0.25">
      <c r="A727" t="s">
        <v>1409</v>
      </c>
      <c r="B727">
        <v>44043</v>
      </c>
      <c r="C727" t="s">
        <v>1410</v>
      </c>
      <c r="D727" t="str">
        <f>INDEX('Customers (2)'!B:B,MATCH('Customers (2)'!A727,'Customers (2)'!A:A,0))</f>
        <v>Cristina Aleixo</v>
      </c>
      <c r="E727" t="s">
        <v>115</v>
      </c>
      <c r="F727">
        <v>6</v>
      </c>
      <c r="G727">
        <f>INDEX([1]products!$A$1:$G$49,MATCH([1]orders!$D727,[1]products!$A$1:$A$49,0),MATCH([1]orders!K$1,[1]products!$A$1:$G$1,0))</f>
        <v>0.2</v>
      </c>
      <c r="H727">
        <f>INDEX([1]products!$A$1:$G$49,MATCH([1]orders!$D727,[1]products!$A$1:$A$49,0),MATCH([1]orders!L$1,[1]products!$A$1:$G$1,0))</f>
        <v>3.8849999999999998</v>
      </c>
      <c r="I727">
        <f t="shared" si="11"/>
        <v>23.31</v>
      </c>
    </row>
    <row r="728" spans="1:9" x14ac:dyDescent="0.25">
      <c r="A728" t="s">
        <v>1411</v>
      </c>
      <c r="B728">
        <v>44571</v>
      </c>
      <c r="C728" t="s">
        <v>1412</v>
      </c>
      <c r="D728" t="str">
        <f>INDEX('Customers (2)'!B:B,MATCH('Customers (2)'!A728,'Customers (2)'!A:A,0))</f>
        <v>Derrek Allpress</v>
      </c>
      <c r="E728" t="s">
        <v>104</v>
      </c>
      <c r="F728">
        <v>4</v>
      </c>
      <c r="G728">
        <f>INDEX([1]products!$A$1:$G$49,MATCH([1]orders!$D728,[1]products!$A$1:$A$49,0),MATCH([1]orders!K$1,[1]products!$A$1:$G$1,0))</f>
        <v>2.5</v>
      </c>
      <c r="H728">
        <f>INDEX([1]products!$A$1:$G$49,MATCH([1]orders!$D728,[1]products!$A$1:$A$49,0),MATCH([1]orders!L$1,[1]products!$A$1:$G$1,0))</f>
        <v>36.454999999999998</v>
      </c>
      <c r="I728">
        <f t="shared" si="11"/>
        <v>145.82</v>
      </c>
    </row>
    <row r="729" spans="1:9" x14ac:dyDescent="0.25">
      <c r="A729" t="s">
        <v>1413</v>
      </c>
      <c r="B729">
        <v>44264</v>
      </c>
      <c r="C729" t="s">
        <v>1414</v>
      </c>
      <c r="D729" t="str">
        <f>INDEX('Customers (2)'!B:B,MATCH('Customers (2)'!A729,'Customers (2)'!A:A,0))</f>
        <v>Rikki Tomkowicz</v>
      </c>
      <c r="E729" t="s">
        <v>22</v>
      </c>
      <c r="F729">
        <v>5</v>
      </c>
      <c r="G729">
        <f>INDEX([1]products!$A$1:$G$49,MATCH([1]orders!$D729,[1]products!$A$1:$A$49,0),MATCH([1]orders!K$1,[1]products!$A$1:$G$1,0))</f>
        <v>0.5</v>
      </c>
      <c r="H729">
        <f>INDEX([1]products!$A$1:$G$49,MATCH([1]orders!$D729,[1]products!$A$1:$A$49,0),MATCH([1]orders!L$1,[1]products!$A$1:$G$1,0))</f>
        <v>5.97</v>
      </c>
      <c r="I729">
        <f t="shared" si="11"/>
        <v>29.849999999999998</v>
      </c>
    </row>
    <row r="730" spans="1:9" x14ac:dyDescent="0.25">
      <c r="A730" t="s">
        <v>1415</v>
      </c>
      <c r="B730">
        <v>44155</v>
      </c>
      <c r="C730" t="s">
        <v>1416</v>
      </c>
      <c r="D730" t="str">
        <f>INDEX('Customers (2)'!B:B,MATCH('Customers (2)'!A730,'Customers (2)'!A:A,0))</f>
        <v>Rochette Huscroft</v>
      </c>
      <c r="E730" t="s">
        <v>16</v>
      </c>
      <c r="F730">
        <v>3</v>
      </c>
      <c r="G730">
        <f>INDEX([1]products!$A$1:$G$49,MATCH([1]orders!$D730,[1]products!$A$1:$A$49,0),MATCH([1]orders!K$1,[1]products!$A$1:$G$1,0))</f>
        <v>0.5</v>
      </c>
      <c r="H730">
        <f>INDEX([1]products!$A$1:$G$49,MATCH([1]orders!$D730,[1]products!$A$1:$A$49,0),MATCH([1]orders!L$1,[1]products!$A$1:$G$1,0))</f>
        <v>7.29</v>
      </c>
      <c r="I730">
        <f t="shared" si="11"/>
        <v>21.87</v>
      </c>
    </row>
    <row r="731" spans="1:9" x14ac:dyDescent="0.25">
      <c r="A731" t="s">
        <v>1417</v>
      </c>
      <c r="B731">
        <v>44634</v>
      </c>
      <c r="C731" t="s">
        <v>1418</v>
      </c>
      <c r="D731" t="str">
        <f>INDEX('Customers (2)'!B:B,MATCH('Customers (2)'!A731,'Customers (2)'!A:A,0))</f>
        <v>Selle Scurrer</v>
      </c>
      <c r="E731" t="s">
        <v>77</v>
      </c>
      <c r="F731">
        <v>1</v>
      </c>
      <c r="G731">
        <f>INDEX([1]products!$A$1:$G$49,MATCH([1]orders!$D731,[1]products!$A$1:$A$49,0),MATCH([1]orders!K$1,[1]products!$A$1:$G$1,0))</f>
        <v>0.2</v>
      </c>
      <c r="H731">
        <f>INDEX([1]products!$A$1:$G$49,MATCH([1]orders!$D731,[1]products!$A$1:$A$49,0),MATCH([1]orders!L$1,[1]products!$A$1:$G$1,0))</f>
        <v>4.3650000000000002</v>
      </c>
      <c r="I731">
        <f t="shared" si="11"/>
        <v>4.3650000000000002</v>
      </c>
    </row>
    <row r="732" spans="1:9" x14ac:dyDescent="0.25">
      <c r="A732" t="s">
        <v>1419</v>
      </c>
      <c r="B732">
        <v>43475</v>
      </c>
      <c r="C732" t="s">
        <v>1420</v>
      </c>
      <c r="D732" t="str">
        <f>INDEX('Customers (2)'!B:B,MATCH('Customers (2)'!A732,'Customers (2)'!A:A,0))</f>
        <v>Andie Rudram</v>
      </c>
      <c r="E732" t="s">
        <v>104</v>
      </c>
      <c r="F732">
        <v>1</v>
      </c>
      <c r="G732">
        <f>INDEX([1]products!$A$1:$G$49,MATCH([1]orders!$D732,[1]products!$A$1:$A$49,0),MATCH([1]orders!K$1,[1]products!$A$1:$G$1,0))</f>
        <v>2.5</v>
      </c>
      <c r="H732">
        <f>INDEX([1]products!$A$1:$G$49,MATCH([1]orders!$D732,[1]products!$A$1:$A$49,0),MATCH([1]orders!L$1,[1]products!$A$1:$G$1,0))</f>
        <v>36.454999999999998</v>
      </c>
      <c r="I732">
        <f t="shared" si="11"/>
        <v>36.454999999999998</v>
      </c>
    </row>
    <row r="733" spans="1:9" x14ac:dyDescent="0.25">
      <c r="A733" t="s">
        <v>1421</v>
      </c>
      <c r="B733">
        <v>44222</v>
      </c>
      <c r="C733" t="s">
        <v>1422</v>
      </c>
      <c r="D733" t="str">
        <f>INDEX('Customers (2)'!B:B,MATCH('Customers (2)'!A733,'Customers (2)'!A:A,0))</f>
        <v>Leta Clarricoates</v>
      </c>
      <c r="E733" t="s">
        <v>38</v>
      </c>
      <c r="F733">
        <v>4</v>
      </c>
      <c r="G733">
        <f>INDEX([1]products!$A$1:$G$49,MATCH([1]orders!$D733,[1]products!$A$1:$A$49,0),MATCH([1]orders!K$1,[1]products!$A$1:$G$1,0))</f>
        <v>0.2</v>
      </c>
      <c r="H733">
        <f>INDEX([1]products!$A$1:$G$49,MATCH([1]orders!$D733,[1]products!$A$1:$A$49,0),MATCH([1]orders!L$1,[1]products!$A$1:$G$1,0))</f>
        <v>3.8849999999999998</v>
      </c>
      <c r="I733">
        <f t="shared" si="11"/>
        <v>15.54</v>
      </c>
    </row>
    <row r="734" spans="1:9" x14ac:dyDescent="0.25">
      <c r="A734" t="s">
        <v>1423</v>
      </c>
      <c r="B734">
        <v>44312</v>
      </c>
      <c r="C734" t="s">
        <v>1424</v>
      </c>
      <c r="D734" t="str">
        <f>INDEX('Customers (2)'!B:B,MATCH('Customers (2)'!A734,'Customers (2)'!A:A,0))</f>
        <v>Jacquelyn Maha</v>
      </c>
      <c r="E734" t="s">
        <v>254</v>
      </c>
      <c r="F734">
        <v>2</v>
      </c>
      <c r="G734">
        <f>INDEX([1]products!$A$1:$G$49,MATCH([1]orders!$D734,[1]products!$A$1:$A$49,0),MATCH([1]orders!K$1,[1]products!$A$1:$G$1,0))</f>
        <v>0.2</v>
      </c>
      <c r="H734">
        <f>INDEX([1]products!$A$1:$G$49,MATCH([1]orders!$D734,[1]products!$A$1:$A$49,0),MATCH([1]orders!L$1,[1]products!$A$1:$G$1,0))</f>
        <v>4.4550000000000001</v>
      </c>
      <c r="I734">
        <f t="shared" si="11"/>
        <v>8.91</v>
      </c>
    </row>
    <row r="735" spans="1:9" x14ac:dyDescent="0.25">
      <c r="A735" t="s">
        <v>1425</v>
      </c>
      <c r="B735">
        <v>44565</v>
      </c>
      <c r="C735" t="s">
        <v>1426</v>
      </c>
      <c r="D735" t="str">
        <f>INDEX('Customers (2)'!B:B,MATCH('Customers (2)'!A735,'Customers (2)'!A:A,0))</f>
        <v>Glory Clemon</v>
      </c>
      <c r="E735" t="s">
        <v>197</v>
      </c>
      <c r="F735">
        <v>3</v>
      </c>
      <c r="G735">
        <f>INDEX([1]products!$A$1:$G$49,MATCH([1]orders!$D735,[1]products!$A$1:$A$49,0),MATCH([1]orders!K$1,[1]products!$A$1:$G$1,0))</f>
        <v>2.5</v>
      </c>
      <c r="H735">
        <f>INDEX([1]products!$A$1:$G$49,MATCH([1]orders!$D735,[1]products!$A$1:$A$49,0),MATCH([1]orders!L$1,[1]products!$A$1:$G$1,0))</f>
        <v>33.464999999999996</v>
      </c>
      <c r="I735">
        <f t="shared" si="11"/>
        <v>100.39499999999998</v>
      </c>
    </row>
    <row r="736" spans="1:9" x14ac:dyDescent="0.25">
      <c r="A736" t="s">
        <v>1427</v>
      </c>
      <c r="B736">
        <v>43697</v>
      </c>
      <c r="C736" t="s">
        <v>1428</v>
      </c>
      <c r="D736" t="str">
        <f>INDEX('Customers (2)'!B:B,MATCH('Customers (2)'!A736,'Customers (2)'!A:A,0))</f>
        <v>Alica Kift</v>
      </c>
      <c r="E736" t="s">
        <v>101</v>
      </c>
      <c r="F736">
        <v>5</v>
      </c>
      <c r="G736">
        <f>INDEX([1]products!$A$1:$G$49,MATCH([1]orders!$D736,[1]products!$A$1:$A$49,0),MATCH([1]orders!K$1,[1]products!$A$1:$G$1,0))</f>
        <v>0.2</v>
      </c>
      <c r="H736">
        <f>INDEX([1]products!$A$1:$G$49,MATCH([1]orders!$D736,[1]products!$A$1:$A$49,0),MATCH([1]orders!L$1,[1]products!$A$1:$G$1,0))</f>
        <v>2.6849999999999996</v>
      </c>
      <c r="I736">
        <f t="shared" si="11"/>
        <v>13.424999999999997</v>
      </c>
    </row>
    <row r="737" spans="1:9" x14ac:dyDescent="0.25">
      <c r="A737" t="s">
        <v>1429</v>
      </c>
      <c r="B737">
        <v>44757</v>
      </c>
      <c r="C737" t="s">
        <v>1430</v>
      </c>
      <c r="D737" t="str">
        <f>INDEX('Customers (2)'!B:B,MATCH('Customers (2)'!A737,'Customers (2)'!A:A,0))</f>
        <v>Babb Pollins</v>
      </c>
      <c r="E737" t="s">
        <v>51</v>
      </c>
      <c r="F737">
        <v>6</v>
      </c>
      <c r="G737">
        <f>INDEX([1]products!$A$1:$G$49,MATCH([1]orders!$D737,[1]products!$A$1:$A$49,0),MATCH([1]orders!K$1,[1]products!$A$1:$G$1,0))</f>
        <v>0.2</v>
      </c>
      <c r="H737">
        <f>INDEX([1]products!$A$1:$G$49,MATCH([1]orders!$D737,[1]products!$A$1:$A$49,0),MATCH([1]orders!L$1,[1]products!$A$1:$G$1,0))</f>
        <v>3.645</v>
      </c>
      <c r="I737">
        <f t="shared" si="11"/>
        <v>21.87</v>
      </c>
    </row>
    <row r="738" spans="1:9" x14ac:dyDescent="0.25">
      <c r="A738" t="s">
        <v>1431</v>
      </c>
      <c r="B738">
        <v>43508</v>
      </c>
      <c r="C738" t="s">
        <v>1432</v>
      </c>
      <c r="D738" t="str">
        <f>INDEX('Customers (2)'!B:B,MATCH('Customers (2)'!A738,'Customers (2)'!A:A,0))</f>
        <v>Jarret Toye</v>
      </c>
      <c r="E738" t="s">
        <v>13</v>
      </c>
      <c r="F738">
        <v>2</v>
      </c>
      <c r="G738">
        <f>INDEX([1]products!$A$1:$G$49,MATCH([1]orders!$D738,[1]products!$A$1:$A$49,0),MATCH([1]orders!K$1,[1]products!$A$1:$G$1,0))</f>
        <v>1</v>
      </c>
      <c r="H738">
        <f>INDEX([1]products!$A$1:$G$49,MATCH([1]orders!$D738,[1]products!$A$1:$A$49,0),MATCH([1]orders!L$1,[1]products!$A$1:$G$1,0))</f>
        <v>12.95</v>
      </c>
      <c r="I738">
        <f t="shared" si="11"/>
        <v>25.9</v>
      </c>
    </row>
    <row r="739" spans="1:9" x14ac:dyDescent="0.25">
      <c r="A739" t="s">
        <v>1433</v>
      </c>
      <c r="B739">
        <v>44447</v>
      </c>
      <c r="C739" t="s">
        <v>1434</v>
      </c>
      <c r="D739" t="str">
        <f>INDEX('Customers (2)'!B:B,MATCH('Customers (2)'!A739,'Customers (2)'!A:A,0))</f>
        <v>Carlie Linskill</v>
      </c>
      <c r="E739" t="s">
        <v>61</v>
      </c>
      <c r="F739">
        <v>5</v>
      </c>
      <c r="G739">
        <f>INDEX([1]products!$A$1:$G$49,MATCH([1]orders!$D739,[1]products!$A$1:$A$49,0),MATCH([1]orders!K$1,[1]products!$A$1:$G$1,0))</f>
        <v>1</v>
      </c>
      <c r="H739">
        <f>INDEX([1]products!$A$1:$G$49,MATCH([1]orders!$D739,[1]products!$A$1:$A$49,0),MATCH([1]orders!L$1,[1]products!$A$1:$G$1,0))</f>
        <v>11.25</v>
      </c>
      <c r="I739">
        <f t="shared" si="11"/>
        <v>56.25</v>
      </c>
    </row>
    <row r="740" spans="1:9" x14ac:dyDescent="0.25">
      <c r="A740" t="s">
        <v>1435</v>
      </c>
      <c r="B740">
        <v>43812</v>
      </c>
      <c r="C740" t="s">
        <v>1436</v>
      </c>
      <c r="D740" t="str">
        <f>INDEX('Customers (2)'!B:B,MATCH('Customers (2)'!A740,'Customers (2)'!A:A,0))</f>
        <v>Natal Vigrass</v>
      </c>
      <c r="E740" t="s">
        <v>182</v>
      </c>
      <c r="F740">
        <v>3</v>
      </c>
      <c r="G740">
        <f>INDEX([1]products!$A$1:$G$49,MATCH([1]orders!$D740,[1]products!$A$1:$A$49,0),MATCH([1]orders!K$1,[1]products!$A$1:$G$1,0))</f>
        <v>0.2</v>
      </c>
      <c r="H740">
        <f>INDEX([1]products!$A$1:$G$49,MATCH([1]orders!$D740,[1]products!$A$1:$A$49,0),MATCH([1]orders!L$1,[1]products!$A$1:$G$1,0))</f>
        <v>3.5849999999999995</v>
      </c>
      <c r="I740">
        <f t="shared" si="11"/>
        <v>10.754999999999999</v>
      </c>
    </row>
    <row r="741" spans="1:9" x14ac:dyDescent="0.25">
      <c r="A741" t="s">
        <v>1437</v>
      </c>
      <c r="B741">
        <v>44433</v>
      </c>
      <c r="C741" t="s">
        <v>1344</v>
      </c>
      <c r="D741" t="str">
        <f>INDEX('Customers (2)'!B:B,MATCH('Customers (2)'!A741,'Customers (2)'!A:A,0))</f>
        <v>Burlie Issac</v>
      </c>
      <c r="E741" t="s">
        <v>51</v>
      </c>
      <c r="F741">
        <v>5</v>
      </c>
      <c r="G741">
        <f>INDEX([1]products!$A$1:$G$49,MATCH([1]orders!$D741,[1]products!$A$1:$A$49,0),MATCH([1]orders!K$1,[1]products!$A$1:$G$1,0))</f>
        <v>0.2</v>
      </c>
      <c r="H741">
        <f>INDEX([1]products!$A$1:$G$49,MATCH([1]orders!$D741,[1]products!$A$1:$A$49,0),MATCH([1]orders!L$1,[1]products!$A$1:$G$1,0))</f>
        <v>3.645</v>
      </c>
      <c r="I741">
        <f t="shared" si="11"/>
        <v>18.225000000000001</v>
      </c>
    </row>
    <row r="742" spans="1:9" x14ac:dyDescent="0.25">
      <c r="A742" t="s">
        <v>1438</v>
      </c>
      <c r="B742">
        <v>44643</v>
      </c>
      <c r="C742" t="s">
        <v>1439</v>
      </c>
      <c r="D742" t="str">
        <f>INDEX('Customers (2)'!B:B,MATCH('Customers (2)'!A742,'Customers (2)'!A:A,0))</f>
        <v>Kandace Cragell</v>
      </c>
      <c r="E742" t="s">
        <v>157</v>
      </c>
      <c r="F742">
        <v>4</v>
      </c>
      <c r="G742">
        <f>INDEX([1]products!$A$1:$G$49,MATCH([1]orders!$D742,[1]products!$A$1:$A$49,0),MATCH([1]orders!K$1,[1]products!$A$1:$G$1,0))</f>
        <v>0.5</v>
      </c>
      <c r="H742">
        <f>INDEX([1]products!$A$1:$G$49,MATCH([1]orders!$D742,[1]products!$A$1:$A$49,0),MATCH([1]orders!L$1,[1]products!$A$1:$G$1,0))</f>
        <v>7.169999999999999</v>
      </c>
      <c r="I742">
        <f t="shared" si="11"/>
        <v>28.679999999999996</v>
      </c>
    </row>
    <row r="743" spans="1:9" x14ac:dyDescent="0.25">
      <c r="A743" t="s">
        <v>1440</v>
      </c>
      <c r="B743">
        <v>43566</v>
      </c>
      <c r="C743" t="s">
        <v>1441</v>
      </c>
      <c r="D743" t="str">
        <f>INDEX('Customers (2)'!B:B,MATCH('Customers (2)'!A743,'Customers (2)'!A:A,0))</f>
        <v>Lyon Ibert</v>
      </c>
      <c r="E743" t="s">
        <v>77</v>
      </c>
      <c r="F743">
        <v>2</v>
      </c>
      <c r="G743">
        <f>INDEX([1]products!$A$1:$G$49,MATCH([1]orders!$D743,[1]products!$A$1:$A$49,0),MATCH([1]orders!K$1,[1]products!$A$1:$G$1,0))</f>
        <v>0.2</v>
      </c>
      <c r="H743">
        <f>INDEX([1]products!$A$1:$G$49,MATCH([1]orders!$D743,[1]products!$A$1:$A$49,0),MATCH([1]orders!L$1,[1]products!$A$1:$G$1,0))</f>
        <v>4.3650000000000002</v>
      </c>
      <c r="I743">
        <f t="shared" si="11"/>
        <v>8.73</v>
      </c>
    </row>
    <row r="744" spans="1:9" x14ac:dyDescent="0.25">
      <c r="A744" t="s">
        <v>1442</v>
      </c>
      <c r="B744">
        <v>44133</v>
      </c>
      <c r="C744" t="s">
        <v>1443</v>
      </c>
      <c r="D744" t="str">
        <f>INDEX('Customers (2)'!B:B,MATCH('Customers (2)'!A744,'Customers (2)'!A:A,0))</f>
        <v>Reese Lidgey</v>
      </c>
      <c r="E744" t="s">
        <v>96</v>
      </c>
      <c r="F744">
        <v>4</v>
      </c>
      <c r="G744">
        <f>INDEX([1]products!$A$1:$G$49,MATCH([1]orders!$D744,[1]products!$A$1:$A$49,0),MATCH([1]orders!K$1,[1]products!$A$1:$G$1,0))</f>
        <v>1</v>
      </c>
      <c r="H744">
        <f>INDEX([1]products!$A$1:$G$49,MATCH([1]orders!$D744,[1]products!$A$1:$A$49,0),MATCH([1]orders!L$1,[1]products!$A$1:$G$1,0))</f>
        <v>14.55</v>
      </c>
      <c r="I744">
        <f t="shared" si="11"/>
        <v>58.2</v>
      </c>
    </row>
    <row r="745" spans="1:9" x14ac:dyDescent="0.25">
      <c r="A745" t="s">
        <v>1444</v>
      </c>
      <c r="B745">
        <v>44042</v>
      </c>
      <c r="C745" t="s">
        <v>1445</v>
      </c>
      <c r="D745" t="str">
        <f>INDEX('Customers (2)'!B:B,MATCH('Customers (2)'!A745,'Customers (2)'!A:A,0))</f>
        <v>Tersina Castagne</v>
      </c>
      <c r="E745" t="s">
        <v>72</v>
      </c>
      <c r="F745">
        <v>3</v>
      </c>
      <c r="G745">
        <f>INDEX([1]products!$A$1:$G$49,MATCH([1]orders!$D745,[1]products!$A$1:$A$49,0),MATCH([1]orders!K$1,[1]products!$A$1:$G$1,0))</f>
        <v>0.5</v>
      </c>
      <c r="H745">
        <f>INDEX([1]products!$A$1:$G$49,MATCH([1]orders!$D745,[1]products!$A$1:$A$49,0),MATCH([1]orders!L$1,[1]products!$A$1:$G$1,0))</f>
        <v>5.97</v>
      </c>
      <c r="I745">
        <f t="shared" si="11"/>
        <v>17.91</v>
      </c>
    </row>
    <row r="746" spans="1:9" x14ac:dyDescent="0.25">
      <c r="A746" t="s">
        <v>1446</v>
      </c>
      <c r="B746">
        <v>43539</v>
      </c>
      <c r="C746" t="s">
        <v>1447</v>
      </c>
      <c r="D746" t="str">
        <f>INDEX('Customers (2)'!B:B,MATCH('Customers (2)'!A746,'Customers (2)'!A:A,0))</f>
        <v>Samuele Klaaassen</v>
      </c>
      <c r="E746" t="s">
        <v>162</v>
      </c>
      <c r="F746">
        <v>6</v>
      </c>
      <c r="G746">
        <f>INDEX([1]products!$A$1:$G$49,MATCH([1]orders!$D746,[1]products!$A$1:$A$49,0),MATCH([1]orders!K$1,[1]products!$A$1:$G$1,0))</f>
        <v>0.2</v>
      </c>
      <c r="H746">
        <f>INDEX([1]products!$A$1:$G$49,MATCH([1]orders!$D746,[1]products!$A$1:$A$49,0),MATCH([1]orders!L$1,[1]products!$A$1:$G$1,0))</f>
        <v>2.9849999999999999</v>
      </c>
      <c r="I746">
        <f t="shared" si="11"/>
        <v>17.91</v>
      </c>
    </row>
    <row r="747" spans="1:9" x14ac:dyDescent="0.25">
      <c r="A747" t="s">
        <v>1448</v>
      </c>
      <c r="B747">
        <v>44557</v>
      </c>
      <c r="C747" t="s">
        <v>1449</v>
      </c>
      <c r="D747" t="str">
        <f>INDEX('Customers (2)'!B:B,MATCH('Customers (2)'!A747,'Customers (2)'!A:A,0))</f>
        <v>Jordana Halden</v>
      </c>
      <c r="E747" t="s">
        <v>16</v>
      </c>
      <c r="F747">
        <v>2</v>
      </c>
      <c r="G747">
        <f>INDEX([1]products!$A$1:$G$49,MATCH([1]orders!$D747,[1]products!$A$1:$A$49,0),MATCH([1]orders!K$1,[1]products!$A$1:$G$1,0))</f>
        <v>0.5</v>
      </c>
      <c r="H747">
        <f>INDEX([1]products!$A$1:$G$49,MATCH([1]orders!$D747,[1]products!$A$1:$A$49,0),MATCH([1]orders!L$1,[1]products!$A$1:$G$1,0))</f>
        <v>7.29</v>
      </c>
      <c r="I747">
        <f t="shared" si="11"/>
        <v>14.58</v>
      </c>
    </row>
    <row r="748" spans="1:9" x14ac:dyDescent="0.25">
      <c r="A748" t="s">
        <v>1450</v>
      </c>
      <c r="B748">
        <v>43741</v>
      </c>
      <c r="C748" t="s">
        <v>1451</v>
      </c>
      <c r="D748" t="str">
        <f>INDEX('Customers (2)'!B:B,MATCH('Customers (2)'!A748,'Customers (2)'!A:A,0))</f>
        <v>Hussein Olliff</v>
      </c>
      <c r="E748" t="s">
        <v>61</v>
      </c>
      <c r="F748">
        <v>3</v>
      </c>
      <c r="G748">
        <f>INDEX([1]products!$A$1:$G$49,MATCH([1]orders!$D748,[1]products!$A$1:$A$49,0),MATCH([1]orders!K$1,[1]products!$A$1:$G$1,0))</f>
        <v>1</v>
      </c>
      <c r="H748">
        <f>INDEX([1]products!$A$1:$G$49,MATCH([1]orders!$D748,[1]products!$A$1:$A$49,0),MATCH([1]orders!L$1,[1]products!$A$1:$G$1,0))</f>
        <v>11.25</v>
      </c>
      <c r="I748">
        <f t="shared" si="11"/>
        <v>33.75</v>
      </c>
    </row>
    <row r="749" spans="1:9" x14ac:dyDescent="0.25">
      <c r="A749" t="s">
        <v>1452</v>
      </c>
      <c r="B749">
        <v>43501</v>
      </c>
      <c r="C749" t="s">
        <v>1453</v>
      </c>
      <c r="D749" t="str">
        <f>INDEX('Customers (2)'!B:B,MATCH('Customers (2)'!A749,'Customers (2)'!A:A,0))</f>
        <v>Teddi Quadri</v>
      </c>
      <c r="E749" t="s">
        <v>78</v>
      </c>
      <c r="F749">
        <v>4</v>
      </c>
      <c r="G749">
        <f>INDEX([1]products!$A$1:$G$49,MATCH([1]orders!$D749,[1]products!$A$1:$A$49,0),MATCH([1]orders!K$1,[1]products!$A$1:$G$1,0))</f>
        <v>0.5</v>
      </c>
      <c r="H749">
        <f>INDEX([1]products!$A$1:$G$49,MATCH([1]orders!$D749,[1]products!$A$1:$A$49,0),MATCH([1]orders!L$1,[1]products!$A$1:$G$1,0))</f>
        <v>8.73</v>
      </c>
      <c r="I749">
        <f t="shared" si="11"/>
        <v>34.92</v>
      </c>
    </row>
    <row r="750" spans="1:9" x14ac:dyDescent="0.25">
      <c r="A750" t="s">
        <v>1454</v>
      </c>
      <c r="B750">
        <v>44074</v>
      </c>
      <c r="C750" t="s">
        <v>1455</v>
      </c>
      <c r="D750" t="str">
        <f>INDEX('Customers (2)'!B:B,MATCH('Customers (2)'!A750,'Customers (2)'!A:A,0))</f>
        <v>Felita Eshmade</v>
      </c>
      <c r="E750" t="s">
        <v>16</v>
      </c>
      <c r="F750">
        <v>2</v>
      </c>
      <c r="G750">
        <f>INDEX([1]products!$A$1:$G$49,MATCH([1]orders!$D750,[1]products!$A$1:$A$49,0),MATCH([1]orders!K$1,[1]products!$A$1:$G$1,0))</f>
        <v>0.5</v>
      </c>
      <c r="H750">
        <f>INDEX([1]products!$A$1:$G$49,MATCH([1]orders!$D750,[1]products!$A$1:$A$49,0),MATCH([1]orders!L$1,[1]products!$A$1:$G$1,0))</f>
        <v>7.29</v>
      </c>
      <c r="I750">
        <f t="shared" si="11"/>
        <v>14.58</v>
      </c>
    </row>
    <row r="751" spans="1:9" x14ac:dyDescent="0.25">
      <c r="A751" t="s">
        <v>1456</v>
      </c>
      <c r="B751">
        <v>44209</v>
      </c>
      <c r="C751" t="s">
        <v>1457</v>
      </c>
      <c r="D751" t="str">
        <f>INDEX('Customers (2)'!B:B,MATCH('Customers (2)'!A751,'Customers (2)'!A:A,0))</f>
        <v>Melodie OIlier</v>
      </c>
      <c r="E751" t="s">
        <v>101</v>
      </c>
      <c r="F751">
        <v>2</v>
      </c>
      <c r="G751">
        <f>INDEX([1]products!$A$1:$G$49,MATCH([1]orders!$D751,[1]products!$A$1:$A$49,0),MATCH([1]orders!K$1,[1]products!$A$1:$G$1,0))</f>
        <v>0.2</v>
      </c>
      <c r="H751">
        <f>INDEX([1]products!$A$1:$G$49,MATCH([1]orders!$D751,[1]products!$A$1:$A$49,0),MATCH([1]orders!L$1,[1]products!$A$1:$G$1,0))</f>
        <v>2.6849999999999996</v>
      </c>
      <c r="I751">
        <f t="shared" si="11"/>
        <v>5.3699999999999992</v>
      </c>
    </row>
    <row r="752" spans="1:9" x14ac:dyDescent="0.25">
      <c r="A752" t="s">
        <v>1458</v>
      </c>
      <c r="B752">
        <v>44277</v>
      </c>
      <c r="C752" t="s">
        <v>1459</v>
      </c>
      <c r="D752" t="str">
        <f>INDEX('Customers (2)'!B:B,MATCH('Customers (2)'!A752,'Customers (2)'!A:A,0))</f>
        <v>Hazel Iacopini</v>
      </c>
      <c r="E752" t="s">
        <v>22</v>
      </c>
      <c r="F752">
        <v>1</v>
      </c>
      <c r="G752">
        <f>INDEX([1]products!$A$1:$G$49,MATCH([1]orders!$D752,[1]products!$A$1:$A$49,0),MATCH([1]orders!K$1,[1]products!$A$1:$G$1,0))</f>
        <v>0.5</v>
      </c>
      <c r="H752">
        <f>INDEX([1]products!$A$1:$G$49,MATCH([1]orders!$D752,[1]products!$A$1:$A$49,0),MATCH([1]orders!L$1,[1]products!$A$1:$G$1,0))</f>
        <v>5.97</v>
      </c>
      <c r="I752">
        <f t="shared" si="11"/>
        <v>5.97</v>
      </c>
    </row>
    <row r="753" spans="1:9" x14ac:dyDescent="0.25">
      <c r="A753" t="s">
        <v>1460</v>
      </c>
      <c r="B753">
        <v>43847</v>
      </c>
      <c r="C753" t="s">
        <v>1461</v>
      </c>
      <c r="D753" t="str">
        <f>INDEX('Customers (2)'!B:B,MATCH('Customers (2)'!A753,'Customers (2)'!A:A,0))</f>
        <v>Vinny Shoebotham</v>
      </c>
      <c r="E753" t="s">
        <v>83</v>
      </c>
      <c r="F753">
        <v>2</v>
      </c>
      <c r="G753">
        <f>INDEX([1]products!$A$1:$G$49,MATCH([1]orders!$D753,[1]products!$A$1:$A$49,0),MATCH([1]orders!K$1,[1]products!$A$1:$G$1,0))</f>
        <v>0.5</v>
      </c>
      <c r="H753">
        <f>INDEX([1]products!$A$1:$G$49,MATCH([1]orders!$D753,[1]products!$A$1:$A$49,0),MATCH([1]orders!L$1,[1]products!$A$1:$G$1,0))</f>
        <v>9.51</v>
      </c>
      <c r="I753">
        <f t="shared" si="11"/>
        <v>19.02</v>
      </c>
    </row>
    <row r="754" spans="1:9" x14ac:dyDescent="0.25">
      <c r="A754" t="s">
        <v>1462</v>
      </c>
      <c r="B754">
        <v>43648</v>
      </c>
      <c r="C754" t="s">
        <v>1463</v>
      </c>
      <c r="D754" t="str">
        <f>INDEX('Customers (2)'!B:B,MATCH('Customers (2)'!A754,'Customers (2)'!A:A,0))</f>
        <v>Bran Sterke</v>
      </c>
      <c r="E754" t="s">
        <v>9</v>
      </c>
      <c r="F754">
        <v>2</v>
      </c>
      <c r="G754">
        <f>INDEX([1]products!$A$1:$G$49,MATCH([1]orders!$D754,[1]products!$A$1:$A$49,0),MATCH([1]orders!K$1,[1]products!$A$1:$G$1,0))</f>
        <v>1</v>
      </c>
      <c r="H754">
        <f>INDEX([1]products!$A$1:$G$49,MATCH([1]orders!$D754,[1]products!$A$1:$A$49,0),MATCH([1]orders!L$1,[1]products!$A$1:$G$1,0))</f>
        <v>13.75</v>
      </c>
      <c r="I754">
        <f t="shared" si="11"/>
        <v>27.5</v>
      </c>
    </row>
    <row r="755" spans="1:9" x14ac:dyDescent="0.25">
      <c r="A755" t="s">
        <v>1464</v>
      </c>
      <c r="B755">
        <v>44704</v>
      </c>
      <c r="C755" t="s">
        <v>1465</v>
      </c>
      <c r="D755" t="str">
        <f>INDEX('Customers (2)'!B:B,MATCH('Customers (2)'!A755,'Customers (2)'!A:A,0))</f>
        <v>Simone Capon</v>
      </c>
      <c r="E755" t="s">
        <v>72</v>
      </c>
      <c r="F755">
        <v>5</v>
      </c>
      <c r="G755">
        <f>INDEX([1]products!$A$1:$G$49,MATCH([1]orders!$D755,[1]products!$A$1:$A$49,0),MATCH([1]orders!K$1,[1]products!$A$1:$G$1,0))</f>
        <v>0.5</v>
      </c>
      <c r="H755">
        <f>INDEX([1]products!$A$1:$G$49,MATCH([1]orders!$D755,[1]products!$A$1:$A$49,0),MATCH([1]orders!L$1,[1]products!$A$1:$G$1,0))</f>
        <v>5.97</v>
      </c>
      <c r="I755">
        <f t="shared" si="11"/>
        <v>29.849999999999998</v>
      </c>
    </row>
    <row r="756" spans="1:9" x14ac:dyDescent="0.25">
      <c r="A756" t="s">
        <v>1466</v>
      </c>
      <c r="B756">
        <v>44726</v>
      </c>
      <c r="C756" t="s">
        <v>1344</v>
      </c>
      <c r="D756" t="str">
        <f>INDEX('Customers (2)'!B:B,MATCH('Customers (2)'!A756,'Customers (2)'!A:A,0))</f>
        <v>Philomena Traite</v>
      </c>
      <c r="E756" t="s">
        <v>54</v>
      </c>
      <c r="F756">
        <v>6</v>
      </c>
      <c r="G756">
        <f>INDEX([1]products!$A$1:$G$49,MATCH([1]orders!$D756,[1]products!$A$1:$A$49,0),MATCH([1]orders!K$1,[1]products!$A$1:$G$1,0))</f>
        <v>0.2</v>
      </c>
      <c r="H756">
        <f>INDEX([1]products!$A$1:$G$49,MATCH([1]orders!$D756,[1]products!$A$1:$A$49,0),MATCH([1]orders!L$1,[1]products!$A$1:$G$1,0))</f>
        <v>2.9849999999999999</v>
      </c>
      <c r="I756">
        <f t="shared" si="11"/>
        <v>17.91</v>
      </c>
    </row>
    <row r="757" spans="1:9" x14ac:dyDescent="0.25">
      <c r="A757" t="s">
        <v>1467</v>
      </c>
      <c r="B757">
        <v>44397</v>
      </c>
      <c r="C757" t="s">
        <v>1468</v>
      </c>
      <c r="D757" t="str">
        <f>INDEX('Customers (2)'!B:B,MATCH('Customers (2)'!A757,'Customers (2)'!A:A,0))</f>
        <v>Foster Constance</v>
      </c>
      <c r="E757" t="s">
        <v>19</v>
      </c>
      <c r="F757">
        <v>6</v>
      </c>
      <c r="G757">
        <f>INDEX([1]products!$A$1:$G$49,MATCH([1]orders!$D757,[1]products!$A$1:$A$49,0),MATCH([1]orders!K$1,[1]products!$A$1:$G$1,0))</f>
        <v>0.2</v>
      </c>
      <c r="H757">
        <f>INDEX([1]products!$A$1:$G$49,MATCH([1]orders!$D757,[1]products!$A$1:$A$49,0),MATCH([1]orders!L$1,[1]products!$A$1:$G$1,0))</f>
        <v>4.7549999999999999</v>
      </c>
      <c r="I757">
        <f t="shared" si="11"/>
        <v>28.53</v>
      </c>
    </row>
    <row r="758" spans="1:9" x14ac:dyDescent="0.25">
      <c r="A758" t="s">
        <v>1469</v>
      </c>
      <c r="B758">
        <v>44715</v>
      </c>
      <c r="C758" t="s">
        <v>1470</v>
      </c>
      <c r="D758" t="str">
        <f>INDEX('Customers (2)'!B:B,MATCH('Customers (2)'!A758,'Customers (2)'!A:A,0))</f>
        <v>Fernando Sulman</v>
      </c>
      <c r="E758" t="s">
        <v>179</v>
      </c>
      <c r="F758">
        <v>4</v>
      </c>
      <c r="G758">
        <f>INDEX([1]products!$A$1:$G$49,MATCH([1]orders!$D758,[1]products!$A$1:$A$49,0),MATCH([1]orders!K$1,[1]products!$A$1:$G$1,0))</f>
        <v>1</v>
      </c>
      <c r="H758">
        <f>INDEX([1]products!$A$1:$G$49,MATCH([1]orders!$D758,[1]products!$A$1:$A$49,0),MATCH([1]orders!L$1,[1]products!$A$1:$G$1,0))</f>
        <v>8.9499999999999993</v>
      </c>
      <c r="I758">
        <f t="shared" si="11"/>
        <v>35.799999999999997</v>
      </c>
    </row>
    <row r="759" spans="1:9" x14ac:dyDescent="0.25">
      <c r="A759" t="s">
        <v>1471</v>
      </c>
      <c r="B759">
        <v>43977</v>
      </c>
      <c r="C759" t="s">
        <v>1472</v>
      </c>
      <c r="D759" t="str">
        <f>INDEX('Customers (2)'!B:B,MATCH('Customers (2)'!A759,'Customers (2)'!A:A,0))</f>
        <v>Dorotea Hollyman</v>
      </c>
      <c r="E759" t="s">
        <v>72</v>
      </c>
      <c r="F759">
        <v>3</v>
      </c>
      <c r="G759">
        <f>INDEX([1]products!$A$1:$G$49,MATCH([1]orders!$D759,[1]products!$A$1:$A$49,0),MATCH([1]orders!K$1,[1]products!$A$1:$G$1,0))</f>
        <v>0.5</v>
      </c>
      <c r="H759">
        <f>INDEX([1]products!$A$1:$G$49,MATCH([1]orders!$D759,[1]products!$A$1:$A$49,0),MATCH([1]orders!L$1,[1]products!$A$1:$G$1,0))</f>
        <v>5.97</v>
      </c>
      <c r="I759">
        <f t="shared" si="11"/>
        <v>17.91</v>
      </c>
    </row>
    <row r="760" spans="1:9" x14ac:dyDescent="0.25">
      <c r="A760" t="s">
        <v>1473</v>
      </c>
      <c r="B760">
        <v>43672</v>
      </c>
      <c r="C760" t="s">
        <v>1474</v>
      </c>
      <c r="D760" t="str">
        <f>INDEX('Customers (2)'!B:B,MATCH('Customers (2)'!A760,'Customers (2)'!A:A,0))</f>
        <v>Lorelei Nardoni</v>
      </c>
      <c r="E760" t="s">
        <v>179</v>
      </c>
      <c r="F760">
        <v>1</v>
      </c>
      <c r="G760">
        <f>INDEX([1]products!$A$1:$G$49,MATCH([1]orders!$D760,[1]products!$A$1:$A$49,0),MATCH([1]orders!K$1,[1]products!$A$1:$G$1,0))</f>
        <v>1</v>
      </c>
      <c r="H760">
        <f>INDEX([1]products!$A$1:$G$49,MATCH([1]orders!$D760,[1]products!$A$1:$A$49,0),MATCH([1]orders!L$1,[1]products!$A$1:$G$1,0))</f>
        <v>8.9499999999999993</v>
      </c>
      <c r="I760">
        <f t="shared" si="11"/>
        <v>8.9499999999999993</v>
      </c>
    </row>
    <row r="761" spans="1:9" x14ac:dyDescent="0.25">
      <c r="A761" t="s">
        <v>1475</v>
      </c>
      <c r="B761">
        <v>44126</v>
      </c>
      <c r="C761" t="s">
        <v>1476</v>
      </c>
      <c r="D761" t="str">
        <f>INDEX('Customers (2)'!B:B,MATCH('Customers (2)'!A761,'Customers (2)'!A:A,0))</f>
        <v>Dallas Yarham</v>
      </c>
      <c r="E761" t="s">
        <v>109</v>
      </c>
      <c r="F761">
        <v>1</v>
      </c>
      <c r="G761">
        <f>INDEX([1]products!$A$1:$G$49,MATCH([1]orders!$D761,[1]products!$A$1:$A$49,0),MATCH([1]orders!K$1,[1]products!$A$1:$G$1,0))</f>
        <v>2.5</v>
      </c>
      <c r="H761">
        <f>INDEX([1]products!$A$1:$G$49,MATCH([1]orders!$D761,[1]products!$A$1:$A$49,0),MATCH([1]orders!L$1,[1]products!$A$1:$G$1,0))</f>
        <v>29.784999999999997</v>
      </c>
      <c r="I761">
        <f t="shared" si="11"/>
        <v>29.784999999999997</v>
      </c>
    </row>
    <row r="762" spans="1:9" x14ac:dyDescent="0.25">
      <c r="A762" t="s">
        <v>1477</v>
      </c>
      <c r="B762">
        <v>44189</v>
      </c>
      <c r="C762" t="s">
        <v>1478</v>
      </c>
      <c r="D762" t="str">
        <f>INDEX('Customers (2)'!B:B,MATCH('Customers (2)'!A762,'Customers (2)'!A:A,0))</f>
        <v>Arlana Ferrea</v>
      </c>
      <c r="E762" t="s">
        <v>176</v>
      </c>
      <c r="F762">
        <v>5</v>
      </c>
      <c r="G762">
        <f>INDEX([1]products!$A$1:$G$49,MATCH([1]orders!$D762,[1]products!$A$1:$A$49,0),MATCH([1]orders!K$1,[1]products!$A$1:$G$1,0))</f>
        <v>0.5</v>
      </c>
      <c r="H762">
        <f>INDEX([1]products!$A$1:$G$49,MATCH([1]orders!$D762,[1]products!$A$1:$A$49,0),MATCH([1]orders!L$1,[1]products!$A$1:$G$1,0))</f>
        <v>8.91</v>
      </c>
      <c r="I762">
        <f t="shared" si="11"/>
        <v>44.55</v>
      </c>
    </row>
    <row r="763" spans="1:9" x14ac:dyDescent="0.25">
      <c r="A763" t="s">
        <v>1479</v>
      </c>
      <c r="B763">
        <v>43714</v>
      </c>
      <c r="C763" t="s">
        <v>1480</v>
      </c>
      <c r="D763" t="str">
        <f>INDEX('Customers (2)'!B:B,MATCH('Customers (2)'!A763,'Customers (2)'!A:A,0))</f>
        <v>Chuck Kendrick</v>
      </c>
      <c r="E763" t="s">
        <v>137</v>
      </c>
      <c r="F763">
        <v>6</v>
      </c>
      <c r="G763">
        <f>INDEX([1]products!$A$1:$G$49,MATCH([1]orders!$D763,[1]products!$A$1:$A$49,0),MATCH([1]orders!K$1,[1]products!$A$1:$G$1,0))</f>
        <v>1</v>
      </c>
      <c r="H763">
        <f>INDEX([1]products!$A$1:$G$49,MATCH([1]orders!$D763,[1]products!$A$1:$A$49,0),MATCH([1]orders!L$1,[1]products!$A$1:$G$1,0))</f>
        <v>14.85</v>
      </c>
      <c r="I763">
        <f t="shared" si="11"/>
        <v>89.1</v>
      </c>
    </row>
    <row r="764" spans="1:9" x14ac:dyDescent="0.25">
      <c r="A764" t="s">
        <v>1481</v>
      </c>
      <c r="B764">
        <v>43563</v>
      </c>
      <c r="C764" t="s">
        <v>1482</v>
      </c>
      <c r="D764" t="str">
        <f>INDEX('Customers (2)'!B:B,MATCH('Customers (2)'!A764,'Customers (2)'!A:A,0))</f>
        <v>Sharona Danilchik</v>
      </c>
      <c r="E764" t="s">
        <v>78</v>
      </c>
      <c r="F764">
        <v>5</v>
      </c>
      <c r="G764">
        <f>INDEX([1]products!$A$1:$G$49,MATCH([1]orders!$D764,[1]products!$A$1:$A$49,0),MATCH([1]orders!K$1,[1]products!$A$1:$G$1,0))</f>
        <v>0.5</v>
      </c>
      <c r="H764">
        <f>INDEX([1]products!$A$1:$G$49,MATCH([1]orders!$D764,[1]products!$A$1:$A$49,0),MATCH([1]orders!L$1,[1]products!$A$1:$G$1,0))</f>
        <v>8.73</v>
      </c>
      <c r="I764">
        <f t="shared" si="11"/>
        <v>43.650000000000006</v>
      </c>
    </row>
    <row r="765" spans="1:9" x14ac:dyDescent="0.25">
      <c r="A765" t="s">
        <v>1483</v>
      </c>
      <c r="B765">
        <v>44587</v>
      </c>
      <c r="C765" t="s">
        <v>1484</v>
      </c>
      <c r="D765" t="str">
        <f>INDEX('Customers (2)'!B:B,MATCH('Customers (2)'!A765,'Customers (2)'!A:A,0))</f>
        <v>Sarajane Potter</v>
      </c>
      <c r="E765" t="s">
        <v>192</v>
      </c>
      <c r="F765">
        <v>3</v>
      </c>
      <c r="G765">
        <f>INDEX([1]products!$A$1:$G$49,MATCH([1]orders!$D765,[1]products!$A$1:$A$49,0),MATCH([1]orders!K$1,[1]products!$A$1:$G$1,0))</f>
        <v>0.5</v>
      </c>
      <c r="H765">
        <f>INDEX([1]products!$A$1:$G$49,MATCH([1]orders!$D765,[1]products!$A$1:$A$49,0),MATCH([1]orders!L$1,[1]products!$A$1:$G$1,0))</f>
        <v>7.77</v>
      </c>
      <c r="I765">
        <f t="shared" si="11"/>
        <v>23.31</v>
      </c>
    </row>
    <row r="766" spans="1:9" x14ac:dyDescent="0.25">
      <c r="A766" t="s">
        <v>1485</v>
      </c>
      <c r="B766">
        <v>43797</v>
      </c>
      <c r="C766" t="s">
        <v>1486</v>
      </c>
      <c r="D766" t="str">
        <f>INDEX('Customers (2)'!B:B,MATCH('Customers (2)'!A766,'Customers (2)'!A:A,0))</f>
        <v>Bobby Folomkin</v>
      </c>
      <c r="E766" t="s">
        <v>204</v>
      </c>
      <c r="F766">
        <v>6</v>
      </c>
      <c r="G766">
        <f>INDEX([1]products!$A$1:$G$49,MATCH([1]orders!$D766,[1]products!$A$1:$A$49,0),MATCH([1]orders!K$1,[1]products!$A$1:$G$1,0))</f>
        <v>2.5</v>
      </c>
      <c r="H766">
        <f>INDEX([1]products!$A$1:$G$49,MATCH([1]orders!$D766,[1]products!$A$1:$A$49,0),MATCH([1]orders!L$1,[1]products!$A$1:$G$1,0))</f>
        <v>29.784999999999997</v>
      </c>
      <c r="I766">
        <f t="shared" si="11"/>
        <v>178.70999999999998</v>
      </c>
    </row>
    <row r="767" spans="1:9" x14ac:dyDescent="0.25">
      <c r="A767" t="s">
        <v>1487</v>
      </c>
      <c r="B767">
        <v>43667</v>
      </c>
      <c r="C767" t="s">
        <v>1488</v>
      </c>
      <c r="D767" t="str">
        <f>INDEX('Customers (2)'!B:B,MATCH('Customers (2)'!A767,'Customers (2)'!A:A,0))</f>
        <v>Rafferty Pursglove</v>
      </c>
      <c r="E767" t="s">
        <v>2</v>
      </c>
      <c r="F767">
        <v>6</v>
      </c>
      <c r="G767">
        <f>INDEX([1]products!$A$1:$G$49,MATCH([1]orders!$D767,[1]products!$A$1:$A$49,0),MATCH([1]orders!K$1,[1]products!$A$1:$G$1,0))</f>
        <v>1</v>
      </c>
      <c r="H767">
        <f>INDEX([1]products!$A$1:$G$49,MATCH([1]orders!$D767,[1]products!$A$1:$A$49,0),MATCH([1]orders!L$1,[1]products!$A$1:$G$1,0))</f>
        <v>9.9499999999999993</v>
      </c>
      <c r="I767">
        <f t="shared" si="11"/>
        <v>59.699999999999996</v>
      </c>
    </row>
    <row r="768" spans="1:9" x14ac:dyDescent="0.25">
      <c r="A768" t="s">
        <v>1487</v>
      </c>
      <c r="B768">
        <v>43667</v>
      </c>
      <c r="C768" t="s">
        <v>1488</v>
      </c>
      <c r="D768" t="str">
        <f>INDEX('Customers (2)'!B:B,MATCH('Customers (2)'!A768,'Customers (2)'!A:A,0))</f>
        <v>Riva De Micoli</v>
      </c>
      <c r="E768" t="s">
        <v>192</v>
      </c>
      <c r="F768">
        <v>2</v>
      </c>
      <c r="G768">
        <f>INDEX([1]products!$A$1:$G$49,MATCH([1]orders!$D768,[1]products!$A$1:$A$49,0),MATCH([1]orders!K$1,[1]products!$A$1:$G$1,0))</f>
        <v>0.5</v>
      </c>
      <c r="H768">
        <f>INDEX([1]products!$A$1:$G$49,MATCH([1]orders!$D768,[1]products!$A$1:$A$49,0),MATCH([1]orders!L$1,[1]products!$A$1:$G$1,0))</f>
        <v>7.77</v>
      </c>
      <c r="I768">
        <f t="shared" si="11"/>
        <v>15.54</v>
      </c>
    </row>
    <row r="769" spans="1:9" x14ac:dyDescent="0.25">
      <c r="A769" t="s">
        <v>1489</v>
      </c>
      <c r="B769">
        <v>44267</v>
      </c>
      <c r="C769" t="s">
        <v>1468</v>
      </c>
      <c r="D769" t="str">
        <f>INDEX('Customers (2)'!B:B,MATCH('Customers (2)'!A769,'Customers (2)'!A:A,0))</f>
        <v>Antoine Taunton.</v>
      </c>
      <c r="E769" t="s">
        <v>204</v>
      </c>
      <c r="F769">
        <v>3</v>
      </c>
      <c r="G769">
        <f>INDEX([1]products!$A$1:$G$49,MATCH([1]orders!$D769,[1]products!$A$1:$A$49,0),MATCH([1]orders!K$1,[1]products!$A$1:$G$1,0))</f>
        <v>2.5</v>
      </c>
      <c r="H769">
        <f>INDEX([1]products!$A$1:$G$49,MATCH([1]orders!$D769,[1]products!$A$1:$A$49,0),MATCH([1]orders!L$1,[1]products!$A$1:$G$1,0))</f>
        <v>29.784999999999997</v>
      </c>
      <c r="I769">
        <f t="shared" si="11"/>
        <v>89.35499999999999</v>
      </c>
    </row>
    <row r="770" spans="1:9" x14ac:dyDescent="0.25">
      <c r="A770" t="s">
        <v>1490</v>
      </c>
      <c r="B770">
        <v>44562</v>
      </c>
      <c r="C770" t="s">
        <v>1468</v>
      </c>
      <c r="D770" t="str">
        <f>INDEX('Customers (2)'!B:B,MATCH('Customers (2)'!A770,'Customers (2)'!A:A,0))</f>
        <v>Krishnah Incogna</v>
      </c>
      <c r="E770" t="s">
        <v>189</v>
      </c>
      <c r="F770">
        <v>2</v>
      </c>
      <c r="G770">
        <f>INDEX([1]products!$A$1:$G$49,MATCH([1]orders!$D770,[1]products!$A$1:$A$49,0),MATCH([1]orders!K$1,[1]products!$A$1:$G$1,0))</f>
        <v>1</v>
      </c>
      <c r="H770">
        <f>INDEX([1]products!$A$1:$G$49,MATCH([1]orders!$D770,[1]products!$A$1:$A$49,0),MATCH([1]orders!L$1,[1]products!$A$1:$G$1,0))</f>
        <v>11.95</v>
      </c>
      <c r="I770">
        <f t="shared" ref="I770:I833" si="12">F770*H770</f>
        <v>23.9</v>
      </c>
    </row>
    <row r="771" spans="1:9" x14ac:dyDescent="0.25">
      <c r="A771" t="s">
        <v>1491</v>
      </c>
      <c r="B771">
        <v>43912</v>
      </c>
      <c r="C771" t="s">
        <v>1492</v>
      </c>
      <c r="D771" t="str">
        <f>INDEX('Customers (2)'!B:B,MATCH('Customers (2)'!A771,'Customers (2)'!A:A,0))</f>
        <v>Dalia Eburah</v>
      </c>
      <c r="E771" t="s">
        <v>41</v>
      </c>
      <c r="F771">
        <v>6</v>
      </c>
      <c r="G771">
        <f>INDEX([1]products!$A$1:$G$49,MATCH([1]orders!$D771,[1]products!$A$1:$A$49,0),MATCH([1]orders!K$1,[1]products!$A$1:$G$1,0))</f>
        <v>2.5</v>
      </c>
      <c r="H771">
        <f>INDEX([1]products!$A$1:$G$49,MATCH([1]orders!$D771,[1]products!$A$1:$A$49,0),MATCH([1]orders!L$1,[1]products!$A$1:$G$1,0))</f>
        <v>22.884999999999998</v>
      </c>
      <c r="I771">
        <f t="shared" si="12"/>
        <v>137.31</v>
      </c>
    </row>
    <row r="772" spans="1:9" x14ac:dyDescent="0.25">
      <c r="A772" t="s">
        <v>1493</v>
      </c>
      <c r="B772">
        <v>44092</v>
      </c>
      <c r="C772" t="s">
        <v>1494</v>
      </c>
      <c r="D772" t="str">
        <f>INDEX('Customers (2)'!B:B,MATCH('Customers (2)'!A772,'Customers (2)'!A:A,0))</f>
        <v>Martie Brimilcombe</v>
      </c>
      <c r="E772" t="s">
        <v>27</v>
      </c>
      <c r="F772">
        <v>1</v>
      </c>
      <c r="G772">
        <f>INDEX([1]products!$A$1:$G$49,MATCH([1]orders!$D772,[1]products!$A$1:$A$49,0),MATCH([1]orders!K$1,[1]products!$A$1:$G$1,0))</f>
        <v>1</v>
      </c>
      <c r="H772">
        <f>INDEX([1]products!$A$1:$G$49,MATCH([1]orders!$D772,[1]products!$A$1:$A$49,0),MATCH([1]orders!L$1,[1]products!$A$1:$G$1,0))</f>
        <v>9.9499999999999993</v>
      </c>
      <c r="I772">
        <f t="shared" si="12"/>
        <v>9.9499999999999993</v>
      </c>
    </row>
    <row r="773" spans="1:9" x14ac:dyDescent="0.25">
      <c r="A773" t="s">
        <v>1495</v>
      </c>
      <c r="B773">
        <v>43468</v>
      </c>
      <c r="C773" t="s">
        <v>1496</v>
      </c>
      <c r="D773" t="str">
        <f>INDEX('Customers (2)'!B:B,MATCH('Customers (2)'!A773,'Customers (2)'!A:A,0))</f>
        <v>Suzanna Bollam</v>
      </c>
      <c r="E773" t="s">
        <v>157</v>
      </c>
      <c r="F773">
        <v>3</v>
      </c>
      <c r="G773">
        <f>INDEX([1]products!$A$1:$G$49,MATCH([1]orders!$D773,[1]products!$A$1:$A$49,0),MATCH([1]orders!K$1,[1]products!$A$1:$G$1,0))</f>
        <v>0.5</v>
      </c>
      <c r="H773">
        <f>INDEX([1]products!$A$1:$G$49,MATCH([1]orders!$D773,[1]products!$A$1:$A$49,0),MATCH([1]orders!L$1,[1]products!$A$1:$G$1,0))</f>
        <v>7.169999999999999</v>
      </c>
      <c r="I773">
        <f t="shared" si="12"/>
        <v>21.509999999999998</v>
      </c>
    </row>
    <row r="774" spans="1:9" x14ac:dyDescent="0.25">
      <c r="A774" t="s">
        <v>1497</v>
      </c>
      <c r="B774">
        <v>44468</v>
      </c>
      <c r="C774" t="s">
        <v>1498</v>
      </c>
      <c r="D774" t="str">
        <f>INDEX('Customers (2)'!B:B,MATCH('Customers (2)'!A774,'Customers (2)'!A:A,0))</f>
        <v>Mellisa Mebes</v>
      </c>
      <c r="E774" t="s">
        <v>9</v>
      </c>
      <c r="F774">
        <v>6</v>
      </c>
      <c r="G774">
        <f>INDEX([1]products!$A$1:$G$49,MATCH([1]orders!$D774,[1]products!$A$1:$A$49,0),MATCH([1]orders!K$1,[1]products!$A$1:$G$1,0))</f>
        <v>1</v>
      </c>
      <c r="H774">
        <f>INDEX([1]products!$A$1:$G$49,MATCH([1]orders!$D774,[1]products!$A$1:$A$49,0),MATCH([1]orders!L$1,[1]products!$A$1:$G$1,0))</f>
        <v>13.75</v>
      </c>
      <c r="I774">
        <f t="shared" si="12"/>
        <v>82.5</v>
      </c>
    </row>
    <row r="775" spans="1:9" x14ac:dyDescent="0.25">
      <c r="A775" t="s">
        <v>1499</v>
      </c>
      <c r="B775">
        <v>44488</v>
      </c>
      <c r="C775" t="s">
        <v>1500</v>
      </c>
      <c r="D775" t="str">
        <f>INDEX('Customers (2)'!B:B,MATCH('Customers (2)'!A775,'Customers (2)'!A:A,0))</f>
        <v>Alva Filipczak</v>
      </c>
      <c r="E775" t="s">
        <v>77</v>
      </c>
      <c r="F775">
        <v>2</v>
      </c>
      <c r="G775">
        <f>INDEX([1]products!$A$1:$G$49,MATCH([1]orders!$D775,[1]products!$A$1:$A$49,0),MATCH([1]orders!K$1,[1]products!$A$1:$G$1,0))</f>
        <v>0.2</v>
      </c>
      <c r="H775">
        <f>INDEX([1]products!$A$1:$G$49,MATCH([1]orders!$D775,[1]products!$A$1:$A$49,0),MATCH([1]orders!L$1,[1]products!$A$1:$G$1,0))</f>
        <v>4.3650000000000002</v>
      </c>
      <c r="I775">
        <f t="shared" si="12"/>
        <v>8.73</v>
      </c>
    </row>
    <row r="776" spans="1:9" x14ac:dyDescent="0.25">
      <c r="A776" t="s">
        <v>1501</v>
      </c>
      <c r="B776">
        <v>44756</v>
      </c>
      <c r="C776" t="s">
        <v>1502</v>
      </c>
      <c r="D776" t="str">
        <f>INDEX('Customers (2)'!B:B,MATCH('Customers (2)'!A776,'Customers (2)'!A:A,0))</f>
        <v>Dorette Hinemoor</v>
      </c>
      <c r="E776" t="s">
        <v>2</v>
      </c>
      <c r="F776">
        <v>2</v>
      </c>
      <c r="G776">
        <f>INDEX([1]products!$A$1:$G$49,MATCH([1]orders!$D776,[1]products!$A$1:$A$49,0),MATCH([1]orders!K$1,[1]products!$A$1:$G$1,0))</f>
        <v>1</v>
      </c>
      <c r="H776">
        <f>INDEX([1]products!$A$1:$G$49,MATCH([1]orders!$D776,[1]products!$A$1:$A$49,0),MATCH([1]orders!L$1,[1]products!$A$1:$G$1,0))</f>
        <v>9.9499999999999993</v>
      </c>
      <c r="I776">
        <f t="shared" si="12"/>
        <v>19.899999999999999</v>
      </c>
    </row>
    <row r="777" spans="1:9" x14ac:dyDescent="0.25">
      <c r="A777" t="s">
        <v>1503</v>
      </c>
      <c r="B777">
        <v>44396</v>
      </c>
      <c r="C777" t="s">
        <v>1504</v>
      </c>
      <c r="D777" t="str">
        <f>INDEX('Customers (2)'!B:B,MATCH('Customers (2)'!A777,'Customers (2)'!A:A,0))</f>
        <v>Rhetta Elnaugh</v>
      </c>
      <c r="E777" t="s">
        <v>176</v>
      </c>
      <c r="F777">
        <v>2</v>
      </c>
      <c r="G777">
        <f>INDEX([1]products!$A$1:$G$49,MATCH([1]orders!$D777,[1]products!$A$1:$A$49,0),MATCH([1]orders!K$1,[1]products!$A$1:$G$1,0))</f>
        <v>0.5</v>
      </c>
      <c r="H777">
        <f>INDEX([1]products!$A$1:$G$49,MATCH([1]orders!$D777,[1]products!$A$1:$A$49,0),MATCH([1]orders!L$1,[1]products!$A$1:$G$1,0))</f>
        <v>8.91</v>
      </c>
      <c r="I777">
        <f t="shared" si="12"/>
        <v>17.82</v>
      </c>
    </row>
    <row r="778" spans="1:9" x14ac:dyDescent="0.25">
      <c r="A778" t="s">
        <v>1505</v>
      </c>
      <c r="B778">
        <v>44540</v>
      </c>
      <c r="C778" t="s">
        <v>1506</v>
      </c>
      <c r="D778" t="str">
        <f>INDEX('Customers (2)'!B:B,MATCH('Customers (2)'!A778,'Customers (2)'!A:A,0))</f>
        <v>Jule Deehan</v>
      </c>
      <c r="E778" t="s">
        <v>67</v>
      </c>
      <c r="F778">
        <v>3</v>
      </c>
      <c r="G778">
        <f>INDEX([1]products!$A$1:$G$49,MATCH([1]orders!$D778,[1]products!$A$1:$A$49,0),MATCH([1]orders!K$1,[1]products!$A$1:$G$1,0))</f>
        <v>0.5</v>
      </c>
      <c r="H778">
        <f>INDEX([1]products!$A$1:$G$49,MATCH([1]orders!$D778,[1]products!$A$1:$A$49,0),MATCH([1]orders!L$1,[1]products!$A$1:$G$1,0))</f>
        <v>6.75</v>
      </c>
      <c r="I778">
        <f t="shared" si="12"/>
        <v>20.25</v>
      </c>
    </row>
    <row r="779" spans="1:9" x14ac:dyDescent="0.25">
      <c r="A779" t="s">
        <v>1507</v>
      </c>
      <c r="B779">
        <v>43541</v>
      </c>
      <c r="C779" t="s">
        <v>1508</v>
      </c>
      <c r="D779" t="str">
        <f>INDEX('Customers (2)'!B:B,MATCH('Customers (2)'!A779,'Customers (2)'!A:A,0))</f>
        <v>Janella Eden</v>
      </c>
      <c r="E779" t="s">
        <v>204</v>
      </c>
      <c r="F779">
        <v>2</v>
      </c>
      <c r="G779">
        <f>INDEX([1]products!$A$1:$G$49,MATCH([1]orders!$D779,[1]products!$A$1:$A$49,0),MATCH([1]orders!K$1,[1]products!$A$1:$G$1,0))</f>
        <v>2.5</v>
      </c>
      <c r="H779">
        <f>INDEX([1]products!$A$1:$G$49,MATCH([1]orders!$D779,[1]products!$A$1:$A$49,0),MATCH([1]orders!L$1,[1]products!$A$1:$G$1,0))</f>
        <v>29.784999999999997</v>
      </c>
      <c r="I779">
        <f t="shared" si="12"/>
        <v>59.569999999999993</v>
      </c>
    </row>
    <row r="780" spans="1:9" x14ac:dyDescent="0.25">
      <c r="A780" t="s">
        <v>1509</v>
      </c>
      <c r="B780">
        <v>43889</v>
      </c>
      <c r="C780" t="s">
        <v>1510</v>
      </c>
      <c r="D780" t="str">
        <f>INDEX('Customers (2)'!B:B,MATCH('Customers (2)'!A780,'Customers (2)'!A:A,0))</f>
        <v>Devora Maton</v>
      </c>
      <c r="E780" t="s">
        <v>83</v>
      </c>
      <c r="F780">
        <v>2</v>
      </c>
      <c r="G780">
        <f>INDEX([1]products!$A$1:$G$49,MATCH([1]orders!$D780,[1]products!$A$1:$A$49,0),MATCH([1]orders!K$1,[1]products!$A$1:$G$1,0))</f>
        <v>0.5</v>
      </c>
      <c r="H780">
        <f>INDEX([1]products!$A$1:$G$49,MATCH([1]orders!$D780,[1]products!$A$1:$A$49,0),MATCH([1]orders!L$1,[1]products!$A$1:$G$1,0))</f>
        <v>9.51</v>
      </c>
      <c r="I780">
        <f t="shared" si="12"/>
        <v>19.02</v>
      </c>
    </row>
    <row r="781" spans="1:9" x14ac:dyDescent="0.25">
      <c r="A781" t="s">
        <v>1511</v>
      </c>
      <c r="B781">
        <v>43985</v>
      </c>
      <c r="C781" t="s">
        <v>1512</v>
      </c>
      <c r="D781" t="str">
        <f>INDEX('Customers (2)'!B:B,MATCH('Customers (2)'!A781,'Customers (2)'!A:A,0))</f>
        <v>Ugo Southerden</v>
      </c>
      <c r="E781" t="s">
        <v>13</v>
      </c>
      <c r="F781">
        <v>6</v>
      </c>
      <c r="G781">
        <f>INDEX([1]products!$A$1:$G$49,MATCH([1]orders!$D781,[1]products!$A$1:$A$49,0),MATCH([1]orders!K$1,[1]products!$A$1:$G$1,0))</f>
        <v>1</v>
      </c>
      <c r="H781">
        <f>INDEX([1]products!$A$1:$G$49,MATCH([1]orders!$D781,[1]products!$A$1:$A$49,0),MATCH([1]orders!L$1,[1]products!$A$1:$G$1,0))</f>
        <v>12.95</v>
      </c>
      <c r="I781">
        <f t="shared" si="12"/>
        <v>77.699999999999989</v>
      </c>
    </row>
    <row r="782" spans="1:9" x14ac:dyDescent="0.25">
      <c r="A782" t="s">
        <v>1513</v>
      </c>
      <c r="B782">
        <v>43883</v>
      </c>
      <c r="C782" t="s">
        <v>1514</v>
      </c>
      <c r="D782" t="str">
        <f>INDEX('Customers (2)'!B:B,MATCH('Customers (2)'!A782,'Customers (2)'!A:A,0))</f>
        <v>Verne Dunkerley</v>
      </c>
      <c r="E782" t="s">
        <v>9</v>
      </c>
      <c r="F782">
        <v>3</v>
      </c>
      <c r="G782">
        <f>INDEX([1]products!$A$1:$G$49,MATCH([1]orders!$D782,[1]products!$A$1:$A$49,0),MATCH([1]orders!K$1,[1]products!$A$1:$G$1,0))</f>
        <v>1</v>
      </c>
      <c r="H782">
        <f>INDEX([1]products!$A$1:$G$49,MATCH([1]orders!$D782,[1]products!$A$1:$A$49,0),MATCH([1]orders!L$1,[1]products!$A$1:$G$1,0))</f>
        <v>13.75</v>
      </c>
      <c r="I782">
        <f t="shared" si="12"/>
        <v>41.25</v>
      </c>
    </row>
    <row r="783" spans="1:9" x14ac:dyDescent="0.25">
      <c r="A783" t="s">
        <v>1515</v>
      </c>
      <c r="B783">
        <v>43778</v>
      </c>
      <c r="C783" t="s">
        <v>1516</v>
      </c>
      <c r="D783" t="str">
        <f>INDEX('Customers (2)'!B:B,MATCH('Customers (2)'!A783,'Customers (2)'!A:A,0))</f>
        <v>Lacee Burtenshaw</v>
      </c>
      <c r="E783" t="s">
        <v>104</v>
      </c>
      <c r="F783">
        <v>4</v>
      </c>
      <c r="G783">
        <f>INDEX([1]products!$A$1:$G$49,MATCH([1]orders!$D783,[1]products!$A$1:$A$49,0),MATCH([1]orders!K$1,[1]products!$A$1:$G$1,0))</f>
        <v>2.5</v>
      </c>
      <c r="H783">
        <f>INDEX([1]products!$A$1:$G$49,MATCH([1]orders!$D783,[1]products!$A$1:$A$49,0),MATCH([1]orders!L$1,[1]products!$A$1:$G$1,0))</f>
        <v>36.454999999999998</v>
      </c>
      <c r="I783">
        <f t="shared" si="12"/>
        <v>145.82</v>
      </c>
    </row>
    <row r="784" spans="1:9" x14ac:dyDescent="0.25">
      <c r="A784" t="s">
        <v>1517</v>
      </c>
      <c r="B784">
        <v>43897</v>
      </c>
      <c r="C784" t="s">
        <v>1518</v>
      </c>
      <c r="D784" t="str">
        <f>INDEX('Customers (2)'!B:B,MATCH('Customers (2)'!A784,'Customers (2)'!A:A,0))</f>
        <v>Adorne Gregoratti</v>
      </c>
      <c r="E784" t="s">
        <v>254</v>
      </c>
      <c r="F784">
        <v>6</v>
      </c>
      <c r="G784">
        <f>INDEX([1]products!$A$1:$G$49,MATCH([1]orders!$D784,[1]products!$A$1:$A$49,0),MATCH([1]orders!K$1,[1]products!$A$1:$G$1,0))</f>
        <v>0.2</v>
      </c>
      <c r="H784">
        <f>INDEX([1]products!$A$1:$G$49,MATCH([1]orders!$D784,[1]products!$A$1:$A$49,0),MATCH([1]orders!L$1,[1]products!$A$1:$G$1,0))</f>
        <v>4.4550000000000001</v>
      </c>
      <c r="I784">
        <f t="shared" si="12"/>
        <v>26.73</v>
      </c>
    </row>
    <row r="785" spans="1:9" x14ac:dyDescent="0.25">
      <c r="A785" t="s">
        <v>1519</v>
      </c>
      <c r="B785">
        <v>44312</v>
      </c>
      <c r="C785" t="s">
        <v>1520</v>
      </c>
      <c r="D785" t="str">
        <f>INDEX('Customers (2)'!B:B,MATCH('Customers (2)'!A785,'Customers (2)'!A:A,0))</f>
        <v>Chris Croster</v>
      </c>
      <c r="E785" t="s">
        <v>78</v>
      </c>
      <c r="F785">
        <v>5</v>
      </c>
      <c r="G785">
        <f>INDEX([1]products!$A$1:$G$49,MATCH([1]orders!$D785,[1]products!$A$1:$A$49,0),MATCH([1]orders!K$1,[1]products!$A$1:$G$1,0))</f>
        <v>0.5</v>
      </c>
      <c r="H785">
        <f>INDEX([1]products!$A$1:$G$49,MATCH([1]orders!$D785,[1]products!$A$1:$A$49,0),MATCH([1]orders!L$1,[1]products!$A$1:$G$1,0))</f>
        <v>8.73</v>
      </c>
      <c r="I785">
        <f t="shared" si="12"/>
        <v>43.650000000000006</v>
      </c>
    </row>
    <row r="786" spans="1:9" x14ac:dyDescent="0.25">
      <c r="A786" t="s">
        <v>1521</v>
      </c>
      <c r="B786">
        <v>44511</v>
      </c>
      <c r="C786" t="s">
        <v>1522</v>
      </c>
      <c r="D786" t="str">
        <f>INDEX('Customers (2)'!B:B,MATCH('Customers (2)'!A786,'Customers (2)'!A:A,0))</f>
        <v>Graeme Whitehead</v>
      </c>
      <c r="E786" t="s">
        <v>132</v>
      </c>
      <c r="F786">
        <v>2</v>
      </c>
      <c r="G786">
        <f>INDEX([1]products!$A$1:$G$49,MATCH([1]orders!$D786,[1]products!$A$1:$A$49,0),MATCH([1]orders!K$1,[1]products!$A$1:$G$1,0))</f>
        <v>1</v>
      </c>
      <c r="H786">
        <f>INDEX([1]products!$A$1:$G$49,MATCH([1]orders!$D786,[1]products!$A$1:$A$49,0),MATCH([1]orders!L$1,[1]products!$A$1:$G$1,0))</f>
        <v>15.85</v>
      </c>
      <c r="I786">
        <f t="shared" si="12"/>
        <v>31.7</v>
      </c>
    </row>
    <row r="787" spans="1:9" x14ac:dyDescent="0.25">
      <c r="A787" t="s">
        <v>1523</v>
      </c>
      <c r="B787">
        <v>44362</v>
      </c>
      <c r="C787" t="s">
        <v>1524</v>
      </c>
      <c r="D787" t="str">
        <f>INDEX('Customers (2)'!B:B,MATCH('Customers (2)'!A787,'Customers (2)'!A:A,0))</f>
        <v>Haslett Jodrelle</v>
      </c>
      <c r="E787" t="s">
        <v>118</v>
      </c>
      <c r="F787">
        <v>1</v>
      </c>
      <c r="G787">
        <f>INDEX([1]products!$A$1:$G$49,MATCH([1]orders!$D787,[1]products!$A$1:$A$49,0),MATCH([1]orders!K$1,[1]products!$A$1:$G$1,0))</f>
        <v>2.5</v>
      </c>
      <c r="H787">
        <f>INDEX([1]products!$A$1:$G$49,MATCH([1]orders!$D787,[1]products!$A$1:$A$49,0),MATCH([1]orders!L$1,[1]products!$A$1:$G$1,0))</f>
        <v>22.884999999999998</v>
      </c>
      <c r="I787">
        <f t="shared" si="12"/>
        <v>22.884999999999998</v>
      </c>
    </row>
    <row r="788" spans="1:9" x14ac:dyDescent="0.25">
      <c r="A788" t="s">
        <v>1525</v>
      </c>
      <c r="B788">
        <v>43888</v>
      </c>
      <c r="C788" t="s">
        <v>1510</v>
      </c>
      <c r="D788" t="str">
        <f>INDEX('Customers (2)'!B:B,MATCH('Customers (2)'!A788,'Customers (2)'!A:A,0))</f>
        <v>Cam Jewster</v>
      </c>
      <c r="E788" t="s">
        <v>530</v>
      </c>
      <c r="F788">
        <v>1</v>
      </c>
      <c r="G788">
        <f>INDEX([1]products!$A$1:$G$49,MATCH([1]orders!$D788,[1]products!$A$1:$A$49,0),MATCH([1]orders!K$1,[1]products!$A$1:$G$1,0))</f>
        <v>2.5</v>
      </c>
      <c r="H788">
        <f>INDEX([1]products!$A$1:$G$49,MATCH([1]orders!$D788,[1]products!$A$1:$A$49,0),MATCH([1]orders!L$1,[1]products!$A$1:$G$1,0))</f>
        <v>27.945</v>
      </c>
      <c r="I788">
        <f t="shared" si="12"/>
        <v>27.945</v>
      </c>
    </row>
    <row r="789" spans="1:9" x14ac:dyDescent="0.25">
      <c r="A789" t="s">
        <v>1526</v>
      </c>
      <c r="B789">
        <v>44305</v>
      </c>
      <c r="C789" t="s">
        <v>1527</v>
      </c>
      <c r="D789" t="str">
        <f>INDEX('Customers (2)'!B:B,MATCH('Customers (2)'!A789,'Customers (2)'!A:A,0))</f>
        <v>Beryl Osborn</v>
      </c>
      <c r="E789" t="s">
        <v>9</v>
      </c>
      <c r="F789">
        <v>6</v>
      </c>
      <c r="G789">
        <f>INDEX([1]products!$A$1:$G$49,MATCH([1]orders!$D789,[1]products!$A$1:$A$49,0),MATCH([1]orders!K$1,[1]products!$A$1:$G$1,0))</f>
        <v>1</v>
      </c>
      <c r="H789">
        <f>INDEX([1]products!$A$1:$G$49,MATCH([1]orders!$D789,[1]products!$A$1:$A$49,0),MATCH([1]orders!L$1,[1]products!$A$1:$G$1,0))</f>
        <v>13.75</v>
      </c>
      <c r="I789">
        <f t="shared" si="12"/>
        <v>82.5</v>
      </c>
    </row>
    <row r="790" spans="1:9" x14ac:dyDescent="0.25">
      <c r="A790" t="s">
        <v>1528</v>
      </c>
      <c r="B790">
        <v>44771</v>
      </c>
      <c r="C790" t="s">
        <v>1529</v>
      </c>
      <c r="D790" t="str">
        <f>INDEX('Customers (2)'!B:B,MATCH('Customers (2)'!A790,'Customers (2)'!A:A,0))</f>
        <v>Kaela Nottram</v>
      </c>
      <c r="E790" t="s">
        <v>41</v>
      </c>
      <c r="F790">
        <v>2</v>
      </c>
      <c r="G790">
        <f>INDEX([1]products!$A$1:$G$49,MATCH([1]orders!$D790,[1]products!$A$1:$A$49,0),MATCH([1]orders!K$1,[1]products!$A$1:$G$1,0))</f>
        <v>2.5</v>
      </c>
      <c r="H790">
        <f>INDEX([1]products!$A$1:$G$49,MATCH([1]orders!$D790,[1]products!$A$1:$A$49,0),MATCH([1]orders!L$1,[1]products!$A$1:$G$1,0))</f>
        <v>22.884999999999998</v>
      </c>
      <c r="I790">
        <f t="shared" si="12"/>
        <v>45.769999999999996</v>
      </c>
    </row>
    <row r="791" spans="1:9" x14ac:dyDescent="0.25">
      <c r="A791" t="s">
        <v>1530</v>
      </c>
      <c r="B791">
        <v>43485</v>
      </c>
      <c r="C791" t="s">
        <v>1531</v>
      </c>
      <c r="D791" t="str">
        <f>INDEX('Customers (2)'!B:B,MATCH('Customers (2)'!A791,'Customers (2)'!A:A,0))</f>
        <v>Nobe Buney</v>
      </c>
      <c r="E791" t="s">
        <v>6</v>
      </c>
      <c r="F791">
        <v>6</v>
      </c>
      <c r="G791">
        <f>INDEX([1]products!$A$1:$G$49,MATCH([1]orders!$D791,[1]products!$A$1:$A$49,0),MATCH([1]orders!K$1,[1]products!$A$1:$G$1,0))</f>
        <v>1</v>
      </c>
      <c r="H791">
        <f>INDEX([1]products!$A$1:$G$49,MATCH([1]orders!$D791,[1]products!$A$1:$A$49,0),MATCH([1]orders!L$1,[1]products!$A$1:$G$1,0))</f>
        <v>12.95</v>
      </c>
      <c r="I791">
        <f t="shared" si="12"/>
        <v>77.699999999999989</v>
      </c>
    </row>
    <row r="792" spans="1:9" x14ac:dyDescent="0.25">
      <c r="A792" t="s">
        <v>1532</v>
      </c>
      <c r="B792">
        <v>44613</v>
      </c>
      <c r="C792" t="s">
        <v>1533</v>
      </c>
      <c r="D792" t="str">
        <f>INDEX('Customers (2)'!B:B,MATCH('Customers (2)'!A792,'Customers (2)'!A:A,0))</f>
        <v>Silvan McShea</v>
      </c>
      <c r="E792" t="s">
        <v>192</v>
      </c>
      <c r="F792">
        <v>3</v>
      </c>
      <c r="G792">
        <f>INDEX([1]products!$A$1:$G$49,MATCH([1]orders!$D792,[1]products!$A$1:$A$49,0),MATCH([1]orders!K$1,[1]products!$A$1:$G$1,0))</f>
        <v>0.5</v>
      </c>
      <c r="H792">
        <f>INDEX([1]products!$A$1:$G$49,MATCH([1]orders!$D792,[1]products!$A$1:$A$49,0),MATCH([1]orders!L$1,[1]products!$A$1:$G$1,0))</f>
        <v>7.77</v>
      </c>
      <c r="I792">
        <f t="shared" si="12"/>
        <v>23.31</v>
      </c>
    </row>
    <row r="793" spans="1:9" x14ac:dyDescent="0.25">
      <c r="A793" t="s">
        <v>1534</v>
      </c>
      <c r="B793">
        <v>43954</v>
      </c>
      <c r="C793" t="s">
        <v>1535</v>
      </c>
      <c r="D793" t="str">
        <f>INDEX('Customers (2)'!B:B,MATCH('Customers (2)'!A793,'Customers (2)'!A:A,0))</f>
        <v>Karylin Huddart</v>
      </c>
      <c r="E793" t="s">
        <v>19</v>
      </c>
      <c r="F793">
        <v>5</v>
      </c>
      <c r="G793">
        <f>INDEX([1]products!$A$1:$G$49,MATCH([1]orders!$D793,[1]products!$A$1:$A$49,0),MATCH([1]orders!K$1,[1]products!$A$1:$G$1,0))</f>
        <v>0.2</v>
      </c>
      <c r="H793">
        <f>INDEX([1]products!$A$1:$G$49,MATCH([1]orders!$D793,[1]products!$A$1:$A$49,0),MATCH([1]orders!L$1,[1]products!$A$1:$G$1,0))</f>
        <v>4.7549999999999999</v>
      </c>
      <c r="I793">
        <f t="shared" si="12"/>
        <v>23.774999999999999</v>
      </c>
    </row>
    <row r="794" spans="1:9" x14ac:dyDescent="0.25">
      <c r="A794" t="s">
        <v>1536</v>
      </c>
      <c r="B794">
        <v>43545</v>
      </c>
      <c r="C794" t="s">
        <v>1537</v>
      </c>
      <c r="D794" t="str">
        <f>INDEX('Customers (2)'!B:B,MATCH('Customers (2)'!A794,'Customers (2)'!A:A,0))</f>
        <v>Jereme Gippes</v>
      </c>
      <c r="E794" t="s">
        <v>78</v>
      </c>
      <c r="F794">
        <v>6</v>
      </c>
      <c r="G794">
        <f>INDEX([1]products!$A$1:$G$49,MATCH([1]orders!$D794,[1]products!$A$1:$A$49,0),MATCH([1]orders!K$1,[1]products!$A$1:$G$1,0))</f>
        <v>0.5</v>
      </c>
      <c r="H794">
        <f>INDEX([1]products!$A$1:$G$49,MATCH([1]orders!$D794,[1]products!$A$1:$A$49,0),MATCH([1]orders!L$1,[1]products!$A$1:$G$1,0))</f>
        <v>8.73</v>
      </c>
      <c r="I794">
        <f t="shared" si="12"/>
        <v>52.38</v>
      </c>
    </row>
    <row r="795" spans="1:9" x14ac:dyDescent="0.25">
      <c r="A795" t="s">
        <v>1538</v>
      </c>
      <c r="B795">
        <v>43629</v>
      </c>
      <c r="C795" t="s">
        <v>1539</v>
      </c>
      <c r="D795" t="str">
        <f>INDEX('Customers (2)'!B:B,MATCH('Customers (2)'!A795,'Customers (2)'!A:A,0))</f>
        <v>Lukas Whittlesee</v>
      </c>
      <c r="E795" t="s">
        <v>182</v>
      </c>
      <c r="F795">
        <v>5</v>
      </c>
      <c r="G795">
        <f>INDEX([1]products!$A$1:$G$49,MATCH([1]orders!$D795,[1]products!$A$1:$A$49,0),MATCH([1]orders!K$1,[1]products!$A$1:$G$1,0))</f>
        <v>0.2</v>
      </c>
      <c r="H795">
        <f>INDEX([1]products!$A$1:$G$49,MATCH([1]orders!$D795,[1]products!$A$1:$A$49,0),MATCH([1]orders!L$1,[1]products!$A$1:$G$1,0))</f>
        <v>3.5849999999999995</v>
      </c>
      <c r="I795">
        <f t="shared" si="12"/>
        <v>17.924999999999997</v>
      </c>
    </row>
    <row r="796" spans="1:9" x14ac:dyDescent="0.25">
      <c r="A796" t="s">
        <v>1540</v>
      </c>
      <c r="B796">
        <v>43987</v>
      </c>
      <c r="C796" t="s">
        <v>1541</v>
      </c>
      <c r="D796" t="str">
        <f>INDEX('Customers (2)'!B:B,MATCH('Customers (2)'!A796,'Customers (2)'!A:A,0))</f>
        <v>Gregorius Trengrove</v>
      </c>
      <c r="E796" t="s">
        <v>204</v>
      </c>
      <c r="F796">
        <v>5</v>
      </c>
      <c r="G796">
        <f>INDEX([1]products!$A$1:$G$49,MATCH([1]orders!$D796,[1]products!$A$1:$A$49,0),MATCH([1]orders!K$1,[1]products!$A$1:$G$1,0))</f>
        <v>2.5</v>
      </c>
      <c r="H796">
        <f>INDEX([1]products!$A$1:$G$49,MATCH([1]orders!$D796,[1]products!$A$1:$A$49,0),MATCH([1]orders!L$1,[1]products!$A$1:$G$1,0))</f>
        <v>29.784999999999997</v>
      </c>
      <c r="I796">
        <f t="shared" si="12"/>
        <v>148.92499999999998</v>
      </c>
    </row>
    <row r="797" spans="1:9" x14ac:dyDescent="0.25">
      <c r="A797" t="s">
        <v>1542</v>
      </c>
      <c r="B797">
        <v>43540</v>
      </c>
      <c r="C797" t="s">
        <v>1543</v>
      </c>
      <c r="D797" t="str">
        <f>INDEX('Customers (2)'!B:B,MATCH('Customers (2)'!A797,'Customers (2)'!A:A,0))</f>
        <v>Wright Caldero</v>
      </c>
      <c r="E797" t="s">
        <v>157</v>
      </c>
      <c r="F797">
        <v>4</v>
      </c>
      <c r="G797">
        <f>INDEX([1]products!$A$1:$G$49,MATCH([1]orders!$D797,[1]products!$A$1:$A$49,0),MATCH([1]orders!K$1,[1]products!$A$1:$G$1,0))</f>
        <v>0.5</v>
      </c>
      <c r="H797">
        <f>INDEX([1]products!$A$1:$G$49,MATCH([1]orders!$D797,[1]products!$A$1:$A$49,0),MATCH([1]orders!L$1,[1]products!$A$1:$G$1,0))</f>
        <v>7.169999999999999</v>
      </c>
      <c r="I797">
        <f t="shared" si="12"/>
        <v>28.679999999999996</v>
      </c>
    </row>
    <row r="798" spans="1:9" x14ac:dyDescent="0.25">
      <c r="A798" t="s">
        <v>1544</v>
      </c>
      <c r="B798">
        <v>44533</v>
      </c>
      <c r="C798" t="s">
        <v>1545</v>
      </c>
      <c r="D798" t="str">
        <f>INDEX('Customers (2)'!B:B,MATCH('Customers (2)'!A798,'Customers (2)'!A:A,0))</f>
        <v>Merell Zanazzi</v>
      </c>
      <c r="E798" t="s">
        <v>83</v>
      </c>
      <c r="F798">
        <v>1</v>
      </c>
      <c r="G798">
        <f>INDEX([1]products!$A$1:$G$49,MATCH([1]orders!$D798,[1]products!$A$1:$A$49,0),MATCH([1]orders!K$1,[1]products!$A$1:$G$1,0))</f>
        <v>0.5</v>
      </c>
      <c r="H798">
        <f>INDEX([1]products!$A$1:$G$49,MATCH([1]orders!$D798,[1]products!$A$1:$A$49,0),MATCH([1]orders!L$1,[1]products!$A$1:$G$1,0))</f>
        <v>9.51</v>
      </c>
      <c r="I798">
        <f t="shared" si="12"/>
        <v>9.51</v>
      </c>
    </row>
    <row r="799" spans="1:9" x14ac:dyDescent="0.25">
      <c r="A799" t="s">
        <v>1546</v>
      </c>
      <c r="B799">
        <v>44751</v>
      </c>
      <c r="C799" t="s">
        <v>1547</v>
      </c>
      <c r="D799" t="str">
        <f>INDEX('Customers (2)'!B:B,MATCH('Customers (2)'!A799,'Customers (2)'!A:A,0))</f>
        <v>Jed Kennicott</v>
      </c>
      <c r="E799" t="s">
        <v>192</v>
      </c>
      <c r="F799">
        <v>4</v>
      </c>
      <c r="G799">
        <f>INDEX([1]products!$A$1:$G$49,MATCH([1]orders!$D799,[1]products!$A$1:$A$49,0),MATCH([1]orders!K$1,[1]products!$A$1:$G$1,0))</f>
        <v>0.5</v>
      </c>
      <c r="H799">
        <f>INDEX([1]products!$A$1:$G$49,MATCH([1]orders!$D799,[1]products!$A$1:$A$49,0),MATCH([1]orders!L$1,[1]products!$A$1:$G$1,0))</f>
        <v>7.77</v>
      </c>
      <c r="I799">
        <f t="shared" si="12"/>
        <v>31.08</v>
      </c>
    </row>
    <row r="800" spans="1:9" x14ac:dyDescent="0.25">
      <c r="A800" t="s">
        <v>1548</v>
      </c>
      <c r="B800">
        <v>43950</v>
      </c>
      <c r="C800" t="s">
        <v>1549</v>
      </c>
      <c r="D800" t="str">
        <f>INDEX('Customers (2)'!B:B,MATCH('Customers (2)'!A800,'Customers (2)'!A:A,0))</f>
        <v>Guenevere Ruggen</v>
      </c>
      <c r="E800" t="s">
        <v>101</v>
      </c>
      <c r="F800">
        <v>3</v>
      </c>
      <c r="G800">
        <f>INDEX([1]products!$A$1:$G$49,MATCH([1]orders!$D800,[1]products!$A$1:$A$49,0),MATCH([1]orders!K$1,[1]products!$A$1:$G$1,0))</f>
        <v>0.2</v>
      </c>
      <c r="H800">
        <f>INDEX([1]products!$A$1:$G$49,MATCH([1]orders!$D800,[1]products!$A$1:$A$49,0),MATCH([1]orders!L$1,[1]products!$A$1:$G$1,0))</f>
        <v>2.6849999999999996</v>
      </c>
      <c r="I800">
        <f t="shared" si="12"/>
        <v>8.0549999999999997</v>
      </c>
    </row>
    <row r="801" spans="1:9" x14ac:dyDescent="0.25">
      <c r="A801" t="s">
        <v>1550</v>
      </c>
      <c r="B801">
        <v>44588</v>
      </c>
      <c r="C801" t="s">
        <v>1551</v>
      </c>
      <c r="D801" t="str">
        <f>INDEX('Customers (2)'!B:B,MATCH('Customers (2)'!A801,'Customers (2)'!A:A,0))</f>
        <v>Gonzales Cicculi</v>
      </c>
      <c r="E801" t="s">
        <v>245</v>
      </c>
      <c r="F801">
        <v>3</v>
      </c>
      <c r="G801">
        <f>INDEX([1]products!$A$1:$G$49,MATCH([1]orders!$D801,[1]products!$A$1:$A$49,0),MATCH([1]orders!K$1,[1]products!$A$1:$G$1,0))</f>
        <v>1</v>
      </c>
      <c r="H801">
        <f>INDEX([1]products!$A$1:$G$49,MATCH([1]orders!$D801,[1]products!$A$1:$A$49,0),MATCH([1]orders!L$1,[1]products!$A$1:$G$1,0))</f>
        <v>12.15</v>
      </c>
      <c r="I801">
        <f t="shared" si="12"/>
        <v>36.450000000000003</v>
      </c>
    </row>
    <row r="802" spans="1:9" x14ac:dyDescent="0.25">
      <c r="A802" t="s">
        <v>1552</v>
      </c>
      <c r="B802">
        <v>44240</v>
      </c>
      <c r="C802" t="s">
        <v>1553</v>
      </c>
      <c r="D802" t="str">
        <f>INDEX('Customers (2)'!B:B,MATCH('Customers (2)'!A802,'Customers (2)'!A:A,0))</f>
        <v>Man Fright</v>
      </c>
      <c r="E802" t="s">
        <v>101</v>
      </c>
      <c r="F802">
        <v>6</v>
      </c>
      <c r="G802">
        <f>INDEX([1]products!$A$1:$G$49,MATCH([1]orders!$D802,[1]products!$A$1:$A$49,0),MATCH([1]orders!K$1,[1]products!$A$1:$G$1,0))</f>
        <v>0.2</v>
      </c>
      <c r="H802">
        <f>INDEX([1]products!$A$1:$G$49,MATCH([1]orders!$D802,[1]products!$A$1:$A$49,0),MATCH([1]orders!L$1,[1]products!$A$1:$G$1,0))</f>
        <v>2.6849999999999996</v>
      </c>
      <c r="I802">
        <f t="shared" si="12"/>
        <v>16.11</v>
      </c>
    </row>
    <row r="803" spans="1:9" x14ac:dyDescent="0.25">
      <c r="A803" t="s">
        <v>1554</v>
      </c>
      <c r="B803">
        <v>44025</v>
      </c>
      <c r="C803" t="s">
        <v>1555</v>
      </c>
      <c r="D803" t="str">
        <f>INDEX('Customers (2)'!B:B,MATCH('Customers (2)'!A803,'Customers (2)'!A:A,0))</f>
        <v>Boyce Tarte</v>
      </c>
      <c r="E803" t="s">
        <v>35</v>
      </c>
      <c r="F803">
        <v>2</v>
      </c>
      <c r="G803">
        <f>INDEX([1]products!$A$1:$G$49,MATCH([1]orders!$D803,[1]products!$A$1:$A$49,0),MATCH([1]orders!K$1,[1]products!$A$1:$G$1,0))</f>
        <v>2.5</v>
      </c>
      <c r="H803">
        <f>INDEX([1]products!$A$1:$G$49,MATCH([1]orders!$D803,[1]products!$A$1:$A$49,0),MATCH([1]orders!L$1,[1]products!$A$1:$G$1,0))</f>
        <v>20.584999999999997</v>
      </c>
      <c r="I803">
        <f t="shared" si="12"/>
        <v>41.169999999999995</v>
      </c>
    </row>
    <row r="804" spans="1:9" x14ac:dyDescent="0.25">
      <c r="A804" t="s">
        <v>1556</v>
      </c>
      <c r="B804">
        <v>43902</v>
      </c>
      <c r="C804" t="s">
        <v>1557</v>
      </c>
      <c r="D804" t="str">
        <f>INDEX('Customers (2)'!B:B,MATCH('Customers (2)'!A804,'Customers (2)'!A:A,0))</f>
        <v>Caddric Krzysztofiak</v>
      </c>
      <c r="E804" t="s">
        <v>101</v>
      </c>
      <c r="F804">
        <v>4</v>
      </c>
      <c r="G804">
        <f>INDEX([1]products!$A$1:$G$49,MATCH([1]orders!$D804,[1]products!$A$1:$A$49,0),MATCH([1]orders!K$1,[1]products!$A$1:$G$1,0))</f>
        <v>0.2</v>
      </c>
      <c r="H804">
        <f>INDEX([1]products!$A$1:$G$49,MATCH([1]orders!$D804,[1]products!$A$1:$A$49,0),MATCH([1]orders!L$1,[1]products!$A$1:$G$1,0))</f>
        <v>2.6849999999999996</v>
      </c>
      <c r="I804">
        <f t="shared" si="12"/>
        <v>10.739999999999998</v>
      </c>
    </row>
    <row r="805" spans="1:9" x14ac:dyDescent="0.25">
      <c r="A805" t="s">
        <v>1558</v>
      </c>
      <c r="B805">
        <v>43955</v>
      </c>
      <c r="C805" t="s">
        <v>1559</v>
      </c>
      <c r="D805" t="str">
        <f>INDEX('Customers (2)'!B:B,MATCH('Customers (2)'!A805,'Customers (2)'!A:A,0))</f>
        <v>Darn Penquet</v>
      </c>
      <c r="E805" t="s">
        <v>112</v>
      </c>
      <c r="F805">
        <v>4</v>
      </c>
      <c r="G805">
        <f>INDEX([1]products!$A$1:$G$49,MATCH([1]orders!$D805,[1]products!$A$1:$A$49,0),MATCH([1]orders!K$1,[1]products!$A$1:$G$1,0))</f>
        <v>2.5</v>
      </c>
      <c r="H805">
        <f>INDEX([1]products!$A$1:$G$49,MATCH([1]orders!$D805,[1]products!$A$1:$A$49,0),MATCH([1]orders!L$1,[1]products!$A$1:$G$1,0))</f>
        <v>31.624999999999996</v>
      </c>
      <c r="I805">
        <f t="shared" si="12"/>
        <v>126.49999999999999</v>
      </c>
    </row>
    <row r="806" spans="1:9" x14ac:dyDescent="0.25">
      <c r="A806" t="s">
        <v>1560</v>
      </c>
      <c r="B806">
        <v>44289</v>
      </c>
      <c r="C806" t="s">
        <v>1561</v>
      </c>
      <c r="D806" t="str">
        <f>INDEX('Customers (2)'!B:B,MATCH('Customers (2)'!A806,'Customers (2)'!A:A,0))</f>
        <v>Jammie Cloke</v>
      </c>
      <c r="E806" t="s">
        <v>189</v>
      </c>
      <c r="F806">
        <v>2</v>
      </c>
      <c r="G806">
        <f>INDEX([1]products!$A$1:$G$49,MATCH([1]orders!$D806,[1]products!$A$1:$A$49,0),MATCH([1]orders!K$1,[1]products!$A$1:$G$1,0))</f>
        <v>1</v>
      </c>
      <c r="H806">
        <f>INDEX([1]products!$A$1:$G$49,MATCH([1]orders!$D806,[1]products!$A$1:$A$49,0),MATCH([1]orders!L$1,[1]products!$A$1:$G$1,0))</f>
        <v>11.95</v>
      </c>
      <c r="I806">
        <f t="shared" si="12"/>
        <v>23.9</v>
      </c>
    </row>
    <row r="807" spans="1:9" x14ac:dyDescent="0.25">
      <c r="A807" t="s">
        <v>1562</v>
      </c>
      <c r="B807">
        <v>44713</v>
      </c>
      <c r="C807" t="s">
        <v>1563</v>
      </c>
      <c r="D807" t="str">
        <f>INDEX('Customers (2)'!B:B,MATCH('Customers (2)'!A807,'Customers (2)'!A:A,0))</f>
        <v>Chester Clowton</v>
      </c>
      <c r="E807" t="s">
        <v>22</v>
      </c>
      <c r="F807">
        <v>1</v>
      </c>
      <c r="G807">
        <f>INDEX([1]products!$A$1:$G$49,MATCH([1]orders!$D807,[1]products!$A$1:$A$49,0),MATCH([1]orders!K$1,[1]products!$A$1:$G$1,0))</f>
        <v>0.5</v>
      </c>
      <c r="H807">
        <f>INDEX([1]products!$A$1:$G$49,MATCH([1]orders!$D807,[1]products!$A$1:$A$49,0),MATCH([1]orders!L$1,[1]products!$A$1:$G$1,0))</f>
        <v>5.97</v>
      </c>
      <c r="I807">
        <f t="shared" si="12"/>
        <v>5.97</v>
      </c>
    </row>
    <row r="808" spans="1:9" x14ac:dyDescent="0.25">
      <c r="A808" t="s">
        <v>1564</v>
      </c>
      <c r="B808">
        <v>44241</v>
      </c>
      <c r="C808" t="s">
        <v>1565</v>
      </c>
      <c r="D808" t="str">
        <f>INDEX('Customers (2)'!B:B,MATCH('Customers (2)'!A808,'Customers (2)'!A:A,0))</f>
        <v>Kathleen Diable</v>
      </c>
      <c r="E808" t="s">
        <v>38</v>
      </c>
      <c r="F808">
        <v>2</v>
      </c>
      <c r="G808">
        <f>INDEX([1]products!$A$1:$G$49,MATCH([1]orders!$D808,[1]products!$A$1:$A$49,0),MATCH([1]orders!K$1,[1]products!$A$1:$G$1,0))</f>
        <v>0.2</v>
      </c>
      <c r="H808">
        <f>INDEX([1]products!$A$1:$G$49,MATCH([1]orders!$D808,[1]products!$A$1:$A$49,0),MATCH([1]orders!L$1,[1]products!$A$1:$G$1,0))</f>
        <v>3.8849999999999998</v>
      </c>
      <c r="I808">
        <f t="shared" si="12"/>
        <v>7.77</v>
      </c>
    </row>
    <row r="809" spans="1:9" x14ac:dyDescent="0.25">
      <c r="A809" t="s">
        <v>1566</v>
      </c>
      <c r="B809">
        <v>44543</v>
      </c>
      <c r="C809" t="s">
        <v>1567</v>
      </c>
      <c r="D809" t="str">
        <f>INDEX('Customers (2)'!B:B,MATCH('Customers (2)'!A809,'Customers (2)'!A:A,0))</f>
        <v>Koren Ferretti</v>
      </c>
      <c r="E809" t="s">
        <v>123</v>
      </c>
      <c r="F809">
        <v>3</v>
      </c>
      <c r="G809">
        <f>INDEX([1]products!$A$1:$G$49,MATCH([1]orders!$D809,[1]products!$A$1:$A$49,0),MATCH([1]orders!K$1,[1]products!$A$1:$G$1,0))</f>
        <v>0.5</v>
      </c>
      <c r="H809">
        <f>INDEX([1]products!$A$1:$G$49,MATCH([1]orders!$D809,[1]products!$A$1:$A$49,0),MATCH([1]orders!L$1,[1]products!$A$1:$G$1,0))</f>
        <v>7.77</v>
      </c>
      <c r="I809">
        <f t="shared" si="12"/>
        <v>23.31</v>
      </c>
    </row>
    <row r="810" spans="1:9" x14ac:dyDescent="0.25">
      <c r="A810" t="s">
        <v>1568</v>
      </c>
      <c r="B810">
        <v>43868</v>
      </c>
      <c r="C810" t="s">
        <v>1569</v>
      </c>
      <c r="D810" t="str">
        <f>INDEX('Customers (2)'!B:B,MATCH('Customers (2)'!A810,'Customers (2)'!A:A,0))</f>
        <v>Agretha Melland</v>
      </c>
      <c r="E810" t="s">
        <v>10</v>
      </c>
      <c r="F810">
        <v>5</v>
      </c>
      <c r="G810">
        <f>INDEX([1]products!$A$1:$G$49,MATCH([1]orders!$D810,[1]products!$A$1:$A$49,0),MATCH([1]orders!K$1,[1]products!$A$1:$G$1,0))</f>
        <v>2.5</v>
      </c>
      <c r="H810">
        <f>INDEX([1]products!$A$1:$G$49,MATCH([1]orders!$D810,[1]products!$A$1:$A$49,0),MATCH([1]orders!L$1,[1]products!$A$1:$G$1,0))</f>
        <v>27.484999999999996</v>
      </c>
      <c r="I810">
        <f t="shared" si="12"/>
        <v>137.42499999999998</v>
      </c>
    </row>
    <row r="811" spans="1:9" x14ac:dyDescent="0.25">
      <c r="A811" t="s">
        <v>1570</v>
      </c>
      <c r="B811">
        <v>44235</v>
      </c>
      <c r="C811" t="s">
        <v>1571</v>
      </c>
      <c r="D811" t="str">
        <f>INDEX('Customers (2)'!B:B,MATCH('Customers (2)'!A811,'Customers (2)'!A:A,0))</f>
        <v>Chaddie Bennie</v>
      </c>
      <c r="E811" t="s">
        <v>101</v>
      </c>
      <c r="F811">
        <v>3</v>
      </c>
      <c r="G811">
        <f>INDEX([1]products!$A$1:$G$49,MATCH([1]orders!$D811,[1]products!$A$1:$A$49,0),MATCH([1]orders!K$1,[1]products!$A$1:$G$1,0))</f>
        <v>0.2</v>
      </c>
      <c r="H811">
        <f>INDEX([1]products!$A$1:$G$49,MATCH([1]orders!$D811,[1]products!$A$1:$A$49,0),MATCH([1]orders!L$1,[1]products!$A$1:$G$1,0))</f>
        <v>2.6849999999999996</v>
      </c>
      <c r="I811">
        <f t="shared" si="12"/>
        <v>8.0549999999999997</v>
      </c>
    </row>
    <row r="812" spans="1:9" x14ac:dyDescent="0.25">
      <c r="A812" t="s">
        <v>1572</v>
      </c>
      <c r="B812">
        <v>44054</v>
      </c>
      <c r="C812" t="s">
        <v>1573</v>
      </c>
      <c r="D812" t="str">
        <f>INDEX('Customers (2)'!B:B,MATCH('Customers (2)'!A812,'Customers (2)'!A:A,0))</f>
        <v>Alberta Balsdone</v>
      </c>
      <c r="E812" t="s">
        <v>83</v>
      </c>
      <c r="F812">
        <v>3</v>
      </c>
      <c r="G812">
        <f>INDEX([1]products!$A$1:$G$49,MATCH([1]orders!$D812,[1]products!$A$1:$A$49,0),MATCH([1]orders!K$1,[1]products!$A$1:$G$1,0))</f>
        <v>0.5</v>
      </c>
      <c r="H812">
        <f>INDEX([1]products!$A$1:$G$49,MATCH([1]orders!$D812,[1]products!$A$1:$A$49,0),MATCH([1]orders!L$1,[1]products!$A$1:$G$1,0))</f>
        <v>9.51</v>
      </c>
      <c r="I812">
        <f t="shared" si="12"/>
        <v>28.53</v>
      </c>
    </row>
    <row r="813" spans="1:9" x14ac:dyDescent="0.25">
      <c r="A813" t="s">
        <v>1574</v>
      </c>
      <c r="B813">
        <v>44114</v>
      </c>
      <c r="C813" t="s">
        <v>1575</v>
      </c>
      <c r="D813" t="str">
        <f>INDEX('Customers (2)'!B:B,MATCH('Customers (2)'!A813,'Customers (2)'!A:A,0))</f>
        <v>Brice Romera</v>
      </c>
      <c r="E813" t="s">
        <v>61</v>
      </c>
      <c r="F813">
        <v>6</v>
      </c>
      <c r="G813">
        <f>INDEX([1]products!$A$1:$G$49,MATCH([1]orders!$D813,[1]products!$A$1:$A$49,0),MATCH([1]orders!K$1,[1]products!$A$1:$G$1,0))</f>
        <v>1</v>
      </c>
      <c r="H813">
        <f>INDEX([1]products!$A$1:$G$49,MATCH([1]orders!$D813,[1]products!$A$1:$A$49,0),MATCH([1]orders!L$1,[1]products!$A$1:$G$1,0))</f>
        <v>11.25</v>
      </c>
      <c r="I813">
        <f t="shared" si="12"/>
        <v>67.5</v>
      </c>
    </row>
    <row r="814" spans="1:9" x14ac:dyDescent="0.25">
      <c r="A814" t="s">
        <v>1574</v>
      </c>
      <c r="B814">
        <v>44114</v>
      </c>
      <c r="C814" t="s">
        <v>1575</v>
      </c>
      <c r="D814" t="str">
        <f>INDEX('Customers (2)'!B:B,MATCH('Customers (2)'!A814,'Customers (2)'!A:A,0))</f>
        <v>Micky Glover</v>
      </c>
      <c r="E814" t="s">
        <v>109</v>
      </c>
      <c r="F814">
        <v>6</v>
      </c>
      <c r="G814">
        <f>INDEX([1]products!$A$1:$G$49,MATCH([1]orders!$D814,[1]products!$A$1:$A$49,0),MATCH([1]orders!K$1,[1]products!$A$1:$G$1,0))</f>
        <v>2.5</v>
      </c>
      <c r="H814">
        <f>INDEX([1]products!$A$1:$G$49,MATCH([1]orders!$D814,[1]products!$A$1:$A$49,0),MATCH([1]orders!L$1,[1]products!$A$1:$G$1,0))</f>
        <v>29.784999999999997</v>
      </c>
      <c r="I814">
        <f t="shared" si="12"/>
        <v>178.70999999999998</v>
      </c>
    </row>
    <row r="815" spans="1:9" x14ac:dyDescent="0.25">
      <c r="A815" t="s">
        <v>1576</v>
      </c>
      <c r="B815">
        <v>44173</v>
      </c>
      <c r="C815" t="s">
        <v>1577</v>
      </c>
      <c r="D815" t="str">
        <f>INDEX('Customers (2)'!B:B,MATCH('Customers (2)'!A815,'Customers (2)'!A:A,0))</f>
        <v>Conchita Bryde</v>
      </c>
      <c r="E815" t="s">
        <v>112</v>
      </c>
      <c r="F815">
        <v>1</v>
      </c>
      <c r="G815">
        <f>INDEX([1]products!$A$1:$G$49,MATCH([1]orders!$D815,[1]products!$A$1:$A$49,0),MATCH([1]orders!K$1,[1]products!$A$1:$G$1,0))</f>
        <v>2.5</v>
      </c>
      <c r="H815">
        <f>INDEX([1]products!$A$1:$G$49,MATCH([1]orders!$D815,[1]products!$A$1:$A$49,0),MATCH([1]orders!L$1,[1]products!$A$1:$G$1,0))</f>
        <v>31.624999999999996</v>
      </c>
      <c r="I815">
        <f t="shared" si="12"/>
        <v>31.624999999999996</v>
      </c>
    </row>
    <row r="816" spans="1:9" x14ac:dyDescent="0.25">
      <c r="A816" t="s">
        <v>1578</v>
      </c>
      <c r="B816">
        <v>43573</v>
      </c>
      <c r="C816" t="s">
        <v>1579</v>
      </c>
      <c r="D816" t="str">
        <f>INDEX('Customers (2)'!B:B,MATCH('Customers (2)'!A816,'Customers (2)'!A:A,0))</f>
        <v>Silvanus Enefer</v>
      </c>
      <c r="E816" t="s">
        <v>254</v>
      </c>
      <c r="F816">
        <v>2</v>
      </c>
      <c r="G816">
        <f>INDEX([1]products!$A$1:$G$49,MATCH([1]orders!$D816,[1]products!$A$1:$A$49,0),MATCH([1]orders!K$1,[1]products!$A$1:$G$1,0))</f>
        <v>0.2</v>
      </c>
      <c r="H816">
        <f>INDEX([1]products!$A$1:$G$49,MATCH([1]orders!$D816,[1]products!$A$1:$A$49,0),MATCH([1]orders!L$1,[1]products!$A$1:$G$1,0))</f>
        <v>4.4550000000000001</v>
      </c>
      <c r="I816">
        <f t="shared" si="12"/>
        <v>8.91</v>
      </c>
    </row>
    <row r="817" spans="1:9" x14ac:dyDescent="0.25">
      <c r="A817" t="s">
        <v>1580</v>
      </c>
      <c r="B817">
        <v>44200</v>
      </c>
      <c r="C817" t="s">
        <v>1581</v>
      </c>
      <c r="D817" t="str">
        <f>INDEX('Customers (2)'!B:B,MATCH('Customers (2)'!A817,'Customers (2)'!A:A,0))</f>
        <v>Lenci Haggerstone</v>
      </c>
      <c r="E817" t="s">
        <v>22</v>
      </c>
      <c r="F817">
        <v>6</v>
      </c>
      <c r="G817">
        <f>INDEX([1]products!$A$1:$G$49,MATCH([1]orders!$D817,[1]products!$A$1:$A$49,0),MATCH([1]orders!K$1,[1]products!$A$1:$G$1,0))</f>
        <v>0.5</v>
      </c>
      <c r="H817">
        <f>INDEX([1]products!$A$1:$G$49,MATCH([1]orders!$D817,[1]products!$A$1:$A$49,0),MATCH([1]orders!L$1,[1]products!$A$1:$G$1,0))</f>
        <v>5.97</v>
      </c>
      <c r="I817">
        <f t="shared" si="12"/>
        <v>35.82</v>
      </c>
    </row>
    <row r="818" spans="1:9" x14ac:dyDescent="0.25">
      <c r="A818" t="s">
        <v>1582</v>
      </c>
      <c r="B818">
        <v>43534</v>
      </c>
      <c r="C818" t="s">
        <v>1583</v>
      </c>
      <c r="D818" t="str">
        <f>INDEX('Customers (2)'!B:B,MATCH('Customers (2)'!A818,'Customers (2)'!A:A,0))</f>
        <v>Marvin Gundry</v>
      </c>
      <c r="E818" t="s">
        <v>83</v>
      </c>
      <c r="F818">
        <v>4</v>
      </c>
      <c r="G818">
        <f>INDEX([1]products!$A$1:$G$49,MATCH([1]orders!$D818,[1]products!$A$1:$A$49,0),MATCH([1]orders!K$1,[1]products!$A$1:$G$1,0))</f>
        <v>0.5</v>
      </c>
      <c r="H818">
        <f>INDEX([1]products!$A$1:$G$49,MATCH([1]orders!$D818,[1]products!$A$1:$A$49,0),MATCH([1]orders!L$1,[1]products!$A$1:$G$1,0))</f>
        <v>9.51</v>
      </c>
      <c r="I818">
        <f t="shared" si="12"/>
        <v>38.04</v>
      </c>
    </row>
    <row r="819" spans="1:9" x14ac:dyDescent="0.25">
      <c r="A819" t="s">
        <v>1584</v>
      </c>
      <c r="B819">
        <v>43798</v>
      </c>
      <c r="C819" t="s">
        <v>1585</v>
      </c>
      <c r="D819" t="str">
        <f>INDEX('Customers (2)'!B:B,MATCH('Customers (2)'!A819,'Customers (2)'!A:A,0))</f>
        <v>Bayard Wellan</v>
      </c>
      <c r="E819" t="s">
        <v>123</v>
      </c>
      <c r="F819">
        <v>2</v>
      </c>
      <c r="G819">
        <f>INDEX([1]products!$A$1:$G$49,MATCH([1]orders!$D819,[1]products!$A$1:$A$49,0),MATCH([1]orders!K$1,[1]products!$A$1:$G$1,0))</f>
        <v>0.5</v>
      </c>
      <c r="H819">
        <f>INDEX([1]products!$A$1:$G$49,MATCH([1]orders!$D819,[1]products!$A$1:$A$49,0),MATCH([1]orders!L$1,[1]products!$A$1:$G$1,0))</f>
        <v>7.77</v>
      </c>
      <c r="I819">
        <f t="shared" si="12"/>
        <v>15.54</v>
      </c>
    </row>
    <row r="820" spans="1:9" x14ac:dyDescent="0.25">
      <c r="A820" t="s">
        <v>1586</v>
      </c>
      <c r="B820">
        <v>44761</v>
      </c>
      <c r="C820" t="s">
        <v>1569</v>
      </c>
      <c r="D820" t="str">
        <f>INDEX('Customers (2)'!B:B,MATCH('Customers (2)'!A820,'Customers (2)'!A:A,0))</f>
        <v>Allis Wilmore</v>
      </c>
      <c r="E820" t="s">
        <v>132</v>
      </c>
      <c r="F820">
        <v>5</v>
      </c>
      <c r="G820">
        <f>INDEX([1]products!$A$1:$G$49,MATCH([1]orders!$D820,[1]products!$A$1:$A$49,0),MATCH([1]orders!K$1,[1]products!$A$1:$G$1,0))</f>
        <v>1</v>
      </c>
      <c r="H820">
        <f>INDEX([1]products!$A$1:$G$49,MATCH([1]orders!$D820,[1]products!$A$1:$A$49,0),MATCH([1]orders!L$1,[1]products!$A$1:$G$1,0))</f>
        <v>15.85</v>
      </c>
      <c r="I820">
        <f t="shared" si="12"/>
        <v>79.25</v>
      </c>
    </row>
    <row r="821" spans="1:9" x14ac:dyDescent="0.25">
      <c r="A821" t="s">
        <v>1587</v>
      </c>
      <c r="B821">
        <v>44008</v>
      </c>
      <c r="C821" t="s">
        <v>1588</v>
      </c>
      <c r="D821" t="str">
        <f>INDEX('Customers (2)'!B:B,MATCH('Customers (2)'!A821,'Customers (2)'!A:A,0))</f>
        <v>Caddric Atcheson</v>
      </c>
      <c r="E821" t="s">
        <v>19</v>
      </c>
      <c r="F821">
        <v>1</v>
      </c>
      <c r="G821">
        <f>INDEX([1]products!$A$1:$G$49,MATCH([1]orders!$D821,[1]products!$A$1:$A$49,0),MATCH([1]orders!K$1,[1]products!$A$1:$G$1,0))</f>
        <v>0.2</v>
      </c>
      <c r="H821">
        <f>INDEX([1]products!$A$1:$G$49,MATCH([1]orders!$D821,[1]products!$A$1:$A$49,0),MATCH([1]orders!L$1,[1]products!$A$1:$G$1,0))</f>
        <v>4.7549999999999999</v>
      </c>
      <c r="I821">
        <f t="shared" si="12"/>
        <v>4.7549999999999999</v>
      </c>
    </row>
    <row r="822" spans="1:9" x14ac:dyDescent="0.25">
      <c r="A822" t="s">
        <v>1589</v>
      </c>
      <c r="B822">
        <v>43510</v>
      </c>
      <c r="C822" t="s">
        <v>1590</v>
      </c>
      <c r="D822" t="str">
        <f>INDEX('Customers (2)'!B:B,MATCH('Customers (2)'!A822,'Customers (2)'!A:A,0))</f>
        <v>Eustace Stenton</v>
      </c>
      <c r="E822" t="s">
        <v>9</v>
      </c>
      <c r="F822">
        <v>4</v>
      </c>
      <c r="G822">
        <f>INDEX([1]products!$A$1:$G$49,MATCH([1]orders!$D822,[1]products!$A$1:$A$49,0),MATCH([1]orders!K$1,[1]products!$A$1:$G$1,0))</f>
        <v>1</v>
      </c>
      <c r="H822">
        <f>INDEX([1]products!$A$1:$G$49,MATCH([1]orders!$D822,[1]products!$A$1:$A$49,0),MATCH([1]orders!L$1,[1]products!$A$1:$G$1,0))</f>
        <v>13.75</v>
      </c>
      <c r="I822">
        <f t="shared" si="12"/>
        <v>55</v>
      </c>
    </row>
    <row r="823" spans="1:9" x14ac:dyDescent="0.25">
      <c r="A823" t="s">
        <v>1591</v>
      </c>
      <c r="B823">
        <v>44144</v>
      </c>
      <c r="C823" t="s">
        <v>1592</v>
      </c>
      <c r="D823" t="str">
        <f>INDEX('Customers (2)'!B:B,MATCH('Customers (2)'!A823,'Customers (2)'!A:A,0))</f>
        <v>Ericka Tripp</v>
      </c>
      <c r="E823" t="s">
        <v>146</v>
      </c>
      <c r="F823">
        <v>5</v>
      </c>
      <c r="G823">
        <f>INDEX([1]products!$A$1:$G$49,MATCH([1]orders!$D823,[1]products!$A$1:$A$49,0),MATCH([1]orders!K$1,[1]products!$A$1:$G$1,0))</f>
        <v>0.5</v>
      </c>
      <c r="H823">
        <f>INDEX([1]products!$A$1:$G$49,MATCH([1]orders!$D823,[1]products!$A$1:$A$49,0),MATCH([1]orders!L$1,[1]products!$A$1:$G$1,0))</f>
        <v>5.3699999999999992</v>
      </c>
      <c r="I823">
        <f t="shared" si="12"/>
        <v>26.849999999999994</v>
      </c>
    </row>
    <row r="824" spans="1:9" x14ac:dyDescent="0.25">
      <c r="A824" t="s">
        <v>1593</v>
      </c>
      <c r="B824">
        <v>43585</v>
      </c>
      <c r="C824" t="s">
        <v>1594</v>
      </c>
      <c r="D824" t="str">
        <f>INDEX('Customers (2)'!B:B,MATCH('Customers (2)'!A824,'Customers (2)'!A:A,0))</f>
        <v>Lyndsey MacManus</v>
      </c>
      <c r="E824" t="s">
        <v>30</v>
      </c>
      <c r="F824">
        <v>4</v>
      </c>
      <c r="G824">
        <f>INDEX([1]products!$A$1:$G$49,MATCH([1]orders!$D824,[1]products!$A$1:$A$49,0),MATCH([1]orders!K$1,[1]products!$A$1:$G$1,0))</f>
        <v>2.5</v>
      </c>
      <c r="H824">
        <f>INDEX([1]products!$A$1:$G$49,MATCH([1]orders!$D824,[1]products!$A$1:$A$49,0),MATCH([1]orders!L$1,[1]products!$A$1:$G$1,0))</f>
        <v>34.154999999999994</v>
      </c>
      <c r="I824">
        <f t="shared" si="12"/>
        <v>136.61999999999998</v>
      </c>
    </row>
    <row r="825" spans="1:9" x14ac:dyDescent="0.25">
      <c r="A825" t="s">
        <v>1595</v>
      </c>
      <c r="B825">
        <v>44134</v>
      </c>
      <c r="C825" t="s">
        <v>1596</v>
      </c>
      <c r="D825" t="str">
        <f>INDEX('Customers (2)'!B:B,MATCH('Customers (2)'!A825,'Customers (2)'!A:A,0))</f>
        <v>Tess Benediktovich</v>
      </c>
      <c r="E825" t="s">
        <v>132</v>
      </c>
      <c r="F825">
        <v>3</v>
      </c>
      <c r="G825">
        <f>INDEX([1]products!$A$1:$G$49,MATCH([1]orders!$D825,[1]products!$A$1:$A$49,0),MATCH([1]orders!K$1,[1]products!$A$1:$G$1,0))</f>
        <v>1</v>
      </c>
      <c r="H825">
        <f>INDEX([1]products!$A$1:$G$49,MATCH([1]orders!$D825,[1]products!$A$1:$A$49,0),MATCH([1]orders!L$1,[1]products!$A$1:$G$1,0))</f>
        <v>15.85</v>
      </c>
      <c r="I825">
        <f t="shared" si="12"/>
        <v>47.55</v>
      </c>
    </row>
    <row r="826" spans="1:9" x14ac:dyDescent="0.25">
      <c r="A826" t="s">
        <v>1597</v>
      </c>
      <c r="B826">
        <v>43781</v>
      </c>
      <c r="C826" t="s">
        <v>1598</v>
      </c>
      <c r="D826" t="str">
        <f>INDEX('Customers (2)'!B:B,MATCH('Customers (2)'!A826,'Customers (2)'!A:A,0))</f>
        <v>Correy Bourner</v>
      </c>
      <c r="E826" t="s">
        <v>44</v>
      </c>
      <c r="F826">
        <v>5</v>
      </c>
      <c r="G826">
        <f>INDEX([1]products!$A$1:$G$49,MATCH([1]orders!$D826,[1]products!$A$1:$A$49,0),MATCH([1]orders!K$1,[1]products!$A$1:$G$1,0))</f>
        <v>0.2</v>
      </c>
      <c r="H826">
        <f>INDEX([1]products!$A$1:$G$49,MATCH([1]orders!$D826,[1]products!$A$1:$A$49,0),MATCH([1]orders!L$1,[1]products!$A$1:$G$1,0))</f>
        <v>3.375</v>
      </c>
      <c r="I826">
        <f t="shared" si="12"/>
        <v>16.875</v>
      </c>
    </row>
    <row r="827" spans="1:9" x14ac:dyDescent="0.25">
      <c r="A827" t="s">
        <v>1599</v>
      </c>
      <c r="B827">
        <v>44603</v>
      </c>
      <c r="C827" t="s">
        <v>1600</v>
      </c>
      <c r="D827" t="str">
        <f>INDEX('Customers (2)'!B:B,MATCH('Customers (2)'!A827,'Customers (2)'!A:A,0))</f>
        <v>Uta Kohring</v>
      </c>
      <c r="E827" t="s">
        <v>27</v>
      </c>
      <c r="F827">
        <v>3</v>
      </c>
      <c r="G827">
        <f>INDEX([1]products!$A$1:$G$49,MATCH([1]orders!$D827,[1]products!$A$1:$A$49,0),MATCH([1]orders!K$1,[1]products!$A$1:$G$1,0))</f>
        <v>1</v>
      </c>
      <c r="H827">
        <f>INDEX([1]products!$A$1:$G$49,MATCH([1]orders!$D827,[1]products!$A$1:$A$49,0),MATCH([1]orders!L$1,[1]products!$A$1:$G$1,0))</f>
        <v>9.9499999999999993</v>
      </c>
      <c r="I827">
        <f t="shared" si="12"/>
        <v>29.849999999999998</v>
      </c>
    </row>
    <row r="828" spans="1:9" x14ac:dyDescent="0.25">
      <c r="A828" t="s">
        <v>1601</v>
      </c>
      <c r="B828">
        <v>44283</v>
      </c>
      <c r="C828" t="s">
        <v>1602</v>
      </c>
      <c r="D828" t="str">
        <f>INDEX('Customers (2)'!B:B,MATCH('Customers (2)'!A828,'Customers (2)'!A:A,0))</f>
        <v>Kandy Heddan</v>
      </c>
      <c r="E828" t="s">
        <v>3</v>
      </c>
      <c r="F828">
        <v>5</v>
      </c>
      <c r="G828">
        <f>INDEX([1]products!$A$1:$G$49,MATCH([1]orders!$D828,[1]products!$A$1:$A$49,0),MATCH([1]orders!K$1,[1]products!$A$1:$G$1,0))</f>
        <v>0.5</v>
      </c>
      <c r="H828">
        <f>INDEX([1]products!$A$1:$G$49,MATCH([1]orders!$D828,[1]products!$A$1:$A$49,0),MATCH([1]orders!L$1,[1]products!$A$1:$G$1,0))</f>
        <v>8.25</v>
      </c>
      <c r="I828">
        <f t="shared" si="12"/>
        <v>41.25</v>
      </c>
    </row>
    <row r="829" spans="1:9" x14ac:dyDescent="0.25">
      <c r="A829" t="s">
        <v>1603</v>
      </c>
      <c r="B829">
        <v>44540</v>
      </c>
      <c r="C829" t="s">
        <v>1604</v>
      </c>
      <c r="D829" t="str">
        <f>INDEX('Customers (2)'!B:B,MATCH('Customers (2)'!A829,'Customers (2)'!A:A,0))</f>
        <v>Ibby Charters</v>
      </c>
      <c r="E829" t="s">
        <v>64</v>
      </c>
      <c r="F829">
        <v>5</v>
      </c>
      <c r="G829">
        <f>INDEX([1]products!$A$1:$G$49,MATCH([1]orders!$D829,[1]products!$A$1:$A$49,0),MATCH([1]orders!K$1,[1]products!$A$1:$G$1,0))</f>
        <v>0.2</v>
      </c>
      <c r="H829">
        <f>INDEX([1]products!$A$1:$G$49,MATCH([1]orders!$D829,[1]products!$A$1:$A$49,0),MATCH([1]orders!L$1,[1]products!$A$1:$G$1,0))</f>
        <v>4.125</v>
      </c>
      <c r="I829">
        <f t="shared" si="12"/>
        <v>20.625</v>
      </c>
    </row>
    <row r="830" spans="1:9" x14ac:dyDescent="0.25">
      <c r="A830" t="s">
        <v>1605</v>
      </c>
      <c r="B830">
        <v>44505</v>
      </c>
      <c r="C830" t="s">
        <v>1606</v>
      </c>
      <c r="D830" t="str">
        <f>INDEX('Customers (2)'!B:B,MATCH('Customers (2)'!A830,'Customers (2)'!A:A,0))</f>
        <v>Adora Roubert</v>
      </c>
      <c r="E830" t="s">
        <v>118</v>
      </c>
      <c r="F830">
        <v>6</v>
      </c>
      <c r="G830">
        <f>INDEX([1]products!$A$1:$G$49,MATCH([1]orders!$D830,[1]products!$A$1:$A$49,0),MATCH([1]orders!K$1,[1]products!$A$1:$G$1,0))</f>
        <v>2.5</v>
      </c>
      <c r="H830">
        <f>INDEX([1]products!$A$1:$G$49,MATCH([1]orders!$D830,[1]products!$A$1:$A$49,0),MATCH([1]orders!L$1,[1]products!$A$1:$G$1,0))</f>
        <v>22.884999999999998</v>
      </c>
      <c r="I830">
        <f t="shared" si="12"/>
        <v>137.31</v>
      </c>
    </row>
    <row r="831" spans="1:9" x14ac:dyDescent="0.25">
      <c r="A831" t="s">
        <v>1607</v>
      </c>
      <c r="B831">
        <v>43890</v>
      </c>
      <c r="C831" t="s">
        <v>1608</v>
      </c>
      <c r="D831" t="str">
        <f>INDEX('Customers (2)'!B:B,MATCH('Customers (2)'!A831,'Customers (2)'!A:A,0))</f>
        <v>Hillel Mairs</v>
      </c>
      <c r="E831" t="s">
        <v>54</v>
      </c>
      <c r="F831">
        <v>1</v>
      </c>
      <c r="G831">
        <f>INDEX([1]products!$A$1:$G$49,MATCH([1]orders!$D831,[1]products!$A$1:$A$49,0),MATCH([1]orders!K$1,[1]products!$A$1:$G$1,0))</f>
        <v>0.2</v>
      </c>
      <c r="H831">
        <f>INDEX([1]products!$A$1:$G$49,MATCH([1]orders!$D831,[1]products!$A$1:$A$49,0),MATCH([1]orders!L$1,[1]products!$A$1:$G$1,0))</f>
        <v>2.9849999999999999</v>
      </c>
      <c r="I831">
        <f t="shared" si="12"/>
        <v>2.9849999999999999</v>
      </c>
    </row>
    <row r="832" spans="1:9" x14ac:dyDescent="0.25">
      <c r="A832" t="s">
        <v>1609</v>
      </c>
      <c r="B832">
        <v>44414</v>
      </c>
      <c r="C832" t="s">
        <v>1610</v>
      </c>
      <c r="D832" t="str">
        <f>INDEX('Customers (2)'!B:B,MATCH('Customers (2)'!A832,'Customers (2)'!A:A,0))</f>
        <v>Helaina Rainforth</v>
      </c>
      <c r="E832" t="s">
        <v>9</v>
      </c>
      <c r="F832">
        <v>2</v>
      </c>
      <c r="G832">
        <f>INDEX([1]products!$A$1:$G$49,MATCH([1]orders!$D832,[1]products!$A$1:$A$49,0),MATCH([1]orders!K$1,[1]products!$A$1:$G$1,0))</f>
        <v>1</v>
      </c>
      <c r="H832">
        <f>INDEX([1]products!$A$1:$G$49,MATCH([1]orders!$D832,[1]products!$A$1:$A$49,0),MATCH([1]orders!L$1,[1]products!$A$1:$G$1,0))</f>
        <v>13.75</v>
      </c>
      <c r="I832">
        <f t="shared" si="12"/>
        <v>27.5</v>
      </c>
    </row>
    <row r="833" spans="1:9" x14ac:dyDescent="0.25">
      <c r="A833" t="s">
        <v>1609</v>
      </c>
      <c r="B833">
        <v>44414</v>
      </c>
      <c r="C833" t="s">
        <v>1610</v>
      </c>
      <c r="D833" t="str">
        <f>INDEX('Customers (2)'!B:B,MATCH('Customers (2)'!A833,'Customers (2)'!A:A,0))</f>
        <v>Odelia Skerme</v>
      </c>
      <c r="E833" t="s">
        <v>54</v>
      </c>
      <c r="F833">
        <v>2</v>
      </c>
      <c r="G833">
        <f>INDEX([1]products!$A$1:$G$49,MATCH([1]orders!$D833,[1]products!$A$1:$A$49,0),MATCH([1]orders!K$1,[1]products!$A$1:$G$1,0))</f>
        <v>0.2</v>
      </c>
      <c r="H833">
        <f>INDEX([1]products!$A$1:$G$49,MATCH([1]orders!$D833,[1]products!$A$1:$A$49,0),MATCH([1]orders!L$1,[1]products!$A$1:$G$1,0))</f>
        <v>2.9849999999999999</v>
      </c>
      <c r="I833">
        <f t="shared" si="12"/>
        <v>5.97</v>
      </c>
    </row>
    <row r="834" spans="1:9" x14ac:dyDescent="0.25">
      <c r="A834" t="s">
        <v>1611</v>
      </c>
      <c r="B834">
        <v>44274</v>
      </c>
      <c r="C834" t="s">
        <v>1612</v>
      </c>
      <c r="D834" t="str">
        <f>INDEX('Customers (2)'!B:B,MATCH('Customers (2)'!A834,'Customers (2)'!A:A,0))</f>
        <v>Isac Jesper</v>
      </c>
      <c r="E834" t="s">
        <v>2</v>
      </c>
      <c r="F834">
        <v>6</v>
      </c>
      <c r="G834">
        <f>INDEX([1]products!$A$1:$G$49,MATCH([1]orders!$D834,[1]products!$A$1:$A$49,0),MATCH([1]orders!K$1,[1]products!$A$1:$G$1,0))</f>
        <v>1</v>
      </c>
      <c r="H834">
        <f>INDEX([1]products!$A$1:$G$49,MATCH([1]orders!$D834,[1]products!$A$1:$A$49,0),MATCH([1]orders!L$1,[1]products!$A$1:$G$1,0))</f>
        <v>9.9499999999999993</v>
      </c>
      <c r="I834">
        <f t="shared" ref="I834:I897" si="13">F834*H834</f>
        <v>59.699999999999996</v>
      </c>
    </row>
    <row r="835" spans="1:9" x14ac:dyDescent="0.25">
      <c r="A835" t="s">
        <v>1613</v>
      </c>
      <c r="B835">
        <v>44302</v>
      </c>
      <c r="C835" t="s">
        <v>1614</v>
      </c>
      <c r="D835" t="str">
        <f>INDEX('Customers (2)'!B:B,MATCH('Customers (2)'!A835,'Customers (2)'!A:A,0))</f>
        <v>Lenette Dwerryhouse</v>
      </c>
      <c r="E835" t="s">
        <v>35</v>
      </c>
      <c r="F835">
        <v>4</v>
      </c>
      <c r="G835">
        <f>INDEX([1]products!$A$1:$G$49,MATCH([1]orders!$D835,[1]products!$A$1:$A$49,0),MATCH([1]orders!K$1,[1]products!$A$1:$G$1,0))</f>
        <v>2.5</v>
      </c>
      <c r="H835">
        <f>INDEX([1]products!$A$1:$G$49,MATCH([1]orders!$D835,[1]products!$A$1:$A$49,0),MATCH([1]orders!L$1,[1]products!$A$1:$G$1,0))</f>
        <v>20.584999999999997</v>
      </c>
      <c r="I835">
        <f t="shared" si="13"/>
        <v>82.339999999999989</v>
      </c>
    </row>
    <row r="836" spans="1:9" x14ac:dyDescent="0.25">
      <c r="A836" t="s">
        <v>1615</v>
      </c>
      <c r="B836">
        <v>44141</v>
      </c>
      <c r="C836" t="s">
        <v>1616</v>
      </c>
      <c r="D836" t="str">
        <f>INDEX('Customers (2)'!B:B,MATCH('Customers (2)'!A836,'Customers (2)'!A:A,0))</f>
        <v>Nadeen Broomer</v>
      </c>
      <c r="E836" t="s">
        <v>118</v>
      </c>
      <c r="F836">
        <v>1</v>
      </c>
      <c r="G836">
        <f>INDEX([1]products!$A$1:$G$49,MATCH([1]orders!$D836,[1]products!$A$1:$A$49,0),MATCH([1]orders!K$1,[1]products!$A$1:$G$1,0))</f>
        <v>2.5</v>
      </c>
      <c r="H836">
        <f>INDEX([1]products!$A$1:$G$49,MATCH([1]orders!$D836,[1]products!$A$1:$A$49,0),MATCH([1]orders!L$1,[1]products!$A$1:$G$1,0))</f>
        <v>22.884999999999998</v>
      </c>
      <c r="I836">
        <f t="shared" si="13"/>
        <v>22.884999999999998</v>
      </c>
    </row>
    <row r="837" spans="1:9" x14ac:dyDescent="0.25">
      <c r="A837" t="s">
        <v>1617</v>
      </c>
      <c r="B837">
        <v>44270</v>
      </c>
      <c r="C837" t="s">
        <v>1618</v>
      </c>
      <c r="D837" t="str">
        <f>INDEX('Customers (2)'!B:B,MATCH('Customers (2)'!A837,'Customers (2)'!A:A,0))</f>
        <v>Konstantine Thoumasson</v>
      </c>
      <c r="E837" t="s">
        <v>176</v>
      </c>
      <c r="F837">
        <v>1</v>
      </c>
      <c r="G837">
        <f>INDEX([1]products!$A$1:$G$49,MATCH([1]orders!$D837,[1]products!$A$1:$A$49,0),MATCH([1]orders!K$1,[1]products!$A$1:$G$1,0))</f>
        <v>0.5</v>
      </c>
      <c r="H837">
        <f>INDEX([1]products!$A$1:$G$49,MATCH([1]orders!$D837,[1]products!$A$1:$A$49,0),MATCH([1]orders!L$1,[1]products!$A$1:$G$1,0))</f>
        <v>8.91</v>
      </c>
      <c r="I837">
        <f t="shared" si="13"/>
        <v>8.91</v>
      </c>
    </row>
    <row r="838" spans="1:9" x14ac:dyDescent="0.25">
      <c r="A838" t="s">
        <v>1619</v>
      </c>
      <c r="B838">
        <v>44486</v>
      </c>
      <c r="C838" t="s">
        <v>1620</v>
      </c>
      <c r="D838" t="str">
        <f>INDEX('Customers (2)'!B:B,MATCH('Customers (2)'!A838,'Customers (2)'!A:A,0))</f>
        <v>Frans Habbergham</v>
      </c>
      <c r="E838" t="s">
        <v>54</v>
      </c>
      <c r="F838">
        <v>4</v>
      </c>
      <c r="G838">
        <f>INDEX([1]products!$A$1:$G$49,MATCH([1]orders!$D838,[1]products!$A$1:$A$49,0),MATCH([1]orders!K$1,[1]products!$A$1:$G$1,0))</f>
        <v>0.2</v>
      </c>
      <c r="H838">
        <f>INDEX([1]products!$A$1:$G$49,MATCH([1]orders!$D838,[1]products!$A$1:$A$49,0),MATCH([1]orders!L$1,[1]products!$A$1:$G$1,0))</f>
        <v>2.9849999999999999</v>
      </c>
      <c r="I838">
        <f t="shared" si="13"/>
        <v>11.94</v>
      </c>
    </row>
    <row r="839" spans="1:9" x14ac:dyDescent="0.25">
      <c r="A839" t="s">
        <v>1621</v>
      </c>
      <c r="B839">
        <v>43715</v>
      </c>
      <c r="C839" t="s">
        <v>1569</v>
      </c>
      <c r="D839" t="str">
        <f>INDEX('Customers (2)'!B:B,MATCH('Customers (2)'!A839,'Customers (2)'!A:A,0))</f>
        <v>Margarette Woolham</v>
      </c>
      <c r="E839" t="s">
        <v>197</v>
      </c>
      <c r="F839">
        <v>3</v>
      </c>
      <c r="G839">
        <f>INDEX([1]products!$A$1:$G$49,MATCH([1]orders!$D839,[1]products!$A$1:$A$49,0),MATCH([1]orders!K$1,[1]products!$A$1:$G$1,0))</f>
        <v>2.5</v>
      </c>
      <c r="H839">
        <f>INDEX([1]products!$A$1:$G$49,MATCH([1]orders!$D839,[1]products!$A$1:$A$49,0),MATCH([1]orders!L$1,[1]products!$A$1:$G$1,0))</f>
        <v>33.464999999999996</v>
      </c>
      <c r="I839">
        <f t="shared" si="13"/>
        <v>100.39499999999998</v>
      </c>
    </row>
    <row r="840" spans="1:9" x14ac:dyDescent="0.25">
      <c r="A840" t="s">
        <v>1622</v>
      </c>
      <c r="B840">
        <v>44755</v>
      </c>
      <c r="C840" t="s">
        <v>1623</v>
      </c>
      <c r="D840" t="str">
        <f>INDEX('Customers (2)'!B:B,MATCH('Customers (2)'!A840,'Customers (2)'!A:A,0))</f>
        <v>Romain Avrashin</v>
      </c>
      <c r="E840" t="s">
        <v>118</v>
      </c>
      <c r="F840">
        <v>5</v>
      </c>
      <c r="G840">
        <f>INDEX([1]products!$A$1:$G$49,MATCH([1]orders!$D840,[1]products!$A$1:$A$49,0),MATCH([1]orders!K$1,[1]products!$A$1:$G$1,0))</f>
        <v>2.5</v>
      </c>
      <c r="H840">
        <f>INDEX([1]products!$A$1:$G$49,MATCH([1]orders!$D840,[1]products!$A$1:$A$49,0),MATCH([1]orders!L$1,[1]products!$A$1:$G$1,0))</f>
        <v>22.884999999999998</v>
      </c>
      <c r="I840">
        <f t="shared" si="13"/>
        <v>114.42499999999998</v>
      </c>
    </row>
    <row r="841" spans="1:9" x14ac:dyDescent="0.25">
      <c r="A841" t="s">
        <v>1624</v>
      </c>
      <c r="B841">
        <v>44521</v>
      </c>
      <c r="C841" t="s">
        <v>1625</v>
      </c>
      <c r="D841" t="str">
        <f>INDEX('Customers (2)'!B:B,MATCH('Customers (2)'!A841,'Customers (2)'!A:A,0))</f>
        <v>Miran Doidge</v>
      </c>
      <c r="E841" t="s">
        <v>3</v>
      </c>
      <c r="F841">
        <v>5</v>
      </c>
      <c r="G841">
        <f>INDEX([1]products!$A$1:$G$49,MATCH([1]orders!$D841,[1]products!$A$1:$A$49,0),MATCH([1]orders!K$1,[1]products!$A$1:$G$1,0))</f>
        <v>0.5</v>
      </c>
      <c r="H841">
        <f>INDEX([1]products!$A$1:$G$49,MATCH([1]orders!$D841,[1]products!$A$1:$A$49,0),MATCH([1]orders!L$1,[1]products!$A$1:$G$1,0))</f>
        <v>8.25</v>
      </c>
      <c r="I841">
        <f t="shared" si="13"/>
        <v>41.25</v>
      </c>
    </row>
    <row r="842" spans="1:9" x14ac:dyDescent="0.25">
      <c r="A842" t="s">
        <v>1626</v>
      </c>
      <c r="B842">
        <v>44574</v>
      </c>
      <c r="C842" t="s">
        <v>1627</v>
      </c>
      <c r="D842" t="str">
        <f>INDEX('Customers (2)'!B:B,MATCH('Customers (2)'!A842,'Customers (2)'!A:A,0))</f>
        <v>Janeva Edinboro</v>
      </c>
      <c r="E842" t="s">
        <v>157</v>
      </c>
      <c r="F842">
        <v>4</v>
      </c>
      <c r="G842">
        <f>INDEX([1]products!$A$1:$G$49,MATCH([1]orders!$D842,[1]products!$A$1:$A$49,0),MATCH([1]orders!K$1,[1]products!$A$1:$G$1,0))</f>
        <v>0.5</v>
      </c>
      <c r="H842">
        <f>INDEX([1]products!$A$1:$G$49,MATCH([1]orders!$D842,[1]products!$A$1:$A$49,0),MATCH([1]orders!L$1,[1]products!$A$1:$G$1,0))</f>
        <v>7.169999999999999</v>
      </c>
      <c r="I842">
        <f t="shared" si="13"/>
        <v>28.679999999999996</v>
      </c>
    </row>
    <row r="843" spans="1:9" x14ac:dyDescent="0.25">
      <c r="A843" t="s">
        <v>1628</v>
      </c>
      <c r="B843">
        <v>44755</v>
      </c>
      <c r="C843" t="s">
        <v>1629</v>
      </c>
      <c r="D843" t="str">
        <f>INDEX('Customers (2)'!B:B,MATCH('Customers (2)'!A843,'Customers (2)'!A:A,0))</f>
        <v>Trumaine Tewelson</v>
      </c>
      <c r="E843" t="s">
        <v>77</v>
      </c>
      <c r="F843">
        <v>1</v>
      </c>
      <c r="G843">
        <f>INDEX([1]products!$A$1:$G$49,MATCH([1]orders!$D843,[1]products!$A$1:$A$49,0),MATCH([1]orders!K$1,[1]products!$A$1:$G$1,0))</f>
        <v>0.2</v>
      </c>
      <c r="H843">
        <f>INDEX([1]products!$A$1:$G$49,MATCH([1]orders!$D843,[1]products!$A$1:$A$49,0),MATCH([1]orders!L$1,[1]products!$A$1:$G$1,0))</f>
        <v>4.3650000000000002</v>
      </c>
      <c r="I843">
        <f t="shared" si="13"/>
        <v>4.3650000000000002</v>
      </c>
    </row>
    <row r="844" spans="1:9" x14ac:dyDescent="0.25">
      <c r="A844" t="s">
        <v>1630</v>
      </c>
      <c r="B844">
        <v>44502</v>
      </c>
      <c r="C844" t="s">
        <v>1600</v>
      </c>
      <c r="D844" t="str">
        <f>INDEX('Customers (2)'!B:B,MATCH('Customers (2)'!A844,'Customers (2)'!A:A,0))</f>
        <v>Niles Krimmer</v>
      </c>
      <c r="E844" t="s">
        <v>64</v>
      </c>
      <c r="F844">
        <v>2</v>
      </c>
      <c r="G844">
        <f>INDEX([1]products!$A$1:$G$49,MATCH([1]orders!$D844,[1]products!$A$1:$A$49,0),MATCH([1]orders!K$1,[1]products!$A$1:$G$1,0))</f>
        <v>0.2</v>
      </c>
      <c r="H844">
        <f>INDEX([1]products!$A$1:$G$49,MATCH([1]orders!$D844,[1]products!$A$1:$A$49,0),MATCH([1]orders!L$1,[1]products!$A$1:$G$1,0))</f>
        <v>4.125</v>
      </c>
      <c r="I844">
        <f t="shared" si="13"/>
        <v>8.25</v>
      </c>
    </row>
    <row r="845" spans="1:9" x14ac:dyDescent="0.25">
      <c r="A845" t="s">
        <v>1631</v>
      </c>
      <c r="B845">
        <v>44387</v>
      </c>
      <c r="C845" t="s">
        <v>1632</v>
      </c>
      <c r="D845" t="str">
        <f>INDEX('Customers (2)'!B:B,MATCH('Customers (2)'!A845,'Customers (2)'!A:A,0))</f>
        <v>De Drewitt</v>
      </c>
      <c r="E845" t="s">
        <v>64</v>
      </c>
      <c r="F845">
        <v>2</v>
      </c>
      <c r="G845">
        <f>INDEX([1]products!$A$1:$G$49,MATCH([1]orders!$D845,[1]products!$A$1:$A$49,0),MATCH([1]orders!K$1,[1]products!$A$1:$G$1,0))</f>
        <v>0.2</v>
      </c>
      <c r="H845">
        <f>INDEX([1]products!$A$1:$G$49,MATCH([1]orders!$D845,[1]products!$A$1:$A$49,0),MATCH([1]orders!L$1,[1]products!$A$1:$G$1,0))</f>
        <v>4.125</v>
      </c>
      <c r="I845">
        <f t="shared" si="13"/>
        <v>8.25</v>
      </c>
    </row>
    <row r="846" spans="1:9" x14ac:dyDescent="0.25">
      <c r="A846" t="s">
        <v>1633</v>
      </c>
      <c r="B846">
        <v>44476</v>
      </c>
      <c r="C846" t="s">
        <v>1634</v>
      </c>
      <c r="D846" t="str">
        <f>INDEX('Customers (2)'!B:B,MATCH('Customers (2)'!A846,'Customers (2)'!A:A,0))</f>
        <v>Adelheid Gladhill</v>
      </c>
      <c r="E846" t="s">
        <v>72</v>
      </c>
      <c r="F846">
        <v>6</v>
      </c>
      <c r="G846">
        <f>INDEX([1]products!$A$1:$G$49,MATCH([1]orders!$D846,[1]products!$A$1:$A$49,0),MATCH([1]orders!K$1,[1]products!$A$1:$G$1,0))</f>
        <v>0.5</v>
      </c>
      <c r="H846">
        <f>INDEX([1]products!$A$1:$G$49,MATCH([1]orders!$D846,[1]products!$A$1:$A$49,0),MATCH([1]orders!L$1,[1]products!$A$1:$G$1,0))</f>
        <v>5.97</v>
      </c>
      <c r="I846">
        <f t="shared" si="13"/>
        <v>35.82</v>
      </c>
    </row>
    <row r="847" spans="1:9" x14ac:dyDescent="0.25">
      <c r="A847" t="s">
        <v>1635</v>
      </c>
      <c r="B847">
        <v>43889</v>
      </c>
      <c r="C847" t="s">
        <v>1636</v>
      </c>
      <c r="D847" t="str">
        <f>INDEX('Customers (2)'!B:B,MATCH('Customers (2)'!A847,'Customers (2)'!A:A,0))</f>
        <v>Murielle Lorinez</v>
      </c>
      <c r="E847" t="s">
        <v>530</v>
      </c>
      <c r="F847">
        <v>6</v>
      </c>
      <c r="G847">
        <f>INDEX([1]products!$A$1:$G$49,MATCH([1]orders!$D847,[1]products!$A$1:$A$49,0),MATCH([1]orders!K$1,[1]products!$A$1:$G$1,0))</f>
        <v>2.5</v>
      </c>
      <c r="H847">
        <f>INDEX([1]products!$A$1:$G$49,MATCH([1]orders!$D847,[1]products!$A$1:$A$49,0),MATCH([1]orders!L$1,[1]products!$A$1:$G$1,0))</f>
        <v>27.945</v>
      </c>
      <c r="I847">
        <f t="shared" si="13"/>
        <v>167.67000000000002</v>
      </c>
    </row>
    <row r="848" spans="1:9" x14ac:dyDescent="0.25">
      <c r="A848" t="s">
        <v>1637</v>
      </c>
      <c r="B848">
        <v>44747</v>
      </c>
      <c r="C848" t="s">
        <v>1638</v>
      </c>
      <c r="D848" t="str">
        <f>INDEX('Customers (2)'!B:B,MATCH('Customers (2)'!A848,'Customers (2)'!A:A,0))</f>
        <v>Edin Mathe</v>
      </c>
      <c r="E848" t="s">
        <v>171</v>
      </c>
      <c r="F848">
        <v>2</v>
      </c>
      <c r="G848">
        <f>INDEX([1]products!$A$1:$G$49,MATCH([1]orders!$D848,[1]products!$A$1:$A$49,0),MATCH([1]orders!K$1,[1]products!$A$1:$G$1,0))</f>
        <v>2.5</v>
      </c>
      <c r="H848">
        <f>INDEX([1]products!$A$1:$G$49,MATCH([1]orders!$D848,[1]products!$A$1:$A$49,0),MATCH([1]orders!L$1,[1]products!$A$1:$G$1,0))</f>
        <v>25.874999999999996</v>
      </c>
      <c r="I848">
        <f t="shared" si="13"/>
        <v>51.749999999999993</v>
      </c>
    </row>
    <row r="849" spans="1:9" x14ac:dyDescent="0.25">
      <c r="A849" t="s">
        <v>1639</v>
      </c>
      <c r="B849">
        <v>44460</v>
      </c>
      <c r="C849" t="s">
        <v>1640</v>
      </c>
      <c r="D849" t="str">
        <f>INDEX('Customers (2)'!B:B,MATCH('Customers (2)'!A849,'Customers (2)'!A:A,0))</f>
        <v>Mordy Van Der Vlies</v>
      </c>
      <c r="E849" t="s">
        <v>54</v>
      </c>
      <c r="F849">
        <v>3</v>
      </c>
      <c r="G849">
        <f>INDEX([1]products!$A$1:$G$49,MATCH([1]orders!$D849,[1]products!$A$1:$A$49,0),MATCH([1]orders!K$1,[1]products!$A$1:$G$1,0))</f>
        <v>0.2</v>
      </c>
      <c r="H849">
        <f>INDEX([1]products!$A$1:$G$49,MATCH([1]orders!$D849,[1]products!$A$1:$A$49,0),MATCH([1]orders!L$1,[1]products!$A$1:$G$1,0))</f>
        <v>2.9849999999999999</v>
      </c>
      <c r="I849">
        <f t="shared" si="13"/>
        <v>8.9550000000000001</v>
      </c>
    </row>
    <row r="850" spans="1:9" x14ac:dyDescent="0.25">
      <c r="A850" t="s">
        <v>1641</v>
      </c>
      <c r="B850">
        <v>43468</v>
      </c>
      <c r="C850" t="s">
        <v>1642</v>
      </c>
      <c r="D850" t="str">
        <f>INDEX('Customers (2)'!B:B,MATCH('Customers (2)'!A850,'Customers (2)'!A:A,0))</f>
        <v>Spencer Wastell</v>
      </c>
      <c r="E850" t="s">
        <v>176</v>
      </c>
      <c r="F850">
        <v>6</v>
      </c>
      <c r="G850">
        <f>INDEX([1]products!$A$1:$G$49,MATCH([1]orders!$D850,[1]products!$A$1:$A$49,0),MATCH([1]orders!K$1,[1]products!$A$1:$G$1,0))</f>
        <v>0.5</v>
      </c>
      <c r="H850">
        <f>INDEX([1]products!$A$1:$G$49,MATCH([1]orders!$D850,[1]products!$A$1:$A$49,0),MATCH([1]orders!L$1,[1]products!$A$1:$G$1,0))</f>
        <v>8.91</v>
      </c>
      <c r="I850">
        <f t="shared" si="13"/>
        <v>53.46</v>
      </c>
    </row>
    <row r="851" spans="1:9" x14ac:dyDescent="0.25">
      <c r="A851" t="s">
        <v>1643</v>
      </c>
      <c r="B851">
        <v>44628</v>
      </c>
      <c r="C851" t="s">
        <v>1644</v>
      </c>
      <c r="D851" t="str">
        <f>INDEX('Customers (2)'!B:B,MATCH('Customers (2)'!A851,'Customers (2)'!A:A,0))</f>
        <v>Jemimah Ethelston</v>
      </c>
      <c r="E851" t="s">
        <v>115</v>
      </c>
      <c r="F851">
        <v>6</v>
      </c>
      <c r="G851">
        <f>INDEX([1]products!$A$1:$G$49,MATCH([1]orders!$D851,[1]products!$A$1:$A$49,0),MATCH([1]orders!K$1,[1]products!$A$1:$G$1,0))</f>
        <v>0.2</v>
      </c>
      <c r="H851">
        <f>INDEX([1]products!$A$1:$G$49,MATCH([1]orders!$D851,[1]products!$A$1:$A$49,0),MATCH([1]orders!L$1,[1]products!$A$1:$G$1,0))</f>
        <v>3.8849999999999998</v>
      </c>
      <c r="I851">
        <f t="shared" si="13"/>
        <v>23.31</v>
      </c>
    </row>
    <row r="852" spans="1:9" x14ac:dyDescent="0.25">
      <c r="A852" t="s">
        <v>1643</v>
      </c>
      <c r="B852">
        <v>44628</v>
      </c>
      <c r="C852" t="s">
        <v>1644</v>
      </c>
      <c r="D852" t="str">
        <f>INDEX('Customers (2)'!B:B,MATCH('Customers (2)'!A852,'Customers (2)'!A:A,0))</f>
        <v>Bobbe Jevon</v>
      </c>
      <c r="E852" t="s">
        <v>44</v>
      </c>
      <c r="F852">
        <v>2</v>
      </c>
      <c r="G852">
        <f>INDEX([1]products!$A$1:$G$49,MATCH([1]orders!$D852,[1]products!$A$1:$A$49,0),MATCH([1]orders!K$1,[1]products!$A$1:$G$1,0))</f>
        <v>0.2</v>
      </c>
      <c r="H852">
        <f>INDEX([1]products!$A$1:$G$49,MATCH([1]orders!$D852,[1]products!$A$1:$A$49,0),MATCH([1]orders!L$1,[1]products!$A$1:$G$1,0))</f>
        <v>3.375</v>
      </c>
      <c r="I852">
        <f t="shared" si="13"/>
        <v>6.75</v>
      </c>
    </row>
    <row r="853" spans="1:9" x14ac:dyDescent="0.25">
      <c r="A853" t="s">
        <v>1645</v>
      </c>
      <c r="B853">
        <v>43900</v>
      </c>
      <c r="C853" t="s">
        <v>1646</v>
      </c>
      <c r="D853" t="str">
        <f>INDEX('Customers (2)'!B:B,MATCH('Customers (2)'!A853,'Customers (2)'!A:A,0))</f>
        <v>Perice Eberz</v>
      </c>
      <c r="E853" t="s">
        <v>123</v>
      </c>
      <c r="F853">
        <v>1</v>
      </c>
      <c r="G853">
        <f>INDEX([1]products!$A$1:$G$49,MATCH([1]orders!$D853,[1]products!$A$1:$A$49,0),MATCH([1]orders!K$1,[1]products!$A$1:$G$1,0))</f>
        <v>0.5</v>
      </c>
      <c r="H853">
        <f>INDEX([1]products!$A$1:$G$49,MATCH([1]orders!$D853,[1]products!$A$1:$A$49,0),MATCH([1]orders!L$1,[1]products!$A$1:$G$1,0))</f>
        <v>7.77</v>
      </c>
      <c r="I853">
        <f t="shared" si="13"/>
        <v>7.77</v>
      </c>
    </row>
    <row r="854" spans="1:9" x14ac:dyDescent="0.25">
      <c r="A854" t="s">
        <v>1647</v>
      </c>
      <c r="B854">
        <v>44527</v>
      </c>
      <c r="C854" t="s">
        <v>1648</v>
      </c>
      <c r="D854" t="str">
        <f>INDEX('Customers (2)'!B:B,MATCH('Customers (2)'!A854,'Customers (2)'!A:A,0))</f>
        <v>Bear Gaish</v>
      </c>
      <c r="E854" t="s">
        <v>109</v>
      </c>
      <c r="F854">
        <v>4</v>
      </c>
      <c r="G854">
        <f>INDEX([1]products!$A$1:$G$49,MATCH([1]orders!$D854,[1]products!$A$1:$A$49,0),MATCH([1]orders!K$1,[1]products!$A$1:$G$1,0))</f>
        <v>2.5</v>
      </c>
      <c r="H854">
        <f>INDEX([1]products!$A$1:$G$49,MATCH([1]orders!$D854,[1]products!$A$1:$A$49,0),MATCH([1]orders!L$1,[1]products!$A$1:$G$1,0))</f>
        <v>29.784999999999997</v>
      </c>
      <c r="I854">
        <f t="shared" si="13"/>
        <v>119.13999999999999</v>
      </c>
    </row>
    <row r="855" spans="1:9" x14ac:dyDescent="0.25">
      <c r="A855" t="s">
        <v>1649</v>
      </c>
      <c r="B855">
        <v>44259</v>
      </c>
      <c r="C855" t="s">
        <v>1650</v>
      </c>
      <c r="D855" t="str">
        <f>INDEX('Customers (2)'!B:B,MATCH('Customers (2)'!A855,'Customers (2)'!A:A,0))</f>
        <v>Lynnea Danton</v>
      </c>
      <c r="E855" t="s">
        <v>27</v>
      </c>
      <c r="F855">
        <v>2</v>
      </c>
      <c r="G855">
        <f>INDEX([1]products!$A$1:$G$49,MATCH([1]orders!$D855,[1]products!$A$1:$A$49,0),MATCH([1]orders!K$1,[1]products!$A$1:$G$1,0))</f>
        <v>1</v>
      </c>
      <c r="H855">
        <f>INDEX([1]products!$A$1:$G$49,MATCH([1]orders!$D855,[1]products!$A$1:$A$49,0),MATCH([1]orders!L$1,[1]products!$A$1:$G$1,0))</f>
        <v>9.9499999999999993</v>
      </c>
      <c r="I855">
        <f t="shared" si="13"/>
        <v>19.899999999999999</v>
      </c>
    </row>
    <row r="856" spans="1:9" x14ac:dyDescent="0.25">
      <c r="A856" t="s">
        <v>1651</v>
      </c>
      <c r="B856">
        <v>44516</v>
      </c>
      <c r="C856" t="s">
        <v>1652</v>
      </c>
      <c r="D856" t="str">
        <f>INDEX('Customers (2)'!B:B,MATCH('Customers (2)'!A856,'Customers (2)'!A:A,0))</f>
        <v>Skipton Morrall</v>
      </c>
      <c r="E856" t="s">
        <v>157</v>
      </c>
      <c r="F856">
        <v>5</v>
      </c>
      <c r="G856">
        <f>INDEX([1]products!$A$1:$G$49,MATCH([1]orders!$D856,[1]products!$A$1:$A$49,0),MATCH([1]orders!K$1,[1]products!$A$1:$G$1,0))</f>
        <v>0.5</v>
      </c>
      <c r="H856">
        <f>INDEX([1]products!$A$1:$G$49,MATCH([1]orders!$D856,[1]products!$A$1:$A$49,0),MATCH([1]orders!L$1,[1]products!$A$1:$G$1,0))</f>
        <v>7.169999999999999</v>
      </c>
      <c r="I856">
        <f t="shared" si="13"/>
        <v>35.849999999999994</v>
      </c>
    </row>
    <row r="857" spans="1:9" x14ac:dyDescent="0.25">
      <c r="A857" t="s">
        <v>1653</v>
      </c>
      <c r="B857">
        <v>43632</v>
      </c>
      <c r="C857" t="s">
        <v>1654</v>
      </c>
      <c r="D857" t="str">
        <f>INDEX('Customers (2)'!B:B,MATCH('Customers (2)'!A857,'Customers (2)'!A:A,0))</f>
        <v>Devan Crownshaw</v>
      </c>
      <c r="E857" t="s">
        <v>109</v>
      </c>
      <c r="F857">
        <v>3</v>
      </c>
      <c r="G857">
        <f>INDEX([1]products!$A$1:$G$49,MATCH([1]orders!$D857,[1]products!$A$1:$A$49,0),MATCH([1]orders!K$1,[1]products!$A$1:$G$1,0))</f>
        <v>2.5</v>
      </c>
      <c r="H857">
        <f>INDEX([1]products!$A$1:$G$49,MATCH([1]orders!$D857,[1]products!$A$1:$A$49,0),MATCH([1]orders!L$1,[1]products!$A$1:$G$1,0))</f>
        <v>29.784999999999997</v>
      </c>
      <c r="I857">
        <f t="shared" si="13"/>
        <v>89.35499999999999</v>
      </c>
    </row>
    <row r="858" spans="1:9" x14ac:dyDescent="0.25">
      <c r="A858" t="s">
        <v>1655</v>
      </c>
      <c r="B858">
        <v>44031</v>
      </c>
      <c r="C858" t="s">
        <v>1600</v>
      </c>
      <c r="D858" t="str">
        <f>INDEX('Customers (2)'!B:B,MATCH('Customers (2)'!A858,'Customers (2)'!A:A,0))</f>
        <v>Kriste Wessel</v>
      </c>
      <c r="E858" t="s">
        <v>77</v>
      </c>
      <c r="F858">
        <v>2</v>
      </c>
      <c r="G858">
        <f>INDEX([1]products!$A$1:$G$49,MATCH([1]orders!$D858,[1]products!$A$1:$A$49,0),MATCH([1]orders!K$1,[1]products!$A$1:$G$1,0))</f>
        <v>0.2</v>
      </c>
      <c r="H858">
        <f>INDEX([1]products!$A$1:$G$49,MATCH([1]orders!$D858,[1]products!$A$1:$A$49,0),MATCH([1]orders!L$1,[1]products!$A$1:$G$1,0))</f>
        <v>4.3650000000000002</v>
      </c>
      <c r="I858">
        <f t="shared" si="13"/>
        <v>8.73</v>
      </c>
    </row>
    <row r="859" spans="1:9" x14ac:dyDescent="0.25">
      <c r="A859" t="s">
        <v>1656</v>
      </c>
      <c r="B859">
        <v>43889</v>
      </c>
      <c r="C859" t="s">
        <v>1657</v>
      </c>
      <c r="D859" t="str">
        <f>INDEX('Customers (2)'!B:B,MATCH('Customers (2)'!A859,'Customers (2)'!A:A,0))</f>
        <v>Joceline Reddoch</v>
      </c>
      <c r="E859" t="s">
        <v>10</v>
      </c>
      <c r="F859">
        <v>5</v>
      </c>
      <c r="G859">
        <f>INDEX([1]products!$A$1:$G$49,MATCH([1]orders!$D859,[1]products!$A$1:$A$49,0),MATCH([1]orders!K$1,[1]products!$A$1:$G$1,0))</f>
        <v>2.5</v>
      </c>
      <c r="H859">
        <f>INDEX([1]products!$A$1:$G$49,MATCH([1]orders!$D859,[1]products!$A$1:$A$49,0),MATCH([1]orders!L$1,[1]products!$A$1:$G$1,0))</f>
        <v>27.484999999999996</v>
      </c>
      <c r="I859">
        <f t="shared" si="13"/>
        <v>137.42499999999998</v>
      </c>
    </row>
    <row r="860" spans="1:9" x14ac:dyDescent="0.25">
      <c r="A860" t="s">
        <v>1658</v>
      </c>
      <c r="B860">
        <v>43638</v>
      </c>
      <c r="C860" t="s">
        <v>1659</v>
      </c>
      <c r="D860" t="str">
        <f>INDEX('Customers (2)'!B:B,MATCH('Customers (2)'!A860,'Customers (2)'!A:A,0))</f>
        <v>Shelley Titley</v>
      </c>
      <c r="E860" t="s">
        <v>78</v>
      </c>
      <c r="F860">
        <v>4</v>
      </c>
      <c r="G860">
        <f>INDEX([1]products!$A$1:$G$49,MATCH([1]orders!$D860,[1]products!$A$1:$A$49,0),MATCH([1]orders!K$1,[1]products!$A$1:$G$1,0))</f>
        <v>0.5</v>
      </c>
      <c r="H860">
        <f>INDEX([1]products!$A$1:$G$49,MATCH([1]orders!$D860,[1]products!$A$1:$A$49,0),MATCH([1]orders!L$1,[1]products!$A$1:$G$1,0))</f>
        <v>8.73</v>
      </c>
      <c r="I860">
        <f t="shared" si="13"/>
        <v>34.92</v>
      </c>
    </row>
    <row r="861" spans="1:9" x14ac:dyDescent="0.25">
      <c r="A861" t="s">
        <v>1660</v>
      </c>
      <c r="B861">
        <v>43716</v>
      </c>
      <c r="C861" t="s">
        <v>1661</v>
      </c>
      <c r="D861" t="str">
        <f>INDEX('Customers (2)'!B:B,MATCH('Customers (2)'!A861,'Customers (2)'!A:A,0))</f>
        <v>Redd Simao</v>
      </c>
      <c r="E861" t="s">
        <v>204</v>
      </c>
      <c r="F861">
        <v>6</v>
      </c>
      <c r="G861">
        <f>INDEX([1]products!$A$1:$G$49,MATCH([1]orders!$D861,[1]products!$A$1:$A$49,0),MATCH([1]orders!K$1,[1]products!$A$1:$G$1,0))</f>
        <v>2.5</v>
      </c>
      <c r="H861">
        <f>INDEX([1]products!$A$1:$G$49,MATCH([1]orders!$D861,[1]products!$A$1:$A$49,0),MATCH([1]orders!L$1,[1]products!$A$1:$G$1,0))</f>
        <v>29.784999999999997</v>
      </c>
      <c r="I861">
        <f t="shared" si="13"/>
        <v>178.70999999999998</v>
      </c>
    </row>
    <row r="862" spans="1:9" x14ac:dyDescent="0.25">
      <c r="A862" t="s">
        <v>1662</v>
      </c>
      <c r="B862">
        <v>44707</v>
      </c>
      <c r="C862" t="s">
        <v>1663</v>
      </c>
      <c r="D862" t="str">
        <f>INDEX('Customers (2)'!B:B,MATCH('Customers (2)'!A862,'Customers (2)'!A:A,0))</f>
        <v>Cece Inker</v>
      </c>
      <c r="E862" t="s">
        <v>171</v>
      </c>
      <c r="F862">
        <v>1</v>
      </c>
      <c r="G862">
        <f>INDEX([1]products!$A$1:$G$49,MATCH([1]orders!$D862,[1]products!$A$1:$A$49,0),MATCH([1]orders!K$1,[1]products!$A$1:$G$1,0))</f>
        <v>2.5</v>
      </c>
      <c r="H862">
        <f>INDEX([1]products!$A$1:$G$49,MATCH([1]orders!$D862,[1]products!$A$1:$A$49,0),MATCH([1]orders!L$1,[1]products!$A$1:$G$1,0))</f>
        <v>25.874999999999996</v>
      </c>
      <c r="I862">
        <f t="shared" si="13"/>
        <v>25.874999999999996</v>
      </c>
    </row>
    <row r="863" spans="1:9" x14ac:dyDescent="0.25">
      <c r="A863" t="s">
        <v>1664</v>
      </c>
      <c r="B863">
        <v>43802</v>
      </c>
      <c r="C863" t="s">
        <v>1665</v>
      </c>
      <c r="D863" t="str">
        <f>INDEX('Customers (2)'!B:B,MATCH('Customers (2)'!A863,'Customers (2)'!A:A,0))</f>
        <v>Noel Chisholm</v>
      </c>
      <c r="E863" t="s">
        <v>13</v>
      </c>
      <c r="F863">
        <v>6</v>
      </c>
      <c r="G863">
        <f>INDEX([1]products!$A$1:$G$49,MATCH([1]orders!$D863,[1]products!$A$1:$A$49,0),MATCH([1]orders!K$1,[1]products!$A$1:$G$1,0))</f>
        <v>1</v>
      </c>
      <c r="H863">
        <f>INDEX([1]products!$A$1:$G$49,MATCH([1]orders!$D863,[1]products!$A$1:$A$49,0),MATCH([1]orders!L$1,[1]products!$A$1:$G$1,0))</f>
        <v>12.95</v>
      </c>
      <c r="I863">
        <f t="shared" si="13"/>
        <v>77.699999999999989</v>
      </c>
    </row>
    <row r="864" spans="1:9" x14ac:dyDescent="0.25">
      <c r="A864" t="s">
        <v>1666</v>
      </c>
      <c r="B864">
        <v>43725</v>
      </c>
      <c r="C864" t="s">
        <v>1667</v>
      </c>
      <c r="D864" t="str">
        <f>INDEX('Customers (2)'!B:B,MATCH('Customers (2)'!A864,'Customers (2)'!A:A,0))</f>
        <v>Grazia Oats</v>
      </c>
      <c r="E864" t="s">
        <v>2</v>
      </c>
      <c r="F864">
        <v>1</v>
      </c>
      <c r="G864">
        <f>INDEX([1]products!$A$1:$G$49,MATCH([1]orders!$D864,[1]products!$A$1:$A$49,0),MATCH([1]orders!K$1,[1]products!$A$1:$G$1,0))</f>
        <v>1</v>
      </c>
      <c r="H864">
        <f>INDEX([1]products!$A$1:$G$49,MATCH([1]orders!$D864,[1]products!$A$1:$A$49,0),MATCH([1]orders!L$1,[1]products!$A$1:$G$1,0))</f>
        <v>9.9499999999999993</v>
      </c>
      <c r="I864">
        <f t="shared" si="13"/>
        <v>9.9499999999999993</v>
      </c>
    </row>
    <row r="865" spans="1:9" x14ac:dyDescent="0.25">
      <c r="A865" t="s">
        <v>1668</v>
      </c>
      <c r="B865">
        <v>44712</v>
      </c>
      <c r="C865" t="s">
        <v>1669</v>
      </c>
      <c r="D865" t="str">
        <f>INDEX('Customers (2)'!B:B,MATCH('Customers (2)'!A865,'Customers (2)'!A:A,0))</f>
        <v>Meade Birkin</v>
      </c>
      <c r="E865" t="s">
        <v>96</v>
      </c>
      <c r="F865">
        <v>2</v>
      </c>
      <c r="G865">
        <f>INDEX([1]products!$A$1:$G$49,MATCH([1]orders!$D865,[1]products!$A$1:$A$49,0),MATCH([1]orders!K$1,[1]products!$A$1:$G$1,0))</f>
        <v>1</v>
      </c>
      <c r="H865">
        <f>INDEX([1]products!$A$1:$G$49,MATCH([1]orders!$D865,[1]products!$A$1:$A$49,0),MATCH([1]orders!L$1,[1]products!$A$1:$G$1,0))</f>
        <v>14.55</v>
      </c>
      <c r="I865">
        <f t="shared" si="13"/>
        <v>29.1</v>
      </c>
    </row>
    <row r="866" spans="1:9" x14ac:dyDescent="0.25">
      <c r="A866" t="s">
        <v>1670</v>
      </c>
      <c r="B866">
        <v>43759</v>
      </c>
      <c r="C866" t="s">
        <v>1671</v>
      </c>
      <c r="D866" t="str">
        <f>INDEX('Customers (2)'!B:B,MATCH('Customers (2)'!A866,'Customers (2)'!A:A,0))</f>
        <v>Ronda Pyson</v>
      </c>
      <c r="E866" t="s">
        <v>182</v>
      </c>
      <c r="F866">
        <v>6</v>
      </c>
      <c r="G866">
        <f>INDEX([1]products!$A$1:$G$49,MATCH([1]orders!$D866,[1]products!$A$1:$A$49,0),MATCH([1]orders!K$1,[1]products!$A$1:$G$1,0))</f>
        <v>0.2</v>
      </c>
      <c r="H866">
        <f>INDEX([1]products!$A$1:$G$49,MATCH([1]orders!$D866,[1]products!$A$1:$A$49,0),MATCH([1]orders!L$1,[1]products!$A$1:$G$1,0))</f>
        <v>3.5849999999999995</v>
      </c>
      <c r="I866">
        <f t="shared" si="13"/>
        <v>21.509999999999998</v>
      </c>
    </row>
    <row r="867" spans="1:9" x14ac:dyDescent="0.25">
      <c r="A867" t="s">
        <v>1672</v>
      </c>
      <c r="B867">
        <v>44675</v>
      </c>
      <c r="C867" t="s">
        <v>1673</v>
      </c>
      <c r="D867" t="str">
        <f>INDEX('Customers (2)'!B:B,MATCH('Customers (2)'!A867,'Customers (2)'!A:A,0))</f>
        <v>Rachele Ebrall</v>
      </c>
      <c r="E867" t="s">
        <v>67</v>
      </c>
      <c r="F867">
        <v>1</v>
      </c>
      <c r="G867">
        <f>INDEX([1]products!$A$1:$G$49,MATCH([1]orders!$D867,[1]products!$A$1:$A$49,0),MATCH([1]orders!K$1,[1]products!$A$1:$G$1,0))</f>
        <v>0.5</v>
      </c>
      <c r="H867">
        <f>INDEX([1]products!$A$1:$G$49,MATCH([1]orders!$D867,[1]products!$A$1:$A$49,0),MATCH([1]orders!L$1,[1]products!$A$1:$G$1,0))</f>
        <v>6.75</v>
      </c>
      <c r="I867">
        <f t="shared" si="13"/>
        <v>6.75</v>
      </c>
    </row>
    <row r="868" spans="1:9" x14ac:dyDescent="0.25">
      <c r="A868" t="s">
        <v>1674</v>
      </c>
      <c r="B868">
        <v>44209</v>
      </c>
      <c r="C868" t="s">
        <v>1675</v>
      </c>
      <c r="D868" t="str">
        <f>INDEX('Customers (2)'!B:B,MATCH('Customers (2)'!A868,'Customers (2)'!A:A,0))</f>
        <v>Rafaela Treacher</v>
      </c>
      <c r="E868" t="s">
        <v>72</v>
      </c>
      <c r="F868">
        <v>3</v>
      </c>
      <c r="G868">
        <f>INDEX([1]products!$A$1:$G$49,MATCH([1]orders!$D868,[1]products!$A$1:$A$49,0),MATCH([1]orders!K$1,[1]products!$A$1:$G$1,0))</f>
        <v>0.5</v>
      </c>
      <c r="H868">
        <f>INDEX([1]products!$A$1:$G$49,MATCH([1]orders!$D868,[1]products!$A$1:$A$49,0),MATCH([1]orders!L$1,[1]products!$A$1:$G$1,0))</f>
        <v>5.97</v>
      </c>
      <c r="I868">
        <f t="shared" si="13"/>
        <v>17.91</v>
      </c>
    </row>
    <row r="869" spans="1:9" x14ac:dyDescent="0.25">
      <c r="A869" t="s">
        <v>1676</v>
      </c>
      <c r="B869">
        <v>44792</v>
      </c>
      <c r="C869" t="s">
        <v>1677</v>
      </c>
      <c r="D869" t="str">
        <f>INDEX('Customers (2)'!B:B,MATCH('Customers (2)'!A869,'Customers (2)'!A:A,0))</f>
        <v>Bee Fattorini</v>
      </c>
      <c r="E869" t="s">
        <v>204</v>
      </c>
      <c r="F869">
        <v>1</v>
      </c>
      <c r="G869">
        <f>INDEX([1]products!$A$1:$G$49,MATCH([1]orders!$D869,[1]products!$A$1:$A$49,0),MATCH([1]orders!K$1,[1]products!$A$1:$G$1,0))</f>
        <v>2.5</v>
      </c>
      <c r="H869">
        <f>INDEX([1]products!$A$1:$G$49,MATCH([1]orders!$D869,[1]products!$A$1:$A$49,0),MATCH([1]orders!L$1,[1]products!$A$1:$G$1,0))</f>
        <v>29.784999999999997</v>
      </c>
      <c r="I869">
        <f t="shared" si="13"/>
        <v>29.784999999999997</v>
      </c>
    </row>
    <row r="870" spans="1:9" x14ac:dyDescent="0.25">
      <c r="A870" t="s">
        <v>1678</v>
      </c>
      <c r="B870">
        <v>43526</v>
      </c>
      <c r="C870" t="s">
        <v>1679</v>
      </c>
      <c r="D870" t="str">
        <f>INDEX('Customers (2)'!B:B,MATCH('Customers (2)'!A870,'Customers (2)'!A:A,0))</f>
        <v>Margie Palleske</v>
      </c>
      <c r="E870" t="s">
        <v>3</v>
      </c>
      <c r="F870">
        <v>5</v>
      </c>
      <c r="G870">
        <f>INDEX([1]products!$A$1:$G$49,MATCH([1]orders!$D870,[1]products!$A$1:$A$49,0),MATCH([1]orders!K$1,[1]products!$A$1:$G$1,0))</f>
        <v>0.5</v>
      </c>
      <c r="H870">
        <f>INDEX([1]products!$A$1:$G$49,MATCH([1]orders!$D870,[1]products!$A$1:$A$49,0),MATCH([1]orders!L$1,[1]products!$A$1:$G$1,0))</f>
        <v>8.25</v>
      </c>
      <c r="I870">
        <f t="shared" si="13"/>
        <v>41.25</v>
      </c>
    </row>
    <row r="871" spans="1:9" x14ac:dyDescent="0.25">
      <c r="A871" t="s">
        <v>1680</v>
      </c>
      <c r="B871">
        <v>43851</v>
      </c>
      <c r="C871" t="s">
        <v>1681</v>
      </c>
      <c r="D871" t="str">
        <f>INDEX('Customers (2)'!B:B,MATCH('Customers (2)'!A871,'Customers (2)'!A:A,0))</f>
        <v>Alexina Randals</v>
      </c>
      <c r="E871" t="s">
        <v>22</v>
      </c>
      <c r="F871">
        <v>3</v>
      </c>
      <c r="G871">
        <f>INDEX([1]products!$A$1:$G$49,MATCH([1]orders!$D871,[1]products!$A$1:$A$49,0),MATCH([1]orders!K$1,[1]products!$A$1:$G$1,0))</f>
        <v>0.5</v>
      </c>
      <c r="H871">
        <f>INDEX([1]products!$A$1:$G$49,MATCH([1]orders!$D871,[1]products!$A$1:$A$49,0),MATCH([1]orders!L$1,[1]products!$A$1:$G$1,0))</f>
        <v>5.97</v>
      </c>
      <c r="I871">
        <f t="shared" si="13"/>
        <v>17.91</v>
      </c>
    </row>
    <row r="872" spans="1:9" x14ac:dyDescent="0.25">
      <c r="A872" t="s">
        <v>1682</v>
      </c>
      <c r="B872">
        <v>44460</v>
      </c>
      <c r="C872" t="s">
        <v>1683</v>
      </c>
      <c r="D872" t="str">
        <f>INDEX('Customers (2)'!B:B,MATCH('Customers (2)'!A872,'Customers (2)'!A:A,0))</f>
        <v>Filip Antcliffe</v>
      </c>
      <c r="E872" t="s">
        <v>16</v>
      </c>
      <c r="F872">
        <v>1</v>
      </c>
      <c r="G872">
        <f>INDEX([1]products!$A$1:$G$49,MATCH([1]orders!$D872,[1]products!$A$1:$A$49,0),MATCH([1]orders!K$1,[1]products!$A$1:$G$1,0))</f>
        <v>0.5</v>
      </c>
      <c r="H872">
        <f>INDEX([1]products!$A$1:$G$49,MATCH([1]orders!$D872,[1]products!$A$1:$A$49,0),MATCH([1]orders!L$1,[1]products!$A$1:$G$1,0))</f>
        <v>7.29</v>
      </c>
      <c r="I872">
        <f t="shared" si="13"/>
        <v>7.29</v>
      </c>
    </row>
    <row r="873" spans="1:9" x14ac:dyDescent="0.25">
      <c r="A873" t="s">
        <v>1684</v>
      </c>
      <c r="B873">
        <v>43707</v>
      </c>
      <c r="C873" t="s">
        <v>1685</v>
      </c>
      <c r="D873" t="str">
        <f>INDEX('Customers (2)'!B:B,MATCH('Customers (2)'!A873,'Customers (2)'!A:A,0))</f>
        <v>Peyter Matignon</v>
      </c>
      <c r="E873" t="s">
        <v>137</v>
      </c>
      <c r="F873">
        <v>2</v>
      </c>
      <c r="G873">
        <f>INDEX([1]products!$A$1:$G$49,MATCH([1]orders!$D873,[1]products!$A$1:$A$49,0),MATCH([1]orders!K$1,[1]products!$A$1:$G$1,0))</f>
        <v>1</v>
      </c>
      <c r="H873">
        <f>INDEX([1]products!$A$1:$G$49,MATCH([1]orders!$D873,[1]products!$A$1:$A$49,0),MATCH([1]orders!L$1,[1]products!$A$1:$G$1,0))</f>
        <v>14.85</v>
      </c>
      <c r="I873">
        <f t="shared" si="13"/>
        <v>29.7</v>
      </c>
    </row>
    <row r="874" spans="1:9" x14ac:dyDescent="0.25">
      <c r="A874" t="s">
        <v>1686</v>
      </c>
      <c r="B874">
        <v>43521</v>
      </c>
      <c r="C874" t="s">
        <v>1687</v>
      </c>
      <c r="D874" t="str">
        <f>INDEX('Customers (2)'!B:B,MATCH('Customers (2)'!A874,'Customers (2)'!A:A,0))</f>
        <v>Claudie Weond</v>
      </c>
      <c r="E874" t="s">
        <v>61</v>
      </c>
      <c r="F874">
        <v>2</v>
      </c>
      <c r="G874">
        <f>INDEX([1]products!$A$1:$G$49,MATCH([1]orders!$D874,[1]products!$A$1:$A$49,0),MATCH([1]orders!K$1,[1]products!$A$1:$G$1,0))</f>
        <v>1</v>
      </c>
      <c r="H874">
        <f>INDEX([1]products!$A$1:$G$49,MATCH([1]orders!$D874,[1]products!$A$1:$A$49,0),MATCH([1]orders!L$1,[1]products!$A$1:$G$1,0))</f>
        <v>11.25</v>
      </c>
      <c r="I874">
        <f t="shared" si="13"/>
        <v>22.5</v>
      </c>
    </row>
    <row r="875" spans="1:9" x14ac:dyDescent="0.25">
      <c r="A875" t="s">
        <v>1688</v>
      </c>
      <c r="B875">
        <v>43725</v>
      </c>
      <c r="C875" t="s">
        <v>1673</v>
      </c>
      <c r="D875" t="str">
        <f>INDEX('Customers (2)'!B:B,MATCH('Customers (2)'!A875,'Customers (2)'!A:A,0))</f>
        <v>Modesty MacConnechie</v>
      </c>
      <c r="E875" t="s">
        <v>162</v>
      </c>
      <c r="F875">
        <v>4</v>
      </c>
      <c r="G875">
        <f>INDEX([1]products!$A$1:$G$49,MATCH([1]orders!$D875,[1]products!$A$1:$A$49,0),MATCH([1]orders!K$1,[1]products!$A$1:$G$1,0))</f>
        <v>0.2</v>
      </c>
      <c r="H875">
        <f>INDEX([1]products!$A$1:$G$49,MATCH([1]orders!$D875,[1]products!$A$1:$A$49,0),MATCH([1]orders!L$1,[1]products!$A$1:$G$1,0))</f>
        <v>2.9849999999999999</v>
      </c>
      <c r="I875">
        <f t="shared" si="13"/>
        <v>11.94</v>
      </c>
    </row>
    <row r="876" spans="1:9" x14ac:dyDescent="0.25">
      <c r="A876" t="s">
        <v>1689</v>
      </c>
      <c r="B876">
        <v>43680</v>
      </c>
      <c r="C876" t="s">
        <v>1690</v>
      </c>
      <c r="D876" t="str">
        <f>INDEX('Customers (2)'!B:B,MATCH('Customers (2)'!A876,'Customers (2)'!A:A,0))</f>
        <v>Jaquenette Skentelbery</v>
      </c>
      <c r="E876" t="s">
        <v>6</v>
      </c>
      <c r="F876">
        <v>2</v>
      </c>
      <c r="G876">
        <f>INDEX([1]products!$A$1:$G$49,MATCH([1]orders!$D876,[1]products!$A$1:$A$49,0),MATCH([1]orders!K$1,[1]products!$A$1:$G$1,0))</f>
        <v>1</v>
      </c>
      <c r="H876">
        <f>INDEX([1]products!$A$1:$G$49,MATCH([1]orders!$D876,[1]products!$A$1:$A$49,0),MATCH([1]orders!L$1,[1]products!$A$1:$G$1,0))</f>
        <v>12.95</v>
      </c>
      <c r="I876">
        <f t="shared" si="13"/>
        <v>25.9</v>
      </c>
    </row>
    <row r="877" spans="1:9" x14ac:dyDescent="0.25">
      <c r="A877" t="s">
        <v>1691</v>
      </c>
      <c r="B877">
        <v>44253</v>
      </c>
      <c r="C877" t="s">
        <v>1692</v>
      </c>
      <c r="D877" t="str">
        <f>INDEX('Customers (2)'!B:B,MATCH('Customers (2)'!A877,'Customers (2)'!A:A,0))</f>
        <v>Orazio Comber</v>
      </c>
      <c r="E877" t="s">
        <v>78</v>
      </c>
      <c r="F877">
        <v>5</v>
      </c>
      <c r="G877">
        <f>INDEX([1]products!$A$1:$G$49,MATCH([1]orders!$D877,[1]products!$A$1:$A$49,0),MATCH([1]orders!K$1,[1]products!$A$1:$G$1,0))</f>
        <v>0.5</v>
      </c>
      <c r="H877">
        <f>INDEX([1]products!$A$1:$G$49,MATCH([1]orders!$D877,[1]products!$A$1:$A$49,0),MATCH([1]orders!L$1,[1]products!$A$1:$G$1,0))</f>
        <v>8.73</v>
      </c>
      <c r="I877">
        <f t="shared" si="13"/>
        <v>43.650000000000006</v>
      </c>
    </row>
    <row r="878" spans="1:9" x14ac:dyDescent="0.25">
      <c r="A878" t="s">
        <v>1691</v>
      </c>
      <c r="B878">
        <v>44253</v>
      </c>
      <c r="C878" t="s">
        <v>1692</v>
      </c>
      <c r="D878" t="str">
        <f>INDEX('Customers (2)'!B:B,MATCH('Customers (2)'!A878,'Customers (2)'!A:A,0))</f>
        <v>Domini Bram</v>
      </c>
      <c r="E878" t="s">
        <v>192</v>
      </c>
      <c r="F878">
        <v>6</v>
      </c>
      <c r="G878">
        <f>INDEX([1]products!$A$1:$G$49,MATCH([1]orders!$D878,[1]products!$A$1:$A$49,0),MATCH([1]orders!K$1,[1]products!$A$1:$G$1,0))</f>
        <v>0.5</v>
      </c>
      <c r="H878">
        <f>INDEX([1]products!$A$1:$G$49,MATCH([1]orders!$D878,[1]products!$A$1:$A$49,0),MATCH([1]orders!L$1,[1]products!$A$1:$G$1,0))</f>
        <v>7.77</v>
      </c>
      <c r="I878">
        <f t="shared" si="13"/>
        <v>46.62</v>
      </c>
    </row>
    <row r="879" spans="1:9" x14ac:dyDescent="0.25">
      <c r="A879" t="s">
        <v>1693</v>
      </c>
      <c r="B879">
        <v>44411</v>
      </c>
      <c r="C879" t="s">
        <v>1694</v>
      </c>
      <c r="D879" t="str">
        <f>INDEX('Customers (2)'!B:B,MATCH('Customers (2)'!A879,'Customers (2)'!A:A,0))</f>
        <v>Zachary Tramel</v>
      </c>
      <c r="E879" t="s">
        <v>83</v>
      </c>
      <c r="F879">
        <v>3</v>
      </c>
      <c r="G879">
        <f>INDEX([1]products!$A$1:$G$49,MATCH([1]orders!$D879,[1]products!$A$1:$A$49,0),MATCH([1]orders!K$1,[1]products!$A$1:$G$1,0))</f>
        <v>0.5</v>
      </c>
      <c r="H879">
        <f>INDEX([1]products!$A$1:$G$49,MATCH([1]orders!$D879,[1]products!$A$1:$A$49,0),MATCH([1]orders!L$1,[1]products!$A$1:$G$1,0))</f>
        <v>9.51</v>
      </c>
      <c r="I879">
        <f t="shared" si="13"/>
        <v>28.53</v>
      </c>
    </row>
    <row r="880" spans="1:9" x14ac:dyDescent="0.25">
      <c r="A880" t="s">
        <v>1695</v>
      </c>
      <c r="B880">
        <v>44323</v>
      </c>
      <c r="C880" t="s">
        <v>1696</v>
      </c>
      <c r="D880" t="str">
        <f>INDEX('Customers (2)'!B:B,MATCH('Customers (2)'!A880,'Customers (2)'!A:A,0))</f>
        <v>Izaak Primak</v>
      </c>
      <c r="E880" t="s">
        <v>10</v>
      </c>
      <c r="F880">
        <v>1</v>
      </c>
      <c r="G880">
        <f>INDEX([1]products!$A$1:$G$49,MATCH([1]orders!$D880,[1]products!$A$1:$A$49,0),MATCH([1]orders!K$1,[1]products!$A$1:$G$1,0))</f>
        <v>2.5</v>
      </c>
      <c r="H880">
        <f>INDEX([1]products!$A$1:$G$49,MATCH([1]orders!$D880,[1]products!$A$1:$A$49,0),MATCH([1]orders!L$1,[1]products!$A$1:$G$1,0))</f>
        <v>27.484999999999996</v>
      </c>
      <c r="I880">
        <f t="shared" si="13"/>
        <v>27.484999999999996</v>
      </c>
    </row>
    <row r="881" spans="1:9" x14ac:dyDescent="0.25">
      <c r="A881" t="s">
        <v>1697</v>
      </c>
      <c r="B881">
        <v>43630</v>
      </c>
      <c r="C881" t="s">
        <v>1698</v>
      </c>
      <c r="D881" t="str">
        <f>INDEX('Customers (2)'!B:B,MATCH('Customers (2)'!A881,'Customers (2)'!A:A,0))</f>
        <v>Brittani Thoresbie</v>
      </c>
      <c r="E881" t="s">
        <v>51</v>
      </c>
      <c r="F881">
        <v>3</v>
      </c>
      <c r="G881">
        <f>INDEX([1]products!$A$1:$G$49,MATCH([1]orders!$D881,[1]products!$A$1:$A$49,0),MATCH([1]orders!K$1,[1]products!$A$1:$G$1,0))</f>
        <v>0.2</v>
      </c>
      <c r="H881">
        <f>INDEX([1]products!$A$1:$G$49,MATCH([1]orders!$D881,[1]products!$A$1:$A$49,0),MATCH([1]orders!L$1,[1]products!$A$1:$G$1,0))</f>
        <v>3.645</v>
      </c>
      <c r="I881">
        <f t="shared" si="13"/>
        <v>10.935</v>
      </c>
    </row>
    <row r="882" spans="1:9" x14ac:dyDescent="0.25">
      <c r="A882" t="s">
        <v>1699</v>
      </c>
      <c r="B882">
        <v>43790</v>
      </c>
      <c r="C882" t="s">
        <v>1700</v>
      </c>
      <c r="D882" t="str">
        <f>INDEX('Customers (2)'!B:B,MATCH('Customers (2)'!A882,'Customers (2)'!A:A,0))</f>
        <v>Constanta Hatfull</v>
      </c>
      <c r="E882" t="s">
        <v>182</v>
      </c>
      <c r="F882">
        <v>2</v>
      </c>
      <c r="G882">
        <f>INDEX([1]products!$A$1:$G$49,MATCH([1]orders!$D882,[1]products!$A$1:$A$49,0),MATCH([1]orders!K$1,[1]products!$A$1:$G$1,0))</f>
        <v>0.2</v>
      </c>
      <c r="H882">
        <f>INDEX([1]products!$A$1:$G$49,MATCH([1]orders!$D882,[1]products!$A$1:$A$49,0),MATCH([1]orders!L$1,[1]products!$A$1:$G$1,0))</f>
        <v>3.5849999999999995</v>
      </c>
      <c r="I882">
        <f t="shared" si="13"/>
        <v>7.169999999999999</v>
      </c>
    </row>
    <row r="883" spans="1:9" x14ac:dyDescent="0.25">
      <c r="A883" t="s">
        <v>1701</v>
      </c>
      <c r="B883">
        <v>44286</v>
      </c>
      <c r="C883" t="s">
        <v>1702</v>
      </c>
      <c r="D883" t="str">
        <f>INDEX('Customers (2)'!B:B,MATCH('Customers (2)'!A883,'Customers (2)'!A:A,0))</f>
        <v>Bobbe Castagneto</v>
      </c>
      <c r="E883" t="s">
        <v>115</v>
      </c>
      <c r="F883">
        <v>6</v>
      </c>
      <c r="G883">
        <f>INDEX([1]products!$A$1:$G$49,MATCH([1]orders!$D883,[1]products!$A$1:$A$49,0),MATCH([1]orders!K$1,[1]products!$A$1:$G$1,0))</f>
        <v>0.2</v>
      </c>
      <c r="H883">
        <f>INDEX([1]products!$A$1:$G$49,MATCH([1]orders!$D883,[1]products!$A$1:$A$49,0),MATCH([1]orders!L$1,[1]products!$A$1:$G$1,0))</f>
        <v>3.8849999999999998</v>
      </c>
      <c r="I883">
        <f t="shared" si="13"/>
        <v>23.31</v>
      </c>
    </row>
    <row r="884" spans="1:9" x14ac:dyDescent="0.25">
      <c r="A884" t="s">
        <v>1703</v>
      </c>
      <c r="B884">
        <v>43647</v>
      </c>
      <c r="C884" t="s">
        <v>1704</v>
      </c>
      <c r="D884" t="str">
        <f>INDEX('Customers (2)'!B:B,MATCH('Customers (2)'!A884,'Customers (2)'!A:A,0))</f>
        <v>Chastity Swatman</v>
      </c>
      <c r="E884" t="s">
        <v>118</v>
      </c>
      <c r="F884">
        <v>5</v>
      </c>
      <c r="G884">
        <f>INDEX([1]products!$A$1:$G$49,MATCH([1]orders!$D884,[1]products!$A$1:$A$49,0),MATCH([1]orders!K$1,[1]products!$A$1:$G$1,0))</f>
        <v>2.5</v>
      </c>
      <c r="H884">
        <f>INDEX([1]products!$A$1:$G$49,MATCH([1]orders!$D884,[1]products!$A$1:$A$49,0),MATCH([1]orders!L$1,[1]products!$A$1:$G$1,0))</f>
        <v>22.884999999999998</v>
      </c>
      <c r="I884">
        <f t="shared" si="13"/>
        <v>114.42499999999998</v>
      </c>
    </row>
    <row r="885" spans="1:9" x14ac:dyDescent="0.25">
      <c r="A885" t="s">
        <v>1705</v>
      </c>
      <c r="B885">
        <v>43956</v>
      </c>
      <c r="C885" t="s">
        <v>1706</v>
      </c>
      <c r="D885" t="str">
        <f>INDEX('Customers (2)'!B:B,MATCH('Customers (2)'!A885,'Customers (2)'!A:A,0))</f>
        <v>Lindon Agnolo</v>
      </c>
      <c r="E885" t="s">
        <v>171</v>
      </c>
      <c r="F885">
        <v>3</v>
      </c>
      <c r="G885">
        <f>INDEX([1]products!$A$1:$G$49,MATCH([1]orders!$D885,[1]products!$A$1:$A$49,0),MATCH([1]orders!K$1,[1]products!$A$1:$G$1,0))</f>
        <v>2.5</v>
      </c>
      <c r="H885">
        <f>INDEX([1]products!$A$1:$G$49,MATCH([1]orders!$D885,[1]products!$A$1:$A$49,0),MATCH([1]orders!L$1,[1]products!$A$1:$G$1,0))</f>
        <v>25.874999999999996</v>
      </c>
      <c r="I885">
        <f t="shared" si="13"/>
        <v>77.624999999999986</v>
      </c>
    </row>
    <row r="886" spans="1:9" x14ac:dyDescent="0.25">
      <c r="A886" t="s">
        <v>1707</v>
      </c>
      <c r="B886">
        <v>43941</v>
      </c>
      <c r="C886" t="s">
        <v>1708</v>
      </c>
      <c r="D886" t="str">
        <f>INDEX('Customers (2)'!B:B,MATCH('Customers (2)'!A886,'Customers (2)'!A:A,0))</f>
        <v>Delainey Kiddy</v>
      </c>
      <c r="E886" t="s">
        <v>146</v>
      </c>
      <c r="F886">
        <v>1</v>
      </c>
      <c r="G886">
        <f>INDEX([1]products!$A$1:$G$49,MATCH([1]orders!$D886,[1]products!$A$1:$A$49,0),MATCH([1]orders!K$1,[1]products!$A$1:$G$1,0))</f>
        <v>0.5</v>
      </c>
      <c r="H886">
        <f>INDEX([1]products!$A$1:$G$49,MATCH([1]orders!$D886,[1]products!$A$1:$A$49,0),MATCH([1]orders!L$1,[1]products!$A$1:$G$1,0))</f>
        <v>5.3699999999999992</v>
      </c>
      <c r="I886">
        <f t="shared" si="13"/>
        <v>5.3699999999999992</v>
      </c>
    </row>
    <row r="887" spans="1:9" x14ac:dyDescent="0.25">
      <c r="A887" t="s">
        <v>1709</v>
      </c>
      <c r="B887">
        <v>43664</v>
      </c>
      <c r="C887" t="s">
        <v>1710</v>
      </c>
      <c r="D887" t="str">
        <f>INDEX('Customers (2)'!B:B,MATCH('Customers (2)'!A887,'Customers (2)'!A:A,0))</f>
        <v>Helli Petroulis</v>
      </c>
      <c r="E887" t="s">
        <v>35</v>
      </c>
      <c r="F887">
        <v>6</v>
      </c>
      <c r="G887">
        <f>INDEX([1]products!$A$1:$G$49,MATCH([1]orders!$D887,[1]products!$A$1:$A$49,0),MATCH([1]orders!K$1,[1]products!$A$1:$G$1,0))</f>
        <v>2.5</v>
      </c>
      <c r="H887">
        <f>INDEX([1]products!$A$1:$G$49,MATCH([1]orders!$D887,[1]products!$A$1:$A$49,0),MATCH([1]orders!L$1,[1]products!$A$1:$G$1,0))</f>
        <v>20.584999999999997</v>
      </c>
      <c r="I887">
        <f t="shared" si="13"/>
        <v>123.50999999999999</v>
      </c>
    </row>
    <row r="888" spans="1:9" x14ac:dyDescent="0.25">
      <c r="A888" t="s">
        <v>1711</v>
      </c>
      <c r="B888">
        <v>44518</v>
      </c>
      <c r="C888" t="s">
        <v>1712</v>
      </c>
      <c r="D888" t="str">
        <f>INDEX('Customers (2)'!B:B,MATCH('Customers (2)'!A888,'Customers (2)'!A:A,0))</f>
        <v>Marty Scholl</v>
      </c>
      <c r="E888" t="s">
        <v>78</v>
      </c>
      <c r="F888">
        <v>2</v>
      </c>
      <c r="G888">
        <f>INDEX([1]products!$A$1:$G$49,MATCH([1]orders!$D888,[1]products!$A$1:$A$49,0),MATCH([1]orders!K$1,[1]products!$A$1:$G$1,0))</f>
        <v>0.5</v>
      </c>
      <c r="H888">
        <f>INDEX([1]products!$A$1:$G$49,MATCH([1]orders!$D888,[1]products!$A$1:$A$49,0),MATCH([1]orders!L$1,[1]products!$A$1:$G$1,0))</f>
        <v>8.73</v>
      </c>
      <c r="I888">
        <f t="shared" si="13"/>
        <v>17.46</v>
      </c>
    </row>
    <row r="889" spans="1:9" x14ac:dyDescent="0.25">
      <c r="A889" t="s">
        <v>1713</v>
      </c>
      <c r="B889">
        <v>44002</v>
      </c>
      <c r="C889" t="s">
        <v>1714</v>
      </c>
      <c r="D889" t="str">
        <f>INDEX('Customers (2)'!B:B,MATCH('Customers (2)'!A889,'Customers (2)'!A:A,0))</f>
        <v>Kienan Ferson</v>
      </c>
      <c r="E889" t="s">
        <v>254</v>
      </c>
      <c r="F889">
        <v>3</v>
      </c>
      <c r="G889">
        <f>INDEX([1]products!$A$1:$G$49,MATCH([1]orders!$D889,[1]products!$A$1:$A$49,0),MATCH([1]orders!K$1,[1]products!$A$1:$G$1,0))</f>
        <v>0.2</v>
      </c>
      <c r="H889">
        <f>INDEX([1]products!$A$1:$G$49,MATCH([1]orders!$D889,[1]products!$A$1:$A$49,0),MATCH([1]orders!L$1,[1]products!$A$1:$G$1,0))</f>
        <v>4.4550000000000001</v>
      </c>
      <c r="I889">
        <f t="shared" si="13"/>
        <v>13.365</v>
      </c>
    </row>
    <row r="890" spans="1:9" x14ac:dyDescent="0.25">
      <c r="A890" t="s">
        <v>1715</v>
      </c>
      <c r="B890">
        <v>44292</v>
      </c>
      <c r="C890" t="s">
        <v>1716</v>
      </c>
      <c r="D890" t="str">
        <f>INDEX('Customers (2)'!B:B,MATCH('Customers (2)'!A890,'Customers (2)'!A:A,0))</f>
        <v>Blake Kelloway</v>
      </c>
      <c r="E890" t="s">
        <v>115</v>
      </c>
      <c r="F890">
        <v>2</v>
      </c>
      <c r="G890">
        <f>INDEX([1]products!$A$1:$G$49,MATCH([1]orders!$D890,[1]products!$A$1:$A$49,0),MATCH([1]orders!K$1,[1]products!$A$1:$G$1,0))</f>
        <v>0.2</v>
      </c>
      <c r="H890">
        <f>INDEX([1]products!$A$1:$G$49,MATCH([1]orders!$D890,[1]products!$A$1:$A$49,0),MATCH([1]orders!L$1,[1]products!$A$1:$G$1,0))</f>
        <v>3.8849999999999998</v>
      </c>
      <c r="I890">
        <f t="shared" si="13"/>
        <v>7.77</v>
      </c>
    </row>
    <row r="891" spans="1:9" x14ac:dyDescent="0.25">
      <c r="A891" t="s">
        <v>1717</v>
      </c>
      <c r="B891">
        <v>43633</v>
      </c>
      <c r="C891" t="s">
        <v>1718</v>
      </c>
      <c r="D891" t="str">
        <f>INDEX('Customers (2)'!B:B,MATCH('Customers (2)'!A891,'Customers (2)'!A:A,0))</f>
        <v>Scarlett Oliffe</v>
      </c>
      <c r="E891" t="s">
        <v>101</v>
      </c>
      <c r="F891">
        <v>1</v>
      </c>
      <c r="G891">
        <f>INDEX([1]products!$A$1:$G$49,MATCH([1]orders!$D891,[1]products!$A$1:$A$49,0),MATCH([1]orders!K$1,[1]products!$A$1:$G$1,0))</f>
        <v>0.2</v>
      </c>
      <c r="H891">
        <f>INDEX([1]products!$A$1:$G$49,MATCH([1]orders!$D891,[1]products!$A$1:$A$49,0),MATCH([1]orders!L$1,[1]products!$A$1:$G$1,0))</f>
        <v>2.6849999999999996</v>
      </c>
      <c r="I891">
        <f t="shared" si="13"/>
        <v>2.6849999999999996</v>
      </c>
    </row>
    <row r="892" spans="1:9" x14ac:dyDescent="0.25">
      <c r="A892" t="s">
        <v>1719</v>
      </c>
      <c r="B892">
        <v>44646</v>
      </c>
      <c r="C892" t="s">
        <v>1704</v>
      </c>
      <c r="D892" t="str">
        <f>INDEX('Customers (2)'!B:B,MATCH('Customers (2)'!A892,'Customers (2)'!A:A,0))</f>
        <v>Kippie Marrison</v>
      </c>
      <c r="E892" t="s">
        <v>35</v>
      </c>
      <c r="F892">
        <v>1</v>
      </c>
      <c r="G892">
        <f>INDEX([1]products!$A$1:$G$49,MATCH([1]orders!$D892,[1]products!$A$1:$A$49,0),MATCH([1]orders!K$1,[1]products!$A$1:$G$1,0))</f>
        <v>2.5</v>
      </c>
      <c r="H892">
        <f>INDEX([1]products!$A$1:$G$49,MATCH([1]orders!$D892,[1]products!$A$1:$A$49,0),MATCH([1]orders!L$1,[1]products!$A$1:$G$1,0))</f>
        <v>20.584999999999997</v>
      </c>
      <c r="I892">
        <f t="shared" si="13"/>
        <v>20.584999999999997</v>
      </c>
    </row>
    <row r="893" spans="1:9" x14ac:dyDescent="0.25">
      <c r="A893" t="s">
        <v>1720</v>
      </c>
      <c r="B893">
        <v>44469</v>
      </c>
      <c r="C893" t="s">
        <v>1721</v>
      </c>
      <c r="D893" t="str">
        <f>INDEX('Customers (2)'!B:B,MATCH('Customers (2)'!A893,'Customers (2)'!A:A,0))</f>
        <v>Celestia Dolohunty</v>
      </c>
      <c r="E893" t="s">
        <v>118</v>
      </c>
      <c r="F893">
        <v>5</v>
      </c>
      <c r="G893">
        <f>INDEX([1]products!$A$1:$G$49,MATCH([1]orders!$D893,[1]products!$A$1:$A$49,0),MATCH([1]orders!K$1,[1]products!$A$1:$G$1,0))</f>
        <v>2.5</v>
      </c>
      <c r="H893">
        <f>INDEX([1]products!$A$1:$G$49,MATCH([1]orders!$D893,[1]products!$A$1:$A$49,0),MATCH([1]orders!L$1,[1]products!$A$1:$G$1,0))</f>
        <v>22.884999999999998</v>
      </c>
      <c r="I893">
        <f t="shared" si="13"/>
        <v>114.42499999999998</v>
      </c>
    </row>
    <row r="894" spans="1:9" x14ac:dyDescent="0.25">
      <c r="A894" t="s">
        <v>1722</v>
      </c>
      <c r="B894">
        <v>43635</v>
      </c>
      <c r="C894" t="s">
        <v>1723</v>
      </c>
      <c r="D894" t="str">
        <f>INDEX('Customers (2)'!B:B,MATCH('Customers (2)'!A894,'Customers (2)'!A:A,0))</f>
        <v>Patsy Vasilenko</v>
      </c>
      <c r="E894" t="s">
        <v>64</v>
      </c>
      <c r="F894">
        <v>5</v>
      </c>
      <c r="G894">
        <f>INDEX([1]products!$A$1:$G$49,MATCH([1]orders!$D894,[1]products!$A$1:$A$49,0),MATCH([1]orders!K$1,[1]products!$A$1:$G$1,0))</f>
        <v>0.2</v>
      </c>
      <c r="H894">
        <f>INDEX([1]products!$A$1:$G$49,MATCH([1]orders!$D894,[1]products!$A$1:$A$49,0),MATCH([1]orders!L$1,[1]products!$A$1:$G$1,0))</f>
        <v>4.125</v>
      </c>
      <c r="I894">
        <f t="shared" si="13"/>
        <v>20.625</v>
      </c>
    </row>
    <row r="895" spans="1:9" x14ac:dyDescent="0.25">
      <c r="A895" t="s">
        <v>1724</v>
      </c>
      <c r="B895">
        <v>44651</v>
      </c>
      <c r="C895" t="s">
        <v>1725</v>
      </c>
      <c r="D895" t="str">
        <f>INDEX('Customers (2)'!B:B,MATCH('Customers (2)'!A895,'Customers (2)'!A:A,0))</f>
        <v>Raphaela Schankelborg</v>
      </c>
      <c r="E895" t="s">
        <v>83</v>
      </c>
      <c r="F895">
        <v>6</v>
      </c>
      <c r="G895">
        <f>INDEX([1]products!$A$1:$G$49,MATCH([1]orders!$D895,[1]products!$A$1:$A$49,0),MATCH([1]orders!K$1,[1]products!$A$1:$G$1,0))</f>
        <v>0.5</v>
      </c>
      <c r="H895">
        <f>INDEX([1]products!$A$1:$G$49,MATCH([1]orders!$D895,[1]products!$A$1:$A$49,0),MATCH([1]orders!L$1,[1]products!$A$1:$G$1,0))</f>
        <v>9.51</v>
      </c>
      <c r="I895">
        <f t="shared" si="13"/>
        <v>57.06</v>
      </c>
    </row>
    <row r="896" spans="1:9" x14ac:dyDescent="0.25">
      <c r="A896" t="s">
        <v>1726</v>
      </c>
      <c r="B896">
        <v>44016</v>
      </c>
      <c r="C896" t="s">
        <v>1727</v>
      </c>
      <c r="D896" t="str">
        <f>INDEX('Customers (2)'!B:B,MATCH('Customers (2)'!A896,'Customers (2)'!A:A,0))</f>
        <v>Sharity Wickens</v>
      </c>
      <c r="E896" t="s">
        <v>35</v>
      </c>
      <c r="F896">
        <v>4</v>
      </c>
      <c r="G896">
        <f>INDEX([1]products!$A$1:$G$49,MATCH([1]orders!$D896,[1]products!$A$1:$A$49,0),MATCH([1]orders!K$1,[1]products!$A$1:$G$1,0))</f>
        <v>2.5</v>
      </c>
      <c r="H896">
        <f>INDEX([1]products!$A$1:$G$49,MATCH([1]orders!$D896,[1]products!$A$1:$A$49,0),MATCH([1]orders!L$1,[1]products!$A$1:$G$1,0))</f>
        <v>20.584999999999997</v>
      </c>
      <c r="I896">
        <f t="shared" si="13"/>
        <v>82.339999999999989</v>
      </c>
    </row>
    <row r="897" spans="1:9" x14ac:dyDescent="0.25">
      <c r="A897" t="s">
        <v>1728</v>
      </c>
      <c r="B897">
        <v>44521</v>
      </c>
      <c r="C897" t="s">
        <v>1729</v>
      </c>
      <c r="D897" t="str">
        <f>INDEX('Customers (2)'!B:B,MATCH('Customers (2)'!A897,'Customers (2)'!A:A,0))</f>
        <v>Derick Snow</v>
      </c>
      <c r="E897" t="s">
        <v>112</v>
      </c>
      <c r="F897">
        <v>5</v>
      </c>
      <c r="G897">
        <f>INDEX([1]products!$A$1:$G$49,MATCH([1]orders!$D897,[1]products!$A$1:$A$49,0),MATCH([1]orders!K$1,[1]products!$A$1:$G$1,0))</f>
        <v>2.5</v>
      </c>
      <c r="H897">
        <f>INDEX([1]products!$A$1:$G$49,MATCH([1]orders!$D897,[1]products!$A$1:$A$49,0),MATCH([1]orders!L$1,[1]products!$A$1:$G$1,0))</f>
        <v>31.624999999999996</v>
      </c>
      <c r="I897">
        <f t="shared" si="13"/>
        <v>158.12499999999997</v>
      </c>
    </row>
    <row r="898" spans="1:9" x14ac:dyDescent="0.25">
      <c r="A898" t="s">
        <v>1730</v>
      </c>
      <c r="B898">
        <v>44347</v>
      </c>
      <c r="C898" t="s">
        <v>1731</v>
      </c>
      <c r="D898" t="str">
        <f>INDEX('Customers (2)'!B:B,MATCH('Customers (2)'!A898,'Customers (2)'!A:A,0))</f>
        <v>Baxy Cargen</v>
      </c>
      <c r="E898" t="s">
        <v>146</v>
      </c>
      <c r="F898">
        <v>6</v>
      </c>
      <c r="G898">
        <f>INDEX([1]products!$A$1:$G$49,MATCH([1]orders!$D898,[1]products!$A$1:$A$49,0),MATCH([1]orders!K$1,[1]products!$A$1:$G$1,0))</f>
        <v>0.5</v>
      </c>
      <c r="H898">
        <f>INDEX([1]products!$A$1:$G$49,MATCH([1]orders!$D898,[1]products!$A$1:$A$49,0),MATCH([1]orders!L$1,[1]products!$A$1:$G$1,0))</f>
        <v>5.3699999999999992</v>
      </c>
      <c r="I898">
        <f t="shared" ref="I898:I961" si="14">F898*H898</f>
        <v>32.22</v>
      </c>
    </row>
    <row r="899" spans="1:9" x14ac:dyDescent="0.25">
      <c r="A899" t="s">
        <v>1732</v>
      </c>
      <c r="B899">
        <v>43932</v>
      </c>
      <c r="C899" t="s">
        <v>1733</v>
      </c>
      <c r="D899" t="str">
        <f>INDEX('Customers (2)'!B:B,MATCH('Customers (2)'!A899,'Customers (2)'!A:A,0))</f>
        <v>Ryann Stickler</v>
      </c>
      <c r="E899" t="s">
        <v>245</v>
      </c>
      <c r="F899">
        <v>2</v>
      </c>
      <c r="G899">
        <f>INDEX([1]products!$A$1:$G$49,MATCH([1]orders!$D899,[1]products!$A$1:$A$49,0),MATCH([1]orders!K$1,[1]products!$A$1:$G$1,0))</f>
        <v>1</v>
      </c>
      <c r="H899">
        <f>INDEX([1]products!$A$1:$G$49,MATCH([1]orders!$D899,[1]products!$A$1:$A$49,0),MATCH([1]orders!L$1,[1]products!$A$1:$G$1,0))</f>
        <v>12.15</v>
      </c>
      <c r="I899">
        <f t="shared" si="14"/>
        <v>24.3</v>
      </c>
    </row>
    <row r="900" spans="1:9" x14ac:dyDescent="0.25">
      <c r="A900" t="s">
        <v>1734</v>
      </c>
      <c r="B900">
        <v>44089</v>
      </c>
      <c r="C900" t="s">
        <v>1735</v>
      </c>
      <c r="D900" t="str">
        <f>INDEX('Customers (2)'!B:B,MATCH('Customers (2)'!A900,'Customers (2)'!A:A,0))</f>
        <v>Daryn Cassius</v>
      </c>
      <c r="E900" t="s">
        <v>157</v>
      </c>
      <c r="F900">
        <v>5</v>
      </c>
      <c r="G900">
        <f>INDEX([1]products!$A$1:$G$49,MATCH([1]orders!$D900,[1]products!$A$1:$A$49,0),MATCH([1]orders!K$1,[1]products!$A$1:$G$1,0))</f>
        <v>0.5</v>
      </c>
      <c r="H900">
        <f>INDEX([1]products!$A$1:$G$49,MATCH([1]orders!$D900,[1]products!$A$1:$A$49,0),MATCH([1]orders!L$1,[1]products!$A$1:$G$1,0))</f>
        <v>7.169999999999999</v>
      </c>
      <c r="I900">
        <f t="shared" si="14"/>
        <v>35.849999999999994</v>
      </c>
    </row>
    <row r="901" spans="1:9" x14ac:dyDescent="0.25">
      <c r="A901" t="s">
        <v>1736</v>
      </c>
      <c r="B901">
        <v>44523</v>
      </c>
      <c r="C901" t="s">
        <v>1729</v>
      </c>
      <c r="D901" t="str">
        <f>INDEX('Customers (2)'!B:B,MATCH('Customers (2)'!A901,'Customers (2)'!A:A,0))</f>
        <v>Bud Danett</v>
      </c>
      <c r="E901" t="s">
        <v>96</v>
      </c>
      <c r="F901">
        <v>5</v>
      </c>
      <c r="G901">
        <f>INDEX([1]products!$A$1:$G$49,MATCH([1]orders!$D901,[1]products!$A$1:$A$49,0),MATCH([1]orders!K$1,[1]products!$A$1:$G$1,0))</f>
        <v>1</v>
      </c>
      <c r="H901">
        <f>INDEX([1]products!$A$1:$G$49,MATCH([1]orders!$D901,[1]products!$A$1:$A$49,0),MATCH([1]orders!L$1,[1]products!$A$1:$G$1,0))</f>
        <v>14.55</v>
      </c>
      <c r="I901">
        <f t="shared" si="14"/>
        <v>72.75</v>
      </c>
    </row>
    <row r="902" spans="1:9" x14ac:dyDescent="0.25">
      <c r="A902" t="s">
        <v>1737</v>
      </c>
      <c r="B902">
        <v>44584</v>
      </c>
      <c r="C902" t="s">
        <v>1738</v>
      </c>
      <c r="D902" t="str">
        <f>INDEX('Customers (2)'!B:B,MATCH('Customers (2)'!A902,'Customers (2)'!A:A,0))</f>
        <v>Skelly Dolohunty</v>
      </c>
      <c r="E902" t="s">
        <v>132</v>
      </c>
      <c r="F902">
        <v>3</v>
      </c>
      <c r="G902">
        <f>INDEX([1]products!$A$1:$G$49,MATCH([1]orders!$D902,[1]products!$A$1:$A$49,0),MATCH([1]orders!K$1,[1]products!$A$1:$G$1,0))</f>
        <v>1</v>
      </c>
      <c r="H902">
        <f>INDEX([1]products!$A$1:$G$49,MATCH([1]orders!$D902,[1]products!$A$1:$A$49,0),MATCH([1]orders!L$1,[1]products!$A$1:$G$1,0))</f>
        <v>15.85</v>
      </c>
      <c r="I902">
        <f t="shared" si="14"/>
        <v>47.55</v>
      </c>
    </row>
    <row r="903" spans="1:9" x14ac:dyDescent="0.25">
      <c r="A903" t="s">
        <v>1739</v>
      </c>
      <c r="B903">
        <v>44223</v>
      </c>
      <c r="C903" t="s">
        <v>1740</v>
      </c>
      <c r="D903" t="str">
        <f>INDEX('Customers (2)'!B:B,MATCH('Customers (2)'!A903,'Customers (2)'!A:A,0))</f>
        <v>Drake Jevon</v>
      </c>
      <c r="E903" t="s">
        <v>182</v>
      </c>
      <c r="F903">
        <v>1</v>
      </c>
      <c r="G903">
        <f>INDEX([1]products!$A$1:$G$49,MATCH([1]orders!$D903,[1]products!$A$1:$A$49,0),MATCH([1]orders!K$1,[1]products!$A$1:$G$1,0))</f>
        <v>0.2</v>
      </c>
      <c r="H903">
        <f>INDEX([1]products!$A$1:$G$49,MATCH([1]orders!$D903,[1]products!$A$1:$A$49,0),MATCH([1]orders!L$1,[1]products!$A$1:$G$1,0))</f>
        <v>3.5849999999999995</v>
      </c>
      <c r="I903">
        <f t="shared" si="14"/>
        <v>3.5849999999999995</v>
      </c>
    </row>
    <row r="904" spans="1:9" x14ac:dyDescent="0.25">
      <c r="A904" t="s">
        <v>1741</v>
      </c>
      <c r="B904">
        <v>43640</v>
      </c>
      <c r="C904" t="s">
        <v>1742</v>
      </c>
      <c r="D904" t="str">
        <f>INDEX('Customers (2)'!B:B,MATCH('Customers (2)'!A904,'Customers (2)'!A:A,0))</f>
        <v>Hall Ranner</v>
      </c>
      <c r="E904" t="s">
        <v>112</v>
      </c>
      <c r="F904">
        <v>5</v>
      </c>
      <c r="G904">
        <f>INDEX([1]products!$A$1:$G$49,MATCH([1]orders!$D904,[1]products!$A$1:$A$49,0),MATCH([1]orders!K$1,[1]products!$A$1:$G$1,0))</f>
        <v>2.5</v>
      </c>
      <c r="H904">
        <f>INDEX([1]products!$A$1:$G$49,MATCH([1]orders!$D904,[1]products!$A$1:$A$49,0),MATCH([1]orders!L$1,[1]products!$A$1:$G$1,0))</f>
        <v>31.624999999999996</v>
      </c>
      <c r="I904">
        <f t="shared" si="14"/>
        <v>158.12499999999997</v>
      </c>
    </row>
    <row r="905" spans="1:9" x14ac:dyDescent="0.25">
      <c r="A905" t="s">
        <v>1743</v>
      </c>
      <c r="B905">
        <v>43905</v>
      </c>
      <c r="C905" t="s">
        <v>1744</v>
      </c>
      <c r="D905" t="str">
        <f>INDEX('Customers (2)'!B:B,MATCH('Customers (2)'!A905,'Customers (2)'!A:A,0))</f>
        <v>Berkly Imrie</v>
      </c>
      <c r="E905" t="s">
        <v>78</v>
      </c>
      <c r="F905">
        <v>2</v>
      </c>
      <c r="G905">
        <f>INDEX([1]products!$A$1:$G$49,MATCH([1]orders!$D905,[1]products!$A$1:$A$49,0),MATCH([1]orders!K$1,[1]products!$A$1:$G$1,0))</f>
        <v>0.5</v>
      </c>
      <c r="H905">
        <f>INDEX([1]products!$A$1:$G$49,MATCH([1]orders!$D905,[1]products!$A$1:$A$49,0),MATCH([1]orders!L$1,[1]products!$A$1:$G$1,0))</f>
        <v>8.73</v>
      </c>
      <c r="I905">
        <f t="shared" si="14"/>
        <v>17.46</v>
      </c>
    </row>
    <row r="906" spans="1:9" x14ac:dyDescent="0.25">
      <c r="A906" t="s">
        <v>1745</v>
      </c>
      <c r="B906">
        <v>44463</v>
      </c>
      <c r="C906" t="s">
        <v>1746</v>
      </c>
      <c r="D906" t="str">
        <f>INDEX('Customers (2)'!B:B,MATCH('Customers (2)'!A906,'Customers (2)'!A:A,0))</f>
        <v>Dorey Sopper</v>
      </c>
      <c r="E906" t="s">
        <v>204</v>
      </c>
      <c r="F906">
        <v>5</v>
      </c>
      <c r="G906">
        <f>INDEX([1]products!$A$1:$G$49,MATCH([1]orders!$D906,[1]products!$A$1:$A$49,0),MATCH([1]orders!K$1,[1]products!$A$1:$G$1,0))</f>
        <v>2.5</v>
      </c>
      <c r="H906">
        <f>INDEX([1]products!$A$1:$G$49,MATCH([1]orders!$D906,[1]products!$A$1:$A$49,0),MATCH([1]orders!L$1,[1]products!$A$1:$G$1,0))</f>
        <v>29.784999999999997</v>
      </c>
      <c r="I906">
        <f t="shared" si="14"/>
        <v>148.92499999999998</v>
      </c>
    </row>
    <row r="907" spans="1:9" x14ac:dyDescent="0.25">
      <c r="A907" t="s">
        <v>1747</v>
      </c>
      <c r="B907">
        <v>43560</v>
      </c>
      <c r="C907" t="s">
        <v>1748</v>
      </c>
      <c r="D907" t="str">
        <f>INDEX('Customers (2)'!B:B,MATCH('Customers (2)'!A907,'Customers (2)'!A:A,0))</f>
        <v>Darcy Lochran</v>
      </c>
      <c r="E907" t="s">
        <v>67</v>
      </c>
      <c r="F907">
        <v>6</v>
      </c>
      <c r="G907">
        <f>INDEX([1]products!$A$1:$G$49,MATCH([1]orders!$D907,[1]products!$A$1:$A$49,0),MATCH([1]orders!K$1,[1]products!$A$1:$G$1,0))</f>
        <v>0.5</v>
      </c>
      <c r="H907">
        <f>INDEX([1]products!$A$1:$G$49,MATCH([1]orders!$D907,[1]products!$A$1:$A$49,0),MATCH([1]orders!L$1,[1]products!$A$1:$G$1,0))</f>
        <v>6.75</v>
      </c>
      <c r="I907">
        <f t="shared" si="14"/>
        <v>40.5</v>
      </c>
    </row>
    <row r="908" spans="1:9" x14ac:dyDescent="0.25">
      <c r="A908" t="s">
        <v>1749</v>
      </c>
      <c r="B908">
        <v>44588</v>
      </c>
      <c r="C908" t="s">
        <v>1750</v>
      </c>
      <c r="D908" t="str">
        <f>INDEX('Customers (2)'!B:B,MATCH('Customers (2)'!A908,'Customers (2)'!A:A,0))</f>
        <v>Lauritz Ledgley</v>
      </c>
      <c r="E908" t="s">
        <v>67</v>
      </c>
      <c r="F908">
        <v>4</v>
      </c>
      <c r="G908">
        <f>INDEX([1]products!$A$1:$G$49,MATCH([1]orders!$D908,[1]products!$A$1:$A$49,0),MATCH([1]orders!K$1,[1]products!$A$1:$G$1,0))</f>
        <v>0.5</v>
      </c>
      <c r="H908">
        <f>INDEX([1]products!$A$1:$G$49,MATCH([1]orders!$D908,[1]products!$A$1:$A$49,0),MATCH([1]orders!L$1,[1]products!$A$1:$G$1,0))</f>
        <v>6.75</v>
      </c>
      <c r="I908">
        <f t="shared" si="14"/>
        <v>27</v>
      </c>
    </row>
    <row r="909" spans="1:9" x14ac:dyDescent="0.25">
      <c r="A909" t="s">
        <v>1751</v>
      </c>
      <c r="B909">
        <v>44449</v>
      </c>
      <c r="C909" t="s">
        <v>1752</v>
      </c>
      <c r="D909" t="str">
        <f>INDEX('Customers (2)'!B:B,MATCH('Customers (2)'!A909,'Customers (2)'!A:A,0))</f>
        <v>Tawnya Menary</v>
      </c>
      <c r="E909" t="s">
        <v>13</v>
      </c>
      <c r="F909">
        <v>3</v>
      </c>
      <c r="G909">
        <f>INDEX([1]products!$A$1:$G$49,MATCH([1]orders!$D909,[1]products!$A$1:$A$49,0),MATCH([1]orders!K$1,[1]products!$A$1:$G$1,0))</f>
        <v>1</v>
      </c>
      <c r="H909">
        <f>INDEX([1]products!$A$1:$G$49,MATCH([1]orders!$D909,[1]products!$A$1:$A$49,0),MATCH([1]orders!L$1,[1]products!$A$1:$G$1,0))</f>
        <v>12.95</v>
      </c>
      <c r="I909">
        <f t="shared" si="14"/>
        <v>38.849999999999994</v>
      </c>
    </row>
    <row r="910" spans="1:9" x14ac:dyDescent="0.25">
      <c r="A910" t="s">
        <v>1753</v>
      </c>
      <c r="B910">
        <v>43836</v>
      </c>
      <c r="C910" t="s">
        <v>1754</v>
      </c>
      <c r="D910" t="str">
        <f>INDEX('Customers (2)'!B:B,MATCH('Customers (2)'!A910,'Customers (2)'!A:A,0))</f>
        <v>Gustaf Ciccotti</v>
      </c>
      <c r="E910" t="s">
        <v>189</v>
      </c>
      <c r="F910">
        <v>5</v>
      </c>
      <c r="G910">
        <f>INDEX([1]products!$A$1:$G$49,MATCH([1]orders!$D910,[1]products!$A$1:$A$49,0),MATCH([1]orders!K$1,[1]products!$A$1:$G$1,0))</f>
        <v>1</v>
      </c>
      <c r="H910">
        <f>INDEX([1]products!$A$1:$G$49,MATCH([1]orders!$D910,[1]products!$A$1:$A$49,0),MATCH([1]orders!L$1,[1]products!$A$1:$G$1,0))</f>
        <v>11.95</v>
      </c>
      <c r="I910">
        <f t="shared" si="14"/>
        <v>59.75</v>
      </c>
    </row>
    <row r="911" spans="1:9" x14ac:dyDescent="0.25">
      <c r="A911" t="s">
        <v>1755</v>
      </c>
      <c r="B911">
        <v>44635</v>
      </c>
      <c r="C911" t="s">
        <v>1756</v>
      </c>
      <c r="D911" t="str">
        <f>INDEX('Customers (2)'!B:B,MATCH('Customers (2)'!A911,'Customers (2)'!A:A,0))</f>
        <v>Bobbe Renner</v>
      </c>
      <c r="E911" t="s">
        <v>182</v>
      </c>
      <c r="F911">
        <v>3</v>
      </c>
      <c r="G911">
        <f>INDEX([1]products!$A$1:$G$49,MATCH([1]orders!$D911,[1]products!$A$1:$A$49,0),MATCH([1]orders!K$1,[1]products!$A$1:$G$1,0))</f>
        <v>0.2</v>
      </c>
      <c r="H911">
        <f>INDEX([1]products!$A$1:$G$49,MATCH([1]orders!$D911,[1]products!$A$1:$A$49,0),MATCH([1]orders!L$1,[1]products!$A$1:$G$1,0))</f>
        <v>3.5849999999999995</v>
      </c>
      <c r="I911">
        <f t="shared" si="14"/>
        <v>10.754999999999999</v>
      </c>
    </row>
    <row r="912" spans="1:9" x14ac:dyDescent="0.25">
      <c r="A912" t="s">
        <v>1757</v>
      </c>
      <c r="B912">
        <v>44447</v>
      </c>
      <c r="C912" t="s">
        <v>1758</v>
      </c>
      <c r="D912" t="str">
        <f>INDEX('Customers (2)'!B:B,MATCH('Customers (2)'!A912,'Customers (2)'!A:A,0))</f>
        <v>Wilton Jallin</v>
      </c>
      <c r="E912" t="s">
        <v>118</v>
      </c>
      <c r="F912">
        <v>4</v>
      </c>
      <c r="G912">
        <f>INDEX([1]products!$A$1:$G$49,MATCH([1]orders!$D912,[1]products!$A$1:$A$49,0),MATCH([1]orders!K$1,[1]products!$A$1:$G$1,0))</f>
        <v>2.5</v>
      </c>
      <c r="H912">
        <f>INDEX([1]products!$A$1:$G$49,MATCH([1]orders!$D912,[1]products!$A$1:$A$49,0),MATCH([1]orders!L$1,[1]products!$A$1:$G$1,0))</f>
        <v>22.884999999999998</v>
      </c>
      <c r="I912">
        <f t="shared" si="14"/>
        <v>91.539999999999992</v>
      </c>
    </row>
    <row r="913" spans="1:9" x14ac:dyDescent="0.25">
      <c r="A913" t="s">
        <v>1759</v>
      </c>
      <c r="B913">
        <v>44511</v>
      </c>
      <c r="C913" t="s">
        <v>1760</v>
      </c>
      <c r="D913" t="str">
        <f>INDEX('Customers (2)'!B:B,MATCH('Customers (2)'!A913,'Customers (2)'!A:A,0))</f>
        <v>Mindy Bogey</v>
      </c>
      <c r="E913" t="s">
        <v>61</v>
      </c>
      <c r="F913">
        <v>4</v>
      </c>
      <c r="G913">
        <f>INDEX([1]products!$A$1:$G$49,MATCH([1]orders!$D913,[1]products!$A$1:$A$49,0),MATCH([1]orders!K$1,[1]products!$A$1:$G$1,0))</f>
        <v>1</v>
      </c>
      <c r="H913">
        <f>INDEX([1]products!$A$1:$G$49,MATCH([1]orders!$D913,[1]products!$A$1:$A$49,0),MATCH([1]orders!L$1,[1]products!$A$1:$G$1,0))</f>
        <v>11.25</v>
      </c>
      <c r="I913">
        <f t="shared" si="14"/>
        <v>45</v>
      </c>
    </row>
    <row r="914" spans="1:9" x14ac:dyDescent="0.25">
      <c r="A914" t="s">
        <v>1761</v>
      </c>
      <c r="B914">
        <v>43726</v>
      </c>
      <c r="C914" t="s">
        <v>1762</v>
      </c>
      <c r="D914" t="str">
        <f>INDEX('Customers (2)'!B:B,MATCH('Customers (2)'!A914,'Customers (2)'!A:A,0))</f>
        <v>Paulie Fonzone</v>
      </c>
      <c r="E914" t="s">
        <v>41</v>
      </c>
      <c r="F914">
        <v>6</v>
      </c>
      <c r="G914">
        <f>INDEX([1]products!$A$1:$G$49,MATCH([1]orders!$D914,[1]products!$A$1:$A$49,0),MATCH([1]orders!K$1,[1]products!$A$1:$G$1,0))</f>
        <v>2.5</v>
      </c>
      <c r="H914">
        <f>INDEX([1]products!$A$1:$G$49,MATCH([1]orders!$D914,[1]products!$A$1:$A$49,0),MATCH([1]orders!L$1,[1]products!$A$1:$G$1,0))</f>
        <v>22.884999999999998</v>
      </c>
      <c r="I914">
        <f t="shared" si="14"/>
        <v>137.31</v>
      </c>
    </row>
    <row r="915" spans="1:9" x14ac:dyDescent="0.25">
      <c r="A915" t="s">
        <v>1763</v>
      </c>
      <c r="B915">
        <v>44406</v>
      </c>
      <c r="C915" t="s">
        <v>1764</v>
      </c>
      <c r="D915" t="str">
        <f>INDEX('Customers (2)'!B:B,MATCH('Customers (2)'!A915,'Customers (2)'!A:A,0))</f>
        <v>Merrile Cobbledick</v>
      </c>
      <c r="E915" t="s">
        <v>67</v>
      </c>
      <c r="F915">
        <v>1</v>
      </c>
      <c r="G915">
        <f>INDEX([1]products!$A$1:$G$49,MATCH([1]orders!$D915,[1]products!$A$1:$A$49,0),MATCH([1]orders!K$1,[1]products!$A$1:$G$1,0))</f>
        <v>0.5</v>
      </c>
      <c r="H915">
        <f>INDEX([1]products!$A$1:$G$49,MATCH([1]orders!$D915,[1]products!$A$1:$A$49,0),MATCH([1]orders!L$1,[1]products!$A$1:$G$1,0))</f>
        <v>6.75</v>
      </c>
      <c r="I915">
        <f t="shared" si="14"/>
        <v>6.75</v>
      </c>
    </row>
    <row r="916" spans="1:9" x14ac:dyDescent="0.25">
      <c r="A916" t="s">
        <v>1765</v>
      </c>
      <c r="B916">
        <v>44640</v>
      </c>
      <c r="C916" t="s">
        <v>1766</v>
      </c>
      <c r="D916" t="str">
        <f>INDEX('Customers (2)'!B:B,MATCH('Customers (2)'!A916,'Customers (2)'!A:A,0))</f>
        <v>Antonius Lewry</v>
      </c>
      <c r="E916" t="s">
        <v>61</v>
      </c>
      <c r="F916">
        <v>4</v>
      </c>
      <c r="G916">
        <f>INDEX([1]products!$A$1:$G$49,MATCH([1]orders!$D916,[1]products!$A$1:$A$49,0),MATCH([1]orders!K$1,[1]products!$A$1:$G$1,0))</f>
        <v>1</v>
      </c>
      <c r="H916">
        <f>INDEX([1]products!$A$1:$G$49,MATCH([1]orders!$D916,[1]products!$A$1:$A$49,0),MATCH([1]orders!L$1,[1]products!$A$1:$G$1,0))</f>
        <v>11.25</v>
      </c>
      <c r="I916">
        <f t="shared" si="14"/>
        <v>45</v>
      </c>
    </row>
    <row r="917" spans="1:9" x14ac:dyDescent="0.25">
      <c r="A917" t="s">
        <v>1767</v>
      </c>
      <c r="B917">
        <v>43955</v>
      </c>
      <c r="C917" t="s">
        <v>1768</v>
      </c>
      <c r="D917" t="str">
        <f>INDEX('Customers (2)'!B:B,MATCH('Customers (2)'!A917,'Customers (2)'!A:A,0))</f>
        <v>Isis Hessel</v>
      </c>
      <c r="E917" t="s">
        <v>530</v>
      </c>
      <c r="F917">
        <v>3</v>
      </c>
      <c r="G917">
        <f>INDEX([1]products!$A$1:$G$49,MATCH([1]orders!$D917,[1]products!$A$1:$A$49,0),MATCH([1]orders!K$1,[1]products!$A$1:$G$1,0))</f>
        <v>2.5</v>
      </c>
      <c r="H917">
        <f>INDEX([1]products!$A$1:$G$49,MATCH([1]orders!$D917,[1]products!$A$1:$A$49,0),MATCH([1]orders!L$1,[1]products!$A$1:$G$1,0))</f>
        <v>27.945</v>
      </c>
      <c r="I917">
        <f t="shared" si="14"/>
        <v>83.835000000000008</v>
      </c>
    </row>
    <row r="918" spans="1:9" x14ac:dyDescent="0.25">
      <c r="A918" t="s">
        <v>1769</v>
      </c>
      <c r="B918">
        <v>44291</v>
      </c>
      <c r="C918" t="s">
        <v>1770</v>
      </c>
      <c r="D918" t="str">
        <f>INDEX('Customers (2)'!B:B,MATCH('Customers (2)'!A918,'Customers (2)'!A:A,0))</f>
        <v>Harland Trematick</v>
      </c>
      <c r="E918" t="s">
        <v>51</v>
      </c>
      <c r="F918">
        <v>1</v>
      </c>
      <c r="G918">
        <f>INDEX([1]products!$A$1:$G$49,MATCH([1]orders!$D918,[1]products!$A$1:$A$49,0),MATCH([1]orders!K$1,[1]products!$A$1:$G$1,0))</f>
        <v>0.2</v>
      </c>
      <c r="H918">
        <f>INDEX([1]products!$A$1:$G$49,MATCH([1]orders!$D918,[1]products!$A$1:$A$49,0),MATCH([1]orders!L$1,[1]products!$A$1:$G$1,0))</f>
        <v>3.645</v>
      </c>
      <c r="I918">
        <f t="shared" si="14"/>
        <v>3.645</v>
      </c>
    </row>
    <row r="919" spans="1:9" x14ac:dyDescent="0.25">
      <c r="A919" t="s">
        <v>1771</v>
      </c>
      <c r="B919">
        <v>44573</v>
      </c>
      <c r="C919" t="s">
        <v>1772</v>
      </c>
      <c r="D919" t="str">
        <f>INDEX('Customers (2)'!B:B,MATCH('Customers (2)'!A919,'Customers (2)'!A:A,0))</f>
        <v>Chloris Sorrell</v>
      </c>
      <c r="E919" t="s">
        <v>67</v>
      </c>
      <c r="F919">
        <v>1</v>
      </c>
      <c r="G919">
        <f>INDEX([1]products!$A$1:$G$49,MATCH([1]orders!$D919,[1]products!$A$1:$A$49,0),MATCH([1]orders!K$1,[1]products!$A$1:$G$1,0))</f>
        <v>0.5</v>
      </c>
      <c r="H919">
        <f>INDEX([1]products!$A$1:$G$49,MATCH([1]orders!$D919,[1]products!$A$1:$A$49,0),MATCH([1]orders!L$1,[1]products!$A$1:$G$1,0))</f>
        <v>6.75</v>
      </c>
      <c r="I919">
        <f t="shared" si="14"/>
        <v>6.75</v>
      </c>
    </row>
    <row r="920" spans="1:9" x14ac:dyDescent="0.25">
      <c r="A920" t="s">
        <v>1771</v>
      </c>
      <c r="B920">
        <v>44573</v>
      </c>
      <c r="C920" t="s">
        <v>1772</v>
      </c>
      <c r="D920" t="str">
        <f>INDEX('Customers (2)'!B:B,MATCH('Customers (2)'!A920,'Customers (2)'!A:A,0))</f>
        <v>Odette Tocque</v>
      </c>
      <c r="E920" t="s">
        <v>16</v>
      </c>
      <c r="F920">
        <v>3</v>
      </c>
      <c r="G920">
        <f>INDEX([1]products!$A$1:$G$49,MATCH([1]orders!$D920,[1]products!$A$1:$A$49,0),MATCH([1]orders!K$1,[1]products!$A$1:$G$1,0))</f>
        <v>0.5</v>
      </c>
      <c r="H920">
        <f>INDEX([1]products!$A$1:$G$49,MATCH([1]orders!$D920,[1]products!$A$1:$A$49,0),MATCH([1]orders!L$1,[1]products!$A$1:$G$1,0))</f>
        <v>7.29</v>
      </c>
      <c r="I920">
        <f t="shared" si="14"/>
        <v>21.87</v>
      </c>
    </row>
    <row r="921" spans="1:9" x14ac:dyDescent="0.25">
      <c r="A921" t="s">
        <v>1773</v>
      </c>
      <c r="B921">
        <v>44181</v>
      </c>
      <c r="C921" t="s">
        <v>1774</v>
      </c>
      <c r="D921" t="str">
        <f>INDEX('Customers (2)'!B:B,MATCH('Customers (2)'!A921,'Customers (2)'!A:A,0))</f>
        <v>Quintina Heavyside</v>
      </c>
      <c r="E921" t="s">
        <v>101</v>
      </c>
      <c r="F921">
        <v>5</v>
      </c>
      <c r="G921">
        <f>INDEX([1]products!$A$1:$G$49,MATCH([1]orders!$D921,[1]products!$A$1:$A$49,0),MATCH([1]orders!K$1,[1]products!$A$1:$G$1,0))</f>
        <v>0.2</v>
      </c>
      <c r="H921">
        <f>INDEX([1]products!$A$1:$G$49,MATCH([1]orders!$D921,[1]products!$A$1:$A$49,0),MATCH([1]orders!L$1,[1]products!$A$1:$G$1,0))</f>
        <v>2.6849999999999996</v>
      </c>
      <c r="I921">
        <f t="shared" si="14"/>
        <v>13.424999999999997</v>
      </c>
    </row>
    <row r="922" spans="1:9" x14ac:dyDescent="0.25">
      <c r="A922" t="s">
        <v>1775</v>
      </c>
      <c r="B922">
        <v>44711</v>
      </c>
      <c r="C922" t="s">
        <v>1776</v>
      </c>
      <c r="D922" t="str">
        <f>INDEX('Customers (2)'!B:B,MATCH('Customers (2)'!A922,'Customers (2)'!A:A,0))</f>
        <v>Hadley Reuven</v>
      </c>
      <c r="E922" t="s">
        <v>35</v>
      </c>
      <c r="F922">
        <v>6</v>
      </c>
      <c r="G922">
        <f>INDEX([1]products!$A$1:$G$49,MATCH([1]orders!$D922,[1]products!$A$1:$A$49,0),MATCH([1]orders!K$1,[1]products!$A$1:$G$1,0))</f>
        <v>2.5</v>
      </c>
      <c r="H922">
        <f>INDEX([1]products!$A$1:$G$49,MATCH([1]orders!$D922,[1]products!$A$1:$A$49,0),MATCH([1]orders!L$1,[1]products!$A$1:$G$1,0))</f>
        <v>20.584999999999997</v>
      </c>
      <c r="I922">
        <f t="shared" si="14"/>
        <v>123.50999999999999</v>
      </c>
    </row>
    <row r="923" spans="1:9" x14ac:dyDescent="0.25">
      <c r="A923" t="s">
        <v>1777</v>
      </c>
      <c r="B923">
        <v>44509</v>
      </c>
      <c r="C923" t="s">
        <v>1778</v>
      </c>
      <c r="D923" t="str">
        <f>INDEX('Customers (2)'!B:B,MATCH('Customers (2)'!A923,'Customers (2)'!A:A,0))</f>
        <v>Mitch Attwool</v>
      </c>
      <c r="E923" t="s">
        <v>38</v>
      </c>
      <c r="F923">
        <v>2</v>
      </c>
      <c r="G923">
        <f>INDEX([1]products!$A$1:$G$49,MATCH([1]orders!$D923,[1]products!$A$1:$A$49,0),MATCH([1]orders!K$1,[1]products!$A$1:$G$1,0))</f>
        <v>0.2</v>
      </c>
      <c r="H923">
        <f>INDEX([1]products!$A$1:$G$49,MATCH([1]orders!$D923,[1]products!$A$1:$A$49,0),MATCH([1]orders!L$1,[1]products!$A$1:$G$1,0))</f>
        <v>3.8849999999999998</v>
      </c>
      <c r="I923">
        <f t="shared" si="14"/>
        <v>7.77</v>
      </c>
    </row>
    <row r="924" spans="1:9" x14ac:dyDescent="0.25">
      <c r="A924" t="s">
        <v>1779</v>
      </c>
      <c r="B924">
        <v>44659</v>
      </c>
      <c r="C924" t="s">
        <v>1780</v>
      </c>
      <c r="D924" t="str">
        <f>INDEX('Customers (2)'!B:B,MATCH('Customers (2)'!A924,'Customers (2)'!A:A,0))</f>
        <v>Charin Maplethorp</v>
      </c>
      <c r="E924" t="s">
        <v>61</v>
      </c>
      <c r="F924">
        <v>6</v>
      </c>
      <c r="G924">
        <f>INDEX([1]products!$A$1:$G$49,MATCH([1]orders!$D924,[1]products!$A$1:$A$49,0),MATCH([1]orders!K$1,[1]products!$A$1:$G$1,0))</f>
        <v>1</v>
      </c>
      <c r="H924">
        <f>INDEX([1]products!$A$1:$G$49,MATCH([1]orders!$D924,[1]products!$A$1:$A$49,0),MATCH([1]orders!L$1,[1]products!$A$1:$G$1,0))</f>
        <v>11.25</v>
      </c>
      <c r="I924">
        <f t="shared" si="14"/>
        <v>67.5</v>
      </c>
    </row>
    <row r="925" spans="1:9" x14ac:dyDescent="0.25">
      <c r="A925" t="s">
        <v>1781</v>
      </c>
      <c r="B925">
        <v>43746</v>
      </c>
      <c r="C925" t="s">
        <v>1782</v>
      </c>
      <c r="D925" t="str">
        <f>INDEX('Customers (2)'!B:B,MATCH('Customers (2)'!A925,'Customers (2)'!A:A,0))</f>
        <v>Goldie Wynes</v>
      </c>
      <c r="E925" t="s">
        <v>530</v>
      </c>
      <c r="F925">
        <v>1</v>
      </c>
      <c r="G925">
        <f>INDEX([1]products!$A$1:$G$49,MATCH([1]orders!$D925,[1]products!$A$1:$A$49,0),MATCH([1]orders!K$1,[1]products!$A$1:$G$1,0))</f>
        <v>2.5</v>
      </c>
      <c r="H925">
        <f>INDEX([1]products!$A$1:$G$49,MATCH([1]orders!$D925,[1]products!$A$1:$A$49,0),MATCH([1]orders!L$1,[1]products!$A$1:$G$1,0))</f>
        <v>27.945</v>
      </c>
      <c r="I925">
        <f t="shared" si="14"/>
        <v>27.945</v>
      </c>
    </row>
    <row r="926" spans="1:9" x14ac:dyDescent="0.25">
      <c r="A926" t="s">
        <v>1783</v>
      </c>
      <c r="B926">
        <v>44451</v>
      </c>
      <c r="C926" t="s">
        <v>1784</v>
      </c>
      <c r="D926" t="str">
        <f>INDEX('Customers (2)'!B:B,MATCH('Customers (2)'!A926,'Customers (2)'!A:A,0))</f>
        <v>Celie MacCourt</v>
      </c>
      <c r="E926" t="s">
        <v>204</v>
      </c>
      <c r="F926">
        <v>3</v>
      </c>
      <c r="G926">
        <f>INDEX([1]products!$A$1:$G$49,MATCH([1]orders!$D926,[1]products!$A$1:$A$49,0),MATCH([1]orders!K$1,[1]products!$A$1:$G$1,0))</f>
        <v>2.5</v>
      </c>
      <c r="H926">
        <f>INDEX([1]products!$A$1:$G$49,MATCH([1]orders!$D926,[1]products!$A$1:$A$49,0),MATCH([1]orders!L$1,[1]products!$A$1:$G$1,0))</f>
        <v>29.784999999999997</v>
      </c>
      <c r="I926">
        <f t="shared" si="14"/>
        <v>89.35499999999999</v>
      </c>
    </row>
    <row r="927" spans="1:9" x14ac:dyDescent="0.25">
      <c r="A927" t="s">
        <v>1785</v>
      </c>
      <c r="B927">
        <v>44770</v>
      </c>
      <c r="C927" t="s">
        <v>1729</v>
      </c>
      <c r="D927" t="str">
        <f>INDEX('Customers (2)'!B:B,MATCH('Customers (2)'!A927,'Customers (2)'!A:A,0))</f>
        <v>Rori Ollin</v>
      </c>
      <c r="E927" t="s">
        <v>67</v>
      </c>
      <c r="F927">
        <v>3</v>
      </c>
      <c r="G927">
        <f>INDEX([1]products!$A$1:$G$49,MATCH([1]orders!$D927,[1]products!$A$1:$A$49,0),MATCH([1]orders!K$1,[1]products!$A$1:$G$1,0))</f>
        <v>0.5</v>
      </c>
      <c r="H927">
        <f>INDEX([1]products!$A$1:$G$49,MATCH([1]orders!$D927,[1]products!$A$1:$A$49,0),MATCH([1]orders!L$1,[1]products!$A$1:$G$1,0))</f>
        <v>6.75</v>
      </c>
      <c r="I927">
        <f t="shared" si="14"/>
        <v>20.25</v>
      </c>
    </row>
    <row r="928" spans="1:9" x14ac:dyDescent="0.25">
      <c r="A928" t="s">
        <v>1786</v>
      </c>
      <c r="B928">
        <v>44012</v>
      </c>
      <c r="C928" t="s">
        <v>1787</v>
      </c>
      <c r="D928" t="str">
        <f>INDEX('Customers (2)'!B:B,MATCH('Customers (2)'!A928,'Customers (2)'!A:A,0))</f>
        <v>Evy Wilsone</v>
      </c>
      <c r="E928" t="s">
        <v>67</v>
      </c>
      <c r="F928">
        <v>5</v>
      </c>
      <c r="G928">
        <f>INDEX([1]products!$A$1:$G$49,MATCH([1]orders!$D928,[1]products!$A$1:$A$49,0),MATCH([1]orders!K$1,[1]products!$A$1:$G$1,0))</f>
        <v>0.5</v>
      </c>
      <c r="H928">
        <f>INDEX([1]products!$A$1:$G$49,MATCH([1]orders!$D928,[1]products!$A$1:$A$49,0),MATCH([1]orders!L$1,[1]products!$A$1:$G$1,0))</f>
        <v>6.75</v>
      </c>
      <c r="I928">
        <f t="shared" si="14"/>
        <v>33.75</v>
      </c>
    </row>
    <row r="929" spans="1:9" x14ac:dyDescent="0.25">
      <c r="A929" t="s">
        <v>1788</v>
      </c>
      <c r="B929">
        <v>43474</v>
      </c>
      <c r="C929" t="s">
        <v>1789</v>
      </c>
      <c r="D929" t="str">
        <f>INDEX('Customers (2)'!B:B,MATCH('Customers (2)'!A929,'Customers (2)'!A:A,0))</f>
        <v>Dolores Duffie</v>
      </c>
      <c r="E929" t="s">
        <v>530</v>
      </c>
      <c r="F929">
        <v>4</v>
      </c>
      <c r="G929">
        <f>INDEX([1]products!$A$1:$G$49,MATCH([1]orders!$D929,[1]products!$A$1:$A$49,0),MATCH([1]orders!K$1,[1]products!$A$1:$G$1,0))</f>
        <v>2.5</v>
      </c>
      <c r="H929">
        <f>INDEX([1]products!$A$1:$G$49,MATCH([1]orders!$D929,[1]products!$A$1:$A$49,0),MATCH([1]orders!L$1,[1]products!$A$1:$G$1,0))</f>
        <v>27.945</v>
      </c>
      <c r="I929">
        <f t="shared" si="14"/>
        <v>111.78</v>
      </c>
    </row>
    <row r="930" spans="1:9" x14ac:dyDescent="0.25">
      <c r="A930" t="s">
        <v>1790</v>
      </c>
      <c r="B930">
        <v>44754</v>
      </c>
      <c r="C930" t="s">
        <v>1791</v>
      </c>
      <c r="D930" t="str">
        <f>INDEX('Customers (2)'!B:B,MATCH('Customers (2)'!A930,'Customers (2)'!A:A,0))</f>
        <v>Mathilda Matiasek</v>
      </c>
      <c r="E930" t="s">
        <v>112</v>
      </c>
      <c r="F930">
        <v>2</v>
      </c>
      <c r="G930">
        <f>INDEX([1]products!$A$1:$G$49,MATCH([1]orders!$D930,[1]products!$A$1:$A$49,0),MATCH([1]orders!K$1,[1]products!$A$1:$G$1,0))</f>
        <v>2.5</v>
      </c>
      <c r="H930">
        <f>INDEX([1]products!$A$1:$G$49,MATCH([1]orders!$D930,[1]products!$A$1:$A$49,0),MATCH([1]orders!L$1,[1]products!$A$1:$G$1,0))</f>
        <v>31.624999999999996</v>
      </c>
      <c r="I930">
        <f t="shared" si="14"/>
        <v>63.249999999999993</v>
      </c>
    </row>
    <row r="931" spans="1:9" x14ac:dyDescent="0.25">
      <c r="A931" t="s">
        <v>1792</v>
      </c>
      <c r="B931">
        <v>44165</v>
      </c>
      <c r="C931" t="s">
        <v>1793</v>
      </c>
      <c r="D931" t="str">
        <f>INDEX('Customers (2)'!B:B,MATCH('Customers (2)'!A931,'Customers (2)'!A:A,0))</f>
        <v>Jarred Camillo</v>
      </c>
      <c r="E931" t="s">
        <v>254</v>
      </c>
      <c r="F931">
        <v>2</v>
      </c>
      <c r="G931">
        <f>INDEX([1]products!$A$1:$G$49,MATCH([1]orders!$D931,[1]products!$A$1:$A$49,0),MATCH([1]orders!K$1,[1]products!$A$1:$G$1,0))</f>
        <v>0.2</v>
      </c>
      <c r="H931">
        <f>INDEX([1]products!$A$1:$G$49,MATCH([1]orders!$D931,[1]products!$A$1:$A$49,0),MATCH([1]orders!L$1,[1]products!$A$1:$G$1,0))</f>
        <v>4.4550000000000001</v>
      </c>
      <c r="I931">
        <f t="shared" si="14"/>
        <v>8.91</v>
      </c>
    </row>
    <row r="932" spans="1:9" x14ac:dyDescent="0.25">
      <c r="A932" t="s">
        <v>1794</v>
      </c>
      <c r="B932">
        <v>43546</v>
      </c>
      <c r="C932" t="s">
        <v>1795</v>
      </c>
      <c r="D932" t="str">
        <f>INDEX('Customers (2)'!B:B,MATCH('Customers (2)'!A932,'Customers (2)'!A:A,0))</f>
        <v>Kameko Philbrick</v>
      </c>
      <c r="E932" t="s">
        <v>245</v>
      </c>
      <c r="F932">
        <v>1</v>
      </c>
      <c r="G932">
        <f>INDEX([1]products!$A$1:$G$49,MATCH([1]orders!$D932,[1]products!$A$1:$A$49,0),MATCH([1]orders!K$1,[1]products!$A$1:$G$1,0))</f>
        <v>1</v>
      </c>
      <c r="H932">
        <f>INDEX([1]products!$A$1:$G$49,MATCH([1]orders!$D932,[1]products!$A$1:$A$49,0),MATCH([1]orders!L$1,[1]products!$A$1:$G$1,0))</f>
        <v>12.15</v>
      </c>
      <c r="I932">
        <f t="shared" si="14"/>
        <v>12.15</v>
      </c>
    </row>
    <row r="933" spans="1:9" x14ac:dyDescent="0.25">
      <c r="A933" t="s">
        <v>1796</v>
      </c>
      <c r="B933">
        <v>44607</v>
      </c>
      <c r="C933" t="s">
        <v>1797</v>
      </c>
      <c r="D933" t="str">
        <f>INDEX('Customers (2)'!B:B,MATCH('Customers (2)'!A933,'Customers (2)'!A:A,0))</f>
        <v>Mallory Shrimpling</v>
      </c>
      <c r="E933" t="s">
        <v>72</v>
      </c>
      <c r="F933">
        <v>4</v>
      </c>
      <c r="G933">
        <f>INDEX([1]products!$A$1:$G$49,MATCH([1]orders!$D933,[1]products!$A$1:$A$49,0),MATCH([1]orders!K$1,[1]products!$A$1:$G$1,0))</f>
        <v>0.5</v>
      </c>
      <c r="H933">
        <f>INDEX([1]products!$A$1:$G$49,MATCH([1]orders!$D933,[1]products!$A$1:$A$49,0),MATCH([1]orders!L$1,[1]products!$A$1:$G$1,0))</f>
        <v>5.97</v>
      </c>
      <c r="I933">
        <f t="shared" si="14"/>
        <v>23.88</v>
      </c>
    </row>
    <row r="934" spans="1:9" x14ac:dyDescent="0.25">
      <c r="A934" t="s">
        <v>1798</v>
      </c>
      <c r="B934">
        <v>44117</v>
      </c>
      <c r="C934" t="s">
        <v>1799</v>
      </c>
      <c r="D934" t="str">
        <f>INDEX('Customers (2)'!B:B,MATCH('Customers (2)'!A934,'Customers (2)'!A:A,0))</f>
        <v>Barnett Sillis</v>
      </c>
      <c r="E934" t="s">
        <v>9</v>
      </c>
      <c r="F934">
        <v>4</v>
      </c>
      <c r="G934">
        <f>INDEX([1]products!$A$1:$G$49,MATCH([1]orders!$D934,[1]products!$A$1:$A$49,0),MATCH([1]orders!K$1,[1]products!$A$1:$G$1,0))</f>
        <v>1</v>
      </c>
      <c r="H934">
        <f>INDEX([1]products!$A$1:$G$49,MATCH([1]orders!$D934,[1]products!$A$1:$A$49,0),MATCH([1]orders!L$1,[1]products!$A$1:$G$1,0))</f>
        <v>13.75</v>
      </c>
      <c r="I934">
        <f t="shared" si="14"/>
        <v>55</v>
      </c>
    </row>
    <row r="935" spans="1:9" x14ac:dyDescent="0.25">
      <c r="A935" t="s">
        <v>1800</v>
      </c>
      <c r="B935">
        <v>44557</v>
      </c>
      <c r="C935" t="s">
        <v>1801</v>
      </c>
      <c r="D935" t="str">
        <f>INDEX('Customers (2)'!B:B,MATCH('Customers (2)'!A935,'Customers (2)'!A:A,0))</f>
        <v>Brenn Dundredge</v>
      </c>
      <c r="E935" t="s">
        <v>179</v>
      </c>
      <c r="F935">
        <v>3</v>
      </c>
      <c r="G935">
        <f>INDEX([1]products!$A$1:$G$49,MATCH([1]orders!$D935,[1]products!$A$1:$A$49,0),MATCH([1]orders!K$1,[1]products!$A$1:$G$1,0))</f>
        <v>1</v>
      </c>
      <c r="H935">
        <f>INDEX([1]products!$A$1:$G$49,MATCH([1]orders!$D935,[1]products!$A$1:$A$49,0),MATCH([1]orders!L$1,[1]products!$A$1:$G$1,0))</f>
        <v>8.9499999999999993</v>
      </c>
      <c r="I935">
        <f t="shared" si="14"/>
        <v>26.849999999999998</v>
      </c>
    </row>
    <row r="936" spans="1:9" x14ac:dyDescent="0.25">
      <c r="A936" t="s">
        <v>1802</v>
      </c>
      <c r="B936">
        <v>44409</v>
      </c>
      <c r="C936" t="s">
        <v>1803</v>
      </c>
      <c r="D936" t="str">
        <f>INDEX('Customers (2)'!B:B,MATCH('Customers (2)'!A936,'Customers (2)'!A:A,0))</f>
        <v>Read Cutts</v>
      </c>
      <c r="E936" t="s">
        <v>41</v>
      </c>
      <c r="F936">
        <v>5</v>
      </c>
      <c r="G936">
        <f>INDEX([1]products!$A$1:$G$49,MATCH([1]orders!$D936,[1]products!$A$1:$A$49,0),MATCH([1]orders!K$1,[1]products!$A$1:$G$1,0))</f>
        <v>2.5</v>
      </c>
      <c r="H936">
        <f>INDEX([1]products!$A$1:$G$49,MATCH([1]orders!$D936,[1]products!$A$1:$A$49,0),MATCH([1]orders!L$1,[1]products!$A$1:$G$1,0))</f>
        <v>22.884999999999998</v>
      </c>
      <c r="I936">
        <f t="shared" si="14"/>
        <v>114.42499999999998</v>
      </c>
    </row>
    <row r="937" spans="1:9" x14ac:dyDescent="0.25">
      <c r="A937" t="s">
        <v>1804</v>
      </c>
      <c r="B937">
        <v>44153</v>
      </c>
      <c r="C937" t="s">
        <v>1805</v>
      </c>
      <c r="D937" t="str">
        <f>INDEX('Customers (2)'!B:B,MATCH('Customers (2)'!A937,'Customers (2)'!A:A,0))</f>
        <v>Michale Delves</v>
      </c>
      <c r="E937" t="s">
        <v>171</v>
      </c>
      <c r="F937">
        <v>6</v>
      </c>
      <c r="G937">
        <f>INDEX([1]products!$A$1:$G$49,MATCH([1]orders!$D937,[1]products!$A$1:$A$49,0),MATCH([1]orders!K$1,[1]products!$A$1:$G$1,0))</f>
        <v>2.5</v>
      </c>
      <c r="H937">
        <f>INDEX([1]products!$A$1:$G$49,MATCH([1]orders!$D937,[1]products!$A$1:$A$49,0),MATCH([1]orders!L$1,[1]products!$A$1:$G$1,0))</f>
        <v>25.874999999999996</v>
      </c>
      <c r="I937">
        <f t="shared" si="14"/>
        <v>155.24999999999997</v>
      </c>
    </row>
    <row r="938" spans="1:9" x14ac:dyDescent="0.25">
      <c r="A938" t="s">
        <v>1806</v>
      </c>
      <c r="B938">
        <v>44493</v>
      </c>
      <c r="C938" t="s">
        <v>1807</v>
      </c>
      <c r="D938" t="str">
        <f>INDEX('Customers (2)'!B:B,MATCH('Customers (2)'!A938,'Customers (2)'!A:A,0))</f>
        <v>Devland Gritton</v>
      </c>
      <c r="E938" t="s">
        <v>123</v>
      </c>
      <c r="F938">
        <v>3</v>
      </c>
      <c r="G938">
        <f>INDEX([1]products!$A$1:$G$49,MATCH([1]orders!$D938,[1]products!$A$1:$A$49,0),MATCH([1]orders!K$1,[1]products!$A$1:$G$1,0))</f>
        <v>0.5</v>
      </c>
      <c r="H938">
        <f>INDEX([1]products!$A$1:$G$49,MATCH([1]orders!$D938,[1]products!$A$1:$A$49,0),MATCH([1]orders!L$1,[1]products!$A$1:$G$1,0))</f>
        <v>7.77</v>
      </c>
      <c r="I938">
        <f t="shared" si="14"/>
        <v>23.31</v>
      </c>
    </row>
    <row r="939" spans="1:9" x14ac:dyDescent="0.25">
      <c r="A939" t="s">
        <v>1806</v>
      </c>
      <c r="B939">
        <v>44493</v>
      </c>
      <c r="C939" t="s">
        <v>1807</v>
      </c>
      <c r="D939" t="str">
        <f>INDEX('Customers (2)'!B:B,MATCH('Customers (2)'!A939,'Customers (2)'!A:A,0))</f>
        <v>Caitlin Cattermull</v>
      </c>
      <c r="E939" t="s">
        <v>41</v>
      </c>
      <c r="F939">
        <v>4</v>
      </c>
      <c r="G939">
        <f>INDEX([1]products!$A$1:$G$49,MATCH([1]orders!$D939,[1]products!$A$1:$A$49,0),MATCH([1]orders!K$1,[1]products!$A$1:$G$1,0))</f>
        <v>2.5</v>
      </c>
      <c r="H939">
        <f>INDEX([1]products!$A$1:$G$49,MATCH([1]orders!$D939,[1]products!$A$1:$A$49,0),MATCH([1]orders!L$1,[1]products!$A$1:$G$1,0))</f>
        <v>22.884999999999998</v>
      </c>
      <c r="I939">
        <f t="shared" si="14"/>
        <v>91.539999999999992</v>
      </c>
    </row>
    <row r="940" spans="1:9" x14ac:dyDescent="0.25">
      <c r="A940" t="s">
        <v>1808</v>
      </c>
      <c r="B940">
        <v>43829</v>
      </c>
      <c r="C940" t="s">
        <v>1809</v>
      </c>
      <c r="D940" t="str">
        <f>INDEX('Customers (2)'!B:B,MATCH('Customers (2)'!A940,'Customers (2)'!A:A,0))</f>
        <v>Dell Gut</v>
      </c>
      <c r="E940" t="s">
        <v>137</v>
      </c>
      <c r="F940">
        <v>5</v>
      </c>
      <c r="G940">
        <f>INDEX([1]products!$A$1:$G$49,MATCH([1]orders!$D940,[1]products!$A$1:$A$49,0),MATCH([1]orders!K$1,[1]products!$A$1:$G$1,0))</f>
        <v>1</v>
      </c>
      <c r="H940">
        <f>INDEX([1]products!$A$1:$G$49,MATCH([1]orders!$D940,[1]products!$A$1:$A$49,0),MATCH([1]orders!L$1,[1]products!$A$1:$G$1,0))</f>
        <v>14.85</v>
      </c>
      <c r="I940">
        <f t="shared" si="14"/>
        <v>74.25</v>
      </c>
    </row>
    <row r="941" spans="1:9" x14ac:dyDescent="0.25">
      <c r="A941" t="s">
        <v>1810</v>
      </c>
      <c r="B941">
        <v>44229</v>
      </c>
      <c r="C941" t="s">
        <v>1811</v>
      </c>
      <c r="D941" t="str">
        <f>INDEX('Customers (2)'!B:B,MATCH('Customers (2)'!A941,'Customers (2)'!A:A,0))</f>
        <v>Willy Pummery</v>
      </c>
      <c r="E941" t="s">
        <v>19</v>
      </c>
      <c r="F941">
        <v>6</v>
      </c>
      <c r="G941">
        <f>INDEX([1]products!$A$1:$G$49,MATCH([1]orders!$D941,[1]products!$A$1:$A$49,0),MATCH([1]orders!K$1,[1]products!$A$1:$G$1,0))</f>
        <v>0.2</v>
      </c>
      <c r="H941">
        <f>INDEX([1]products!$A$1:$G$49,MATCH([1]orders!$D941,[1]products!$A$1:$A$49,0),MATCH([1]orders!L$1,[1]products!$A$1:$G$1,0))</f>
        <v>4.7549999999999999</v>
      </c>
      <c r="I941">
        <f t="shared" si="14"/>
        <v>28.53</v>
      </c>
    </row>
    <row r="942" spans="1:9" x14ac:dyDescent="0.25">
      <c r="A942" t="s">
        <v>1812</v>
      </c>
      <c r="B942">
        <v>44332</v>
      </c>
      <c r="C942" t="s">
        <v>1813</v>
      </c>
      <c r="D942" t="str">
        <f>INDEX('Customers (2)'!B:B,MATCH('Customers (2)'!A942,'Customers (2)'!A:A,0))</f>
        <v>Geoffrey Siuda</v>
      </c>
      <c r="E942" t="s">
        <v>157</v>
      </c>
      <c r="F942">
        <v>2</v>
      </c>
      <c r="G942">
        <f>INDEX([1]products!$A$1:$G$49,MATCH([1]orders!$D942,[1]products!$A$1:$A$49,0),MATCH([1]orders!K$1,[1]products!$A$1:$G$1,0))</f>
        <v>0.5</v>
      </c>
      <c r="H942">
        <f>INDEX([1]products!$A$1:$G$49,MATCH([1]orders!$D942,[1]products!$A$1:$A$49,0),MATCH([1]orders!L$1,[1]products!$A$1:$G$1,0))</f>
        <v>7.169999999999999</v>
      </c>
      <c r="I942">
        <f t="shared" si="14"/>
        <v>14.339999999999998</v>
      </c>
    </row>
    <row r="943" spans="1:9" x14ac:dyDescent="0.25">
      <c r="A943" t="s">
        <v>1814</v>
      </c>
      <c r="B943">
        <v>44674</v>
      </c>
      <c r="C943" t="s">
        <v>1815</v>
      </c>
      <c r="D943" t="str">
        <f>INDEX('Customers (2)'!B:B,MATCH('Customers (2)'!A943,'Customers (2)'!A:A,0))</f>
        <v>Henderson Crowne</v>
      </c>
      <c r="E943" t="s">
        <v>192</v>
      </c>
      <c r="F943">
        <v>2</v>
      </c>
      <c r="G943">
        <f>INDEX([1]products!$A$1:$G$49,MATCH([1]orders!$D943,[1]products!$A$1:$A$49,0),MATCH([1]orders!K$1,[1]products!$A$1:$G$1,0))</f>
        <v>0.5</v>
      </c>
      <c r="H943">
        <f>INDEX([1]products!$A$1:$G$49,MATCH([1]orders!$D943,[1]products!$A$1:$A$49,0),MATCH([1]orders!L$1,[1]products!$A$1:$G$1,0))</f>
        <v>7.77</v>
      </c>
      <c r="I943">
        <f t="shared" si="14"/>
        <v>15.54</v>
      </c>
    </row>
    <row r="944" spans="1:9" x14ac:dyDescent="0.25">
      <c r="A944" t="s">
        <v>1816</v>
      </c>
      <c r="B944">
        <v>44464</v>
      </c>
      <c r="C944" t="s">
        <v>1817</v>
      </c>
      <c r="D944" t="str">
        <f>INDEX('Customers (2)'!B:B,MATCH('Customers (2)'!A944,'Customers (2)'!A:A,0))</f>
        <v>Vernor Pawsey</v>
      </c>
      <c r="E944" t="s">
        <v>189</v>
      </c>
      <c r="F944">
        <v>3</v>
      </c>
      <c r="G944">
        <f>INDEX([1]products!$A$1:$G$49,MATCH([1]orders!$D944,[1]products!$A$1:$A$49,0),MATCH([1]orders!K$1,[1]products!$A$1:$G$1,0))</f>
        <v>1</v>
      </c>
      <c r="H944">
        <f>INDEX([1]products!$A$1:$G$49,MATCH([1]orders!$D944,[1]products!$A$1:$A$49,0),MATCH([1]orders!L$1,[1]products!$A$1:$G$1,0))</f>
        <v>11.95</v>
      </c>
      <c r="I944">
        <f t="shared" si="14"/>
        <v>35.849999999999994</v>
      </c>
    </row>
    <row r="945" spans="1:9" x14ac:dyDescent="0.25">
      <c r="A945" t="s">
        <v>1818</v>
      </c>
      <c r="B945">
        <v>44719</v>
      </c>
      <c r="C945" t="s">
        <v>1819</v>
      </c>
      <c r="D945" t="str">
        <f>INDEX('Customers (2)'!B:B,MATCH('Customers (2)'!A945,'Customers (2)'!A:A,0))</f>
        <v>Augustin Waterhouse</v>
      </c>
      <c r="E945" t="s">
        <v>192</v>
      </c>
      <c r="F945">
        <v>6</v>
      </c>
      <c r="G945">
        <f>INDEX([1]products!$A$1:$G$49,MATCH([1]orders!$D945,[1]products!$A$1:$A$49,0),MATCH([1]orders!K$1,[1]products!$A$1:$G$1,0))</f>
        <v>0.5</v>
      </c>
      <c r="H945">
        <f>INDEX([1]products!$A$1:$G$49,MATCH([1]orders!$D945,[1]products!$A$1:$A$49,0),MATCH([1]orders!L$1,[1]products!$A$1:$G$1,0))</f>
        <v>7.77</v>
      </c>
      <c r="I945">
        <f t="shared" si="14"/>
        <v>46.62</v>
      </c>
    </row>
    <row r="946" spans="1:9" x14ac:dyDescent="0.25">
      <c r="A946" t="s">
        <v>1820</v>
      </c>
      <c r="B946">
        <v>44054</v>
      </c>
      <c r="C946" t="s">
        <v>1821</v>
      </c>
      <c r="D946" t="str">
        <f>INDEX('Customers (2)'!B:B,MATCH('Customers (2)'!A946,'Customers (2)'!A:A,0))</f>
        <v>Fanchon Haughian</v>
      </c>
      <c r="E946" t="s">
        <v>157</v>
      </c>
      <c r="F946">
        <v>5</v>
      </c>
      <c r="G946">
        <f>INDEX([1]products!$A$1:$G$49,MATCH([1]orders!$D946,[1]products!$A$1:$A$49,0),MATCH([1]orders!K$1,[1]products!$A$1:$G$1,0))</f>
        <v>0.5</v>
      </c>
      <c r="H946">
        <f>INDEX([1]products!$A$1:$G$49,MATCH([1]orders!$D946,[1]products!$A$1:$A$49,0),MATCH([1]orders!L$1,[1]products!$A$1:$G$1,0))</f>
        <v>7.169999999999999</v>
      </c>
      <c r="I946">
        <f t="shared" si="14"/>
        <v>35.849999999999994</v>
      </c>
    </row>
    <row r="947" spans="1:9" x14ac:dyDescent="0.25">
      <c r="A947" t="s">
        <v>1822</v>
      </c>
      <c r="B947">
        <v>43524</v>
      </c>
      <c r="C947" t="s">
        <v>1823</v>
      </c>
      <c r="D947" t="str">
        <f>INDEX('Customers (2)'!B:B,MATCH('Customers (2)'!A947,'Customers (2)'!A:A,0))</f>
        <v>Jaimie Hatz</v>
      </c>
      <c r="E947" t="s">
        <v>109</v>
      </c>
      <c r="F947">
        <v>4</v>
      </c>
      <c r="G947">
        <f>INDEX([1]products!$A$1:$G$49,MATCH([1]orders!$D947,[1]products!$A$1:$A$49,0),MATCH([1]orders!K$1,[1]products!$A$1:$G$1,0))</f>
        <v>2.5</v>
      </c>
      <c r="H947">
        <f>INDEX([1]products!$A$1:$G$49,MATCH([1]orders!$D947,[1]products!$A$1:$A$49,0),MATCH([1]orders!L$1,[1]products!$A$1:$G$1,0))</f>
        <v>29.784999999999997</v>
      </c>
      <c r="I947">
        <f t="shared" si="14"/>
        <v>119.13999999999999</v>
      </c>
    </row>
    <row r="948" spans="1:9" x14ac:dyDescent="0.25">
      <c r="A948" t="s">
        <v>1824</v>
      </c>
      <c r="B948">
        <v>43719</v>
      </c>
      <c r="C948" t="s">
        <v>1825</v>
      </c>
      <c r="D948" t="str">
        <f>INDEX('Customers (2)'!B:B,MATCH('Customers (2)'!A948,'Customers (2)'!A:A,0))</f>
        <v>Edeline Edney</v>
      </c>
      <c r="E948" t="s">
        <v>123</v>
      </c>
      <c r="F948">
        <v>3</v>
      </c>
      <c r="G948">
        <f>INDEX([1]products!$A$1:$G$49,MATCH([1]orders!$D948,[1]products!$A$1:$A$49,0),MATCH([1]orders!K$1,[1]products!$A$1:$G$1,0))</f>
        <v>0.5</v>
      </c>
      <c r="H948">
        <f>INDEX([1]products!$A$1:$G$49,MATCH([1]orders!$D948,[1]products!$A$1:$A$49,0),MATCH([1]orders!L$1,[1]products!$A$1:$G$1,0))</f>
        <v>7.77</v>
      </c>
      <c r="I948">
        <f t="shared" si="14"/>
        <v>23.31</v>
      </c>
    </row>
    <row r="949" spans="1:9" x14ac:dyDescent="0.25">
      <c r="A949" t="s">
        <v>1826</v>
      </c>
      <c r="B949">
        <v>44294</v>
      </c>
      <c r="C949" t="s">
        <v>1827</v>
      </c>
      <c r="D949" t="str">
        <f>INDEX('Customers (2)'!B:B,MATCH('Customers (2)'!A949,'Customers (2)'!A:A,0))</f>
        <v>Rickie Faltin</v>
      </c>
      <c r="E949" t="s">
        <v>61</v>
      </c>
      <c r="F949">
        <v>1</v>
      </c>
      <c r="G949">
        <f>INDEX([1]products!$A$1:$G$49,MATCH([1]orders!$D949,[1]products!$A$1:$A$49,0),MATCH([1]orders!K$1,[1]products!$A$1:$G$1,0))</f>
        <v>1</v>
      </c>
      <c r="H949">
        <f>INDEX([1]products!$A$1:$G$49,MATCH([1]orders!$D949,[1]products!$A$1:$A$49,0),MATCH([1]orders!L$1,[1]products!$A$1:$G$1,0))</f>
        <v>11.25</v>
      </c>
      <c r="I949">
        <f t="shared" si="14"/>
        <v>11.25</v>
      </c>
    </row>
    <row r="950" spans="1:9" x14ac:dyDescent="0.25">
      <c r="A950" t="s">
        <v>1828</v>
      </c>
      <c r="B950">
        <v>44445</v>
      </c>
      <c r="C950" t="s">
        <v>1829</v>
      </c>
      <c r="D950" t="str">
        <f>INDEX('Customers (2)'!B:B,MATCH('Customers (2)'!A950,'Customers (2)'!A:A,0))</f>
        <v>Gnni Cheeke</v>
      </c>
      <c r="E950" t="s">
        <v>530</v>
      </c>
      <c r="F950">
        <v>3</v>
      </c>
      <c r="G950">
        <f>INDEX([1]products!$A$1:$G$49,MATCH([1]orders!$D950,[1]products!$A$1:$A$49,0),MATCH([1]orders!K$1,[1]products!$A$1:$G$1,0))</f>
        <v>2.5</v>
      </c>
      <c r="H950">
        <f>INDEX([1]products!$A$1:$G$49,MATCH([1]orders!$D950,[1]products!$A$1:$A$49,0),MATCH([1]orders!L$1,[1]products!$A$1:$G$1,0))</f>
        <v>27.945</v>
      </c>
      <c r="I950">
        <f t="shared" si="14"/>
        <v>83.835000000000008</v>
      </c>
    </row>
    <row r="951" spans="1:9" x14ac:dyDescent="0.25">
      <c r="A951" t="s">
        <v>1830</v>
      </c>
      <c r="B951">
        <v>44449</v>
      </c>
      <c r="C951" t="s">
        <v>1831</v>
      </c>
      <c r="D951" t="str">
        <f>INDEX('Customers (2)'!B:B,MATCH('Customers (2)'!A951,'Customers (2)'!A:A,0))</f>
        <v>Gwenni Ratt</v>
      </c>
      <c r="E951" t="s">
        <v>10</v>
      </c>
      <c r="F951">
        <v>4</v>
      </c>
      <c r="G951">
        <f>INDEX([1]products!$A$1:$G$49,MATCH([1]orders!$D951,[1]products!$A$1:$A$49,0),MATCH([1]orders!K$1,[1]products!$A$1:$G$1,0))</f>
        <v>2.5</v>
      </c>
      <c r="H951">
        <f>INDEX([1]products!$A$1:$G$49,MATCH([1]orders!$D951,[1]products!$A$1:$A$49,0),MATCH([1]orders!L$1,[1]products!$A$1:$G$1,0))</f>
        <v>27.484999999999996</v>
      </c>
      <c r="I951">
        <f t="shared" si="14"/>
        <v>109.93999999999998</v>
      </c>
    </row>
    <row r="952" spans="1:9" x14ac:dyDescent="0.25">
      <c r="A952" t="s">
        <v>1832</v>
      </c>
      <c r="B952">
        <v>44703</v>
      </c>
      <c r="C952" t="s">
        <v>1833</v>
      </c>
      <c r="D952" t="str">
        <f>INDEX('Customers (2)'!B:B,MATCH('Customers (2)'!A952,'Customers (2)'!A:A,0))</f>
        <v>Johnath Fairebrother</v>
      </c>
      <c r="E952" t="s">
        <v>182</v>
      </c>
      <c r="F952">
        <v>4</v>
      </c>
      <c r="G952">
        <f>INDEX([1]products!$A$1:$G$49,MATCH([1]orders!$D952,[1]products!$A$1:$A$49,0),MATCH([1]orders!K$1,[1]products!$A$1:$G$1,0))</f>
        <v>0.2</v>
      </c>
      <c r="H952">
        <f>INDEX([1]products!$A$1:$G$49,MATCH([1]orders!$D952,[1]products!$A$1:$A$49,0),MATCH([1]orders!L$1,[1]products!$A$1:$G$1,0))</f>
        <v>3.5849999999999995</v>
      </c>
      <c r="I952">
        <f t="shared" si="14"/>
        <v>14.339999999999998</v>
      </c>
    </row>
    <row r="953" spans="1:9" x14ac:dyDescent="0.25">
      <c r="A953" t="s">
        <v>1834</v>
      </c>
      <c r="B953">
        <v>44092</v>
      </c>
      <c r="C953" t="s">
        <v>1835</v>
      </c>
      <c r="D953" t="str">
        <f>INDEX('Customers (2)'!B:B,MATCH('Customers (2)'!A953,'Customers (2)'!A:A,0))</f>
        <v>Ingamar Eberlein</v>
      </c>
      <c r="E953" t="s">
        <v>182</v>
      </c>
      <c r="F953">
        <v>6</v>
      </c>
      <c r="G953">
        <f>INDEX([1]products!$A$1:$G$49,MATCH([1]orders!$D953,[1]products!$A$1:$A$49,0),MATCH([1]orders!K$1,[1]products!$A$1:$G$1,0))</f>
        <v>0.2</v>
      </c>
      <c r="H953">
        <f>INDEX([1]products!$A$1:$G$49,MATCH([1]orders!$D953,[1]products!$A$1:$A$49,0),MATCH([1]orders!L$1,[1]products!$A$1:$G$1,0))</f>
        <v>3.5849999999999995</v>
      </c>
      <c r="I953">
        <f t="shared" si="14"/>
        <v>21.509999999999998</v>
      </c>
    </row>
    <row r="954" spans="1:9" x14ac:dyDescent="0.25">
      <c r="A954" t="s">
        <v>1836</v>
      </c>
      <c r="B954">
        <v>44439</v>
      </c>
      <c r="C954" t="s">
        <v>1837</v>
      </c>
      <c r="D954" t="str">
        <f>INDEX('Customers (2)'!B:B,MATCH('Customers (2)'!A954,'Customers (2)'!A:A,0))</f>
        <v>Jilly Dreng</v>
      </c>
      <c r="E954" t="s">
        <v>61</v>
      </c>
      <c r="F954">
        <v>2</v>
      </c>
      <c r="G954">
        <f>INDEX([1]products!$A$1:$G$49,MATCH([1]orders!$D954,[1]products!$A$1:$A$49,0),MATCH([1]orders!K$1,[1]products!$A$1:$G$1,0))</f>
        <v>1</v>
      </c>
      <c r="H954">
        <f>INDEX([1]products!$A$1:$G$49,MATCH([1]orders!$D954,[1]products!$A$1:$A$49,0),MATCH([1]orders!L$1,[1]products!$A$1:$G$1,0))</f>
        <v>11.25</v>
      </c>
      <c r="I954">
        <f t="shared" si="14"/>
        <v>22.5</v>
      </c>
    </row>
    <row r="955" spans="1:9" x14ac:dyDescent="0.25">
      <c r="A955" t="s">
        <v>1838</v>
      </c>
      <c r="B955">
        <v>44582</v>
      </c>
      <c r="C955" t="s">
        <v>1801</v>
      </c>
      <c r="D955" t="str">
        <f>INDEX('Customers (2)'!B:B,MATCH('Customers (2)'!A955,'Customers (2)'!A:A,0))</f>
        <v>Jillane Jedrzej</v>
      </c>
      <c r="E955" t="s">
        <v>115</v>
      </c>
      <c r="F955">
        <v>1</v>
      </c>
      <c r="G955">
        <f>INDEX([1]products!$A$1:$G$49,MATCH([1]orders!$D955,[1]products!$A$1:$A$49,0),MATCH([1]orders!K$1,[1]products!$A$1:$G$1,0))</f>
        <v>0.2</v>
      </c>
      <c r="H955">
        <f>INDEX([1]products!$A$1:$G$49,MATCH([1]orders!$D955,[1]products!$A$1:$A$49,0),MATCH([1]orders!L$1,[1]products!$A$1:$G$1,0))</f>
        <v>3.8849999999999998</v>
      </c>
      <c r="I955">
        <f t="shared" si="14"/>
        <v>3.8849999999999998</v>
      </c>
    </row>
    <row r="956" spans="1:9" x14ac:dyDescent="0.25">
      <c r="A956" t="s">
        <v>1839</v>
      </c>
      <c r="B956">
        <v>44722</v>
      </c>
      <c r="C956" t="s">
        <v>1801</v>
      </c>
      <c r="D956" t="str">
        <f>INDEX('Customers (2)'!B:B,MATCH('Customers (2)'!A956,'Customers (2)'!A:A,0))</f>
        <v>Correy Lampel</v>
      </c>
      <c r="E956" t="s">
        <v>530</v>
      </c>
      <c r="F956">
        <v>1</v>
      </c>
      <c r="G956">
        <f>INDEX([1]products!$A$1:$G$49,MATCH([1]orders!$D956,[1]products!$A$1:$A$49,0),MATCH([1]orders!K$1,[1]products!$A$1:$G$1,0))</f>
        <v>2.5</v>
      </c>
      <c r="H956">
        <f>INDEX([1]products!$A$1:$G$49,MATCH([1]orders!$D956,[1]products!$A$1:$A$49,0),MATCH([1]orders!L$1,[1]products!$A$1:$G$1,0))</f>
        <v>27.945</v>
      </c>
      <c r="I956">
        <f t="shared" si="14"/>
        <v>27.945</v>
      </c>
    </row>
    <row r="957" spans="1:9" x14ac:dyDescent="0.25">
      <c r="A957" t="s">
        <v>1840</v>
      </c>
      <c r="B957">
        <v>43582</v>
      </c>
      <c r="C957" t="s">
        <v>1801</v>
      </c>
      <c r="D957" t="str">
        <f>INDEX('Customers (2)'!B:B,MATCH('Customers (2)'!A957,'Customers (2)'!A:A,0))</f>
        <v>Dulcie Mapowder</v>
      </c>
      <c r="E957" t="s">
        <v>30</v>
      </c>
      <c r="F957">
        <v>5</v>
      </c>
      <c r="G957">
        <f>INDEX([1]products!$A$1:$G$49,MATCH([1]orders!$D957,[1]products!$A$1:$A$49,0),MATCH([1]orders!K$1,[1]products!$A$1:$G$1,0))</f>
        <v>2.5</v>
      </c>
      <c r="H957">
        <f>INDEX([1]products!$A$1:$G$49,MATCH([1]orders!$D957,[1]products!$A$1:$A$49,0),MATCH([1]orders!L$1,[1]products!$A$1:$G$1,0))</f>
        <v>34.154999999999994</v>
      </c>
      <c r="I957">
        <f t="shared" si="14"/>
        <v>170.77499999999998</v>
      </c>
    </row>
    <row r="958" spans="1:9" x14ac:dyDescent="0.25">
      <c r="A958" t="s">
        <v>1840</v>
      </c>
      <c r="B958">
        <v>43582</v>
      </c>
      <c r="C958" t="s">
        <v>1801</v>
      </c>
      <c r="D958" t="str">
        <f>INDEX('Customers (2)'!B:B,MATCH('Customers (2)'!A958,'Customers (2)'!A:A,0))</f>
        <v>Eward Dearman</v>
      </c>
      <c r="E958" t="s">
        <v>10</v>
      </c>
      <c r="F958">
        <v>2</v>
      </c>
      <c r="G958">
        <f>INDEX([1]products!$A$1:$G$49,MATCH([1]orders!$D958,[1]products!$A$1:$A$49,0),MATCH([1]orders!K$1,[1]products!$A$1:$G$1,0))</f>
        <v>2.5</v>
      </c>
      <c r="H958">
        <f>INDEX([1]products!$A$1:$G$49,MATCH([1]orders!$D958,[1]products!$A$1:$A$49,0),MATCH([1]orders!L$1,[1]products!$A$1:$G$1,0))</f>
        <v>27.484999999999996</v>
      </c>
      <c r="I958">
        <f t="shared" si="14"/>
        <v>54.969999999999992</v>
      </c>
    </row>
    <row r="959" spans="1:9" x14ac:dyDescent="0.25">
      <c r="A959" t="s">
        <v>1840</v>
      </c>
      <c r="B959">
        <v>43582</v>
      </c>
      <c r="C959" t="s">
        <v>1801</v>
      </c>
      <c r="D959" t="str">
        <f>INDEX('Customers (2)'!B:B,MATCH('Customers (2)'!A959,'Customers (2)'!A:A,0))</f>
        <v>Dominique Lenard</v>
      </c>
      <c r="E959" t="s">
        <v>137</v>
      </c>
      <c r="F959">
        <v>1</v>
      </c>
      <c r="G959">
        <f>INDEX([1]products!$A$1:$G$49,MATCH([1]orders!$D959,[1]products!$A$1:$A$49,0),MATCH([1]orders!K$1,[1]products!$A$1:$G$1,0))</f>
        <v>1</v>
      </c>
      <c r="H959">
        <f>INDEX([1]products!$A$1:$G$49,MATCH([1]orders!$D959,[1]products!$A$1:$A$49,0),MATCH([1]orders!L$1,[1]products!$A$1:$G$1,0))</f>
        <v>14.85</v>
      </c>
      <c r="I959">
        <f t="shared" si="14"/>
        <v>14.85</v>
      </c>
    </row>
    <row r="960" spans="1:9" x14ac:dyDescent="0.25">
      <c r="A960" t="s">
        <v>1840</v>
      </c>
      <c r="B960">
        <v>43582</v>
      </c>
      <c r="C960" t="s">
        <v>1801</v>
      </c>
      <c r="D960" t="str">
        <f>INDEX('Customers (2)'!B:B,MATCH('Customers (2)'!A960,'Customers (2)'!A:A,0))</f>
        <v>Lloyd Toffano</v>
      </c>
      <c r="E960" t="s">
        <v>115</v>
      </c>
      <c r="F960">
        <v>2</v>
      </c>
      <c r="G960">
        <f>INDEX([1]products!$A$1:$G$49,MATCH([1]orders!$D960,[1]products!$A$1:$A$49,0),MATCH([1]orders!K$1,[1]products!$A$1:$G$1,0))</f>
        <v>0.2</v>
      </c>
      <c r="H960">
        <f>INDEX([1]products!$A$1:$G$49,MATCH([1]orders!$D960,[1]products!$A$1:$A$49,0),MATCH([1]orders!L$1,[1]products!$A$1:$G$1,0))</f>
        <v>3.8849999999999998</v>
      </c>
      <c r="I960">
        <f t="shared" si="14"/>
        <v>7.77</v>
      </c>
    </row>
    <row r="961" spans="1:9" x14ac:dyDescent="0.25">
      <c r="A961" t="s">
        <v>1841</v>
      </c>
      <c r="B961">
        <v>44598</v>
      </c>
      <c r="C961" t="s">
        <v>1842</v>
      </c>
      <c r="D961" t="str">
        <f>INDEX('Customers (2)'!B:B,MATCH('Customers (2)'!A961,'Customers (2)'!A:A,0))</f>
        <v>Rhodie Strathern</v>
      </c>
      <c r="E961" t="s">
        <v>19</v>
      </c>
      <c r="F961">
        <v>5</v>
      </c>
      <c r="G961">
        <f>INDEX([1]products!$A$1:$G$49,MATCH([1]orders!$D961,[1]products!$A$1:$A$49,0),MATCH([1]orders!K$1,[1]products!$A$1:$G$1,0))</f>
        <v>0.2</v>
      </c>
      <c r="H961">
        <f>INDEX([1]products!$A$1:$G$49,MATCH([1]orders!$D961,[1]products!$A$1:$A$49,0),MATCH([1]orders!L$1,[1]products!$A$1:$G$1,0))</f>
        <v>4.7549999999999999</v>
      </c>
      <c r="I961">
        <f t="shared" si="14"/>
        <v>23.774999999999999</v>
      </c>
    </row>
    <row r="962" spans="1:9" x14ac:dyDescent="0.25">
      <c r="A962" t="s">
        <v>1843</v>
      </c>
      <c r="B962">
        <v>44591</v>
      </c>
      <c r="C962" t="s">
        <v>1844</v>
      </c>
      <c r="D962" t="str">
        <f>INDEX('Customers (2)'!B:B,MATCH('Customers (2)'!A962,'Customers (2)'!A:A,0))</f>
        <v>Chad Miguel</v>
      </c>
      <c r="E962" t="s">
        <v>132</v>
      </c>
      <c r="F962">
        <v>5</v>
      </c>
      <c r="G962">
        <f>INDEX([1]products!$A$1:$G$49,MATCH([1]orders!$D962,[1]products!$A$1:$A$49,0),MATCH([1]orders!K$1,[1]products!$A$1:$G$1,0))</f>
        <v>1</v>
      </c>
      <c r="H962">
        <f>INDEX([1]products!$A$1:$G$49,MATCH([1]orders!$D962,[1]products!$A$1:$A$49,0),MATCH([1]orders!L$1,[1]products!$A$1:$G$1,0))</f>
        <v>15.85</v>
      </c>
      <c r="I962">
        <f t="shared" ref="I962:I1001" si="15">F962*H962</f>
        <v>79.25</v>
      </c>
    </row>
    <row r="963" spans="1:9" x14ac:dyDescent="0.25">
      <c r="A963" t="s">
        <v>1845</v>
      </c>
      <c r="B963">
        <v>44158</v>
      </c>
      <c r="C963" t="s">
        <v>1846</v>
      </c>
      <c r="D963" t="str">
        <f>INDEX('Customers (2)'!B:B,MATCH('Customers (2)'!A963,'Customers (2)'!A:A,0))</f>
        <v>Florinda Matusovsky</v>
      </c>
      <c r="E963" t="s">
        <v>118</v>
      </c>
      <c r="F963">
        <v>2</v>
      </c>
      <c r="G963">
        <f>INDEX([1]products!$A$1:$G$49,MATCH([1]orders!$D963,[1]products!$A$1:$A$49,0),MATCH([1]orders!K$1,[1]products!$A$1:$G$1,0))</f>
        <v>2.5</v>
      </c>
      <c r="H963">
        <f>INDEX([1]products!$A$1:$G$49,MATCH([1]orders!$D963,[1]products!$A$1:$A$49,0),MATCH([1]orders!L$1,[1]products!$A$1:$G$1,0))</f>
        <v>22.884999999999998</v>
      </c>
      <c r="I963">
        <f t="shared" si="15"/>
        <v>45.769999999999996</v>
      </c>
    </row>
    <row r="964" spans="1:9" x14ac:dyDescent="0.25">
      <c r="A964" t="s">
        <v>1847</v>
      </c>
      <c r="B964">
        <v>44664</v>
      </c>
      <c r="C964" t="s">
        <v>1848</v>
      </c>
      <c r="D964" t="str">
        <f>INDEX('Customers (2)'!B:B,MATCH('Customers (2)'!A964,'Customers (2)'!A:A,0))</f>
        <v>Morly Rocks</v>
      </c>
      <c r="E964" t="s">
        <v>179</v>
      </c>
      <c r="F964">
        <v>1</v>
      </c>
      <c r="G964">
        <f>INDEX([1]products!$A$1:$G$49,MATCH([1]orders!$D964,[1]products!$A$1:$A$49,0),MATCH([1]orders!K$1,[1]products!$A$1:$G$1,0))</f>
        <v>1</v>
      </c>
      <c r="H964">
        <f>INDEX([1]products!$A$1:$G$49,MATCH([1]orders!$D964,[1]products!$A$1:$A$49,0),MATCH([1]orders!L$1,[1]products!$A$1:$G$1,0))</f>
        <v>8.9499999999999993</v>
      </c>
      <c r="I964">
        <f t="shared" si="15"/>
        <v>8.9499999999999993</v>
      </c>
    </row>
    <row r="965" spans="1:9" x14ac:dyDescent="0.25">
      <c r="A965" t="s">
        <v>1849</v>
      </c>
      <c r="B965">
        <v>44203</v>
      </c>
      <c r="C965" t="s">
        <v>1850</v>
      </c>
      <c r="D965" t="str">
        <f>INDEX('Customers (2)'!B:B,MATCH('Customers (2)'!A965,'Customers (2)'!A:A,0))</f>
        <v>Yuri Burrells</v>
      </c>
      <c r="E965" t="s">
        <v>22</v>
      </c>
      <c r="F965">
        <v>4</v>
      </c>
      <c r="G965">
        <f>INDEX([1]products!$A$1:$G$49,MATCH([1]orders!$D965,[1]products!$A$1:$A$49,0),MATCH([1]orders!K$1,[1]products!$A$1:$G$1,0))</f>
        <v>0.5</v>
      </c>
      <c r="H965">
        <f>INDEX([1]products!$A$1:$G$49,MATCH([1]orders!$D965,[1]products!$A$1:$A$49,0),MATCH([1]orders!L$1,[1]products!$A$1:$G$1,0))</f>
        <v>5.97</v>
      </c>
      <c r="I965">
        <f t="shared" si="15"/>
        <v>23.88</v>
      </c>
    </row>
    <row r="966" spans="1:9" x14ac:dyDescent="0.25">
      <c r="A966" t="s">
        <v>1851</v>
      </c>
      <c r="B966">
        <v>43865</v>
      </c>
      <c r="C966" t="s">
        <v>1852</v>
      </c>
      <c r="D966" t="str">
        <f>INDEX('Customers (2)'!B:B,MATCH('Customers (2)'!A966,'Customers (2)'!A:A,0))</f>
        <v>Cleopatra Goodrum</v>
      </c>
      <c r="E966" t="s">
        <v>254</v>
      </c>
      <c r="F966">
        <v>5</v>
      </c>
      <c r="G966">
        <f>INDEX([1]products!$A$1:$G$49,MATCH([1]orders!$D966,[1]products!$A$1:$A$49,0),MATCH([1]orders!K$1,[1]products!$A$1:$G$1,0))</f>
        <v>0.2</v>
      </c>
      <c r="H966">
        <f>INDEX([1]products!$A$1:$G$49,MATCH([1]orders!$D966,[1]products!$A$1:$A$49,0),MATCH([1]orders!L$1,[1]products!$A$1:$G$1,0))</f>
        <v>4.4550000000000001</v>
      </c>
      <c r="I966">
        <f t="shared" si="15"/>
        <v>22.274999999999999</v>
      </c>
    </row>
    <row r="967" spans="1:9" x14ac:dyDescent="0.25">
      <c r="A967" t="s">
        <v>1853</v>
      </c>
      <c r="B967">
        <v>43724</v>
      </c>
      <c r="C967" t="s">
        <v>1854</v>
      </c>
      <c r="D967" t="str">
        <f>INDEX('Customers (2)'!B:B,MATCH('Customers (2)'!A967,'Customers (2)'!A:A,0))</f>
        <v>Joey Jefferys</v>
      </c>
      <c r="E967" t="s">
        <v>2</v>
      </c>
      <c r="F967">
        <v>3</v>
      </c>
      <c r="G967">
        <f>INDEX([1]products!$A$1:$G$49,MATCH([1]orders!$D967,[1]products!$A$1:$A$49,0),MATCH([1]orders!K$1,[1]products!$A$1:$G$1,0))</f>
        <v>1</v>
      </c>
      <c r="H967">
        <f>INDEX([1]products!$A$1:$G$49,MATCH([1]orders!$D967,[1]products!$A$1:$A$49,0),MATCH([1]orders!L$1,[1]products!$A$1:$G$1,0))</f>
        <v>9.9499999999999993</v>
      </c>
      <c r="I967">
        <f t="shared" si="15"/>
        <v>29.849999999999998</v>
      </c>
    </row>
    <row r="968" spans="1:9" x14ac:dyDescent="0.25">
      <c r="A968" t="s">
        <v>1855</v>
      </c>
      <c r="B968">
        <v>43491</v>
      </c>
      <c r="C968" t="s">
        <v>1856</v>
      </c>
      <c r="D968" t="str">
        <f>INDEX('Customers (2)'!B:B,MATCH('Customers (2)'!A968,'Customers (2)'!A:A,0))</f>
        <v>Bearnard Wardell</v>
      </c>
      <c r="E968" t="s">
        <v>176</v>
      </c>
      <c r="F968">
        <v>6</v>
      </c>
      <c r="G968">
        <f>INDEX([1]products!$A$1:$G$49,MATCH([1]orders!$D968,[1]products!$A$1:$A$49,0),MATCH([1]orders!K$1,[1]products!$A$1:$G$1,0))</f>
        <v>0.5</v>
      </c>
      <c r="H968">
        <f>INDEX([1]products!$A$1:$G$49,MATCH([1]orders!$D968,[1]products!$A$1:$A$49,0),MATCH([1]orders!L$1,[1]products!$A$1:$G$1,0))</f>
        <v>8.91</v>
      </c>
      <c r="I968">
        <f t="shared" si="15"/>
        <v>53.46</v>
      </c>
    </row>
    <row r="969" spans="1:9" x14ac:dyDescent="0.25">
      <c r="A969" t="s">
        <v>1857</v>
      </c>
      <c r="B969">
        <v>44246</v>
      </c>
      <c r="C969" t="s">
        <v>1858</v>
      </c>
      <c r="D969" t="str">
        <f>INDEX('Customers (2)'!B:B,MATCH('Customers (2)'!A969,'Customers (2)'!A:A,0))</f>
        <v>Zeke Walisiak</v>
      </c>
      <c r="E969" t="s">
        <v>101</v>
      </c>
      <c r="F969">
        <v>1</v>
      </c>
      <c r="G969">
        <f>INDEX([1]products!$A$1:$G$49,MATCH([1]orders!$D969,[1]products!$A$1:$A$49,0),MATCH([1]orders!K$1,[1]products!$A$1:$G$1,0))</f>
        <v>0.2</v>
      </c>
      <c r="H969">
        <f>INDEX([1]products!$A$1:$G$49,MATCH([1]orders!$D969,[1]products!$A$1:$A$49,0),MATCH([1]orders!L$1,[1]products!$A$1:$G$1,0))</f>
        <v>2.6849999999999996</v>
      </c>
      <c r="I969">
        <f t="shared" si="15"/>
        <v>2.6849999999999996</v>
      </c>
    </row>
    <row r="970" spans="1:9" x14ac:dyDescent="0.25">
      <c r="A970" t="s">
        <v>1859</v>
      </c>
      <c r="B970">
        <v>44642</v>
      </c>
      <c r="C970" t="s">
        <v>1860</v>
      </c>
      <c r="D970" t="str">
        <f>INDEX('Customers (2)'!B:B,MATCH('Customers (2)'!A970,'Customers (2)'!A:A,0))</f>
        <v>Wiley Leopold</v>
      </c>
      <c r="E970" t="s">
        <v>162</v>
      </c>
      <c r="F970">
        <v>2</v>
      </c>
      <c r="G970">
        <f>INDEX([1]products!$A$1:$G$49,MATCH([1]orders!$D970,[1]products!$A$1:$A$49,0),MATCH([1]orders!K$1,[1]products!$A$1:$G$1,0))</f>
        <v>0.2</v>
      </c>
      <c r="H970">
        <f>INDEX([1]products!$A$1:$G$49,MATCH([1]orders!$D970,[1]products!$A$1:$A$49,0),MATCH([1]orders!L$1,[1]products!$A$1:$G$1,0))</f>
        <v>2.9849999999999999</v>
      </c>
      <c r="I970">
        <f t="shared" si="15"/>
        <v>5.97</v>
      </c>
    </row>
    <row r="971" spans="1:9" x14ac:dyDescent="0.25">
      <c r="A971" t="s">
        <v>1861</v>
      </c>
      <c r="B971">
        <v>43649</v>
      </c>
      <c r="C971" t="s">
        <v>1862</v>
      </c>
      <c r="D971" t="str">
        <f>INDEX('Customers (2)'!B:B,MATCH('Customers (2)'!A971,'Customers (2)'!A:A,0))</f>
        <v>Chiarra Shalders</v>
      </c>
      <c r="E971" t="s">
        <v>13</v>
      </c>
      <c r="F971">
        <v>1</v>
      </c>
      <c r="G971">
        <f>INDEX([1]products!$A$1:$G$49,MATCH([1]orders!$D971,[1]products!$A$1:$A$49,0),MATCH([1]orders!K$1,[1]products!$A$1:$G$1,0))</f>
        <v>1</v>
      </c>
      <c r="H971">
        <f>INDEX([1]products!$A$1:$G$49,MATCH([1]orders!$D971,[1]products!$A$1:$A$49,0),MATCH([1]orders!L$1,[1]products!$A$1:$G$1,0))</f>
        <v>12.95</v>
      </c>
      <c r="I971">
        <f t="shared" si="15"/>
        <v>12.95</v>
      </c>
    </row>
    <row r="972" spans="1:9" x14ac:dyDescent="0.25">
      <c r="A972" t="s">
        <v>1863</v>
      </c>
      <c r="B972">
        <v>43729</v>
      </c>
      <c r="C972" t="s">
        <v>1864</v>
      </c>
      <c r="D972" t="str">
        <f>INDEX('Customers (2)'!B:B,MATCH('Customers (2)'!A972,'Customers (2)'!A:A,0))</f>
        <v>Sharl Southerill</v>
      </c>
      <c r="E972" t="s">
        <v>3</v>
      </c>
      <c r="F972">
        <v>1</v>
      </c>
      <c r="G972">
        <f>INDEX([1]products!$A$1:$G$49,MATCH([1]orders!$D972,[1]products!$A$1:$A$49,0),MATCH([1]orders!K$1,[1]products!$A$1:$G$1,0))</f>
        <v>0.5</v>
      </c>
      <c r="H972">
        <f>INDEX([1]products!$A$1:$G$49,MATCH([1]orders!$D972,[1]products!$A$1:$A$49,0),MATCH([1]orders!L$1,[1]products!$A$1:$G$1,0))</f>
        <v>8.25</v>
      </c>
      <c r="I972">
        <f t="shared" si="15"/>
        <v>8.25</v>
      </c>
    </row>
    <row r="973" spans="1:9" x14ac:dyDescent="0.25">
      <c r="A973" t="s">
        <v>1865</v>
      </c>
      <c r="B973">
        <v>43703</v>
      </c>
      <c r="C973" t="s">
        <v>1866</v>
      </c>
      <c r="D973" t="str">
        <f>INDEX('Customers (2)'!B:B,MATCH('Customers (2)'!A973,'Customers (2)'!A:A,0))</f>
        <v>Noni Furber</v>
      </c>
      <c r="E973" t="s">
        <v>204</v>
      </c>
      <c r="F973">
        <v>5</v>
      </c>
      <c r="G973">
        <f>INDEX([1]products!$A$1:$G$49,MATCH([1]orders!$D973,[1]products!$A$1:$A$49,0),MATCH([1]orders!K$1,[1]products!$A$1:$G$1,0))</f>
        <v>2.5</v>
      </c>
      <c r="H973">
        <f>INDEX([1]products!$A$1:$G$49,MATCH([1]orders!$D973,[1]products!$A$1:$A$49,0),MATCH([1]orders!L$1,[1]products!$A$1:$G$1,0))</f>
        <v>29.784999999999997</v>
      </c>
      <c r="I973">
        <f t="shared" si="15"/>
        <v>148.92499999999998</v>
      </c>
    </row>
    <row r="974" spans="1:9" x14ac:dyDescent="0.25">
      <c r="A974" t="s">
        <v>1867</v>
      </c>
      <c r="B974">
        <v>44411</v>
      </c>
      <c r="C974" t="s">
        <v>1868</v>
      </c>
      <c r="D974" t="str">
        <f>INDEX('Customers (2)'!B:B,MATCH('Customers (2)'!A974,'Customers (2)'!A:A,0))</f>
        <v>Dinah Crutcher</v>
      </c>
      <c r="E974" t="s">
        <v>204</v>
      </c>
      <c r="F974">
        <v>3</v>
      </c>
      <c r="G974">
        <f>INDEX([1]products!$A$1:$G$49,MATCH([1]orders!$D974,[1]products!$A$1:$A$49,0),MATCH([1]orders!K$1,[1]products!$A$1:$G$1,0))</f>
        <v>2.5</v>
      </c>
      <c r="H974">
        <f>INDEX([1]products!$A$1:$G$49,MATCH([1]orders!$D974,[1]products!$A$1:$A$49,0),MATCH([1]orders!L$1,[1]products!$A$1:$G$1,0))</f>
        <v>29.784999999999997</v>
      </c>
      <c r="I974">
        <f t="shared" si="15"/>
        <v>89.35499999999999</v>
      </c>
    </row>
    <row r="975" spans="1:9" x14ac:dyDescent="0.25">
      <c r="A975" t="s">
        <v>1869</v>
      </c>
      <c r="B975">
        <v>44493</v>
      </c>
      <c r="C975" t="s">
        <v>1870</v>
      </c>
      <c r="D975" t="str">
        <f>INDEX('Customers (2)'!B:B,MATCH('Customers (2)'!A975,'Customers (2)'!A:A,0))</f>
        <v>Charlean Keave</v>
      </c>
      <c r="E975" t="s">
        <v>96</v>
      </c>
      <c r="F975">
        <v>6</v>
      </c>
      <c r="G975">
        <f>INDEX([1]products!$A$1:$G$49,MATCH([1]orders!$D975,[1]products!$A$1:$A$49,0),MATCH([1]orders!K$1,[1]products!$A$1:$G$1,0))</f>
        <v>1</v>
      </c>
      <c r="H975">
        <f>INDEX([1]products!$A$1:$G$49,MATCH([1]orders!$D975,[1]products!$A$1:$A$49,0),MATCH([1]orders!L$1,[1]products!$A$1:$G$1,0))</f>
        <v>14.55</v>
      </c>
      <c r="I975">
        <f t="shared" si="15"/>
        <v>87.300000000000011</v>
      </c>
    </row>
    <row r="976" spans="1:9" x14ac:dyDescent="0.25">
      <c r="A976" t="s">
        <v>1871</v>
      </c>
      <c r="B976">
        <v>43556</v>
      </c>
      <c r="C976" t="s">
        <v>1872</v>
      </c>
      <c r="D976" t="str">
        <f>INDEX('Customers (2)'!B:B,MATCH('Customers (2)'!A976,'Customers (2)'!A:A,0))</f>
        <v>Sada Roseborough</v>
      </c>
      <c r="E976" t="s">
        <v>146</v>
      </c>
      <c r="F976">
        <v>1</v>
      </c>
      <c r="G976">
        <f>INDEX([1]products!$A$1:$G$49,MATCH([1]orders!$D976,[1]products!$A$1:$A$49,0),MATCH([1]orders!K$1,[1]products!$A$1:$G$1,0))</f>
        <v>0.5</v>
      </c>
      <c r="H976">
        <f>INDEX([1]products!$A$1:$G$49,MATCH([1]orders!$D976,[1]products!$A$1:$A$49,0),MATCH([1]orders!L$1,[1]products!$A$1:$G$1,0))</f>
        <v>5.3699999999999992</v>
      </c>
      <c r="I976">
        <f t="shared" si="15"/>
        <v>5.3699999999999992</v>
      </c>
    </row>
    <row r="977" spans="1:9" x14ac:dyDescent="0.25">
      <c r="A977" t="s">
        <v>1873</v>
      </c>
      <c r="B977">
        <v>44538</v>
      </c>
      <c r="C977" t="s">
        <v>1874</v>
      </c>
      <c r="D977" t="str">
        <f>INDEX('Customers (2)'!B:B,MATCH('Customers (2)'!A977,'Customers (2)'!A:A,0))</f>
        <v>Clayton Kingwell</v>
      </c>
      <c r="E977" t="s">
        <v>54</v>
      </c>
      <c r="F977">
        <v>3</v>
      </c>
      <c r="G977">
        <f>INDEX([1]products!$A$1:$G$49,MATCH([1]orders!$D977,[1]products!$A$1:$A$49,0),MATCH([1]orders!K$1,[1]products!$A$1:$G$1,0))</f>
        <v>0.2</v>
      </c>
      <c r="H977">
        <f>INDEX([1]products!$A$1:$G$49,MATCH([1]orders!$D977,[1]products!$A$1:$A$49,0),MATCH([1]orders!L$1,[1]products!$A$1:$G$1,0))</f>
        <v>2.9849999999999999</v>
      </c>
      <c r="I977">
        <f t="shared" si="15"/>
        <v>8.9550000000000001</v>
      </c>
    </row>
    <row r="978" spans="1:9" x14ac:dyDescent="0.25">
      <c r="A978" t="s">
        <v>1875</v>
      </c>
      <c r="B978">
        <v>43643</v>
      </c>
      <c r="C978" t="s">
        <v>1876</v>
      </c>
      <c r="D978" t="str">
        <f>INDEX('Customers (2)'!B:B,MATCH('Customers (2)'!A978,'Customers (2)'!A:A,0))</f>
        <v>Kacy Canto</v>
      </c>
      <c r="E978" t="s">
        <v>10</v>
      </c>
      <c r="F978">
        <v>5</v>
      </c>
      <c r="G978">
        <f>INDEX([1]products!$A$1:$G$49,MATCH([1]orders!$D978,[1]products!$A$1:$A$49,0),MATCH([1]orders!K$1,[1]products!$A$1:$G$1,0))</f>
        <v>2.5</v>
      </c>
      <c r="H978">
        <f>INDEX([1]products!$A$1:$G$49,MATCH([1]orders!$D978,[1]products!$A$1:$A$49,0),MATCH([1]orders!L$1,[1]products!$A$1:$G$1,0))</f>
        <v>27.484999999999996</v>
      </c>
      <c r="I978">
        <f t="shared" si="15"/>
        <v>137.42499999999998</v>
      </c>
    </row>
    <row r="979" spans="1:9" x14ac:dyDescent="0.25">
      <c r="A979" t="s">
        <v>1877</v>
      </c>
      <c r="B979">
        <v>44026</v>
      </c>
      <c r="C979" t="s">
        <v>1878</v>
      </c>
      <c r="D979" t="str">
        <f>INDEX('Customers (2)'!B:B,MATCH('Customers (2)'!A979,'Customers (2)'!A:A,0))</f>
        <v>Mab Blakemore</v>
      </c>
      <c r="E979" t="s">
        <v>189</v>
      </c>
      <c r="F979">
        <v>5</v>
      </c>
      <c r="G979">
        <f>INDEX([1]products!$A$1:$G$49,MATCH([1]orders!$D979,[1]products!$A$1:$A$49,0),MATCH([1]orders!K$1,[1]products!$A$1:$G$1,0))</f>
        <v>1</v>
      </c>
      <c r="H979">
        <f>INDEX([1]products!$A$1:$G$49,MATCH([1]orders!$D979,[1]products!$A$1:$A$49,0),MATCH([1]orders!L$1,[1]products!$A$1:$G$1,0))</f>
        <v>11.95</v>
      </c>
      <c r="I979">
        <f t="shared" si="15"/>
        <v>59.75</v>
      </c>
    </row>
    <row r="980" spans="1:9" x14ac:dyDescent="0.25">
      <c r="A980" t="s">
        <v>1879</v>
      </c>
      <c r="B980">
        <v>43913</v>
      </c>
      <c r="C980" t="s">
        <v>1870</v>
      </c>
      <c r="D980" t="str">
        <f>INDEX('Customers (2)'!B:B,MATCH('Customers (2)'!A980,'Customers (2)'!A:A,0))</f>
        <v>Dedie Gooderridge</v>
      </c>
      <c r="E980" t="s">
        <v>192</v>
      </c>
      <c r="F980">
        <v>3</v>
      </c>
      <c r="G980">
        <f>INDEX([1]products!$A$1:$G$49,MATCH([1]orders!$D980,[1]products!$A$1:$A$49,0),MATCH([1]orders!K$1,[1]products!$A$1:$G$1,0))</f>
        <v>0.5</v>
      </c>
      <c r="H980">
        <f>INDEX([1]products!$A$1:$G$49,MATCH([1]orders!$D980,[1]products!$A$1:$A$49,0),MATCH([1]orders!L$1,[1]products!$A$1:$G$1,0))</f>
        <v>7.77</v>
      </c>
      <c r="I980">
        <f t="shared" si="15"/>
        <v>23.31</v>
      </c>
    </row>
    <row r="981" spans="1:9" x14ac:dyDescent="0.25">
      <c r="A981" t="s">
        <v>1880</v>
      </c>
      <c r="B981">
        <v>43856</v>
      </c>
      <c r="C981" t="s">
        <v>1881</v>
      </c>
      <c r="D981" t="str">
        <f>INDEX('Customers (2)'!B:B,MATCH('Customers (2)'!A981,'Customers (2)'!A:A,0))</f>
        <v>Javier Causnett</v>
      </c>
      <c r="E981" t="s">
        <v>146</v>
      </c>
      <c r="F981">
        <v>2</v>
      </c>
      <c r="G981">
        <f>INDEX([1]products!$A$1:$G$49,MATCH([1]orders!$D981,[1]products!$A$1:$A$49,0),MATCH([1]orders!K$1,[1]products!$A$1:$G$1,0))</f>
        <v>0.5</v>
      </c>
      <c r="H981">
        <f>INDEX([1]products!$A$1:$G$49,MATCH([1]orders!$D981,[1]products!$A$1:$A$49,0),MATCH([1]orders!L$1,[1]products!$A$1:$G$1,0))</f>
        <v>5.3699999999999992</v>
      </c>
      <c r="I981">
        <f t="shared" si="15"/>
        <v>10.739999999999998</v>
      </c>
    </row>
    <row r="982" spans="1:9" x14ac:dyDescent="0.25">
      <c r="A982" t="s">
        <v>1882</v>
      </c>
      <c r="B982">
        <v>43982</v>
      </c>
      <c r="C982" t="s">
        <v>1883</v>
      </c>
      <c r="D982" t="str">
        <f>INDEX('Customers (2)'!B:B,MATCH('Customers (2)'!A982,'Customers (2)'!A:A,0))</f>
        <v>Demetris Micheli</v>
      </c>
      <c r="E982" t="s">
        <v>530</v>
      </c>
      <c r="F982">
        <v>6</v>
      </c>
      <c r="G982">
        <f>INDEX([1]products!$A$1:$G$49,MATCH([1]orders!$D982,[1]products!$A$1:$A$49,0),MATCH([1]orders!K$1,[1]products!$A$1:$G$1,0))</f>
        <v>2.5</v>
      </c>
      <c r="H982">
        <f>INDEX([1]products!$A$1:$G$49,MATCH([1]orders!$D982,[1]products!$A$1:$A$49,0),MATCH([1]orders!L$1,[1]products!$A$1:$G$1,0))</f>
        <v>27.945</v>
      </c>
      <c r="I982">
        <f t="shared" si="15"/>
        <v>167.67000000000002</v>
      </c>
    </row>
    <row r="983" spans="1:9" x14ac:dyDescent="0.25">
      <c r="A983" t="s">
        <v>1884</v>
      </c>
      <c r="B983">
        <v>44397</v>
      </c>
      <c r="C983" t="s">
        <v>1885</v>
      </c>
      <c r="D983" t="str">
        <f>INDEX('Customers (2)'!B:B,MATCH('Customers (2)'!A983,'Customers (2)'!A:A,0))</f>
        <v>Chloette Bernardot</v>
      </c>
      <c r="E983" t="s">
        <v>51</v>
      </c>
      <c r="F983">
        <v>6</v>
      </c>
      <c r="G983">
        <f>INDEX([1]products!$A$1:$G$49,MATCH([1]orders!$D983,[1]products!$A$1:$A$49,0),MATCH([1]orders!K$1,[1]products!$A$1:$G$1,0))</f>
        <v>0.2</v>
      </c>
      <c r="H983">
        <f>INDEX([1]products!$A$1:$G$49,MATCH([1]orders!$D983,[1]products!$A$1:$A$49,0),MATCH([1]orders!L$1,[1]products!$A$1:$G$1,0))</f>
        <v>3.645</v>
      </c>
      <c r="I983">
        <f t="shared" si="15"/>
        <v>21.87</v>
      </c>
    </row>
    <row r="984" spans="1:9" x14ac:dyDescent="0.25">
      <c r="A984" t="s">
        <v>1886</v>
      </c>
      <c r="B984">
        <v>44785</v>
      </c>
      <c r="C984" t="s">
        <v>1887</v>
      </c>
      <c r="D984" t="str">
        <f>INDEX('Customers (2)'!B:B,MATCH('Customers (2)'!A984,'Customers (2)'!A:A,0))</f>
        <v>Kim Kemery</v>
      </c>
      <c r="E984" t="s">
        <v>189</v>
      </c>
      <c r="F984">
        <v>2</v>
      </c>
      <c r="G984">
        <f>INDEX([1]products!$A$1:$G$49,MATCH([1]orders!$D984,[1]products!$A$1:$A$49,0),MATCH([1]orders!K$1,[1]products!$A$1:$G$1,0))</f>
        <v>1</v>
      </c>
      <c r="H984">
        <f>INDEX([1]products!$A$1:$G$49,MATCH([1]orders!$D984,[1]products!$A$1:$A$49,0),MATCH([1]orders!L$1,[1]products!$A$1:$G$1,0))</f>
        <v>11.95</v>
      </c>
      <c r="I984">
        <f t="shared" si="15"/>
        <v>23.9</v>
      </c>
    </row>
    <row r="985" spans="1:9" x14ac:dyDescent="0.25">
      <c r="A985" t="s">
        <v>1888</v>
      </c>
      <c r="B985">
        <v>43831</v>
      </c>
      <c r="C985" t="s">
        <v>1889</v>
      </c>
      <c r="D985" t="str">
        <f>INDEX('Customers (2)'!B:B,MATCH('Customers (2)'!A985,'Customers (2)'!A:A,0))</f>
        <v>Fanchette Parlot</v>
      </c>
      <c r="E985" t="s">
        <v>44</v>
      </c>
      <c r="F985">
        <v>2</v>
      </c>
      <c r="G985">
        <f>INDEX([1]products!$A$1:$G$49,MATCH([1]orders!$D985,[1]products!$A$1:$A$49,0),MATCH([1]orders!K$1,[1]products!$A$1:$G$1,0))</f>
        <v>0.2</v>
      </c>
      <c r="H985">
        <f>INDEX([1]products!$A$1:$G$49,MATCH([1]orders!$D985,[1]products!$A$1:$A$49,0),MATCH([1]orders!L$1,[1]products!$A$1:$G$1,0))</f>
        <v>3.375</v>
      </c>
      <c r="I985">
        <f t="shared" si="15"/>
        <v>6.75</v>
      </c>
    </row>
    <row r="986" spans="1:9" x14ac:dyDescent="0.25">
      <c r="A986" t="s">
        <v>1890</v>
      </c>
      <c r="B986">
        <v>44214</v>
      </c>
      <c r="C986" t="s">
        <v>1891</v>
      </c>
      <c r="D986" t="str">
        <f>INDEX('Customers (2)'!B:B,MATCH('Customers (2)'!A986,'Customers (2)'!A:A,0))</f>
        <v>Ramon Cheak</v>
      </c>
      <c r="E986" t="s">
        <v>112</v>
      </c>
      <c r="F986">
        <v>1</v>
      </c>
      <c r="G986">
        <f>INDEX([1]products!$A$1:$G$49,MATCH([1]orders!$D986,[1]products!$A$1:$A$49,0),MATCH([1]orders!K$1,[1]products!$A$1:$G$1,0))</f>
        <v>2.5</v>
      </c>
      <c r="H986">
        <f>INDEX([1]products!$A$1:$G$49,MATCH([1]orders!$D986,[1]products!$A$1:$A$49,0),MATCH([1]orders!L$1,[1]products!$A$1:$G$1,0))</f>
        <v>31.624999999999996</v>
      </c>
      <c r="I986">
        <f t="shared" si="15"/>
        <v>31.624999999999996</v>
      </c>
    </row>
    <row r="987" spans="1:9" x14ac:dyDescent="0.25">
      <c r="A987" t="s">
        <v>1892</v>
      </c>
      <c r="B987">
        <v>44561</v>
      </c>
      <c r="C987" t="s">
        <v>1893</v>
      </c>
      <c r="D987" t="str">
        <f>INDEX('Customers (2)'!B:B,MATCH('Customers (2)'!A987,'Customers (2)'!A:A,0))</f>
        <v>Koressa O'Geneay</v>
      </c>
      <c r="E987" t="s">
        <v>189</v>
      </c>
      <c r="F987">
        <v>4</v>
      </c>
      <c r="G987">
        <f>INDEX([1]products!$A$1:$G$49,MATCH([1]orders!$D987,[1]products!$A$1:$A$49,0),MATCH([1]orders!K$1,[1]products!$A$1:$G$1,0))</f>
        <v>1</v>
      </c>
      <c r="H987">
        <f>INDEX([1]products!$A$1:$G$49,MATCH([1]orders!$D987,[1]products!$A$1:$A$49,0),MATCH([1]orders!L$1,[1]products!$A$1:$G$1,0))</f>
        <v>11.95</v>
      </c>
      <c r="I987">
        <f t="shared" si="15"/>
        <v>47.8</v>
      </c>
    </row>
    <row r="988" spans="1:9" x14ac:dyDescent="0.25">
      <c r="A988" t="s">
        <v>1894</v>
      </c>
      <c r="B988">
        <v>43955</v>
      </c>
      <c r="C988" t="s">
        <v>1895</v>
      </c>
      <c r="D988" t="str">
        <f>INDEX('Customers (2)'!B:B,MATCH('Customers (2)'!A988,'Customers (2)'!A:A,0))</f>
        <v>Claudell Ayre</v>
      </c>
      <c r="E988" t="s">
        <v>197</v>
      </c>
      <c r="F988">
        <v>1</v>
      </c>
      <c r="G988">
        <f>INDEX([1]products!$A$1:$G$49,MATCH([1]orders!$D988,[1]products!$A$1:$A$49,0),MATCH([1]orders!K$1,[1]products!$A$1:$G$1,0))</f>
        <v>2.5</v>
      </c>
      <c r="H988">
        <f>INDEX([1]products!$A$1:$G$49,MATCH([1]orders!$D988,[1]products!$A$1:$A$49,0),MATCH([1]orders!L$1,[1]products!$A$1:$G$1,0))</f>
        <v>33.464999999999996</v>
      </c>
      <c r="I988">
        <f t="shared" si="15"/>
        <v>33.464999999999996</v>
      </c>
    </row>
    <row r="989" spans="1:9" x14ac:dyDescent="0.25">
      <c r="A989" t="s">
        <v>1896</v>
      </c>
      <c r="B989">
        <v>44247</v>
      </c>
      <c r="C989" t="s">
        <v>1897</v>
      </c>
      <c r="D989" t="str">
        <f>INDEX('Customers (2)'!B:B,MATCH('Customers (2)'!A989,'Customers (2)'!A:A,0))</f>
        <v>Lorianne Kyneton</v>
      </c>
      <c r="E989" t="s">
        <v>72</v>
      </c>
      <c r="F989">
        <v>5</v>
      </c>
      <c r="G989">
        <f>INDEX([1]products!$A$1:$G$49,MATCH([1]orders!$D989,[1]products!$A$1:$A$49,0),MATCH([1]orders!K$1,[1]products!$A$1:$G$1,0))</f>
        <v>0.5</v>
      </c>
      <c r="H989">
        <f>INDEX([1]products!$A$1:$G$49,MATCH([1]orders!$D989,[1]products!$A$1:$A$49,0),MATCH([1]orders!L$1,[1]products!$A$1:$G$1,0))</f>
        <v>5.97</v>
      </c>
      <c r="I989">
        <f t="shared" si="15"/>
        <v>29.849999999999998</v>
      </c>
    </row>
    <row r="990" spans="1:9" x14ac:dyDescent="0.25">
      <c r="A990" t="s">
        <v>1898</v>
      </c>
      <c r="B990">
        <v>43897</v>
      </c>
      <c r="C990" t="s">
        <v>1899</v>
      </c>
      <c r="D990" t="str">
        <f>INDEX('Customers (2)'!B:B,MATCH('Customers (2)'!A990,'Customers (2)'!A:A,0))</f>
        <v>Adele McFayden</v>
      </c>
      <c r="E990" t="s">
        <v>2</v>
      </c>
      <c r="F990">
        <v>3</v>
      </c>
      <c r="G990">
        <f>INDEX([1]products!$A$1:$G$49,MATCH([1]orders!$D990,[1]products!$A$1:$A$49,0),MATCH([1]orders!K$1,[1]products!$A$1:$G$1,0))</f>
        <v>1</v>
      </c>
      <c r="H990">
        <f>INDEX([1]products!$A$1:$G$49,MATCH([1]orders!$D990,[1]products!$A$1:$A$49,0),MATCH([1]orders!L$1,[1]products!$A$1:$G$1,0))</f>
        <v>9.9499999999999993</v>
      </c>
      <c r="I990">
        <f t="shared" si="15"/>
        <v>29.849999999999998</v>
      </c>
    </row>
    <row r="991" spans="1:9" x14ac:dyDescent="0.25">
      <c r="A991" t="s">
        <v>1900</v>
      </c>
      <c r="B991">
        <v>43560</v>
      </c>
      <c r="C991" t="s">
        <v>1901</v>
      </c>
      <c r="D991" t="str">
        <f>INDEX('Customers (2)'!B:B,MATCH('Customers (2)'!A991,'Customers (2)'!A:A,0))</f>
        <v>Herta Layne</v>
      </c>
      <c r="E991" t="s">
        <v>171</v>
      </c>
      <c r="F991">
        <v>6</v>
      </c>
      <c r="G991">
        <f>INDEX([1]products!$A$1:$G$49,MATCH([1]orders!$D991,[1]products!$A$1:$A$49,0),MATCH([1]orders!K$1,[1]products!$A$1:$G$1,0))</f>
        <v>2.5</v>
      </c>
      <c r="H991">
        <f>INDEX([1]products!$A$1:$G$49,MATCH([1]orders!$D991,[1]products!$A$1:$A$49,0),MATCH([1]orders!L$1,[1]products!$A$1:$G$1,0))</f>
        <v>25.874999999999996</v>
      </c>
      <c r="I991">
        <f t="shared" si="15"/>
        <v>155.24999999999997</v>
      </c>
    </row>
    <row r="992" spans="1:9" x14ac:dyDescent="0.25">
      <c r="A992" t="s">
        <v>1902</v>
      </c>
      <c r="B992">
        <v>44718</v>
      </c>
      <c r="C992" t="s">
        <v>1903</v>
      </c>
      <c r="D992" t="str">
        <f>INDEX('Customers (2)'!B:B,MATCH('Customers (2)'!A992,'Customers (2)'!A:A,0))</f>
        <v>Dierdre Scrigmour</v>
      </c>
      <c r="E992" t="s">
        <v>51</v>
      </c>
      <c r="F992">
        <v>5</v>
      </c>
      <c r="G992">
        <f>INDEX([1]products!$A$1:$G$49,MATCH([1]orders!$D992,[1]products!$A$1:$A$49,0),MATCH([1]orders!K$1,[1]products!$A$1:$G$1,0))</f>
        <v>0.2</v>
      </c>
      <c r="H992">
        <f>INDEX([1]products!$A$1:$G$49,MATCH([1]orders!$D992,[1]products!$A$1:$A$49,0),MATCH([1]orders!L$1,[1]products!$A$1:$G$1,0))</f>
        <v>3.645</v>
      </c>
      <c r="I992">
        <f t="shared" si="15"/>
        <v>18.225000000000001</v>
      </c>
    </row>
    <row r="993" spans="1:9" x14ac:dyDescent="0.25">
      <c r="A993" t="s">
        <v>1902</v>
      </c>
      <c r="B993">
        <v>44718</v>
      </c>
      <c r="C993" t="s">
        <v>1903</v>
      </c>
      <c r="D993" t="str">
        <f>INDEX('Customers (2)'!B:B,MATCH('Customers (2)'!A993,'Customers (2)'!A:A,0))</f>
        <v>Romy Whittlesea</v>
      </c>
      <c r="E993" t="s">
        <v>123</v>
      </c>
      <c r="F993">
        <v>2</v>
      </c>
      <c r="G993">
        <f>INDEX([1]products!$A$1:$G$49,MATCH([1]orders!$D993,[1]products!$A$1:$A$49,0),MATCH([1]orders!K$1,[1]products!$A$1:$G$1,0))</f>
        <v>0.5</v>
      </c>
      <c r="H993">
        <f>INDEX([1]products!$A$1:$G$49,MATCH([1]orders!$D993,[1]products!$A$1:$A$49,0),MATCH([1]orders!L$1,[1]products!$A$1:$G$1,0))</f>
        <v>7.77</v>
      </c>
      <c r="I993">
        <f t="shared" si="15"/>
        <v>15.54</v>
      </c>
    </row>
    <row r="994" spans="1:9" x14ac:dyDescent="0.25">
      <c r="A994" t="s">
        <v>1904</v>
      </c>
      <c r="B994">
        <v>44276</v>
      </c>
      <c r="C994" t="s">
        <v>1905</v>
      </c>
      <c r="D994" t="str">
        <f>INDEX('Customers (2)'!B:B,MATCH('Customers (2)'!A994,'Customers (2)'!A:A,0))</f>
        <v>Desdemona Eye</v>
      </c>
      <c r="E994" t="s">
        <v>104</v>
      </c>
      <c r="F994">
        <v>3</v>
      </c>
      <c r="G994">
        <f>INDEX([1]products!$A$1:$G$49,MATCH([1]orders!$D994,[1]products!$A$1:$A$49,0),MATCH([1]orders!K$1,[1]products!$A$1:$G$1,0))</f>
        <v>2.5</v>
      </c>
      <c r="H994">
        <f>INDEX([1]products!$A$1:$G$49,MATCH([1]orders!$D994,[1]products!$A$1:$A$49,0),MATCH([1]orders!L$1,[1]products!$A$1:$G$1,0))</f>
        <v>36.454999999999998</v>
      </c>
      <c r="I994">
        <f t="shared" si="15"/>
        <v>109.36499999999999</v>
      </c>
    </row>
    <row r="995" spans="1:9" x14ac:dyDescent="0.25">
      <c r="A995" t="s">
        <v>1906</v>
      </c>
      <c r="B995">
        <v>44549</v>
      </c>
      <c r="C995" t="s">
        <v>1907</v>
      </c>
      <c r="D995" t="str">
        <f>INDEX('Customers (2)'!B:B,MATCH('Customers (2)'!A995,'Customers (2)'!A:A,0))</f>
        <v>Margarette Sterland</v>
      </c>
      <c r="E995" t="s">
        <v>6</v>
      </c>
      <c r="F995">
        <v>6</v>
      </c>
      <c r="G995">
        <f>INDEX([1]products!$A$1:$G$49,MATCH([1]orders!$D995,[1]products!$A$1:$A$49,0),MATCH([1]orders!K$1,[1]products!$A$1:$G$1,0))</f>
        <v>1</v>
      </c>
      <c r="H995">
        <f>INDEX([1]products!$A$1:$G$49,MATCH([1]orders!$D995,[1]products!$A$1:$A$49,0),MATCH([1]orders!L$1,[1]products!$A$1:$G$1,0))</f>
        <v>12.95</v>
      </c>
      <c r="I995">
        <f t="shared" si="15"/>
        <v>77.699999999999989</v>
      </c>
    </row>
    <row r="996" spans="1:9" x14ac:dyDescent="0.25">
      <c r="A996" t="s">
        <v>1908</v>
      </c>
      <c r="B996">
        <v>44244</v>
      </c>
      <c r="C996" t="s">
        <v>1909</v>
      </c>
      <c r="D996" t="str">
        <f>INDEX('Customers (2)'!B:B,MATCH('Customers (2)'!A996,'Customers (2)'!A:A,0))</f>
        <v>Catharine Scoines</v>
      </c>
      <c r="E996" t="s">
        <v>54</v>
      </c>
      <c r="F996">
        <v>3</v>
      </c>
      <c r="G996">
        <f>INDEX([1]products!$A$1:$G$49,MATCH([1]orders!$D996,[1]products!$A$1:$A$49,0),MATCH([1]orders!K$1,[1]products!$A$1:$G$1,0))</f>
        <v>0.2</v>
      </c>
      <c r="H996">
        <f>INDEX([1]products!$A$1:$G$49,MATCH([1]orders!$D996,[1]products!$A$1:$A$49,0),MATCH([1]orders!L$1,[1]products!$A$1:$G$1,0))</f>
        <v>2.9849999999999999</v>
      </c>
      <c r="I996">
        <f t="shared" si="15"/>
        <v>8.9550000000000001</v>
      </c>
    </row>
    <row r="997" spans="1:9" x14ac:dyDescent="0.25">
      <c r="A997" t="s">
        <v>1910</v>
      </c>
      <c r="B997">
        <v>43836</v>
      </c>
      <c r="C997" t="s">
        <v>1911</v>
      </c>
      <c r="D997" t="str">
        <f>INDEX('Customers (2)'!B:B,MATCH('Customers (2)'!A997,'Customers (2)'!A:A,0))</f>
        <v>Jennica Tewelson</v>
      </c>
      <c r="E997" t="s">
        <v>10</v>
      </c>
      <c r="F997">
        <v>1</v>
      </c>
      <c r="G997">
        <f>INDEX([1]products!$A$1:$G$49,MATCH([1]orders!$D997,[1]products!$A$1:$A$49,0),MATCH([1]orders!K$1,[1]products!$A$1:$G$1,0))</f>
        <v>2.5</v>
      </c>
      <c r="H997">
        <f>INDEX([1]products!$A$1:$G$49,MATCH([1]orders!$D997,[1]products!$A$1:$A$49,0),MATCH([1]orders!L$1,[1]products!$A$1:$G$1,0))</f>
        <v>27.484999999999996</v>
      </c>
      <c r="I997">
        <f t="shared" si="15"/>
        <v>27.484999999999996</v>
      </c>
    </row>
    <row r="998" spans="1:9" x14ac:dyDescent="0.25">
      <c r="A998" t="s">
        <v>1912</v>
      </c>
      <c r="B998">
        <v>44685</v>
      </c>
      <c r="C998" t="s">
        <v>1903</v>
      </c>
      <c r="D998" t="str">
        <f>INDEX('Customers (2)'!B:B,MATCH('Customers (2)'!A998,'Customers (2)'!A:A,0))</f>
        <v>Marguerite Graves</v>
      </c>
      <c r="E998" t="s">
        <v>22</v>
      </c>
      <c r="F998">
        <v>5</v>
      </c>
      <c r="G998">
        <f>INDEX([1]products!$A$1:$G$49,MATCH([1]orders!$D998,[1]products!$A$1:$A$49,0),MATCH([1]orders!K$1,[1]products!$A$1:$G$1,0))</f>
        <v>0.5</v>
      </c>
      <c r="H998">
        <f>INDEX([1]products!$A$1:$G$49,MATCH([1]orders!$D998,[1]products!$A$1:$A$49,0),MATCH([1]orders!L$1,[1]products!$A$1:$G$1,0))</f>
        <v>5.97</v>
      </c>
      <c r="I998">
        <f t="shared" si="15"/>
        <v>29.849999999999998</v>
      </c>
    </row>
    <row r="999" spans="1:9" x14ac:dyDescent="0.25">
      <c r="A999" t="s">
        <v>1913</v>
      </c>
      <c r="B999">
        <v>43749</v>
      </c>
      <c r="C999" t="s">
        <v>1903</v>
      </c>
      <c r="D999" t="str">
        <f>INDEX('Customers (2)'!B:B,MATCH('Customers (2)'!A999,'Customers (2)'!A:A,0))</f>
        <v>Etan Featenby</v>
      </c>
      <c r="E999" t="s">
        <v>67</v>
      </c>
      <c r="F999">
        <v>4</v>
      </c>
      <c r="G999">
        <f>INDEX([1]products!$A$1:$G$49,MATCH([1]orders!$D999,[1]products!$A$1:$A$49,0),MATCH([1]orders!K$1,[1]products!$A$1:$G$1,0))</f>
        <v>0.5</v>
      </c>
      <c r="H999">
        <f>INDEX([1]products!$A$1:$G$49,MATCH([1]orders!$D999,[1]products!$A$1:$A$49,0),MATCH([1]orders!L$1,[1]products!$A$1:$G$1,0))</f>
        <v>6.75</v>
      </c>
      <c r="I999">
        <f t="shared" si="15"/>
        <v>27</v>
      </c>
    </row>
    <row r="1000" spans="1:9" x14ac:dyDescent="0.25">
      <c r="A1000" t="s">
        <v>1914</v>
      </c>
      <c r="B1000">
        <v>44411</v>
      </c>
      <c r="C1000" t="s">
        <v>1915</v>
      </c>
      <c r="D1000" t="str">
        <f>INDEX('Customers (2)'!B:B,MATCH('Customers (2)'!A1000,'Customers (2)'!A:A,0))</f>
        <v>Nicolina Jenny</v>
      </c>
      <c r="E1000" t="s">
        <v>27</v>
      </c>
      <c r="F1000">
        <v>1</v>
      </c>
      <c r="G1000">
        <f>INDEX([1]products!$A$1:$G$49,MATCH([1]orders!$D1000,[1]products!$A$1:$A$49,0),MATCH([1]orders!K$1,[1]products!$A$1:$G$1,0))</f>
        <v>1</v>
      </c>
      <c r="H1000">
        <f>INDEX([1]products!$A$1:$G$49,MATCH([1]orders!$D1000,[1]products!$A$1:$A$49,0),MATCH([1]orders!L$1,[1]products!$A$1:$G$1,0))</f>
        <v>9.9499999999999993</v>
      </c>
      <c r="I1000">
        <f t="shared" si="15"/>
        <v>9.9499999999999993</v>
      </c>
    </row>
    <row r="1001" spans="1:9" x14ac:dyDescent="0.25">
      <c r="A1001" t="s">
        <v>1916</v>
      </c>
      <c r="B1001">
        <v>44119</v>
      </c>
      <c r="C1001" t="s">
        <v>1917</v>
      </c>
      <c r="D1001" t="str">
        <f>INDEX('Customers (2)'!B:B,MATCH('Customers (2)'!A1001,'Customers (2)'!A:A,0))</f>
        <v>Vidovic Antonelli</v>
      </c>
      <c r="E1001" t="s">
        <v>64</v>
      </c>
      <c r="F1001">
        <v>3</v>
      </c>
      <c r="G1001">
        <f>INDEX([1]products!$A$1:$G$49,MATCH([1]orders!$D1001,[1]products!$A$1:$A$49,0),MATCH([1]orders!K$1,[1]products!$A$1:$G$1,0))</f>
        <v>0.2</v>
      </c>
      <c r="H1001">
        <f>INDEX([1]products!$A$1:$G$49,MATCH([1]orders!$D1001,[1]products!$A$1:$A$49,0),MATCH([1]orders!L$1,[1]products!$A$1:$G$1,0))</f>
        <v>4.125</v>
      </c>
      <c r="I1001">
        <f t="shared" si="15"/>
        <v>12.375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001"/>
  <sheetViews>
    <sheetView workbookViewId="0">
      <selection activeCell="A2" sqref="A2"/>
    </sheetView>
  </sheetViews>
  <sheetFormatPr defaultRowHeight="15" x14ac:dyDescent="0.25"/>
  <cols>
    <col min="1" max="1" width="15.140625" bestFit="1" customWidth="1"/>
    <col min="2" max="2" width="12.140625" bestFit="1" customWidth="1"/>
    <col min="3" max="3" width="15.85546875" bestFit="1" customWidth="1"/>
    <col min="4" max="4" width="9.7109375" bestFit="1" customWidth="1"/>
    <col min="5" max="5" width="8.140625" bestFit="1" customWidth="1"/>
    <col min="6" max="6" width="6.7109375" bestFit="1" customWidth="1"/>
    <col min="7" max="7" width="8.85546875" bestFit="1" customWidth="1"/>
    <col min="8" max="8" width="7.42578125" bestFit="1" customWidth="1"/>
  </cols>
  <sheetData>
    <row r="1" spans="1:8" x14ac:dyDescent="0.25">
      <c r="A1" t="s">
        <v>1918</v>
      </c>
      <c r="B1" t="s">
        <v>1919</v>
      </c>
      <c r="C1" t="s">
        <v>1920</v>
      </c>
      <c r="D1" t="s">
        <v>1921</v>
      </c>
      <c r="E1" t="s">
        <v>1922</v>
      </c>
      <c r="F1" t="s">
        <v>1928</v>
      </c>
      <c r="G1" t="s">
        <v>1929</v>
      </c>
      <c r="H1" t="s">
        <v>1930</v>
      </c>
    </row>
    <row r="2" spans="1:8" x14ac:dyDescent="0.25">
      <c r="A2" t="s">
        <v>0</v>
      </c>
      <c r="B2">
        <v>43713</v>
      </c>
      <c r="C2" t="s">
        <v>1</v>
      </c>
      <c r="D2" t="s">
        <v>2</v>
      </c>
      <c r="E2">
        <v>2</v>
      </c>
      <c r="F2">
        <f>INDEX([1]products!$A$1:$G$49,MATCH([1]orders!$D2,[1]products!$A$1:$A$49,0),MATCH([1]orders!K$1,[1]products!$A$1:$G$1,0))</f>
        <v>1</v>
      </c>
      <c r="G2">
        <f>INDEX([1]products!$A$1:$G$49,MATCH([1]orders!$D2,[1]products!$A$1:$A$49,0),MATCH([1]orders!L$1,[1]products!$A$1:$G$1,0))</f>
        <v>9.9499999999999993</v>
      </c>
      <c r="H2">
        <f t="shared" ref="H2:H65" si="0">E2*G2</f>
        <v>19.899999999999999</v>
      </c>
    </row>
    <row r="3" spans="1:8" x14ac:dyDescent="0.25">
      <c r="A3" t="s">
        <v>0</v>
      </c>
      <c r="B3">
        <v>43713</v>
      </c>
      <c r="C3" t="s">
        <v>1</v>
      </c>
      <c r="D3" t="s">
        <v>3</v>
      </c>
      <c r="E3">
        <v>5</v>
      </c>
      <c r="F3">
        <f>INDEX([1]products!$A$1:$G$49,MATCH([1]orders!$D3,[1]products!$A$1:$A$49,0),MATCH([1]orders!K$1,[1]products!$A$1:$G$1,0))</f>
        <v>0.5</v>
      </c>
      <c r="G3">
        <f>INDEX([1]products!$A$1:$G$49,MATCH([1]orders!$D3,[1]products!$A$1:$A$49,0),MATCH([1]orders!L$1,[1]products!$A$1:$G$1,0))</f>
        <v>8.25</v>
      </c>
      <c r="H3">
        <f t="shared" si="0"/>
        <v>41.25</v>
      </c>
    </row>
    <row r="4" spans="1:8" x14ac:dyDescent="0.25">
      <c r="A4" t="s">
        <v>4</v>
      </c>
      <c r="B4">
        <v>44364</v>
      </c>
      <c r="C4" t="s">
        <v>5</v>
      </c>
      <c r="D4" t="s">
        <v>6</v>
      </c>
      <c r="E4">
        <v>1</v>
      </c>
      <c r="F4">
        <f>INDEX([1]products!$A$1:$G$49,MATCH([1]orders!$D4,[1]products!$A$1:$A$49,0),MATCH([1]orders!K$1,[1]products!$A$1:$G$1,0))</f>
        <v>1</v>
      </c>
      <c r="G4">
        <f>INDEX([1]products!$A$1:$G$49,MATCH([1]orders!$D4,[1]products!$A$1:$A$49,0),MATCH([1]orders!L$1,[1]products!$A$1:$G$1,0))</f>
        <v>12.95</v>
      </c>
      <c r="H4">
        <f t="shared" si="0"/>
        <v>12.95</v>
      </c>
    </row>
    <row r="5" spans="1:8" x14ac:dyDescent="0.25">
      <c r="A5" t="s">
        <v>7</v>
      </c>
      <c r="B5">
        <v>44392</v>
      </c>
      <c r="C5" t="s">
        <v>8</v>
      </c>
      <c r="D5" t="s">
        <v>9</v>
      </c>
      <c r="E5">
        <v>2</v>
      </c>
      <c r="F5">
        <f>INDEX([1]products!$A$1:$G$49,MATCH([1]orders!$D5,[1]products!$A$1:$A$49,0),MATCH([1]orders!K$1,[1]products!$A$1:$G$1,0))</f>
        <v>1</v>
      </c>
      <c r="G5">
        <f>INDEX([1]products!$A$1:$G$49,MATCH([1]orders!$D5,[1]products!$A$1:$A$49,0),MATCH([1]orders!L$1,[1]products!$A$1:$G$1,0))</f>
        <v>13.75</v>
      </c>
      <c r="H5">
        <f t="shared" si="0"/>
        <v>27.5</v>
      </c>
    </row>
    <row r="6" spans="1:8" x14ac:dyDescent="0.25">
      <c r="A6" t="s">
        <v>7</v>
      </c>
      <c r="B6">
        <v>44392</v>
      </c>
      <c r="C6" t="s">
        <v>8</v>
      </c>
      <c r="D6" t="s">
        <v>10</v>
      </c>
      <c r="E6">
        <v>2</v>
      </c>
      <c r="F6">
        <f>INDEX([1]products!$A$1:$G$49,MATCH([1]orders!$D6,[1]products!$A$1:$A$49,0),MATCH([1]orders!K$1,[1]products!$A$1:$G$1,0))</f>
        <v>2.5</v>
      </c>
      <c r="G6">
        <f>INDEX([1]products!$A$1:$G$49,MATCH([1]orders!$D6,[1]products!$A$1:$A$49,0),MATCH([1]orders!L$1,[1]products!$A$1:$G$1,0))</f>
        <v>27.484999999999996</v>
      </c>
      <c r="H6">
        <f t="shared" si="0"/>
        <v>54.969999999999992</v>
      </c>
    </row>
    <row r="7" spans="1:8" x14ac:dyDescent="0.25">
      <c r="A7" t="s">
        <v>11</v>
      </c>
      <c r="B7">
        <v>44412</v>
      </c>
      <c r="C7" t="s">
        <v>12</v>
      </c>
      <c r="D7" t="s">
        <v>13</v>
      </c>
      <c r="E7">
        <v>3</v>
      </c>
      <c r="F7">
        <f>INDEX([1]products!$A$1:$G$49,MATCH([1]orders!$D7,[1]products!$A$1:$A$49,0),MATCH([1]orders!K$1,[1]products!$A$1:$G$1,0))</f>
        <v>1</v>
      </c>
      <c r="G7">
        <f>INDEX([1]products!$A$1:$G$49,MATCH([1]orders!$D7,[1]products!$A$1:$A$49,0),MATCH([1]orders!L$1,[1]products!$A$1:$G$1,0))</f>
        <v>12.95</v>
      </c>
      <c r="H7">
        <f t="shared" si="0"/>
        <v>38.849999999999994</v>
      </c>
    </row>
    <row r="8" spans="1:8" x14ac:dyDescent="0.25">
      <c r="A8" t="s">
        <v>14</v>
      </c>
      <c r="B8">
        <v>44582</v>
      </c>
      <c r="C8" t="s">
        <v>15</v>
      </c>
      <c r="D8" t="s">
        <v>16</v>
      </c>
      <c r="E8">
        <v>3</v>
      </c>
      <c r="F8">
        <f>INDEX([1]products!$A$1:$G$49,MATCH([1]orders!$D8,[1]products!$A$1:$A$49,0),MATCH([1]orders!K$1,[1]products!$A$1:$G$1,0))</f>
        <v>0.5</v>
      </c>
      <c r="G8">
        <f>INDEX([1]products!$A$1:$G$49,MATCH([1]orders!$D8,[1]products!$A$1:$A$49,0),MATCH([1]orders!L$1,[1]products!$A$1:$G$1,0))</f>
        <v>7.29</v>
      </c>
      <c r="H8">
        <f t="shared" si="0"/>
        <v>21.87</v>
      </c>
    </row>
    <row r="9" spans="1:8" x14ac:dyDescent="0.25">
      <c r="A9" t="s">
        <v>17</v>
      </c>
      <c r="B9">
        <v>44701</v>
      </c>
      <c r="C9" t="s">
        <v>18</v>
      </c>
      <c r="D9" t="s">
        <v>19</v>
      </c>
      <c r="E9">
        <v>1</v>
      </c>
      <c r="F9">
        <f>INDEX([1]products!$A$1:$G$49,MATCH([1]orders!$D9,[1]products!$A$1:$A$49,0),MATCH([1]orders!K$1,[1]products!$A$1:$G$1,0))</f>
        <v>0.2</v>
      </c>
      <c r="G9">
        <f>INDEX([1]products!$A$1:$G$49,MATCH([1]orders!$D9,[1]products!$A$1:$A$49,0),MATCH([1]orders!L$1,[1]products!$A$1:$G$1,0))</f>
        <v>4.7549999999999999</v>
      </c>
      <c r="H9">
        <f t="shared" si="0"/>
        <v>4.7549999999999999</v>
      </c>
    </row>
    <row r="10" spans="1:8" x14ac:dyDescent="0.25">
      <c r="A10" t="s">
        <v>20</v>
      </c>
      <c r="B10">
        <v>43467</v>
      </c>
      <c r="C10" t="s">
        <v>21</v>
      </c>
      <c r="D10" t="s">
        <v>22</v>
      </c>
      <c r="E10">
        <v>3</v>
      </c>
      <c r="F10">
        <f>INDEX([1]products!$A$1:$G$49,MATCH([1]orders!$D10,[1]products!$A$1:$A$49,0),MATCH([1]orders!K$1,[1]products!$A$1:$G$1,0))</f>
        <v>0.5</v>
      </c>
      <c r="G10">
        <f>INDEX([1]products!$A$1:$G$49,MATCH([1]orders!$D10,[1]products!$A$1:$A$49,0),MATCH([1]orders!L$1,[1]products!$A$1:$G$1,0))</f>
        <v>5.97</v>
      </c>
      <c r="H10">
        <f t="shared" si="0"/>
        <v>17.91</v>
      </c>
    </row>
    <row r="11" spans="1:8" x14ac:dyDescent="0.25">
      <c r="A11" t="s">
        <v>23</v>
      </c>
      <c r="B11">
        <v>43713</v>
      </c>
      <c r="C11" t="s">
        <v>24</v>
      </c>
      <c r="D11" t="s">
        <v>22</v>
      </c>
      <c r="E11">
        <v>1</v>
      </c>
      <c r="F11">
        <f>INDEX([1]products!$A$1:$G$49,MATCH([1]orders!$D11,[1]products!$A$1:$A$49,0),MATCH([1]orders!K$1,[1]products!$A$1:$G$1,0))</f>
        <v>0.5</v>
      </c>
      <c r="G11">
        <f>INDEX([1]products!$A$1:$G$49,MATCH([1]orders!$D11,[1]products!$A$1:$A$49,0),MATCH([1]orders!L$1,[1]products!$A$1:$G$1,0))</f>
        <v>5.97</v>
      </c>
      <c r="H11">
        <f t="shared" si="0"/>
        <v>5.97</v>
      </c>
    </row>
    <row r="12" spans="1:8" x14ac:dyDescent="0.25">
      <c r="A12" t="s">
        <v>25</v>
      </c>
      <c r="B12">
        <v>44263</v>
      </c>
      <c r="C12" t="s">
        <v>26</v>
      </c>
      <c r="D12" t="s">
        <v>27</v>
      </c>
      <c r="E12">
        <v>4</v>
      </c>
      <c r="F12">
        <f>INDEX([1]products!$A$1:$G$49,MATCH([1]orders!$D12,[1]products!$A$1:$A$49,0),MATCH([1]orders!K$1,[1]products!$A$1:$G$1,0))</f>
        <v>1</v>
      </c>
      <c r="G12">
        <f>INDEX([1]products!$A$1:$G$49,MATCH([1]orders!$D12,[1]products!$A$1:$A$49,0),MATCH([1]orders!L$1,[1]products!$A$1:$G$1,0))</f>
        <v>9.9499999999999993</v>
      </c>
      <c r="H12">
        <f t="shared" si="0"/>
        <v>39.799999999999997</v>
      </c>
    </row>
    <row r="13" spans="1:8" x14ac:dyDescent="0.25">
      <c r="A13" t="s">
        <v>28</v>
      </c>
      <c r="B13">
        <v>44132</v>
      </c>
      <c r="C13" t="s">
        <v>29</v>
      </c>
      <c r="D13" t="s">
        <v>30</v>
      </c>
      <c r="E13">
        <v>5</v>
      </c>
      <c r="F13">
        <f>INDEX([1]products!$A$1:$G$49,MATCH([1]orders!$D13,[1]products!$A$1:$A$49,0),MATCH([1]orders!K$1,[1]products!$A$1:$G$1,0))</f>
        <v>2.5</v>
      </c>
      <c r="G13">
        <f>INDEX([1]products!$A$1:$G$49,MATCH([1]orders!$D13,[1]products!$A$1:$A$49,0),MATCH([1]orders!L$1,[1]products!$A$1:$G$1,0))</f>
        <v>34.154999999999994</v>
      </c>
      <c r="H13">
        <f t="shared" si="0"/>
        <v>170.77499999999998</v>
      </c>
    </row>
    <row r="14" spans="1:8" x14ac:dyDescent="0.25">
      <c r="A14" t="s">
        <v>31</v>
      </c>
      <c r="B14">
        <v>44744</v>
      </c>
      <c r="C14" t="s">
        <v>32</v>
      </c>
      <c r="D14" t="s">
        <v>2</v>
      </c>
      <c r="E14">
        <v>5</v>
      </c>
      <c r="F14">
        <f>INDEX([1]products!$A$1:$G$49,MATCH([1]orders!$D14,[1]products!$A$1:$A$49,0),MATCH([1]orders!K$1,[1]products!$A$1:$G$1,0))</f>
        <v>1</v>
      </c>
      <c r="G14">
        <f>INDEX([1]products!$A$1:$G$49,MATCH([1]orders!$D14,[1]products!$A$1:$A$49,0),MATCH([1]orders!L$1,[1]products!$A$1:$G$1,0))</f>
        <v>9.9499999999999993</v>
      </c>
      <c r="H14">
        <f t="shared" si="0"/>
        <v>49.75</v>
      </c>
    </row>
    <row r="15" spans="1:8" x14ac:dyDescent="0.25">
      <c r="A15" t="s">
        <v>33</v>
      </c>
      <c r="B15">
        <v>43973</v>
      </c>
      <c r="C15" t="s">
        <v>34</v>
      </c>
      <c r="D15" t="s">
        <v>35</v>
      </c>
      <c r="E15">
        <v>2</v>
      </c>
      <c r="F15">
        <f>INDEX([1]products!$A$1:$G$49,MATCH([1]orders!$D15,[1]products!$A$1:$A$49,0),MATCH([1]orders!K$1,[1]products!$A$1:$G$1,0))</f>
        <v>2.5</v>
      </c>
      <c r="G15">
        <f>INDEX([1]products!$A$1:$G$49,MATCH([1]orders!$D15,[1]products!$A$1:$A$49,0),MATCH([1]orders!L$1,[1]products!$A$1:$G$1,0))</f>
        <v>20.584999999999997</v>
      </c>
      <c r="H15">
        <f t="shared" si="0"/>
        <v>41.169999999999995</v>
      </c>
    </row>
    <row r="16" spans="1:8" x14ac:dyDescent="0.25">
      <c r="A16" t="s">
        <v>36</v>
      </c>
      <c r="B16">
        <v>44656</v>
      </c>
      <c r="C16" t="s">
        <v>37</v>
      </c>
      <c r="D16" t="s">
        <v>38</v>
      </c>
      <c r="E16">
        <v>3</v>
      </c>
      <c r="F16">
        <f>INDEX([1]products!$A$1:$G$49,MATCH([1]orders!$D16,[1]products!$A$1:$A$49,0),MATCH([1]orders!K$1,[1]products!$A$1:$G$1,0))</f>
        <v>0.2</v>
      </c>
      <c r="G16">
        <f>INDEX([1]products!$A$1:$G$49,MATCH([1]orders!$D16,[1]products!$A$1:$A$49,0),MATCH([1]orders!L$1,[1]products!$A$1:$G$1,0))</f>
        <v>3.8849999999999998</v>
      </c>
      <c r="H16">
        <f t="shared" si="0"/>
        <v>11.654999999999999</v>
      </c>
    </row>
    <row r="17" spans="1:8" x14ac:dyDescent="0.25">
      <c r="A17" t="s">
        <v>39</v>
      </c>
      <c r="B17">
        <v>44719</v>
      </c>
      <c r="C17" t="s">
        <v>40</v>
      </c>
      <c r="D17" t="s">
        <v>41</v>
      </c>
      <c r="E17">
        <v>5</v>
      </c>
      <c r="F17">
        <f>INDEX([1]products!$A$1:$G$49,MATCH([1]orders!$D17,[1]products!$A$1:$A$49,0),MATCH([1]orders!K$1,[1]products!$A$1:$G$1,0))</f>
        <v>2.5</v>
      </c>
      <c r="G17">
        <f>INDEX([1]products!$A$1:$G$49,MATCH([1]orders!$D17,[1]products!$A$1:$A$49,0),MATCH([1]orders!L$1,[1]products!$A$1:$G$1,0))</f>
        <v>22.884999999999998</v>
      </c>
      <c r="H17">
        <f t="shared" si="0"/>
        <v>114.42499999999998</v>
      </c>
    </row>
    <row r="18" spans="1:8" x14ac:dyDescent="0.25">
      <c r="A18" t="s">
        <v>42</v>
      </c>
      <c r="B18">
        <v>43544</v>
      </c>
      <c r="C18" t="s">
        <v>43</v>
      </c>
      <c r="D18" t="s">
        <v>44</v>
      </c>
      <c r="E18">
        <v>6</v>
      </c>
      <c r="F18">
        <f>INDEX([1]products!$A$1:$G$49,MATCH([1]orders!$D18,[1]products!$A$1:$A$49,0),MATCH([1]orders!K$1,[1]products!$A$1:$G$1,0))</f>
        <v>0.2</v>
      </c>
      <c r="G18">
        <f>INDEX([1]products!$A$1:$G$49,MATCH([1]orders!$D18,[1]products!$A$1:$A$49,0),MATCH([1]orders!L$1,[1]products!$A$1:$G$1,0))</f>
        <v>3.375</v>
      </c>
      <c r="H18">
        <f t="shared" si="0"/>
        <v>20.25</v>
      </c>
    </row>
    <row r="19" spans="1:8" x14ac:dyDescent="0.25">
      <c r="A19" t="s">
        <v>45</v>
      </c>
      <c r="B19">
        <v>43757</v>
      </c>
      <c r="C19" t="s">
        <v>46</v>
      </c>
      <c r="D19" t="s">
        <v>6</v>
      </c>
      <c r="E19">
        <v>6</v>
      </c>
      <c r="F19">
        <f>INDEX([1]products!$A$1:$G$49,MATCH([1]orders!$D19,[1]products!$A$1:$A$49,0),MATCH([1]orders!K$1,[1]products!$A$1:$G$1,0))</f>
        <v>1</v>
      </c>
      <c r="G19">
        <f>INDEX([1]products!$A$1:$G$49,MATCH([1]orders!$D19,[1]products!$A$1:$A$49,0),MATCH([1]orders!L$1,[1]products!$A$1:$G$1,0))</f>
        <v>12.95</v>
      </c>
      <c r="H19">
        <f t="shared" si="0"/>
        <v>77.699999999999989</v>
      </c>
    </row>
    <row r="20" spans="1:8" x14ac:dyDescent="0.25">
      <c r="A20" t="s">
        <v>47</v>
      </c>
      <c r="B20">
        <v>43629</v>
      </c>
      <c r="C20" t="s">
        <v>48</v>
      </c>
      <c r="D20" t="s">
        <v>35</v>
      </c>
      <c r="E20">
        <v>4</v>
      </c>
      <c r="F20">
        <f>INDEX([1]products!$A$1:$G$49,MATCH([1]orders!$D20,[1]products!$A$1:$A$49,0),MATCH([1]orders!K$1,[1]products!$A$1:$G$1,0))</f>
        <v>2.5</v>
      </c>
      <c r="G20">
        <f>INDEX([1]products!$A$1:$G$49,MATCH([1]orders!$D20,[1]products!$A$1:$A$49,0),MATCH([1]orders!L$1,[1]products!$A$1:$G$1,0))</f>
        <v>20.584999999999997</v>
      </c>
      <c r="H20">
        <f t="shared" si="0"/>
        <v>82.339999999999989</v>
      </c>
    </row>
    <row r="21" spans="1:8" x14ac:dyDescent="0.25">
      <c r="A21" t="s">
        <v>49</v>
      </c>
      <c r="B21">
        <v>44169</v>
      </c>
      <c r="C21" t="s">
        <v>50</v>
      </c>
      <c r="D21" t="s">
        <v>44</v>
      </c>
      <c r="E21">
        <v>5</v>
      </c>
      <c r="F21">
        <f>INDEX([1]products!$A$1:$G$49,MATCH([1]orders!$D21,[1]products!$A$1:$A$49,0),MATCH([1]orders!K$1,[1]products!$A$1:$G$1,0))</f>
        <v>0.2</v>
      </c>
      <c r="G21">
        <f>INDEX([1]products!$A$1:$G$49,MATCH([1]orders!$D21,[1]products!$A$1:$A$49,0),MATCH([1]orders!L$1,[1]products!$A$1:$G$1,0))</f>
        <v>3.375</v>
      </c>
      <c r="H21">
        <f t="shared" si="0"/>
        <v>16.875</v>
      </c>
    </row>
    <row r="22" spans="1:8" x14ac:dyDescent="0.25">
      <c r="A22" t="s">
        <v>49</v>
      </c>
      <c r="B22">
        <v>44169</v>
      </c>
      <c r="C22" t="s">
        <v>50</v>
      </c>
      <c r="D22" t="s">
        <v>51</v>
      </c>
      <c r="E22">
        <v>4</v>
      </c>
      <c r="F22">
        <f>INDEX([1]products!$A$1:$G$49,MATCH([1]orders!$D22,[1]products!$A$1:$A$49,0),MATCH([1]orders!K$1,[1]products!$A$1:$G$1,0))</f>
        <v>0.2</v>
      </c>
      <c r="G22">
        <f>INDEX([1]products!$A$1:$G$49,MATCH([1]orders!$D22,[1]products!$A$1:$A$49,0),MATCH([1]orders!L$1,[1]products!$A$1:$G$1,0))</f>
        <v>3.645</v>
      </c>
      <c r="H22">
        <f t="shared" si="0"/>
        <v>14.58</v>
      </c>
    </row>
    <row r="23" spans="1:8" x14ac:dyDescent="0.25">
      <c r="A23" t="s">
        <v>52</v>
      </c>
      <c r="B23">
        <v>44169</v>
      </c>
      <c r="C23" t="s">
        <v>53</v>
      </c>
      <c r="D23" t="s">
        <v>54</v>
      </c>
      <c r="E23">
        <v>6</v>
      </c>
      <c r="F23">
        <f>INDEX([1]products!$A$1:$G$49,MATCH([1]orders!$D23,[1]products!$A$1:$A$49,0),MATCH([1]orders!K$1,[1]products!$A$1:$G$1,0))</f>
        <v>0.2</v>
      </c>
      <c r="G23">
        <f>INDEX([1]products!$A$1:$G$49,MATCH([1]orders!$D23,[1]products!$A$1:$A$49,0),MATCH([1]orders!L$1,[1]products!$A$1:$G$1,0))</f>
        <v>2.9849999999999999</v>
      </c>
      <c r="H23">
        <f t="shared" si="0"/>
        <v>17.91</v>
      </c>
    </row>
    <row r="24" spans="1:8" x14ac:dyDescent="0.25">
      <c r="A24" t="s">
        <v>55</v>
      </c>
      <c r="B24">
        <v>44218</v>
      </c>
      <c r="C24" t="s">
        <v>56</v>
      </c>
      <c r="D24" t="s">
        <v>41</v>
      </c>
      <c r="E24">
        <v>4</v>
      </c>
      <c r="F24">
        <f>INDEX([1]products!$A$1:$G$49,MATCH([1]orders!$D24,[1]products!$A$1:$A$49,0),MATCH([1]orders!K$1,[1]products!$A$1:$G$1,0))</f>
        <v>2.5</v>
      </c>
      <c r="G24">
        <f>INDEX([1]products!$A$1:$G$49,MATCH([1]orders!$D24,[1]products!$A$1:$A$49,0),MATCH([1]orders!L$1,[1]products!$A$1:$G$1,0))</f>
        <v>22.884999999999998</v>
      </c>
      <c r="H24">
        <f t="shared" si="0"/>
        <v>91.539999999999992</v>
      </c>
    </row>
    <row r="25" spans="1:8" x14ac:dyDescent="0.25">
      <c r="A25" t="s">
        <v>57</v>
      </c>
      <c r="B25">
        <v>44603</v>
      </c>
      <c r="C25" t="s">
        <v>58</v>
      </c>
      <c r="D25" t="s">
        <v>54</v>
      </c>
      <c r="E25">
        <v>4</v>
      </c>
      <c r="F25">
        <f>INDEX([1]products!$A$1:$G$49,MATCH([1]orders!$D25,[1]products!$A$1:$A$49,0),MATCH([1]orders!K$1,[1]products!$A$1:$G$1,0))</f>
        <v>0.2</v>
      </c>
      <c r="G25">
        <f>INDEX([1]products!$A$1:$G$49,MATCH([1]orders!$D25,[1]products!$A$1:$A$49,0),MATCH([1]orders!L$1,[1]products!$A$1:$G$1,0))</f>
        <v>2.9849999999999999</v>
      </c>
      <c r="H25">
        <f t="shared" si="0"/>
        <v>11.94</v>
      </c>
    </row>
    <row r="26" spans="1:8" x14ac:dyDescent="0.25">
      <c r="A26" t="s">
        <v>59</v>
      </c>
      <c r="B26">
        <v>44454</v>
      </c>
      <c r="C26" t="s">
        <v>60</v>
      </c>
      <c r="D26" t="s">
        <v>61</v>
      </c>
      <c r="E26">
        <v>1</v>
      </c>
      <c r="F26">
        <f>INDEX([1]products!$A$1:$G$49,MATCH([1]orders!$D26,[1]products!$A$1:$A$49,0),MATCH([1]orders!K$1,[1]products!$A$1:$G$1,0))</f>
        <v>1</v>
      </c>
      <c r="G26">
        <f>INDEX([1]products!$A$1:$G$49,MATCH([1]orders!$D26,[1]products!$A$1:$A$49,0),MATCH([1]orders!L$1,[1]products!$A$1:$G$1,0))</f>
        <v>11.25</v>
      </c>
      <c r="H26">
        <f t="shared" si="0"/>
        <v>11.25</v>
      </c>
    </row>
    <row r="27" spans="1:8" x14ac:dyDescent="0.25">
      <c r="A27" t="s">
        <v>62</v>
      </c>
      <c r="B27">
        <v>44128</v>
      </c>
      <c r="C27" t="s">
        <v>63</v>
      </c>
      <c r="D27" t="s">
        <v>64</v>
      </c>
      <c r="E27">
        <v>3</v>
      </c>
      <c r="F27">
        <f>INDEX([1]products!$A$1:$G$49,MATCH([1]orders!$D27,[1]products!$A$1:$A$49,0),MATCH([1]orders!K$1,[1]products!$A$1:$G$1,0))</f>
        <v>0.2</v>
      </c>
      <c r="G27">
        <f>INDEX([1]products!$A$1:$G$49,MATCH([1]orders!$D27,[1]products!$A$1:$A$49,0),MATCH([1]orders!L$1,[1]products!$A$1:$G$1,0))</f>
        <v>4.125</v>
      </c>
      <c r="H27">
        <f t="shared" si="0"/>
        <v>12.375</v>
      </c>
    </row>
    <row r="28" spans="1:8" x14ac:dyDescent="0.25">
      <c r="A28" t="s">
        <v>65</v>
      </c>
      <c r="B28">
        <v>43516</v>
      </c>
      <c r="C28" t="s">
        <v>66</v>
      </c>
      <c r="D28" t="s">
        <v>67</v>
      </c>
      <c r="E28">
        <v>4</v>
      </c>
      <c r="F28">
        <f>INDEX([1]products!$A$1:$G$49,MATCH([1]orders!$D28,[1]products!$A$1:$A$49,0),MATCH([1]orders!K$1,[1]products!$A$1:$G$1,0))</f>
        <v>0.5</v>
      </c>
      <c r="G28">
        <f>INDEX([1]products!$A$1:$G$49,MATCH([1]orders!$D28,[1]products!$A$1:$A$49,0),MATCH([1]orders!L$1,[1]products!$A$1:$G$1,0))</f>
        <v>6.75</v>
      </c>
      <c r="H28">
        <f t="shared" si="0"/>
        <v>27</v>
      </c>
    </row>
    <row r="29" spans="1:8" x14ac:dyDescent="0.25">
      <c r="A29" t="s">
        <v>68</v>
      </c>
      <c r="B29">
        <v>43746</v>
      </c>
      <c r="C29" t="s">
        <v>69</v>
      </c>
      <c r="D29" t="s">
        <v>44</v>
      </c>
      <c r="E29">
        <v>5</v>
      </c>
      <c r="F29">
        <f>INDEX([1]products!$A$1:$G$49,MATCH([1]orders!$D29,[1]products!$A$1:$A$49,0),MATCH([1]orders!K$1,[1]products!$A$1:$G$1,0))</f>
        <v>0.2</v>
      </c>
      <c r="G29">
        <f>INDEX([1]products!$A$1:$G$49,MATCH([1]orders!$D29,[1]products!$A$1:$A$49,0),MATCH([1]orders!L$1,[1]products!$A$1:$G$1,0))</f>
        <v>3.375</v>
      </c>
      <c r="H29">
        <f t="shared" si="0"/>
        <v>16.875</v>
      </c>
    </row>
    <row r="30" spans="1:8" x14ac:dyDescent="0.25">
      <c r="A30" t="s">
        <v>70</v>
      </c>
      <c r="B30">
        <v>44775</v>
      </c>
      <c r="C30" t="s">
        <v>71</v>
      </c>
      <c r="D30" t="s">
        <v>72</v>
      </c>
      <c r="E30">
        <v>3</v>
      </c>
      <c r="F30">
        <f>INDEX([1]products!$A$1:$G$49,MATCH([1]orders!$D30,[1]products!$A$1:$A$49,0),MATCH([1]orders!K$1,[1]products!$A$1:$G$1,0))</f>
        <v>0.5</v>
      </c>
      <c r="G30">
        <f>INDEX([1]products!$A$1:$G$49,MATCH([1]orders!$D30,[1]products!$A$1:$A$49,0),MATCH([1]orders!L$1,[1]products!$A$1:$G$1,0))</f>
        <v>5.97</v>
      </c>
      <c r="H30">
        <f t="shared" si="0"/>
        <v>17.91</v>
      </c>
    </row>
    <row r="31" spans="1:8" x14ac:dyDescent="0.25">
      <c r="A31" t="s">
        <v>73</v>
      </c>
      <c r="B31">
        <v>43516</v>
      </c>
      <c r="C31" t="s">
        <v>74</v>
      </c>
      <c r="D31" t="s">
        <v>27</v>
      </c>
      <c r="E31">
        <v>4</v>
      </c>
      <c r="F31">
        <f>INDEX([1]products!$A$1:$G$49,MATCH([1]orders!$D31,[1]products!$A$1:$A$49,0),MATCH([1]orders!K$1,[1]products!$A$1:$G$1,0))</f>
        <v>1</v>
      </c>
      <c r="G31">
        <f>INDEX([1]products!$A$1:$G$49,MATCH([1]orders!$D31,[1]products!$A$1:$A$49,0),MATCH([1]orders!L$1,[1]products!$A$1:$G$1,0))</f>
        <v>9.9499999999999993</v>
      </c>
      <c r="H31">
        <f t="shared" si="0"/>
        <v>39.799999999999997</v>
      </c>
    </row>
    <row r="32" spans="1:8" x14ac:dyDescent="0.25">
      <c r="A32" t="s">
        <v>75</v>
      </c>
      <c r="B32">
        <v>44464</v>
      </c>
      <c r="C32" t="s">
        <v>76</v>
      </c>
      <c r="D32" t="s">
        <v>77</v>
      </c>
      <c r="E32">
        <v>5</v>
      </c>
      <c r="F32">
        <f>INDEX([1]products!$A$1:$G$49,MATCH([1]orders!$D32,[1]products!$A$1:$A$49,0),MATCH([1]orders!K$1,[1]products!$A$1:$G$1,0))</f>
        <v>0.2</v>
      </c>
      <c r="G32">
        <f>INDEX([1]products!$A$1:$G$49,MATCH([1]orders!$D32,[1]products!$A$1:$A$49,0),MATCH([1]orders!L$1,[1]products!$A$1:$G$1,0))</f>
        <v>4.3650000000000002</v>
      </c>
      <c r="H32">
        <f t="shared" si="0"/>
        <v>21.825000000000003</v>
      </c>
    </row>
    <row r="33" spans="1:8" x14ac:dyDescent="0.25">
      <c r="A33" t="s">
        <v>75</v>
      </c>
      <c r="B33">
        <v>44464</v>
      </c>
      <c r="C33" t="s">
        <v>76</v>
      </c>
      <c r="D33" t="s">
        <v>72</v>
      </c>
      <c r="E33">
        <v>6</v>
      </c>
      <c r="F33">
        <f>INDEX([1]products!$A$1:$G$49,MATCH([1]orders!$D33,[1]products!$A$1:$A$49,0),MATCH([1]orders!K$1,[1]products!$A$1:$G$1,0))</f>
        <v>0.5</v>
      </c>
      <c r="G33">
        <f>INDEX([1]products!$A$1:$G$49,MATCH([1]orders!$D33,[1]products!$A$1:$A$49,0),MATCH([1]orders!L$1,[1]products!$A$1:$G$1,0))</f>
        <v>5.97</v>
      </c>
      <c r="H33">
        <f t="shared" si="0"/>
        <v>35.82</v>
      </c>
    </row>
    <row r="34" spans="1:8" x14ac:dyDescent="0.25">
      <c r="A34" t="s">
        <v>75</v>
      </c>
      <c r="B34">
        <v>44464</v>
      </c>
      <c r="C34" t="s">
        <v>76</v>
      </c>
      <c r="D34" t="s">
        <v>78</v>
      </c>
      <c r="E34">
        <v>6</v>
      </c>
      <c r="F34">
        <f>INDEX([1]products!$A$1:$G$49,MATCH([1]orders!$D34,[1]products!$A$1:$A$49,0),MATCH([1]orders!K$1,[1]products!$A$1:$G$1,0))</f>
        <v>0.5</v>
      </c>
      <c r="G34">
        <f>INDEX([1]products!$A$1:$G$49,MATCH([1]orders!$D34,[1]products!$A$1:$A$49,0),MATCH([1]orders!L$1,[1]products!$A$1:$G$1,0))</f>
        <v>8.73</v>
      </c>
      <c r="H34">
        <f t="shared" si="0"/>
        <v>52.38</v>
      </c>
    </row>
    <row r="35" spans="1:8" x14ac:dyDescent="0.25">
      <c r="A35" t="s">
        <v>79</v>
      </c>
      <c r="B35">
        <v>44394</v>
      </c>
      <c r="C35" t="s">
        <v>80</v>
      </c>
      <c r="D35" t="s">
        <v>19</v>
      </c>
      <c r="E35">
        <v>5</v>
      </c>
      <c r="F35">
        <f>INDEX([1]products!$A$1:$G$49,MATCH([1]orders!$D35,[1]products!$A$1:$A$49,0),MATCH([1]orders!K$1,[1]products!$A$1:$G$1,0))</f>
        <v>0.2</v>
      </c>
      <c r="G35">
        <f>INDEX([1]products!$A$1:$G$49,MATCH([1]orders!$D35,[1]products!$A$1:$A$49,0),MATCH([1]orders!L$1,[1]products!$A$1:$G$1,0))</f>
        <v>4.7549999999999999</v>
      </c>
      <c r="H35">
        <f t="shared" si="0"/>
        <v>23.774999999999999</v>
      </c>
    </row>
    <row r="36" spans="1:8" x14ac:dyDescent="0.25">
      <c r="A36" t="s">
        <v>81</v>
      </c>
      <c r="B36">
        <v>44011</v>
      </c>
      <c r="C36" t="s">
        <v>82</v>
      </c>
      <c r="D36" t="s">
        <v>83</v>
      </c>
      <c r="E36">
        <v>6</v>
      </c>
      <c r="F36">
        <f>INDEX([1]products!$A$1:$G$49,MATCH([1]orders!$D36,[1]products!$A$1:$A$49,0),MATCH([1]orders!K$1,[1]products!$A$1:$G$1,0))</f>
        <v>0.5</v>
      </c>
      <c r="G36">
        <f>INDEX([1]products!$A$1:$G$49,MATCH([1]orders!$D36,[1]products!$A$1:$A$49,0),MATCH([1]orders!L$1,[1]products!$A$1:$G$1,0))</f>
        <v>9.51</v>
      </c>
      <c r="H36">
        <f t="shared" si="0"/>
        <v>57.06</v>
      </c>
    </row>
    <row r="37" spans="1:8" x14ac:dyDescent="0.25">
      <c r="A37" t="s">
        <v>84</v>
      </c>
      <c r="B37">
        <v>44348</v>
      </c>
      <c r="C37" t="s">
        <v>85</v>
      </c>
      <c r="D37" t="s">
        <v>72</v>
      </c>
      <c r="E37">
        <v>6</v>
      </c>
      <c r="F37">
        <f>INDEX([1]products!$A$1:$G$49,MATCH([1]orders!$D37,[1]products!$A$1:$A$49,0),MATCH([1]orders!K$1,[1]products!$A$1:$G$1,0))</f>
        <v>0.5</v>
      </c>
      <c r="G37">
        <f>INDEX([1]products!$A$1:$G$49,MATCH([1]orders!$D37,[1]products!$A$1:$A$49,0),MATCH([1]orders!L$1,[1]products!$A$1:$G$1,0))</f>
        <v>5.97</v>
      </c>
      <c r="H37">
        <f t="shared" si="0"/>
        <v>35.82</v>
      </c>
    </row>
    <row r="38" spans="1:8" x14ac:dyDescent="0.25">
      <c r="A38" t="s">
        <v>86</v>
      </c>
      <c r="B38">
        <v>44233</v>
      </c>
      <c r="C38" t="s">
        <v>87</v>
      </c>
      <c r="D38" t="s">
        <v>77</v>
      </c>
      <c r="E38">
        <v>2</v>
      </c>
      <c r="F38">
        <f>INDEX([1]products!$A$1:$G$49,MATCH([1]orders!$D38,[1]products!$A$1:$A$49,0),MATCH([1]orders!K$1,[1]products!$A$1:$G$1,0))</f>
        <v>0.2</v>
      </c>
      <c r="G38">
        <f>INDEX([1]products!$A$1:$G$49,MATCH([1]orders!$D38,[1]products!$A$1:$A$49,0),MATCH([1]orders!L$1,[1]products!$A$1:$G$1,0))</f>
        <v>4.3650000000000002</v>
      </c>
      <c r="H38">
        <f t="shared" si="0"/>
        <v>8.73</v>
      </c>
    </row>
    <row r="39" spans="1:8" x14ac:dyDescent="0.25">
      <c r="A39" t="s">
        <v>88</v>
      </c>
      <c r="B39">
        <v>43580</v>
      </c>
      <c r="C39" t="s">
        <v>89</v>
      </c>
      <c r="D39" t="s">
        <v>83</v>
      </c>
      <c r="E39">
        <v>3</v>
      </c>
      <c r="F39">
        <f>INDEX([1]products!$A$1:$G$49,MATCH([1]orders!$D39,[1]products!$A$1:$A$49,0),MATCH([1]orders!K$1,[1]products!$A$1:$G$1,0))</f>
        <v>0.5</v>
      </c>
      <c r="G39">
        <f>INDEX([1]products!$A$1:$G$49,MATCH([1]orders!$D39,[1]products!$A$1:$A$49,0),MATCH([1]orders!L$1,[1]products!$A$1:$G$1,0))</f>
        <v>9.51</v>
      </c>
      <c r="H39">
        <f t="shared" si="0"/>
        <v>28.53</v>
      </c>
    </row>
    <row r="40" spans="1:8" x14ac:dyDescent="0.25">
      <c r="A40" t="s">
        <v>90</v>
      </c>
      <c r="B40">
        <v>43946</v>
      </c>
      <c r="C40" t="s">
        <v>91</v>
      </c>
      <c r="D40" t="s">
        <v>41</v>
      </c>
      <c r="E40">
        <v>5</v>
      </c>
      <c r="F40">
        <f>INDEX([1]products!$A$1:$G$49,MATCH([1]orders!$D40,[1]products!$A$1:$A$49,0),MATCH([1]orders!K$1,[1]products!$A$1:$G$1,0))</f>
        <v>2.5</v>
      </c>
      <c r="G40">
        <f>INDEX([1]products!$A$1:$G$49,MATCH([1]orders!$D40,[1]products!$A$1:$A$49,0),MATCH([1]orders!L$1,[1]products!$A$1:$G$1,0))</f>
        <v>22.884999999999998</v>
      </c>
      <c r="H40">
        <f t="shared" si="0"/>
        <v>114.42499999999998</v>
      </c>
    </row>
    <row r="41" spans="1:8" x14ac:dyDescent="0.25">
      <c r="A41" t="s">
        <v>92</v>
      </c>
      <c r="B41">
        <v>44524</v>
      </c>
      <c r="C41" t="s">
        <v>93</v>
      </c>
      <c r="D41" t="s">
        <v>2</v>
      </c>
      <c r="E41">
        <v>6</v>
      </c>
      <c r="F41">
        <f>INDEX([1]products!$A$1:$G$49,MATCH([1]orders!$D41,[1]products!$A$1:$A$49,0),MATCH([1]orders!K$1,[1]products!$A$1:$G$1,0))</f>
        <v>1</v>
      </c>
      <c r="G41">
        <f>INDEX([1]products!$A$1:$G$49,MATCH([1]orders!$D41,[1]products!$A$1:$A$49,0),MATCH([1]orders!L$1,[1]products!$A$1:$G$1,0))</f>
        <v>9.9499999999999993</v>
      </c>
      <c r="H41">
        <f t="shared" si="0"/>
        <v>59.699999999999996</v>
      </c>
    </row>
    <row r="42" spans="1:8" x14ac:dyDescent="0.25">
      <c r="A42" t="s">
        <v>94</v>
      </c>
      <c r="B42">
        <v>44305</v>
      </c>
      <c r="C42" t="s">
        <v>95</v>
      </c>
      <c r="D42" t="s">
        <v>96</v>
      </c>
      <c r="E42">
        <v>3</v>
      </c>
      <c r="F42">
        <f>INDEX([1]products!$A$1:$G$49,MATCH([1]orders!$D42,[1]products!$A$1:$A$49,0),MATCH([1]orders!K$1,[1]products!$A$1:$G$1,0))</f>
        <v>1</v>
      </c>
      <c r="G42">
        <f>INDEX([1]products!$A$1:$G$49,MATCH([1]orders!$D42,[1]products!$A$1:$A$49,0),MATCH([1]orders!L$1,[1]products!$A$1:$G$1,0))</f>
        <v>14.55</v>
      </c>
      <c r="H42">
        <f t="shared" si="0"/>
        <v>43.650000000000006</v>
      </c>
    </row>
    <row r="43" spans="1:8" x14ac:dyDescent="0.25">
      <c r="A43" t="s">
        <v>97</v>
      </c>
      <c r="B43">
        <v>44749</v>
      </c>
      <c r="C43" t="s">
        <v>98</v>
      </c>
      <c r="D43" t="s">
        <v>51</v>
      </c>
      <c r="E43">
        <v>2</v>
      </c>
      <c r="F43">
        <f>INDEX([1]products!$A$1:$G$49,MATCH([1]orders!$D43,[1]products!$A$1:$A$49,0),MATCH([1]orders!K$1,[1]products!$A$1:$G$1,0))</f>
        <v>0.2</v>
      </c>
      <c r="G43">
        <f>INDEX([1]products!$A$1:$G$49,MATCH([1]orders!$D43,[1]products!$A$1:$A$49,0),MATCH([1]orders!L$1,[1]products!$A$1:$G$1,0))</f>
        <v>3.645</v>
      </c>
      <c r="H43">
        <f t="shared" si="0"/>
        <v>7.29</v>
      </c>
    </row>
    <row r="44" spans="1:8" x14ac:dyDescent="0.25">
      <c r="A44" t="s">
        <v>99</v>
      </c>
      <c r="B44">
        <v>43607</v>
      </c>
      <c r="C44" t="s">
        <v>100</v>
      </c>
      <c r="D44" t="s">
        <v>101</v>
      </c>
      <c r="E44">
        <v>3</v>
      </c>
      <c r="F44">
        <f>INDEX([1]products!$A$1:$G$49,MATCH([1]orders!$D44,[1]products!$A$1:$A$49,0),MATCH([1]orders!K$1,[1]products!$A$1:$G$1,0))</f>
        <v>0.2</v>
      </c>
      <c r="G44">
        <f>INDEX([1]products!$A$1:$G$49,MATCH([1]orders!$D44,[1]products!$A$1:$A$49,0),MATCH([1]orders!L$1,[1]products!$A$1:$G$1,0))</f>
        <v>2.6849999999999996</v>
      </c>
      <c r="H44">
        <f t="shared" si="0"/>
        <v>8.0549999999999997</v>
      </c>
    </row>
    <row r="45" spans="1:8" x14ac:dyDescent="0.25">
      <c r="A45" t="s">
        <v>102</v>
      </c>
      <c r="B45">
        <v>44473</v>
      </c>
      <c r="C45" t="s">
        <v>103</v>
      </c>
      <c r="D45" t="s">
        <v>104</v>
      </c>
      <c r="E45">
        <v>2</v>
      </c>
      <c r="F45">
        <f>INDEX([1]products!$A$1:$G$49,MATCH([1]orders!$D45,[1]products!$A$1:$A$49,0),MATCH([1]orders!K$1,[1]products!$A$1:$G$1,0))</f>
        <v>2.5</v>
      </c>
      <c r="G45">
        <f>INDEX([1]products!$A$1:$G$49,MATCH([1]orders!$D45,[1]products!$A$1:$A$49,0),MATCH([1]orders!L$1,[1]products!$A$1:$G$1,0))</f>
        <v>36.454999999999998</v>
      </c>
      <c r="H45">
        <f t="shared" si="0"/>
        <v>72.91</v>
      </c>
    </row>
    <row r="46" spans="1:8" x14ac:dyDescent="0.25">
      <c r="A46" t="s">
        <v>105</v>
      </c>
      <c r="B46">
        <v>43932</v>
      </c>
      <c r="C46" t="s">
        <v>106</v>
      </c>
      <c r="D46" t="s">
        <v>3</v>
      </c>
      <c r="E46">
        <v>2</v>
      </c>
      <c r="F46">
        <f>INDEX([1]products!$A$1:$G$49,MATCH([1]orders!$D46,[1]products!$A$1:$A$49,0),MATCH([1]orders!K$1,[1]products!$A$1:$G$1,0))</f>
        <v>0.5</v>
      </c>
      <c r="G46">
        <f>INDEX([1]products!$A$1:$G$49,MATCH([1]orders!$D46,[1]products!$A$1:$A$49,0),MATCH([1]orders!L$1,[1]products!$A$1:$G$1,0))</f>
        <v>8.25</v>
      </c>
      <c r="H46">
        <f t="shared" si="0"/>
        <v>16.5</v>
      </c>
    </row>
    <row r="47" spans="1:8" x14ac:dyDescent="0.25">
      <c r="A47" t="s">
        <v>107</v>
      </c>
      <c r="B47">
        <v>44592</v>
      </c>
      <c r="C47" t="s">
        <v>108</v>
      </c>
      <c r="D47" t="s">
        <v>109</v>
      </c>
      <c r="E47">
        <v>6</v>
      </c>
      <c r="F47">
        <f>INDEX([1]products!$A$1:$G$49,MATCH([1]orders!$D47,[1]products!$A$1:$A$49,0),MATCH([1]orders!K$1,[1]products!$A$1:$G$1,0))</f>
        <v>2.5</v>
      </c>
      <c r="G47">
        <f>INDEX([1]products!$A$1:$G$49,MATCH([1]orders!$D47,[1]products!$A$1:$A$49,0),MATCH([1]orders!L$1,[1]products!$A$1:$G$1,0))</f>
        <v>29.784999999999997</v>
      </c>
      <c r="H47">
        <f t="shared" si="0"/>
        <v>178.70999999999998</v>
      </c>
    </row>
    <row r="48" spans="1:8" x14ac:dyDescent="0.25">
      <c r="A48" t="s">
        <v>110</v>
      </c>
      <c r="B48">
        <v>43776</v>
      </c>
      <c r="C48" t="s">
        <v>111</v>
      </c>
      <c r="D48" t="s">
        <v>112</v>
      </c>
      <c r="E48">
        <v>2</v>
      </c>
      <c r="F48">
        <f>INDEX([1]products!$A$1:$G$49,MATCH([1]orders!$D48,[1]products!$A$1:$A$49,0),MATCH([1]orders!K$1,[1]products!$A$1:$G$1,0))</f>
        <v>2.5</v>
      </c>
      <c r="G48">
        <f>INDEX([1]products!$A$1:$G$49,MATCH([1]orders!$D48,[1]products!$A$1:$A$49,0),MATCH([1]orders!L$1,[1]products!$A$1:$G$1,0))</f>
        <v>31.624999999999996</v>
      </c>
      <c r="H48">
        <f t="shared" si="0"/>
        <v>63.249999999999993</v>
      </c>
    </row>
    <row r="49" spans="1:8" x14ac:dyDescent="0.25">
      <c r="A49" t="s">
        <v>113</v>
      </c>
      <c r="B49">
        <v>43644</v>
      </c>
      <c r="C49" t="s">
        <v>114</v>
      </c>
      <c r="D49" t="s">
        <v>115</v>
      </c>
      <c r="E49">
        <v>2</v>
      </c>
      <c r="F49">
        <f>INDEX([1]products!$A$1:$G$49,MATCH([1]orders!$D49,[1]products!$A$1:$A$49,0),MATCH([1]orders!K$1,[1]products!$A$1:$G$1,0))</f>
        <v>0.2</v>
      </c>
      <c r="G49">
        <f>INDEX([1]products!$A$1:$G$49,MATCH([1]orders!$D49,[1]products!$A$1:$A$49,0),MATCH([1]orders!L$1,[1]products!$A$1:$G$1,0))</f>
        <v>3.8849999999999998</v>
      </c>
      <c r="H49">
        <f t="shared" si="0"/>
        <v>7.77</v>
      </c>
    </row>
    <row r="50" spans="1:8" x14ac:dyDescent="0.25">
      <c r="A50" t="s">
        <v>116</v>
      </c>
      <c r="B50">
        <v>44085</v>
      </c>
      <c r="C50" t="s">
        <v>117</v>
      </c>
      <c r="D50" t="s">
        <v>118</v>
      </c>
      <c r="E50">
        <v>4</v>
      </c>
      <c r="F50">
        <f>INDEX([1]products!$A$1:$G$49,MATCH([1]orders!$D50,[1]products!$A$1:$A$49,0),MATCH([1]orders!K$1,[1]products!$A$1:$G$1,0))</f>
        <v>2.5</v>
      </c>
      <c r="G50">
        <f>INDEX([1]products!$A$1:$G$49,MATCH([1]orders!$D50,[1]products!$A$1:$A$49,0),MATCH([1]orders!L$1,[1]products!$A$1:$G$1,0))</f>
        <v>22.884999999999998</v>
      </c>
      <c r="H50">
        <f t="shared" si="0"/>
        <v>91.539999999999992</v>
      </c>
    </row>
    <row r="51" spans="1:8" x14ac:dyDescent="0.25">
      <c r="A51" t="s">
        <v>119</v>
      </c>
      <c r="B51">
        <v>44790</v>
      </c>
      <c r="C51" t="s">
        <v>120</v>
      </c>
      <c r="D51" t="s">
        <v>6</v>
      </c>
      <c r="E51">
        <v>3</v>
      </c>
      <c r="F51">
        <f>INDEX([1]products!$A$1:$G$49,MATCH([1]orders!$D51,[1]products!$A$1:$A$49,0),MATCH([1]orders!K$1,[1]products!$A$1:$G$1,0))</f>
        <v>1</v>
      </c>
      <c r="G51">
        <f>INDEX([1]products!$A$1:$G$49,MATCH([1]orders!$D51,[1]products!$A$1:$A$49,0),MATCH([1]orders!L$1,[1]products!$A$1:$G$1,0))</f>
        <v>12.95</v>
      </c>
      <c r="H51">
        <f t="shared" si="0"/>
        <v>38.849999999999994</v>
      </c>
    </row>
    <row r="52" spans="1:8" x14ac:dyDescent="0.25">
      <c r="A52" t="s">
        <v>121</v>
      </c>
      <c r="B52">
        <v>44792</v>
      </c>
      <c r="C52" t="s">
        <v>122</v>
      </c>
      <c r="D52" t="s">
        <v>123</v>
      </c>
      <c r="E52">
        <v>2</v>
      </c>
      <c r="F52">
        <f>INDEX([1]products!$A$1:$G$49,MATCH([1]orders!$D52,[1]products!$A$1:$A$49,0),MATCH([1]orders!K$1,[1]products!$A$1:$G$1,0))</f>
        <v>0.5</v>
      </c>
      <c r="G52">
        <f>INDEX([1]products!$A$1:$G$49,MATCH([1]orders!$D52,[1]products!$A$1:$A$49,0),MATCH([1]orders!L$1,[1]products!$A$1:$G$1,0))</f>
        <v>7.77</v>
      </c>
      <c r="H52">
        <f t="shared" si="0"/>
        <v>15.54</v>
      </c>
    </row>
    <row r="53" spans="1:8" x14ac:dyDescent="0.25">
      <c r="A53" t="s">
        <v>124</v>
      </c>
      <c r="B53">
        <v>43600</v>
      </c>
      <c r="C53" t="s">
        <v>125</v>
      </c>
      <c r="D53" t="s">
        <v>104</v>
      </c>
      <c r="E53">
        <v>4</v>
      </c>
      <c r="F53">
        <f>INDEX([1]products!$A$1:$G$49,MATCH([1]orders!$D53,[1]products!$A$1:$A$49,0),MATCH([1]orders!K$1,[1]products!$A$1:$G$1,0))</f>
        <v>2.5</v>
      </c>
      <c r="G53">
        <f>INDEX([1]products!$A$1:$G$49,MATCH([1]orders!$D53,[1]products!$A$1:$A$49,0),MATCH([1]orders!L$1,[1]products!$A$1:$G$1,0))</f>
        <v>36.454999999999998</v>
      </c>
      <c r="H53">
        <f t="shared" si="0"/>
        <v>145.82</v>
      </c>
    </row>
    <row r="54" spans="1:8" x14ac:dyDescent="0.25">
      <c r="A54" t="s">
        <v>126</v>
      </c>
      <c r="B54">
        <v>43719</v>
      </c>
      <c r="C54" t="s">
        <v>127</v>
      </c>
      <c r="D54" t="s">
        <v>22</v>
      </c>
      <c r="E54">
        <v>5</v>
      </c>
      <c r="F54">
        <f>INDEX([1]products!$A$1:$G$49,MATCH([1]orders!$D54,[1]products!$A$1:$A$49,0),MATCH([1]orders!K$1,[1]products!$A$1:$G$1,0))</f>
        <v>0.5</v>
      </c>
      <c r="G54">
        <f>INDEX([1]products!$A$1:$G$49,MATCH([1]orders!$D54,[1]products!$A$1:$A$49,0),MATCH([1]orders!L$1,[1]products!$A$1:$G$1,0))</f>
        <v>5.97</v>
      </c>
      <c r="H54">
        <f t="shared" si="0"/>
        <v>29.849999999999998</v>
      </c>
    </row>
    <row r="55" spans="1:8" x14ac:dyDescent="0.25">
      <c r="A55" t="s">
        <v>126</v>
      </c>
      <c r="B55">
        <v>43719</v>
      </c>
      <c r="C55" t="s">
        <v>127</v>
      </c>
      <c r="D55" t="s">
        <v>104</v>
      </c>
      <c r="E55">
        <v>2</v>
      </c>
      <c r="F55">
        <f>INDEX([1]products!$A$1:$G$49,MATCH([1]orders!$D55,[1]products!$A$1:$A$49,0),MATCH([1]orders!K$1,[1]products!$A$1:$G$1,0))</f>
        <v>2.5</v>
      </c>
      <c r="G55">
        <f>INDEX([1]products!$A$1:$G$49,MATCH([1]orders!$D55,[1]products!$A$1:$A$49,0),MATCH([1]orders!L$1,[1]products!$A$1:$G$1,0))</f>
        <v>36.454999999999998</v>
      </c>
      <c r="H55">
        <f t="shared" si="0"/>
        <v>72.91</v>
      </c>
    </row>
    <row r="56" spans="1:8" x14ac:dyDescent="0.25">
      <c r="A56" t="s">
        <v>128</v>
      </c>
      <c r="B56">
        <v>44271</v>
      </c>
      <c r="C56" t="s">
        <v>129</v>
      </c>
      <c r="D56" t="s">
        <v>96</v>
      </c>
      <c r="E56">
        <v>5</v>
      </c>
      <c r="F56">
        <f>INDEX([1]products!$A$1:$G$49,MATCH([1]orders!$D56,[1]products!$A$1:$A$49,0),MATCH([1]orders!K$1,[1]products!$A$1:$G$1,0))</f>
        <v>1</v>
      </c>
      <c r="G56">
        <f>INDEX([1]products!$A$1:$G$49,MATCH([1]orders!$D56,[1]products!$A$1:$A$49,0),MATCH([1]orders!L$1,[1]products!$A$1:$G$1,0))</f>
        <v>14.55</v>
      </c>
      <c r="H56">
        <f t="shared" si="0"/>
        <v>72.75</v>
      </c>
    </row>
    <row r="57" spans="1:8" x14ac:dyDescent="0.25">
      <c r="A57" t="s">
        <v>130</v>
      </c>
      <c r="B57">
        <v>44168</v>
      </c>
      <c r="C57" t="s">
        <v>131</v>
      </c>
      <c r="D57" t="s">
        <v>132</v>
      </c>
      <c r="E57">
        <v>3</v>
      </c>
      <c r="F57">
        <f>INDEX([1]products!$A$1:$G$49,MATCH([1]orders!$D57,[1]products!$A$1:$A$49,0),MATCH([1]orders!K$1,[1]products!$A$1:$G$1,0))</f>
        <v>1</v>
      </c>
      <c r="G57">
        <f>INDEX([1]products!$A$1:$G$49,MATCH([1]orders!$D57,[1]products!$A$1:$A$49,0),MATCH([1]orders!L$1,[1]products!$A$1:$G$1,0))</f>
        <v>15.85</v>
      </c>
      <c r="H57">
        <f t="shared" si="0"/>
        <v>47.55</v>
      </c>
    </row>
    <row r="58" spans="1:8" x14ac:dyDescent="0.25">
      <c r="A58" t="s">
        <v>133</v>
      </c>
      <c r="B58">
        <v>43857</v>
      </c>
      <c r="C58" t="s">
        <v>134</v>
      </c>
      <c r="D58" t="s">
        <v>51</v>
      </c>
      <c r="E58">
        <v>3</v>
      </c>
      <c r="F58">
        <f>INDEX([1]products!$A$1:$G$49,MATCH([1]orders!$D58,[1]products!$A$1:$A$49,0),MATCH([1]orders!K$1,[1]products!$A$1:$G$1,0))</f>
        <v>0.2</v>
      </c>
      <c r="G58">
        <f>INDEX([1]products!$A$1:$G$49,MATCH([1]orders!$D58,[1]products!$A$1:$A$49,0),MATCH([1]orders!L$1,[1]products!$A$1:$G$1,0))</f>
        <v>3.645</v>
      </c>
      <c r="H58">
        <f t="shared" si="0"/>
        <v>10.935</v>
      </c>
    </row>
    <row r="59" spans="1:8" x14ac:dyDescent="0.25">
      <c r="A59" t="s">
        <v>135</v>
      </c>
      <c r="B59">
        <v>44759</v>
      </c>
      <c r="C59" t="s">
        <v>136</v>
      </c>
      <c r="D59" t="s">
        <v>137</v>
      </c>
      <c r="E59">
        <v>4</v>
      </c>
      <c r="F59">
        <f>INDEX([1]products!$A$1:$G$49,MATCH([1]orders!$D59,[1]products!$A$1:$A$49,0),MATCH([1]orders!K$1,[1]products!$A$1:$G$1,0))</f>
        <v>1</v>
      </c>
      <c r="G59">
        <f>INDEX([1]products!$A$1:$G$49,MATCH([1]orders!$D59,[1]products!$A$1:$A$49,0),MATCH([1]orders!L$1,[1]products!$A$1:$G$1,0))</f>
        <v>14.85</v>
      </c>
      <c r="H59">
        <f t="shared" si="0"/>
        <v>59.4</v>
      </c>
    </row>
    <row r="60" spans="1:8" x14ac:dyDescent="0.25">
      <c r="A60" t="s">
        <v>138</v>
      </c>
      <c r="B60">
        <v>44624</v>
      </c>
      <c r="C60" t="s">
        <v>139</v>
      </c>
      <c r="D60" t="s">
        <v>109</v>
      </c>
      <c r="E60">
        <v>3</v>
      </c>
      <c r="F60">
        <f>INDEX([1]products!$A$1:$G$49,MATCH([1]orders!$D60,[1]products!$A$1:$A$49,0),MATCH([1]orders!K$1,[1]products!$A$1:$G$1,0))</f>
        <v>2.5</v>
      </c>
      <c r="G60">
        <f>INDEX([1]products!$A$1:$G$49,MATCH([1]orders!$D60,[1]products!$A$1:$A$49,0),MATCH([1]orders!L$1,[1]products!$A$1:$G$1,0))</f>
        <v>29.784999999999997</v>
      </c>
      <c r="H60">
        <f t="shared" si="0"/>
        <v>89.35499999999999</v>
      </c>
    </row>
    <row r="61" spans="1:8" x14ac:dyDescent="0.25">
      <c r="A61" t="s">
        <v>140</v>
      </c>
      <c r="B61">
        <v>44537</v>
      </c>
      <c r="C61" t="s">
        <v>141</v>
      </c>
      <c r="D61" t="s">
        <v>78</v>
      </c>
      <c r="E61">
        <v>3</v>
      </c>
      <c r="F61">
        <f>INDEX([1]products!$A$1:$G$49,MATCH([1]orders!$D61,[1]products!$A$1:$A$49,0),MATCH([1]orders!K$1,[1]products!$A$1:$G$1,0))</f>
        <v>0.5</v>
      </c>
      <c r="G61">
        <f>INDEX([1]products!$A$1:$G$49,MATCH([1]orders!$D61,[1]products!$A$1:$A$49,0),MATCH([1]orders!L$1,[1]products!$A$1:$G$1,0))</f>
        <v>8.73</v>
      </c>
      <c r="H61">
        <f t="shared" si="0"/>
        <v>26.19</v>
      </c>
    </row>
    <row r="62" spans="1:8" x14ac:dyDescent="0.25">
      <c r="A62" t="s">
        <v>142</v>
      </c>
      <c r="B62">
        <v>44252</v>
      </c>
      <c r="C62" t="s">
        <v>143</v>
      </c>
      <c r="D62" t="s">
        <v>118</v>
      </c>
      <c r="E62">
        <v>5</v>
      </c>
      <c r="F62">
        <f>INDEX([1]products!$A$1:$G$49,MATCH([1]orders!$D62,[1]products!$A$1:$A$49,0),MATCH([1]orders!K$1,[1]products!$A$1:$G$1,0))</f>
        <v>2.5</v>
      </c>
      <c r="G62">
        <f>INDEX([1]products!$A$1:$G$49,MATCH([1]orders!$D62,[1]products!$A$1:$A$49,0),MATCH([1]orders!L$1,[1]products!$A$1:$G$1,0))</f>
        <v>22.884999999999998</v>
      </c>
      <c r="H62">
        <f t="shared" si="0"/>
        <v>114.42499999999998</v>
      </c>
    </row>
    <row r="63" spans="1:8" x14ac:dyDescent="0.25">
      <c r="A63" t="s">
        <v>144</v>
      </c>
      <c r="B63">
        <v>43521</v>
      </c>
      <c r="C63" t="s">
        <v>145</v>
      </c>
      <c r="D63" t="s">
        <v>146</v>
      </c>
      <c r="E63">
        <v>5</v>
      </c>
      <c r="F63">
        <f>INDEX([1]products!$A$1:$G$49,MATCH([1]orders!$D63,[1]products!$A$1:$A$49,0),MATCH([1]orders!K$1,[1]products!$A$1:$G$1,0))</f>
        <v>0.5</v>
      </c>
      <c r="G63">
        <f>INDEX([1]products!$A$1:$G$49,MATCH([1]orders!$D63,[1]products!$A$1:$A$49,0),MATCH([1]orders!L$1,[1]products!$A$1:$G$1,0))</f>
        <v>5.3699999999999992</v>
      </c>
      <c r="H63">
        <f t="shared" si="0"/>
        <v>26.849999999999994</v>
      </c>
    </row>
    <row r="64" spans="1:8" x14ac:dyDescent="0.25">
      <c r="A64" t="s">
        <v>147</v>
      </c>
      <c r="B64">
        <v>43505</v>
      </c>
      <c r="C64" t="s">
        <v>148</v>
      </c>
      <c r="D64" t="s">
        <v>19</v>
      </c>
      <c r="E64">
        <v>5</v>
      </c>
      <c r="F64">
        <f>INDEX([1]products!$A$1:$G$49,MATCH([1]orders!$D64,[1]products!$A$1:$A$49,0),MATCH([1]orders!K$1,[1]products!$A$1:$G$1,0))</f>
        <v>0.2</v>
      </c>
      <c r="G64">
        <f>INDEX([1]products!$A$1:$G$49,MATCH([1]orders!$D64,[1]products!$A$1:$A$49,0),MATCH([1]orders!L$1,[1]products!$A$1:$G$1,0))</f>
        <v>4.7549999999999999</v>
      </c>
      <c r="H64">
        <f t="shared" si="0"/>
        <v>23.774999999999999</v>
      </c>
    </row>
    <row r="65" spans="1:8" x14ac:dyDescent="0.25">
      <c r="A65" t="s">
        <v>149</v>
      </c>
      <c r="B65">
        <v>43868</v>
      </c>
      <c r="C65" t="s">
        <v>150</v>
      </c>
      <c r="D65" t="s">
        <v>67</v>
      </c>
      <c r="E65">
        <v>1</v>
      </c>
      <c r="F65">
        <f>INDEX([1]products!$A$1:$G$49,MATCH([1]orders!$D65,[1]products!$A$1:$A$49,0),MATCH([1]orders!K$1,[1]products!$A$1:$G$1,0))</f>
        <v>0.5</v>
      </c>
      <c r="G65">
        <f>INDEX([1]products!$A$1:$G$49,MATCH([1]orders!$D65,[1]products!$A$1:$A$49,0),MATCH([1]orders!L$1,[1]products!$A$1:$G$1,0))</f>
        <v>6.75</v>
      </c>
      <c r="H65">
        <f t="shared" si="0"/>
        <v>6.75</v>
      </c>
    </row>
    <row r="66" spans="1:8" x14ac:dyDescent="0.25">
      <c r="A66" t="s">
        <v>151</v>
      </c>
      <c r="B66">
        <v>43913</v>
      </c>
      <c r="C66" t="s">
        <v>152</v>
      </c>
      <c r="D66" t="s">
        <v>22</v>
      </c>
      <c r="E66">
        <v>6</v>
      </c>
      <c r="F66">
        <f>INDEX([1]products!$A$1:$G$49,MATCH([1]orders!$D66,[1]products!$A$1:$A$49,0),MATCH([1]orders!K$1,[1]products!$A$1:$G$1,0))</f>
        <v>0.5</v>
      </c>
      <c r="G66">
        <f>INDEX([1]products!$A$1:$G$49,MATCH([1]orders!$D66,[1]products!$A$1:$A$49,0),MATCH([1]orders!L$1,[1]products!$A$1:$G$1,0))</f>
        <v>5.97</v>
      </c>
      <c r="H66">
        <f t="shared" ref="H66:H129" si="1">E66*G66</f>
        <v>35.82</v>
      </c>
    </row>
    <row r="67" spans="1:8" x14ac:dyDescent="0.25">
      <c r="A67" t="s">
        <v>153</v>
      </c>
      <c r="B67">
        <v>44626</v>
      </c>
      <c r="C67" t="s">
        <v>154</v>
      </c>
      <c r="D67" t="s">
        <v>35</v>
      </c>
      <c r="E67">
        <v>4</v>
      </c>
      <c r="F67">
        <f>INDEX([1]products!$A$1:$G$49,MATCH([1]orders!$D67,[1]products!$A$1:$A$49,0),MATCH([1]orders!K$1,[1]products!$A$1:$G$1,0))</f>
        <v>2.5</v>
      </c>
      <c r="G67">
        <f>INDEX([1]products!$A$1:$G$49,MATCH([1]orders!$D67,[1]products!$A$1:$A$49,0),MATCH([1]orders!L$1,[1]products!$A$1:$G$1,0))</f>
        <v>20.584999999999997</v>
      </c>
      <c r="H67">
        <f t="shared" si="1"/>
        <v>82.339999999999989</v>
      </c>
    </row>
    <row r="68" spans="1:8" x14ac:dyDescent="0.25">
      <c r="A68" t="s">
        <v>155</v>
      </c>
      <c r="B68">
        <v>44666</v>
      </c>
      <c r="C68" t="s">
        <v>156</v>
      </c>
      <c r="D68" t="s">
        <v>157</v>
      </c>
      <c r="E68">
        <v>1</v>
      </c>
      <c r="F68">
        <f>INDEX([1]products!$A$1:$G$49,MATCH([1]orders!$D68,[1]products!$A$1:$A$49,0),MATCH([1]orders!K$1,[1]products!$A$1:$G$1,0))</f>
        <v>0.5</v>
      </c>
      <c r="G68">
        <f>INDEX([1]products!$A$1:$G$49,MATCH([1]orders!$D68,[1]products!$A$1:$A$49,0),MATCH([1]orders!L$1,[1]products!$A$1:$G$1,0))</f>
        <v>7.169999999999999</v>
      </c>
      <c r="H68">
        <f t="shared" si="1"/>
        <v>7.169999999999999</v>
      </c>
    </row>
    <row r="69" spans="1:8" x14ac:dyDescent="0.25">
      <c r="A69" t="s">
        <v>158</v>
      </c>
      <c r="B69">
        <v>44519</v>
      </c>
      <c r="C69" t="s">
        <v>159</v>
      </c>
      <c r="D69" t="s">
        <v>19</v>
      </c>
      <c r="E69">
        <v>2</v>
      </c>
      <c r="F69">
        <f>INDEX([1]products!$A$1:$G$49,MATCH([1]orders!$D69,[1]products!$A$1:$A$49,0),MATCH([1]orders!K$1,[1]products!$A$1:$G$1,0))</f>
        <v>0.2</v>
      </c>
      <c r="G69">
        <f>INDEX([1]products!$A$1:$G$49,MATCH([1]orders!$D69,[1]products!$A$1:$A$49,0),MATCH([1]orders!L$1,[1]products!$A$1:$G$1,0))</f>
        <v>4.7549999999999999</v>
      </c>
      <c r="H69">
        <f t="shared" si="1"/>
        <v>9.51</v>
      </c>
    </row>
    <row r="70" spans="1:8" x14ac:dyDescent="0.25">
      <c r="A70" t="s">
        <v>160</v>
      </c>
      <c r="B70">
        <v>43754</v>
      </c>
      <c r="C70" t="s">
        <v>161</v>
      </c>
      <c r="D70" t="s">
        <v>162</v>
      </c>
      <c r="E70">
        <v>1</v>
      </c>
      <c r="F70">
        <f>INDEX([1]products!$A$1:$G$49,MATCH([1]orders!$D70,[1]products!$A$1:$A$49,0),MATCH([1]orders!K$1,[1]products!$A$1:$G$1,0))</f>
        <v>0.2</v>
      </c>
      <c r="G70">
        <f>INDEX([1]products!$A$1:$G$49,MATCH([1]orders!$D70,[1]products!$A$1:$A$49,0),MATCH([1]orders!L$1,[1]products!$A$1:$G$1,0))</f>
        <v>2.9849999999999999</v>
      </c>
      <c r="H70">
        <f t="shared" si="1"/>
        <v>2.9849999999999999</v>
      </c>
    </row>
    <row r="71" spans="1:8" x14ac:dyDescent="0.25">
      <c r="A71" t="s">
        <v>163</v>
      </c>
      <c r="B71">
        <v>43795</v>
      </c>
      <c r="C71" t="s">
        <v>164</v>
      </c>
      <c r="D71" t="s">
        <v>2</v>
      </c>
      <c r="E71">
        <v>6</v>
      </c>
      <c r="F71">
        <f>INDEX([1]products!$A$1:$G$49,MATCH([1]orders!$D71,[1]products!$A$1:$A$49,0),MATCH([1]orders!K$1,[1]products!$A$1:$G$1,0))</f>
        <v>1</v>
      </c>
      <c r="G71">
        <f>INDEX([1]products!$A$1:$G$49,MATCH([1]orders!$D71,[1]products!$A$1:$A$49,0),MATCH([1]orders!L$1,[1]products!$A$1:$G$1,0))</f>
        <v>9.9499999999999993</v>
      </c>
      <c r="H71">
        <f t="shared" si="1"/>
        <v>59.699999999999996</v>
      </c>
    </row>
    <row r="72" spans="1:8" x14ac:dyDescent="0.25">
      <c r="A72" t="s">
        <v>165</v>
      </c>
      <c r="B72">
        <v>43646</v>
      </c>
      <c r="C72" t="s">
        <v>166</v>
      </c>
      <c r="D72" t="s">
        <v>30</v>
      </c>
      <c r="E72">
        <v>4</v>
      </c>
      <c r="F72">
        <f>INDEX([1]products!$A$1:$G$49,MATCH([1]orders!$D72,[1]products!$A$1:$A$49,0),MATCH([1]orders!K$1,[1]products!$A$1:$G$1,0))</f>
        <v>2.5</v>
      </c>
      <c r="G72">
        <f>INDEX([1]products!$A$1:$G$49,MATCH([1]orders!$D72,[1]products!$A$1:$A$49,0),MATCH([1]orders!L$1,[1]products!$A$1:$G$1,0))</f>
        <v>34.154999999999994</v>
      </c>
      <c r="H72">
        <f t="shared" si="1"/>
        <v>136.61999999999998</v>
      </c>
    </row>
    <row r="73" spans="1:8" x14ac:dyDescent="0.25">
      <c r="A73" t="s">
        <v>167</v>
      </c>
      <c r="B73">
        <v>44200</v>
      </c>
      <c r="C73" t="s">
        <v>168</v>
      </c>
      <c r="D73" t="s">
        <v>19</v>
      </c>
      <c r="E73">
        <v>2</v>
      </c>
      <c r="F73">
        <f>INDEX([1]products!$A$1:$G$49,MATCH([1]orders!$D73,[1]products!$A$1:$A$49,0),MATCH([1]orders!K$1,[1]products!$A$1:$G$1,0))</f>
        <v>0.2</v>
      </c>
      <c r="G73">
        <f>INDEX([1]products!$A$1:$G$49,MATCH([1]orders!$D73,[1]products!$A$1:$A$49,0),MATCH([1]orders!L$1,[1]products!$A$1:$G$1,0))</f>
        <v>4.7549999999999999</v>
      </c>
      <c r="H73">
        <f t="shared" si="1"/>
        <v>9.51</v>
      </c>
    </row>
    <row r="74" spans="1:8" x14ac:dyDescent="0.25">
      <c r="A74" t="s">
        <v>169</v>
      </c>
      <c r="B74">
        <v>44131</v>
      </c>
      <c r="C74" t="s">
        <v>170</v>
      </c>
      <c r="D74" t="s">
        <v>171</v>
      </c>
      <c r="E74">
        <v>3</v>
      </c>
      <c r="F74">
        <f>INDEX([1]products!$A$1:$G$49,MATCH([1]orders!$D74,[1]products!$A$1:$A$49,0),MATCH([1]orders!K$1,[1]products!$A$1:$G$1,0))</f>
        <v>2.5</v>
      </c>
      <c r="G74">
        <f>INDEX([1]products!$A$1:$G$49,MATCH([1]orders!$D74,[1]products!$A$1:$A$49,0),MATCH([1]orders!L$1,[1]products!$A$1:$G$1,0))</f>
        <v>25.874999999999996</v>
      </c>
      <c r="H74">
        <f t="shared" si="1"/>
        <v>77.624999999999986</v>
      </c>
    </row>
    <row r="75" spans="1:8" x14ac:dyDescent="0.25">
      <c r="A75" t="s">
        <v>172</v>
      </c>
      <c r="B75">
        <v>44362</v>
      </c>
      <c r="C75" t="s">
        <v>173</v>
      </c>
      <c r="D75" t="s">
        <v>77</v>
      </c>
      <c r="E75">
        <v>5</v>
      </c>
      <c r="F75">
        <f>INDEX([1]products!$A$1:$G$49,MATCH([1]orders!$D75,[1]products!$A$1:$A$49,0),MATCH([1]orders!K$1,[1]products!$A$1:$G$1,0))</f>
        <v>0.2</v>
      </c>
      <c r="G75">
        <f>INDEX([1]products!$A$1:$G$49,MATCH([1]orders!$D75,[1]products!$A$1:$A$49,0),MATCH([1]orders!L$1,[1]products!$A$1:$G$1,0))</f>
        <v>4.3650000000000002</v>
      </c>
      <c r="H75">
        <f t="shared" si="1"/>
        <v>21.825000000000003</v>
      </c>
    </row>
    <row r="76" spans="1:8" x14ac:dyDescent="0.25">
      <c r="A76" t="s">
        <v>174</v>
      </c>
      <c r="B76">
        <v>44396</v>
      </c>
      <c r="C76" t="s">
        <v>175</v>
      </c>
      <c r="D76" t="s">
        <v>176</v>
      </c>
      <c r="E76">
        <v>2</v>
      </c>
      <c r="F76">
        <f>INDEX([1]products!$A$1:$G$49,MATCH([1]orders!$D76,[1]products!$A$1:$A$49,0),MATCH([1]orders!K$1,[1]products!$A$1:$G$1,0))</f>
        <v>0.5</v>
      </c>
      <c r="G76">
        <f>INDEX([1]products!$A$1:$G$49,MATCH([1]orders!$D76,[1]products!$A$1:$A$49,0),MATCH([1]orders!L$1,[1]products!$A$1:$G$1,0))</f>
        <v>8.91</v>
      </c>
      <c r="H76">
        <f t="shared" si="1"/>
        <v>17.82</v>
      </c>
    </row>
    <row r="77" spans="1:8" x14ac:dyDescent="0.25">
      <c r="A77" t="s">
        <v>177</v>
      </c>
      <c r="B77">
        <v>44400</v>
      </c>
      <c r="C77" t="s">
        <v>178</v>
      </c>
      <c r="D77" t="s">
        <v>179</v>
      </c>
      <c r="E77">
        <v>6</v>
      </c>
      <c r="F77">
        <f>INDEX([1]products!$A$1:$G$49,MATCH([1]orders!$D77,[1]products!$A$1:$A$49,0),MATCH([1]orders!K$1,[1]products!$A$1:$G$1,0))</f>
        <v>1</v>
      </c>
      <c r="G77">
        <f>INDEX([1]products!$A$1:$G$49,MATCH([1]orders!$D77,[1]products!$A$1:$A$49,0),MATCH([1]orders!L$1,[1]products!$A$1:$G$1,0))</f>
        <v>8.9499999999999993</v>
      </c>
      <c r="H77">
        <f t="shared" si="1"/>
        <v>53.699999999999996</v>
      </c>
    </row>
    <row r="78" spans="1:8" x14ac:dyDescent="0.25">
      <c r="A78" t="s">
        <v>180</v>
      </c>
      <c r="B78">
        <v>43855</v>
      </c>
      <c r="C78" t="s">
        <v>181</v>
      </c>
      <c r="D78" t="s">
        <v>182</v>
      </c>
      <c r="E78">
        <v>1</v>
      </c>
      <c r="F78">
        <f>INDEX([1]products!$A$1:$G$49,MATCH([1]orders!$D78,[1]products!$A$1:$A$49,0),MATCH([1]orders!K$1,[1]products!$A$1:$G$1,0))</f>
        <v>0.2</v>
      </c>
      <c r="G78">
        <f>INDEX([1]products!$A$1:$G$49,MATCH([1]orders!$D78,[1]products!$A$1:$A$49,0),MATCH([1]orders!L$1,[1]products!$A$1:$G$1,0))</f>
        <v>3.5849999999999995</v>
      </c>
      <c r="H78">
        <f t="shared" si="1"/>
        <v>3.5849999999999995</v>
      </c>
    </row>
    <row r="79" spans="1:8" x14ac:dyDescent="0.25">
      <c r="A79" t="s">
        <v>183</v>
      </c>
      <c r="B79">
        <v>43594</v>
      </c>
      <c r="C79" t="s">
        <v>184</v>
      </c>
      <c r="D79" t="s">
        <v>51</v>
      </c>
      <c r="E79">
        <v>2</v>
      </c>
      <c r="F79">
        <f>INDEX([1]products!$A$1:$G$49,MATCH([1]orders!$D79,[1]products!$A$1:$A$49,0),MATCH([1]orders!K$1,[1]products!$A$1:$G$1,0))</f>
        <v>0.2</v>
      </c>
      <c r="G79">
        <f>INDEX([1]products!$A$1:$G$49,MATCH([1]orders!$D79,[1]products!$A$1:$A$49,0),MATCH([1]orders!L$1,[1]products!$A$1:$G$1,0))</f>
        <v>3.645</v>
      </c>
      <c r="H79">
        <f t="shared" si="1"/>
        <v>7.29</v>
      </c>
    </row>
    <row r="80" spans="1:8" x14ac:dyDescent="0.25">
      <c r="A80" t="s">
        <v>185</v>
      </c>
      <c r="B80">
        <v>43920</v>
      </c>
      <c r="C80" t="s">
        <v>186</v>
      </c>
      <c r="D80" t="s">
        <v>67</v>
      </c>
      <c r="E80">
        <v>6</v>
      </c>
      <c r="F80">
        <f>INDEX([1]products!$A$1:$G$49,MATCH([1]orders!$D80,[1]products!$A$1:$A$49,0),MATCH([1]orders!K$1,[1]products!$A$1:$G$1,0))</f>
        <v>0.5</v>
      </c>
      <c r="G80">
        <f>INDEX([1]products!$A$1:$G$49,MATCH([1]orders!$D80,[1]products!$A$1:$A$49,0),MATCH([1]orders!L$1,[1]products!$A$1:$G$1,0))</f>
        <v>6.75</v>
      </c>
      <c r="H80">
        <f t="shared" si="1"/>
        <v>40.5</v>
      </c>
    </row>
    <row r="81" spans="1:8" x14ac:dyDescent="0.25">
      <c r="A81" t="s">
        <v>187</v>
      </c>
      <c r="B81">
        <v>44633</v>
      </c>
      <c r="C81" t="s">
        <v>188</v>
      </c>
      <c r="D81" t="s">
        <v>189</v>
      </c>
      <c r="E81">
        <v>4</v>
      </c>
      <c r="F81">
        <f>INDEX([1]products!$A$1:$G$49,MATCH([1]orders!$D81,[1]products!$A$1:$A$49,0),MATCH([1]orders!K$1,[1]products!$A$1:$G$1,0))</f>
        <v>1</v>
      </c>
      <c r="G81">
        <f>INDEX([1]products!$A$1:$G$49,MATCH([1]orders!$D81,[1]products!$A$1:$A$49,0),MATCH([1]orders!L$1,[1]products!$A$1:$G$1,0))</f>
        <v>11.95</v>
      </c>
      <c r="H81">
        <f t="shared" si="1"/>
        <v>47.8</v>
      </c>
    </row>
    <row r="82" spans="1:8" x14ac:dyDescent="0.25">
      <c r="A82" t="s">
        <v>190</v>
      </c>
      <c r="B82">
        <v>43572</v>
      </c>
      <c r="C82" t="s">
        <v>191</v>
      </c>
      <c r="D82" t="s">
        <v>192</v>
      </c>
      <c r="E82">
        <v>5</v>
      </c>
      <c r="F82">
        <f>INDEX([1]products!$A$1:$G$49,MATCH([1]orders!$D82,[1]products!$A$1:$A$49,0),MATCH([1]orders!K$1,[1]products!$A$1:$G$1,0))</f>
        <v>0.5</v>
      </c>
      <c r="G82">
        <f>INDEX([1]products!$A$1:$G$49,MATCH([1]orders!$D82,[1]products!$A$1:$A$49,0),MATCH([1]orders!L$1,[1]products!$A$1:$G$1,0))</f>
        <v>7.77</v>
      </c>
      <c r="H82">
        <f t="shared" si="1"/>
        <v>38.849999999999994</v>
      </c>
    </row>
    <row r="83" spans="1:8" x14ac:dyDescent="0.25">
      <c r="A83" t="s">
        <v>193</v>
      </c>
      <c r="B83">
        <v>43763</v>
      </c>
      <c r="C83" t="s">
        <v>194</v>
      </c>
      <c r="D83" t="s">
        <v>104</v>
      </c>
      <c r="E83">
        <v>3</v>
      </c>
      <c r="F83">
        <f>INDEX([1]products!$A$1:$G$49,MATCH([1]orders!$D83,[1]products!$A$1:$A$49,0),MATCH([1]orders!K$1,[1]products!$A$1:$G$1,0))</f>
        <v>2.5</v>
      </c>
      <c r="G83">
        <f>INDEX([1]products!$A$1:$G$49,MATCH([1]orders!$D83,[1]products!$A$1:$A$49,0),MATCH([1]orders!L$1,[1]products!$A$1:$G$1,0))</f>
        <v>36.454999999999998</v>
      </c>
      <c r="H83">
        <f t="shared" si="1"/>
        <v>109.36499999999999</v>
      </c>
    </row>
    <row r="84" spans="1:8" x14ac:dyDescent="0.25">
      <c r="A84" t="s">
        <v>195</v>
      </c>
      <c r="B84">
        <v>43721</v>
      </c>
      <c r="C84" t="s">
        <v>196</v>
      </c>
      <c r="D84" t="s">
        <v>197</v>
      </c>
      <c r="E84">
        <v>3</v>
      </c>
      <c r="F84">
        <f>INDEX([1]products!$A$1:$G$49,MATCH([1]orders!$D84,[1]products!$A$1:$A$49,0),MATCH([1]orders!K$1,[1]products!$A$1:$G$1,0))</f>
        <v>2.5</v>
      </c>
      <c r="G84">
        <f>INDEX([1]products!$A$1:$G$49,MATCH([1]orders!$D84,[1]products!$A$1:$A$49,0),MATCH([1]orders!L$1,[1]products!$A$1:$G$1,0))</f>
        <v>33.464999999999996</v>
      </c>
      <c r="H84">
        <f t="shared" si="1"/>
        <v>100.39499999999998</v>
      </c>
    </row>
    <row r="85" spans="1:8" x14ac:dyDescent="0.25">
      <c r="A85" t="s">
        <v>198</v>
      </c>
      <c r="B85">
        <v>43933</v>
      </c>
      <c r="C85" t="s">
        <v>199</v>
      </c>
      <c r="D85" t="s">
        <v>35</v>
      </c>
      <c r="E85">
        <v>4</v>
      </c>
      <c r="F85">
        <f>INDEX([1]products!$A$1:$G$49,MATCH([1]orders!$D85,[1]products!$A$1:$A$49,0),MATCH([1]orders!K$1,[1]products!$A$1:$G$1,0))</f>
        <v>2.5</v>
      </c>
      <c r="G85">
        <f>INDEX([1]products!$A$1:$G$49,MATCH([1]orders!$D85,[1]products!$A$1:$A$49,0),MATCH([1]orders!L$1,[1]products!$A$1:$G$1,0))</f>
        <v>20.584999999999997</v>
      </c>
      <c r="H85">
        <f t="shared" si="1"/>
        <v>82.339999999999989</v>
      </c>
    </row>
    <row r="86" spans="1:8" x14ac:dyDescent="0.25">
      <c r="A86" t="s">
        <v>200</v>
      </c>
      <c r="B86">
        <v>43783</v>
      </c>
      <c r="C86" t="s">
        <v>201</v>
      </c>
      <c r="D86" t="s">
        <v>83</v>
      </c>
      <c r="E86">
        <v>1</v>
      </c>
      <c r="F86">
        <f>INDEX([1]products!$A$1:$G$49,MATCH([1]orders!$D86,[1]products!$A$1:$A$49,0),MATCH([1]orders!K$1,[1]products!$A$1:$G$1,0))</f>
        <v>0.5</v>
      </c>
      <c r="G86">
        <f>INDEX([1]products!$A$1:$G$49,MATCH([1]orders!$D86,[1]products!$A$1:$A$49,0),MATCH([1]orders!L$1,[1]products!$A$1:$G$1,0))</f>
        <v>9.51</v>
      </c>
      <c r="H86">
        <f t="shared" si="1"/>
        <v>9.51</v>
      </c>
    </row>
    <row r="87" spans="1:8" x14ac:dyDescent="0.25">
      <c r="A87" t="s">
        <v>202</v>
      </c>
      <c r="B87">
        <v>43664</v>
      </c>
      <c r="C87" t="s">
        <v>203</v>
      </c>
      <c r="D87" t="s">
        <v>204</v>
      </c>
      <c r="E87">
        <v>3</v>
      </c>
      <c r="F87">
        <f>INDEX([1]products!$A$1:$G$49,MATCH([1]orders!$D87,[1]products!$A$1:$A$49,0),MATCH([1]orders!K$1,[1]products!$A$1:$G$1,0))</f>
        <v>2.5</v>
      </c>
      <c r="G87">
        <f>INDEX([1]products!$A$1:$G$49,MATCH([1]orders!$D87,[1]products!$A$1:$A$49,0),MATCH([1]orders!L$1,[1]products!$A$1:$G$1,0))</f>
        <v>29.784999999999997</v>
      </c>
      <c r="H87">
        <f t="shared" si="1"/>
        <v>89.35499999999999</v>
      </c>
    </row>
    <row r="88" spans="1:8" x14ac:dyDescent="0.25">
      <c r="A88" t="s">
        <v>202</v>
      </c>
      <c r="B88">
        <v>43664</v>
      </c>
      <c r="C88" t="s">
        <v>203</v>
      </c>
      <c r="D88" t="s">
        <v>54</v>
      </c>
      <c r="E88">
        <v>4</v>
      </c>
      <c r="F88">
        <f>INDEX([1]products!$A$1:$G$49,MATCH([1]orders!$D88,[1]products!$A$1:$A$49,0),MATCH([1]orders!K$1,[1]products!$A$1:$G$1,0))</f>
        <v>0.2</v>
      </c>
      <c r="G88">
        <f>INDEX([1]products!$A$1:$G$49,MATCH([1]orders!$D88,[1]products!$A$1:$A$49,0),MATCH([1]orders!L$1,[1]products!$A$1:$G$1,0))</f>
        <v>2.9849999999999999</v>
      </c>
      <c r="H88">
        <f t="shared" si="1"/>
        <v>11.94</v>
      </c>
    </row>
    <row r="89" spans="1:8" x14ac:dyDescent="0.25">
      <c r="A89" t="s">
        <v>205</v>
      </c>
      <c r="B89">
        <v>44289</v>
      </c>
      <c r="C89" t="s">
        <v>206</v>
      </c>
      <c r="D89" t="s">
        <v>61</v>
      </c>
      <c r="E89">
        <v>3</v>
      </c>
      <c r="F89">
        <f>INDEX([1]products!$A$1:$G$49,MATCH([1]orders!$D89,[1]products!$A$1:$A$49,0),MATCH([1]orders!K$1,[1]products!$A$1:$G$1,0))</f>
        <v>1</v>
      </c>
      <c r="G89">
        <f>INDEX([1]products!$A$1:$G$49,MATCH([1]orders!$D89,[1]products!$A$1:$A$49,0),MATCH([1]orders!L$1,[1]products!$A$1:$G$1,0))</f>
        <v>11.25</v>
      </c>
      <c r="H89">
        <f t="shared" si="1"/>
        <v>33.75</v>
      </c>
    </row>
    <row r="90" spans="1:8" x14ac:dyDescent="0.25">
      <c r="A90" t="s">
        <v>207</v>
      </c>
      <c r="B90">
        <v>44284</v>
      </c>
      <c r="C90" t="s">
        <v>208</v>
      </c>
      <c r="D90" t="s">
        <v>189</v>
      </c>
      <c r="E90">
        <v>3</v>
      </c>
      <c r="F90">
        <f>INDEX([1]products!$A$1:$G$49,MATCH([1]orders!$D90,[1]products!$A$1:$A$49,0),MATCH([1]orders!K$1,[1]products!$A$1:$G$1,0))</f>
        <v>1</v>
      </c>
      <c r="G90">
        <f>INDEX([1]products!$A$1:$G$49,MATCH([1]orders!$D90,[1]products!$A$1:$A$49,0),MATCH([1]orders!L$1,[1]products!$A$1:$G$1,0))</f>
        <v>11.95</v>
      </c>
      <c r="H90">
        <f t="shared" si="1"/>
        <v>35.849999999999994</v>
      </c>
    </row>
    <row r="91" spans="1:8" x14ac:dyDescent="0.25">
      <c r="A91" t="s">
        <v>209</v>
      </c>
      <c r="B91">
        <v>44545</v>
      </c>
      <c r="C91" t="s">
        <v>210</v>
      </c>
      <c r="D91" t="s">
        <v>6</v>
      </c>
      <c r="E91">
        <v>6</v>
      </c>
      <c r="F91">
        <f>INDEX([1]products!$A$1:$G$49,MATCH([1]orders!$D91,[1]products!$A$1:$A$49,0),MATCH([1]orders!K$1,[1]products!$A$1:$G$1,0))</f>
        <v>1</v>
      </c>
      <c r="G91">
        <f>INDEX([1]products!$A$1:$G$49,MATCH([1]orders!$D91,[1]products!$A$1:$A$49,0),MATCH([1]orders!L$1,[1]products!$A$1:$G$1,0))</f>
        <v>12.95</v>
      </c>
      <c r="H91">
        <f t="shared" si="1"/>
        <v>77.699999999999989</v>
      </c>
    </row>
    <row r="92" spans="1:8" x14ac:dyDescent="0.25">
      <c r="A92" t="s">
        <v>211</v>
      </c>
      <c r="B92">
        <v>43971</v>
      </c>
      <c r="C92" t="s">
        <v>212</v>
      </c>
      <c r="D92" t="s">
        <v>6</v>
      </c>
      <c r="E92">
        <v>4</v>
      </c>
      <c r="F92">
        <f>INDEX([1]products!$A$1:$G$49,MATCH([1]orders!$D92,[1]products!$A$1:$A$49,0),MATCH([1]orders!K$1,[1]products!$A$1:$G$1,0))</f>
        <v>1</v>
      </c>
      <c r="G92">
        <f>INDEX([1]products!$A$1:$G$49,MATCH([1]orders!$D92,[1]products!$A$1:$A$49,0),MATCH([1]orders!L$1,[1]products!$A$1:$G$1,0))</f>
        <v>12.95</v>
      </c>
      <c r="H92">
        <f t="shared" si="1"/>
        <v>51.8</v>
      </c>
    </row>
    <row r="93" spans="1:8" x14ac:dyDescent="0.25">
      <c r="A93" t="s">
        <v>213</v>
      </c>
      <c r="B93">
        <v>44137</v>
      </c>
      <c r="C93" t="s">
        <v>214</v>
      </c>
      <c r="D93" t="s">
        <v>171</v>
      </c>
      <c r="E93">
        <v>4</v>
      </c>
      <c r="F93">
        <f>INDEX([1]products!$A$1:$G$49,MATCH([1]orders!$D93,[1]products!$A$1:$A$49,0),MATCH([1]orders!K$1,[1]products!$A$1:$G$1,0))</f>
        <v>2.5</v>
      </c>
      <c r="G93">
        <f>INDEX([1]products!$A$1:$G$49,MATCH([1]orders!$D93,[1]products!$A$1:$A$49,0),MATCH([1]orders!L$1,[1]products!$A$1:$G$1,0))</f>
        <v>25.874999999999996</v>
      </c>
      <c r="H93">
        <f t="shared" si="1"/>
        <v>103.49999999999999</v>
      </c>
    </row>
    <row r="94" spans="1:8" x14ac:dyDescent="0.25">
      <c r="A94" t="s">
        <v>215</v>
      </c>
      <c r="B94">
        <v>44037</v>
      </c>
      <c r="C94" t="s">
        <v>216</v>
      </c>
      <c r="D94" t="s">
        <v>137</v>
      </c>
      <c r="E94">
        <v>3</v>
      </c>
      <c r="F94">
        <f>INDEX([1]products!$A$1:$G$49,MATCH([1]orders!$D94,[1]products!$A$1:$A$49,0),MATCH([1]orders!K$1,[1]products!$A$1:$G$1,0))</f>
        <v>1</v>
      </c>
      <c r="G94">
        <f>INDEX([1]products!$A$1:$G$49,MATCH([1]orders!$D94,[1]products!$A$1:$A$49,0),MATCH([1]orders!L$1,[1]products!$A$1:$G$1,0))</f>
        <v>14.85</v>
      </c>
      <c r="H94">
        <f t="shared" si="1"/>
        <v>44.55</v>
      </c>
    </row>
    <row r="95" spans="1:8" x14ac:dyDescent="0.25">
      <c r="A95" t="s">
        <v>217</v>
      </c>
      <c r="B95">
        <v>43538</v>
      </c>
      <c r="C95" t="s">
        <v>218</v>
      </c>
      <c r="D95" t="s">
        <v>176</v>
      </c>
      <c r="E95">
        <v>4</v>
      </c>
      <c r="F95">
        <f>INDEX([1]products!$A$1:$G$49,MATCH([1]orders!$D95,[1]products!$A$1:$A$49,0),MATCH([1]orders!K$1,[1]products!$A$1:$G$1,0))</f>
        <v>0.5</v>
      </c>
      <c r="G95">
        <f>INDEX([1]products!$A$1:$G$49,MATCH([1]orders!$D95,[1]products!$A$1:$A$49,0),MATCH([1]orders!L$1,[1]products!$A$1:$G$1,0))</f>
        <v>8.91</v>
      </c>
      <c r="H95">
        <f t="shared" si="1"/>
        <v>35.64</v>
      </c>
    </row>
    <row r="96" spans="1:8" x14ac:dyDescent="0.25">
      <c r="A96" t="s">
        <v>219</v>
      </c>
      <c r="B96">
        <v>44014</v>
      </c>
      <c r="C96" t="s">
        <v>220</v>
      </c>
      <c r="D96" t="s">
        <v>54</v>
      </c>
      <c r="E96">
        <v>6</v>
      </c>
      <c r="F96">
        <f>INDEX([1]products!$A$1:$G$49,MATCH([1]orders!$D96,[1]products!$A$1:$A$49,0),MATCH([1]orders!K$1,[1]products!$A$1:$G$1,0))</f>
        <v>0.2</v>
      </c>
      <c r="G96">
        <f>INDEX([1]products!$A$1:$G$49,MATCH([1]orders!$D96,[1]products!$A$1:$A$49,0),MATCH([1]orders!L$1,[1]products!$A$1:$G$1,0))</f>
        <v>2.9849999999999999</v>
      </c>
      <c r="H96">
        <f t="shared" si="1"/>
        <v>17.91</v>
      </c>
    </row>
    <row r="97" spans="1:8" x14ac:dyDescent="0.25">
      <c r="A97" t="s">
        <v>221</v>
      </c>
      <c r="B97">
        <v>43816</v>
      </c>
      <c r="C97" t="s">
        <v>222</v>
      </c>
      <c r="D97" t="s">
        <v>171</v>
      </c>
      <c r="E97">
        <v>6</v>
      </c>
      <c r="F97">
        <f>INDEX([1]products!$A$1:$G$49,MATCH([1]orders!$D97,[1]products!$A$1:$A$49,0),MATCH([1]orders!K$1,[1]products!$A$1:$G$1,0))</f>
        <v>2.5</v>
      </c>
      <c r="G97">
        <f>INDEX([1]products!$A$1:$G$49,MATCH([1]orders!$D97,[1]products!$A$1:$A$49,0),MATCH([1]orders!L$1,[1]products!$A$1:$G$1,0))</f>
        <v>25.874999999999996</v>
      </c>
      <c r="H97">
        <f t="shared" si="1"/>
        <v>155.24999999999997</v>
      </c>
    </row>
    <row r="98" spans="1:8" x14ac:dyDescent="0.25">
      <c r="A98" t="s">
        <v>223</v>
      </c>
      <c r="B98">
        <v>44171</v>
      </c>
      <c r="C98" t="s">
        <v>224</v>
      </c>
      <c r="D98" t="s">
        <v>54</v>
      </c>
      <c r="E98">
        <v>2</v>
      </c>
      <c r="F98">
        <f>INDEX([1]products!$A$1:$G$49,MATCH([1]orders!$D98,[1]products!$A$1:$A$49,0),MATCH([1]orders!K$1,[1]products!$A$1:$G$1,0))</f>
        <v>0.2</v>
      </c>
      <c r="G98">
        <f>INDEX([1]products!$A$1:$G$49,MATCH([1]orders!$D98,[1]products!$A$1:$A$49,0),MATCH([1]orders!L$1,[1]products!$A$1:$G$1,0))</f>
        <v>2.9849999999999999</v>
      </c>
      <c r="H98">
        <f t="shared" si="1"/>
        <v>5.97</v>
      </c>
    </row>
    <row r="99" spans="1:8" x14ac:dyDescent="0.25">
      <c r="A99" t="s">
        <v>225</v>
      </c>
      <c r="B99">
        <v>44259</v>
      </c>
      <c r="C99" t="s">
        <v>226</v>
      </c>
      <c r="D99" t="s">
        <v>67</v>
      </c>
      <c r="E99">
        <v>2</v>
      </c>
      <c r="F99">
        <f>INDEX([1]products!$A$1:$G$49,MATCH([1]orders!$D99,[1]products!$A$1:$A$49,0),MATCH([1]orders!K$1,[1]products!$A$1:$G$1,0))</f>
        <v>0.5</v>
      </c>
      <c r="G99">
        <f>INDEX([1]products!$A$1:$G$49,MATCH([1]orders!$D99,[1]products!$A$1:$A$49,0),MATCH([1]orders!L$1,[1]products!$A$1:$G$1,0))</f>
        <v>6.75</v>
      </c>
      <c r="H99">
        <f t="shared" si="1"/>
        <v>13.5</v>
      </c>
    </row>
    <row r="100" spans="1:8" x14ac:dyDescent="0.25">
      <c r="A100" t="s">
        <v>227</v>
      </c>
      <c r="B100">
        <v>44394</v>
      </c>
      <c r="C100" t="s">
        <v>228</v>
      </c>
      <c r="D100" t="s">
        <v>54</v>
      </c>
      <c r="E100">
        <v>1</v>
      </c>
      <c r="F100">
        <f>INDEX([1]products!$A$1:$G$49,MATCH([1]orders!$D100,[1]products!$A$1:$A$49,0),MATCH([1]orders!K$1,[1]products!$A$1:$G$1,0))</f>
        <v>0.2</v>
      </c>
      <c r="G100">
        <f>INDEX([1]products!$A$1:$G$49,MATCH([1]orders!$D100,[1]products!$A$1:$A$49,0),MATCH([1]orders!L$1,[1]products!$A$1:$G$1,0))</f>
        <v>2.9849999999999999</v>
      </c>
      <c r="H100">
        <f t="shared" si="1"/>
        <v>2.9849999999999999</v>
      </c>
    </row>
    <row r="101" spans="1:8" x14ac:dyDescent="0.25">
      <c r="A101" t="s">
        <v>229</v>
      </c>
      <c r="B101">
        <v>44139</v>
      </c>
      <c r="C101" t="s">
        <v>230</v>
      </c>
      <c r="D101" t="s">
        <v>77</v>
      </c>
      <c r="E101">
        <v>3</v>
      </c>
      <c r="F101">
        <f>INDEX([1]products!$A$1:$G$49,MATCH([1]orders!$D101,[1]products!$A$1:$A$49,0),MATCH([1]orders!K$1,[1]products!$A$1:$G$1,0))</f>
        <v>0.2</v>
      </c>
      <c r="G101">
        <f>INDEX([1]products!$A$1:$G$49,MATCH([1]orders!$D101,[1]products!$A$1:$A$49,0),MATCH([1]orders!L$1,[1]products!$A$1:$G$1,0))</f>
        <v>4.3650000000000002</v>
      </c>
      <c r="H101">
        <f t="shared" si="1"/>
        <v>13.095000000000001</v>
      </c>
    </row>
    <row r="102" spans="1:8" x14ac:dyDescent="0.25">
      <c r="A102" t="s">
        <v>231</v>
      </c>
      <c r="B102">
        <v>44291</v>
      </c>
      <c r="C102" t="s">
        <v>232</v>
      </c>
      <c r="D102" t="s">
        <v>115</v>
      </c>
      <c r="E102">
        <v>2</v>
      </c>
      <c r="F102">
        <f>INDEX([1]products!$A$1:$G$49,MATCH([1]orders!$D102,[1]products!$A$1:$A$49,0),MATCH([1]orders!K$1,[1]products!$A$1:$G$1,0))</f>
        <v>0.2</v>
      </c>
      <c r="G102">
        <f>INDEX([1]products!$A$1:$G$49,MATCH([1]orders!$D102,[1]products!$A$1:$A$49,0),MATCH([1]orders!L$1,[1]products!$A$1:$G$1,0))</f>
        <v>3.8849999999999998</v>
      </c>
      <c r="H102">
        <f t="shared" si="1"/>
        <v>7.77</v>
      </c>
    </row>
    <row r="103" spans="1:8" x14ac:dyDescent="0.25">
      <c r="A103" t="s">
        <v>233</v>
      </c>
      <c r="B103">
        <v>43891</v>
      </c>
      <c r="C103" t="s">
        <v>234</v>
      </c>
      <c r="D103" t="s">
        <v>109</v>
      </c>
      <c r="E103">
        <v>5</v>
      </c>
      <c r="F103">
        <f>INDEX([1]products!$A$1:$G$49,MATCH([1]orders!$D103,[1]products!$A$1:$A$49,0),MATCH([1]orders!K$1,[1]products!$A$1:$G$1,0))</f>
        <v>2.5</v>
      </c>
      <c r="G103">
        <f>INDEX([1]products!$A$1:$G$49,MATCH([1]orders!$D103,[1]products!$A$1:$A$49,0),MATCH([1]orders!L$1,[1]products!$A$1:$G$1,0))</f>
        <v>29.784999999999997</v>
      </c>
      <c r="H103">
        <f t="shared" si="1"/>
        <v>148.92499999999998</v>
      </c>
    </row>
    <row r="104" spans="1:8" x14ac:dyDescent="0.25">
      <c r="A104" t="s">
        <v>235</v>
      </c>
      <c r="B104">
        <v>44488</v>
      </c>
      <c r="C104" t="s">
        <v>236</v>
      </c>
      <c r="D104" t="s">
        <v>13</v>
      </c>
      <c r="E104">
        <v>3</v>
      </c>
      <c r="F104">
        <f>INDEX([1]products!$A$1:$G$49,MATCH([1]orders!$D104,[1]products!$A$1:$A$49,0),MATCH([1]orders!K$1,[1]products!$A$1:$G$1,0))</f>
        <v>1</v>
      </c>
      <c r="G104">
        <f>INDEX([1]products!$A$1:$G$49,MATCH([1]orders!$D104,[1]products!$A$1:$A$49,0),MATCH([1]orders!L$1,[1]products!$A$1:$G$1,0))</f>
        <v>12.95</v>
      </c>
      <c r="H104">
        <f t="shared" si="1"/>
        <v>38.849999999999994</v>
      </c>
    </row>
    <row r="105" spans="1:8" x14ac:dyDescent="0.25">
      <c r="A105" t="s">
        <v>237</v>
      </c>
      <c r="B105">
        <v>44750</v>
      </c>
      <c r="C105" t="s">
        <v>238</v>
      </c>
      <c r="D105" t="s">
        <v>162</v>
      </c>
      <c r="E105">
        <v>4</v>
      </c>
      <c r="F105">
        <f>INDEX([1]products!$A$1:$G$49,MATCH([1]orders!$D105,[1]products!$A$1:$A$49,0),MATCH([1]orders!K$1,[1]products!$A$1:$G$1,0))</f>
        <v>0.2</v>
      </c>
      <c r="G105">
        <f>INDEX([1]products!$A$1:$G$49,MATCH([1]orders!$D105,[1]products!$A$1:$A$49,0),MATCH([1]orders!L$1,[1]products!$A$1:$G$1,0))</f>
        <v>2.9849999999999999</v>
      </c>
      <c r="H105">
        <f t="shared" si="1"/>
        <v>11.94</v>
      </c>
    </row>
    <row r="106" spans="1:8" x14ac:dyDescent="0.25">
      <c r="A106" t="s">
        <v>239</v>
      </c>
      <c r="B106">
        <v>43694</v>
      </c>
      <c r="C106" t="s">
        <v>240</v>
      </c>
      <c r="D106" t="s">
        <v>96</v>
      </c>
      <c r="E106">
        <v>6</v>
      </c>
      <c r="F106">
        <f>INDEX([1]products!$A$1:$G$49,MATCH([1]orders!$D106,[1]products!$A$1:$A$49,0),MATCH([1]orders!K$1,[1]products!$A$1:$G$1,0))</f>
        <v>1</v>
      </c>
      <c r="G106">
        <f>INDEX([1]products!$A$1:$G$49,MATCH([1]orders!$D106,[1]products!$A$1:$A$49,0),MATCH([1]orders!L$1,[1]products!$A$1:$G$1,0))</f>
        <v>14.55</v>
      </c>
      <c r="H106">
        <f t="shared" si="1"/>
        <v>87.300000000000011</v>
      </c>
    </row>
    <row r="107" spans="1:8" x14ac:dyDescent="0.25">
      <c r="A107" t="s">
        <v>241</v>
      </c>
      <c r="B107">
        <v>43982</v>
      </c>
      <c r="C107" t="s">
        <v>242</v>
      </c>
      <c r="D107" t="s">
        <v>67</v>
      </c>
      <c r="E107">
        <v>6</v>
      </c>
      <c r="F107">
        <f>INDEX([1]products!$A$1:$G$49,MATCH([1]orders!$D107,[1]products!$A$1:$A$49,0),MATCH([1]orders!K$1,[1]products!$A$1:$G$1,0))</f>
        <v>0.5</v>
      </c>
      <c r="G107">
        <f>INDEX([1]products!$A$1:$G$49,MATCH([1]orders!$D107,[1]products!$A$1:$A$49,0),MATCH([1]orders!L$1,[1]products!$A$1:$G$1,0))</f>
        <v>6.75</v>
      </c>
      <c r="H107">
        <f t="shared" si="1"/>
        <v>40.5</v>
      </c>
    </row>
    <row r="108" spans="1:8" x14ac:dyDescent="0.25">
      <c r="A108" t="s">
        <v>243</v>
      </c>
      <c r="B108">
        <v>43956</v>
      </c>
      <c r="C108" t="s">
        <v>244</v>
      </c>
      <c r="D108" t="s">
        <v>245</v>
      </c>
      <c r="E108">
        <v>2</v>
      </c>
      <c r="F108">
        <f>INDEX([1]products!$A$1:$G$49,MATCH([1]orders!$D108,[1]products!$A$1:$A$49,0),MATCH([1]orders!K$1,[1]products!$A$1:$G$1,0))</f>
        <v>1</v>
      </c>
      <c r="G108">
        <f>INDEX([1]products!$A$1:$G$49,MATCH([1]orders!$D108,[1]products!$A$1:$A$49,0),MATCH([1]orders!L$1,[1]products!$A$1:$G$1,0))</f>
        <v>12.15</v>
      </c>
      <c r="H108">
        <f t="shared" si="1"/>
        <v>24.3</v>
      </c>
    </row>
    <row r="109" spans="1:8" x14ac:dyDescent="0.25">
      <c r="A109" t="s">
        <v>246</v>
      </c>
      <c r="B109">
        <v>43569</v>
      </c>
      <c r="C109" t="s">
        <v>247</v>
      </c>
      <c r="D109" t="s">
        <v>22</v>
      </c>
      <c r="E109">
        <v>3</v>
      </c>
      <c r="F109">
        <f>INDEX([1]products!$A$1:$G$49,MATCH([1]orders!$D109,[1]products!$A$1:$A$49,0),MATCH([1]orders!K$1,[1]products!$A$1:$G$1,0))</f>
        <v>0.5</v>
      </c>
      <c r="G109">
        <f>INDEX([1]products!$A$1:$G$49,MATCH([1]orders!$D109,[1]products!$A$1:$A$49,0),MATCH([1]orders!L$1,[1]products!$A$1:$G$1,0))</f>
        <v>5.97</v>
      </c>
      <c r="H109">
        <f t="shared" si="1"/>
        <v>17.91</v>
      </c>
    </row>
    <row r="110" spans="1:8" x14ac:dyDescent="0.25">
      <c r="A110" t="s">
        <v>248</v>
      </c>
      <c r="B110">
        <v>44041</v>
      </c>
      <c r="C110" t="s">
        <v>249</v>
      </c>
      <c r="D110" t="s">
        <v>67</v>
      </c>
      <c r="E110">
        <v>4</v>
      </c>
      <c r="F110">
        <f>INDEX([1]products!$A$1:$G$49,MATCH([1]orders!$D110,[1]products!$A$1:$A$49,0),MATCH([1]orders!K$1,[1]products!$A$1:$G$1,0))</f>
        <v>0.5</v>
      </c>
      <c r="G110">
        <f>INDEX([1]products!$A$1:$G$49,MATCH([1]orders!$D110,[1]products!$A$1:$A$49,0),MATCH([1]orders!L$1,[1]products!$A$1:$G$1,0))</f>
        <v>6.75</v>
      </c>
      <c r="H110">
        <f t="shared" si="1"/>
        <v>27</v>
      </c>
    </row>
    <row r="111" spans="1:8" x14ac:dyDescent="0.25">
      <c r="A111" t="s">
        <v>250</v>
      </c>
      <c r="B111">
        <v>43811</v>
      </c>
      <c r="C111" t="s">
        <v>251</v>
      </c>
      <c r="D111" t="s">
        <v>123</v>
      </c>
      <c r="E111">
        <v>1</v>
      </c>
      <c r="F111">
        <f>INDEX([1]products!$A$1:$G$49,MATCH([1]orders!$D111,[1]products!$A$1:$A$49,0),MATCH([1]orders!K$1,[1]products!$A$1:$G$1,0))</f>
        <v>0.5</v>
      </c>
      <c r="G111">
        <f>INDEX([1]products!$A$1:$G$49,MATCH([1]orders!$D111,[1]products!$A$1:$A$49,0),MATCH([1]orders!L$1,[1]products!$A$1:$G$1,0))</f>
        <v>7.77</v>
      </c>
      <c r="H111">
        <f t="shared" si="1"/>
        <v>7.77</v>
      </c>
    </row>
    <row r="112" spans="1:8" x14ac:dyDescent="0.25">
      <c r="A112" t="s">
        <v>252</v>
      </c>
      <c r="B112">
        <v>44727</v>
      </c>
      <c r="C112" t="s">
        <v>253</v>
      </c>
      <c r="D112" t="s">
        <v>254</v>
      </c>
      <c r="E112">
        <v>3</v>
      </c>
      <c r="F112">
        <f>INDEX([1]products!$A$1:$G$49,MATCH([1]orders!$D112,[1]products!$A$1:$A$49,0),MATCH([1]orders!K$1,[1]products!$A$1:$G$1,0))</f>
        <v>0.2</v>
      </c>
      <c r="G112">
        <f>INDEX([1]products!$A$1:$G$49,MATCH([1]orders!$D112,[1]products!$A$1:$A$49,0),MATCH([1]orders!L$1,[1]products!$A$1:$G$1,0))</f>
        <v>4.4550000000000001</v>
      </c>
      <c r="H112">
        <f t="shared" si="1"/>
        <v>13.365</v>
      </c>
    </row>
    <row r="113" spans="1:8" x14ac:dyDescent="0.25">
      <c r="A113" t="s">
        <v>255</v>
      </c>
      <c r="B113">
        <v>43642</v>
      </c>
      <c r="C113" t="s">
        <v>256</v>
      </c>
      <c r="D113" t="s">
        <v>146</v>
      </c>
      <c r="E113">
        <v>5</v>
      </c>
      <c r="F113">
        <f>INDEX([1]products!$A$1:$G$49,MATCH([1]orders!$D113,[1]products!$A$1:$A$49,0),MATCH([1]orders!K$1,[1]products!$A$1:$G$1,0))</f>
        <v>0.5</v>
      </c>
      <c r="G113">
        <f>INDEX([1]products!$A$1:$G$49,MATCH([1]orders!$D113,[1]products!$A$1:$A$49,0),MATCH([1]orders!L$1,[1]products!$A$1:$G$1,0))</f>
        <v>5.3699999999999992</v>
      </c>
      <c r="H113">
        <f t="shared" si="1"/>
        <v>26.849999999999994</v>
      </c>
    </row>
    <row r="114" spans="1:8" x14ac:dyDescent="0.25">
      <c r="A114" t="s">
        <v>257</v>
      </c>
      <c r="B114">
        <v>44481</v>
      </c>
      <c r="C114" t="s">
        <v>258</v>
      </c>
      <c r="D114" t="s">
        <v>61</v>
      </c>
      <c r="E114">
        <v>1</v>
      </c>
      <c r="F114">
        <f>INDEX([1]products!$A$1:$G$49,MATCH([1]orders!$D114,[1]products!$A$1:$A$49,0),MATCH([1]orders!K$1,[1]products!$A$1:$G$1,0))</f>
        <v>1</v>
      </c>
      <c r="G114">
        <f>INDEX([1]products!$A$1:$G$49,MATCH([1]orders!$D114,[1]products!$A$1:$A$49,0),MATCH([1]orders!L$1,[1]products!$A$1:$G$1,0))</f>
        <v>11.25</v>
      </c>
      <c r="H114">
        <f t="shared" si="1"/>
        <v>11.25</v>
      </c>
    </row>
    <row r="115" spans="1:8" x14ac:dyDescent="0.25">
      <c r="A115" t="s">
        <v>259</v>
      </c>
      <c r="B115">
        <v>43556</v>
      </c>
      <c r="C115" t="s">
        <v>260</v>
      </c>
      <c r="D115" t="s">
        <v>96</v>
      </c>
      <c r="E115">
        <v>1</v>
      </c>
      <c r="F115">
        <f>INDEX([1]products!$A$1:$G$49,MATCH([1]orders!$D115,[1]products!$A$1:$A$49,0),MATCH([1]orders!K$1,[1]products!$A$1:$G$1,0))</f>
        <v>1</v>
      </c>
      <c r="G115">
        <f>INDEX([1]products!$A$1:$G$49,MATCH([1]orders!$D115,[1]products!$A$1:$A$49,0),MATCH([1]orders!L$1,[1]products!$A$1:$G$1,0))</f>
        <v>14.55</v>
      </c>
      <c r="H115">
        <f t="shared" si="1"/>
        <v>14.55</v>
      </c>
    </row>
    <row r="116" spans="1:8" x14ac:dyDescent="0.25">
      <c r="A116" t="s">
        <v>261</v>
      </c>
      <c r="B116">
        <v>44265</v>
      </c>
      <c r="C116" t="s">
        <v>262</v>
      </c>
      <c r="D116" t="s">
        <v>182</v>
      </c>
      <c r="E116">
        <v>4</v>
      </c>
      <c r="F116">
        <f>INDEX([1]products!$A$1:$G$49,MATCH([1]orders!$D116,[1]products!$A$1:$A$49,0),MATCH([1]orders!K$1,[1]products!$A$1:$G$1,0))</f>
        <v>0.2</v>
      </c>
      <c r="G116">
        <f>INDEX([1]products!$A$1:$G$49,MATCH([1]orders!$D116,[1]products!$A$1:$A$49,0),MATCH([1]orders!L$1,[1]products!$A$1:$G$1,0))</f>
        <v>3.5849999999999995</v>
      </c>
      <c r="H116">
        <f t="shared" si="1"/>
        <v>14.339999999999998</v>
      </c>
    </row>
    <row r="117" spans="1:8" x14ac:dyDescent="0.25">
      <c r="A117" t="s">
        <v>263</v>
      </c>
      <c r="B117">
        <v>43693</v>
      </c>
      <c r="C117" t="s">
        <v>264</v>
      </c>
      <c r="D117" t="s">
        <v>132</v>
      </c>
      <c r="E117">
        <v>1</v>
      </c>
      <c r="F117">
        <f>INDEX([1]products!$A$1:$G$49,MATCH([1]orders!$D117,[1]products!$A$1:$A$49,0),MATCH([1]orders!K$1,[1]products!$A$1:$G$1,0))</f>
        <v>1</v>
      </c>
      <c r="G117">
        <f>INDEX([1]products!$A$1:$G$49,MATCH([1]orders!$D117,[1]products!$A$1:$A$49,0),MATCH([1]orders!L$1,[1]products!$A$1:$G$1,0))</f>
        <v>15.85</v>
      </c>
      <c r="H117">
        <f t="shared" si="1"/>
        <v>15.85</v>
      </c>
    </row>
    <row r="118" spans="1:8" x14ac:dyDescent="0.25">
      <c r="A118" t="s">
        <v>265</v>
      </c>
      <c r="B118">
        <v>44054</v>
      </c>
      <c r="C118" t="s">
        <v>266</v>
      </c>
      <c r="D118" t="s">
        <v>19</v>
      </c>
      <c r="E118">
        <v>4</v>
      </c>
      <c r="F118">
        <f>INDEX([1]products!$A$1:$G$49,MATCH([1]orders!$D118,[1]products!$A$1:$A$49,0),MATCH([1]orders!K$1,[1]products!$A$1:$G$1,0))</f>
        <v>0.2</v>
      </c>
      <c r="G118">
        <f>INDEX([1]products!$A$1:$G$49,MATCH([1]orders!$D118,[1]products!$A$1:$A$49,0),MATCH([1]orders!L$1,[1]products!$A$1:$G$1,0))</f>
        <v>4.7549999999999999</v>
      </c>
      <c r="H118">
        <f t="shared" si="1"/>
        <v>19.02</v>
      </c>
    </row>
    <row r="119" spans="1:8" x14ac:dyDescent="0.25">
      <c r="A119" t="s">
        <v>267</v>
      </c>
      <c r="B119">
        <v>44656</v>
      </c>
      <c r="C119" t="s">
        <v>268</v>
      </c>
      <c r="D119" t="s">
        <v>83</v>
      </c>
      <c r="E119">
        <v>4</v>
      </c>
      <c r="F119">
        <f>INDEX([1]products!$A$1:$G$49,MATCH([1]orders!$D119,[1]products!$A$1:$A$49,0),MATCH([1]orders!K$1,[1]products!$A$1:$G$1,0))</f>
        <v>0.5</v>
      </c>
      <c r="G119">
        <f>INDEX([1]products!$A$1:$G$49,MATCH([1]orders!$D119,[1]products!$A$1:$A$49,0),MATCH([1]orders!L$1,[1]products!$A$1:$G$1,0))</f>
        <v>9.51</v>
      </c>
      <c r="H119">
        <f t="shared" si="1"/>
        <v>38.04</v>
      </c>
    </row>
    <row r="120" spans="1:8" x14ac:dyDescent="0.25">
      <c r="A120" t="s">
        <v>269</v>
      </c>
      <c r="B120">
        <v>43760</v>
      </c>
      <c r="C120" t="s">
        <v>270</v>
      </c>
      <c r="D120" t="s">
        <v>16</v>
      </c>
      <c r="E120">
        <v>3</v>
      </c>
      <c r="F120">
        <f>INDEX([1]products!$A$1:$G$49,MATCH([1]orders!$D120,[1]products!$A$1:$A$49,0),MATCH([1]orders!K$1,[1]products!$A$1:$G$1,0))</f>
        <v>0.5</v>
      </c>
      <c r="G120">
        <f>INDEX([1]products!$A$1:$G$49,MATCH([1]orders!$D120,[1]products!$A$1:$A$49,0),MATCH([1]orders!L$1,[1]products!$A$1:$G$1,0))</f>
        <v>7.29</v>
      </c>
      <c r="H120">
        <f t="shared" si="1"/>
        <v>21.87</v>
      </c>
    </row>
    <row r="121" spans="1:8" x14ac:dyDescent="0.25">
      <c r="A121" t="s">
        <v>271</v>
      </c>
      <c r="B121">
        <v>44471</v>
      </c>
      <c r="C121" t="s">
        <v>272</v>
      </c>
      <c r="D121" t="s">
        <v>64</v>
      </c>
      <c r="E121">
        <v>1</v>
      </c>
      <c r="F121">
        <f>INDEX([1]products!$A$1:$G$49,MATCH([1]orders!$D121,[1]products!$A$1:$A$49,0),MATCH([1]orders!K$1,[1]products!$A$1:$G$1,0))</f>
        <v>0.2</v>
      </c>
      <c r="G121">
        <f>INDEX([1]products!$A$1:$G$49,MATCH([1]orders!$D121,[1]products!$A$1:$A$49,0),MATCH([1]orders!L$1,[1]products!$A$1:$G$1,0))</f>
        <v>4.125</v>
      </c>
      <c r="H121">
        <f t="shared" si="1"/>
        <v>4.125</v>
      </c>
    </row>
    <row r="122" spans="1:8" x14ac:dyDescent="0.25">
      <c r="A122" t="s">
        <v>271</v>
      </c>
      <c r="B122">
        <v>44471</v>
      </c>
      <c r="C122" t="s">
        <v>272</v>
      </c>
      <c r="D122" t="s">
        <v>115</v>
      </c>
      <c r="E122">
        <v>1</v>
      </c>
      <c r="F122">
        <f>INDEX([1]products!$A$1:$G$49,MATCH([1]orders!$D122,[1]products!$A$1:$A$49,0),MATCH([1]orders!K$1,[1]products!$A$1:$G$1,0))</f>
        <v>0.2</v>
      </c>
      <c r="G122">
        <f>INDEX([1]products!$A$1:$G$49,MATCH([1]orders!$D122,[1]products!$A$1:$A$49,0),MATCH([1]orders!L$1,[1]products!$A$1:$G$1,0))</f>
        <v>3.8849999999999998</v>
      </c>
      <c r="H122">
        <f t="shared" si="1"/>
        <v>3.8849999999999998</v>
      </c>
    </row>
    <row r="123" spans="1:8" x14ac:dyDescent="0.25">
      <c r="A123" t="s">
        <v>271</v>
      </c>
      <c r="B123">
        <v>44471</v>
      </c>
      <c r="C123" t="s">
        <v>272</v>
      </c>
      <c r="D123" t="s">
        <v>9</v>
      </c>
      <c r="E123">
        <v>5</v>
      </c>
      <c r="F123">
        <f>INDEX([1]products!$A$1:$G$49,MATCH([1]orders!$D123,[1]products!$A$1:$A$49,0),MATCH([1]orders!K$1,[1]products!$A$1:$G$1,0))</f>
        <v>1</v>
      </c>
      <c r="G123">
        <f>INDEX([1]products!$A$1:$G$49,MATCH([1]orders!$D123,[1]products!$A$1:$A$49,0),MATCH([1]orders!L$1,[1]products!$A$1:$G$1,0))</f>
        <v>13.75</v>
      </c>
      <c r="H123">
        <f t="shared" si="1"/>
        <v>68.75</v>
      </c>
    </row>
    <row r="124" spans="1:8" x14ac:dyDescent="0.25">
      <c r="A124" t="s">
        <v>273</v>
      </c>
      <c r="B124">
        <v>44268</v>
      </c>
      <c r="C124" t="s">
        <v>274</v>
      </c>
      <c r="D124" t="s">
        <v>72</v>
      </c>
      <c r="E124">
        <v>4</v>
      </c>
      <c r="F124">
        <f>INDEX([1]products!$A$1:$G$49,MATCH([1]orders!$D124,[1]products!$A$1:$A$49,0),MATCH([1]orders!K$1,[1]products!$A$1:$G$1,0))</f>
        <v>0.5</v>
      </c>
      <c r="G124">
        <f>INDEX([1]products!$A$1:$G$49,MATCH([1]orders!$D124,[1]products!$A$1:$A$49,0),MATCH([1]orders!L$1,[1]products!$A$1:$G$1,0))</f>
        <v>5.97</v>
      </c>
      <c r="H124">
        <f t="shared" si="1"/>
        <v>23.88</v>
      </c>
    </row>
    <row r="125" spans="1:8" x14ac:dyDescent="0.25">
      <c r="A125" t="s">
        <v>275</v>
      </c>
      <c r="B125">
        <v>44724</v>
      </c>
      <c r="C125" t="s">
        <v>276</v>
      </c>
      <c r="D125" t="s">
        <v>104</v>
      </c>
      <c r="E125">
        <v>4</v>
      </c>
      <c r="F125">
        <f>INDEX([1]products!$A$1:$G$49,MATCH([1]orders!$D125,[1]products!$A$1:$A$49,0),MATCH([1]orders!K$1,[1]products!$A$1:$G$1,0))</f>
        <v>2.5</v>
      </c>
      <c r="G125">
        <f>INDEX([1]products!$A$1:$G$49,MATCH([1]orders!$D125,[1]products!$A$1:$A$49,0),MATCH([1]orders!L$1,[1]products!$A$1:$G$1,0))</f>
        <v>36.454999999999998</v>
      </c>
      <c r="H125">
        <f t="shared" si="1"/>
        <v>145.82</v>
      </c>
    </row>
    <row r="126" spans="1:8" x14ac:dyDescent="0.25">
      <c r="A126" t="s">
        <v>277</v>
      </c>
      <c r="B126">
        <v>43582</v>
      </c>
      <c r="C126" t="s">
        <v>278</v>
      </c>
      <c r="D126" t="s">
        <v>77</v>
      </c>
      <c r="E126">
        <v>5</v>
      </c>
      <c r="F126">
        <f>INDEX([1]products!$A$1:$G$49,MATCH([1]orders!$D126,[1]products!$A$1:$A$49,0),MATCH([1]orders!K$1,[1]products!$A$1:$G$1,0))</f>
        <v>0.2</v>
      </c>
      <c r="G126">
        <f>INDEX([1]products!$A$1:$G$49,MATCH([1]orders!$D126,[1]products!$A$1:$A$49,0),MATCH([1]orders!L$1,[1]products!$A$1:$G$1,0))</f>
        <v>4.3650000000000002</v>
      </c>
      <c r="H126">
        <f t="shared" si="1"/>
        <v>21.825000000000003</v>
      </c>
    </row>
    <row r="127" spans="1:8" x14ac:dyDescent="0.25">
      <c r="A127" t="s">
        <v>279</v>
      </c>
      <c r="B127">
        <v>43608</v>
      </c>
      <c r="C127" t="s">
        <v>280</v>
      </c>
      <c r="D127" t="s">
        <v>78</v>
      </c>
      <c r="E127">
        <v>3</v>
      </c>
      <c r="F127">
        <f>INDEX([1]products!$A$1:$G$49,MATCH([1]orders!$D127,[1]products!$A$1:$A$49,0),MATCH([1]orders!K$1,[1]products!$A$1:$G$1,0))</f>
        <v>0.5</v>
      </c>
      <c r="G127">
        <f>INDEX([1]products!$A$1:$G$49,MATCH([1]orders!$D127,[1]products!$A$1:$A$49,0),MATCH([1]orders!L$1,[1]products!$A$1:$G$1,0))</f>
        <v>8.73</v>
      </c>
      <c r="H127">
        <f t="shared" si="1"/>
        <v>26.19</v>
      </c>
    </row>
    <row r="128" spans="1:8" x14ac:dyDescent="0.25">
      <c r="A128" t="s">
        <v>281</v>
      </c>
      <c r="B128">
        <v>44026</v>
      </c>
      <c r="C128" t="s">
        <v>282</v>
      </c>
      <c r="D128" t="s">
        <v>61</v>
      </c>
      <c r="E128">
        <v>1</v>
      </c>
      <c r="F128">
        <f>INDEX([1]products!$A$1:$G$49,MATCH([1]orders!$D128,[1]products!$A$1:$A$49,0),MATCH([1]orders!K$1,[1]products!$A$1:$G$1,0))</f>
        <v>1</v>
      </c>
      <c r="G128">
        <f>INDEX([1]products!$A$1:$G$49,MATCH([1]orders!$D128,[1]products!$A$1:$A$49,0),MATCH([1]orders!L$1,[1]products!$A$1:$G$1,0))</f>
        <v>11.25</v>
      </c>
      <c r="H128">
        <f t="shared" si="1"/>
        <v>11.25</v>
      </c>
    </row>
    <row r="129" spans="1:8" x14ac:dyDescent="0.25">
      <c r="A129" t="s">
        <v>283</v>
      </c>
      <c r="B129">
        <v>44510</v>
      </c>
      <c r="C129" t="s">
        <v>284</v>
      </c>
      <c r="D129" t="s">
        <v>13</v>
      </c>
      <c r="E129">
        <v>6</v>
      </c>
      <c r="F129">
        <f>INDEX([1]products!$A$1:$G$49,MATCH([1]orders!$D129,[1]products!$A$1:$A$49,0),MATCH([1]orders!K$1,[1]products!$A$1:$G$1,0))</f>
        <v>1</v>
      </c>
      <c r="G129">
        <f>INDEX([1]products!$A$1:$G$49,MATCH([1]orders!$D129,[1]products!$A$1:$A$49,0),MATCH([1]orders!L$1,[1]products!$A$1:$G$1,0))</f>
        <v>12.95</v>
      </c>
      <c r="H129">
        <f t="shared" si="1"/>
        <v>77.699999999999989</v>
      </c>
    </row>
    <row r="130" spans="1:8" x14ac:dyDescent="0.25">
      <c r="A130" t="s">
        <v>285</v>
      </c>
      <c r="B130">
        <v>44439</v>
      </c>
      <c r="C130" t="s">
        <v>286</v>
      </c>
      <c r="D130" t="s">
        <v>67</v>
      </c>
      <c r="E130">
        <v>1</v>
      </c>
      <c r="F130">
        <f>INDEX([1]products!$A$1:$G$49,MATCH([1]orders!$D130,[1]products!$A$1:$A$49,0),MATCH([1]orders!K$1,[1]products!$A$1:$G$1,0))</f>
        <v>0.5</v>
      </c>
      <c r="G130">
        <f>INDEX([1]products!$A$1:$G$49,MATCH([1]orders!$D130,[1]products!$A$1:$A$49,0),MATCH([1]orders!L$1,[1]products!$A$1:$G$1,0))</f>
        <v>6.75</v>
      </c>
      <c r="H130">
        <f t="shared" ref="H130:H193" si="2">E130*G130</f>
        <v>6.75</v>
      </c>
    </row>
    <row r="131" spans="1:8" x14ac:dyDescent="0.25">
      <c r="A131" t="s">
        <v>287</v>
      </c>
      <c r="B131">
        <v>43652</v>
      </c>
      <c r="C131" t="s">
        <v>288</v>
      </c>
      <c r="D131" t="s">
        <v>245</v>
      </c>
      <c r="E131">
        <v>1</v>
      </c>
      <c r="F131">
        <f>INDEX([1]products!$A$1:$G$49,MATCH([1]orders!$D131,[1]products!$A$1:$A$49,0),MATCH([1]orders!K$1,[1]products!$A$1:$G$1,0))</f>
        <v>1</v>
      </c>
      <c r="G131">
        <f>INDEX([1]products!$A$1:$G$49,MATCH([1]orders!$D131,[1]products!$A$1:$A$49,0),MATCH([1]orders!L$1,[1]products!$A$1:$G$1,0))</f>
        <v>12.15</v>
      </c>
      <c r="H131">
        <f t="shared" si="2"/>
        <v>12.15</v>
      </c>
    </row>
    <row r="132" spans="1:8" x14ac:dyDescent="0.25">
      <c r="A132" t="s">
        <v>289</v>
      </c>
      <c r="B132">
        <v>44624</v>
      </c>
      <c r="C132" t="s">
        <v>290</v>
      </c>
      <c r="D132" t="s">
        <v>204</v>
      </c>
      <c r="E132">
        <v>5</v>
      </c>
      <c r="F132">
        <f>INDEX([1]products!$A$1:$G$49,MATCH([1]orders!$D132,[1]products!$A$1:$A$49,0),MATCH([1]orders!K$1,[1]products!$A$1:$G$1,0))</f>
        <v>2.5</v>
      </c>
      <c r="G132">
        <f>INDEX([1]products!$A$1:$G$49,MATCH([1]orders!$D132,[1]products!$A$1:$A$49,0),MATCH([1]orders!L$1,[1]products!$A$1:$G$1,0))</f>
        <v>29.784999999999997</v>
      </c>
      <c r="H132">
        <f t="shared" si="2"/>
        <v>148.92499999999998</v>
      </c>
    </row>
    <row r="133" spans="1:8" x14ac:dyDescent="0.25">
      <c r="A133" t="s">
        <v>291</v>
      </c>
      <c r="B133">
        <v>44196</v>
      </c>
      <c r="C133" t="s">
        <v>292</v>
      </c>
      <c r="D133" t="s">
        <v>16</v>
      </c>
      <c r="E133">
        <v>2</v>
      </c>
      <c r="F133">
        <f>INDEX([1]products!$A$1:$G$49,MATCH([1]orders!$D133,[1]products!$A$1:$A$49,0),MATCH([1]orders!K$1,[1]products!$A$1:$G$1,0))</f>
        <v>0.5</v>
      </c>
      <c r="G133">
        <f>INDEX([1]products!$A$1:$G$49,MATCH([1]orders!$D133,[1]products!$A$1:$A$49,0),MATCH([1]orders!L$1,[1]products!$A$1:$G$1,0))</f>
        <v>7.29</v>
      </c>
      <c r="H133">
        <f t="shared" si="2"/>
        <v>14.58</v>
      </c>
    </row>
    <row r="134" spans="1:8" x14ac:dyDescent="0.25">
      <c r="A134" t="s">
        <v>293</v>
      </c>
      <c r="B134">
        <v>44043</v>
      </c>
      <c r="C134" t="s">
        <v>294</v>
      </c>
      <c r="D134" t="s">
        <v>204</v>
      </c>
      <c r="E134">
        <v>5</v>
      </c>
      <c r="F134">
        <f>INDEX([1]products!$A$1:$G$49,MATCH([1]orders!$D134,[1]products!$A$1:$A$49,0),MATCH([1]orders!K$1,[1]products!$A$1:$G$1,0))</f>
        <v>2.5</v>
      </c>
      <c r="G134">
        <f>INDEX([1]products!$A$1:$G$49,MATCH([1]orders!$D134,[1]products!$A$1:$A$49,0),MATCH([1]orders!L$1,[1]products!$A$1:$G$1,0))</f>
        <v>29.784999999999997</v>
      </c>
      <c r="H134">
        <f t="shared" si="2"/>
        <v>148.92499999999998</v>
      </c>
    </row>
    <row r="135" spans="1:8" x14ac:dyDescent="0.25">
      <c r="A135" t="s">
        <v>295</v>
      </c>
      <c r="B135">
        <v>44340</v>
      </c>
      <c r="C135" t="s">
        <v>296</v>
      </c>
      <c r="D135" t="s">
        <v>13</v>
      </c>
      <c r="E135">
        <v>1</v>
      </c>
      <c r="F135">
        <f>INDEX([1]products!$A$1:$G$49,MATCH([1]orders!$D135,[1]products!$A$1:$A$49,0),MATCH([1]orders!K$1,[1]products!$A$1:$G$1,0))</f>
        <v>1</v>
      </c>
      <c r="G135">
        <f>INDEX([1]products!$A$1:$G$49,MATCH([1]orders!$D135,[1]products!$A$1:$A$49,0),MATCH([1]orders!L$1,[1]products!$A$1:$G$1,0))</f>
        <v>12.95</v>
      </c>
      <c r="H135">
        <f t="shared" si="2"/>
        <v>12.95</v>
      </c>
    </row>
    <row r="136" spans="1:8" x14ac:dyDescent="0.25">
      <c r="A136" t="s">
        <v>297</v>
      </c>
      <c r="B136">
        <v>44758</v>
      </c>
      <c r="C136" t="s">
        <v>298</v>
      </c>
      <c r="D136" t="s">
        <v>112</v>
      </c>
      <c r="E136">
        <v>3</v>
      </c>
      <c r="F136">
        <f>INDEX([1]products!$A$1:$G$49,MATCH([1]orders!$D136,[1]products!$A$1:$A$49,0),MATCH([1]orders!K$1,[1]products!$A$1:$G$1,0))</f>
        <v>2.5</v>
      </c>
      <c r="G136">
        <f>INDEX([1]products!$A$1:$G$49,MATCH([1]orders!$D136,[1]products!$A$1:$A$49,0),MATCH([1]orders!L$1,[1]products!$A$1:$G$1,0))</f>
        <v>31.624999999999996</v>
      </c>
      <c r="H136">
        <f t="shared" si="2"/>
        <v>94.874999999999986</v>
      </c>
    </row>
    <row r="137" spans="1:8" x14ac:dyDescent="0.25">
      <c r="A137" t="s">
        <v>299</v>
      </c>
      <c r="B137">
        <v>44232</v>
      </c>
      <c r="C137" t="s">
        <v>300</v>
      </c>
      <c r="D137" t="s">
        <v>192</v>
      </c>
      <c r="E137">
        <v>5</v>
      </c>
      <c r="F137">
        <f>INDEX([1]products!$A$1:$G$49,MATCH([1]orders!$D137,[1]products!$A$1:$A$49,0),MATCH([1]orders!K$1,[1]products!$A$1:$G$1,0))</f>
        <v>0.5</v>
      </c>
      <c r="G137">
        <f>INDEX([1]products!$A$1:$G$49,MATCH([1]orders!$D137,[1]products!$A$1:$A$49,0),MATCH([1]orders!L$1,[1]products!$A$1:$G$1,0))</f>
        <v>7.77</v>
      </c>
      <c r="H137">
        <f t="shared" si="2"/>
        <v>38.849999999999994</v>
      </c>
    </row>
    <row r="138" spans="1:8" x14ac:dyDescent="0.25">
      <c r="A138" t="s">
        <v>301</v>
      </c>
      <c r="B138">
        <v>44406</v>
      </c>
      <c r="C138" t="s">
        <v>302</v>
      </c>
      <c r="D138" t="s">
        <v>54</v>
      </c>
      <c r="E138">
        <v>4</v>
      </c>
      <c r="F138">
        <f>INDEX([1]products!$A$1:$G$49,MATCH([1]orders!$D138,[1]products!$A$1:$A$49,0),MATCH([1]orders!K$1,[1]products!$A$1:$G$1,0))</f>
        <v>0.2</v>
      </c>
      <c r="G138">
        <f>INDEX([1]products!$A$1:$G$49,MATCH([1]orders!$D138,[1]products!$A$1:$A$49,0),MATCH([1]orders!L$1,[1]products!$A$1:$G$1,0))</f>
        <v>2.9849999999999999</v>
      </c>
      <c r="H138">
        <f t="shared" si="2"/>
        <v>11.94</v>
      </c>
    </row>
    <row r="139" spans="1:8" x14ac:dyDescent="0.25">
      <c r="A139" t="s">
        <v>303</v>
      </c>
      <c r="B139">
        <v>44637</v>
      </c>
      <c r="C139" t="s">
        <v>304</v>
      </c>
      <c r="D139" t="s">
        <v>30</v>
      </c>
      <c r="E139">
        <v>3</v>
      </c>
      <c r="F139">
        <f>INDEX([1]products!$A$1:$G$49,MATCH([1]orders!$D139,[1]products!$A$1:$A$49,0),MATCH([1]orders!K$1,[1]products!$A$1:$G$1,0))</f>
        <v>2.5</v>
      </c>
      <c r="G139">
        <f>INDEX([1]products!$A$1:$G$49,MATCH([1]orders!$D139,[1]products!$A$1:$A$49,0),MATCH([1]orders!L$1,[1]products!$A$1:$G$1,0))</f>
        <v>34.154999999999994</v>
      </c>
      <c r="H139">
        <f t="shared" si="2"/>
        <v>102.46499999999997</v>
      </c>
    </row>
    <row r="140" spans="1:8" x14ac:dyDescent="0.25">
      <c r="A140" t="s">
        <v>305</v>
      </c>
      <c r="B140">
        <v>44238</v>
      </c>
      <c r="C140" t="s">
        <v>306</v>
      </c>
      <c r="D140" t="s">
        <v>245</v>
      </c>
      <c r="E140">
        <v>4</v>
      </c>
      <c r="F140">
        <f>INDEX([1]products!$A$1:$G$49,MATCH([1]orders!$D140,[1]products!$A$1:$A$49,0),MATCH([1]orders!K$1,[1]products!$A$1:$G$1,0))</f>
        <v>1</v>
      </c>
      <c r="G140">
        <f>INDEX([1]products!$A$1:$G$49,MATCH([1]orders!$D140,[1]products!$A$1:$A$49,0),MATCH([1]orders!L$1,[1]products!$A$1:$G$1,0))</f>
        <v>12.15</v>
      </c>
      <c r="H140">
        <f t="shared" si="2"/>
        <v>48.6</v>
      </c>
    </row>
    <row r="141" spans="1:8" x14ac:dyDescent="0.25">
      <c r="A141" t="s">
        <v>307</v>
      </c>
      <c r="B141">
        <v>43509</v>
      </c>
      <c r="C141" t="s">
        <v>308</v>
      </c>
      <c r="D141" t="s">
        <v>13</v>
      </c>
      <c r="E141">
        <v>6</v>
      </c>
      <c r="F141">
        <f>INDEX([1]products!$A$1:$G$49,MATCH([1]orders!$D141,[1]products!$A$1:$A$49,0),MATCH([1]orders!K$1,[1]products!$A$1:$G$1,0))</f>
        <v>1</v>
      </c>
      <c r="G141">
        <f>INDEX([1]products!$A$1:$G$49,MATCH([1]orders!$D141,[1]products!$A$1:$A$49,0),MATCH([1]orders!L$1,[1]products!$A$1:$G$1,0))</f>
        <v>12.95</v>
      </c>
      <c r="H141">
        <f t="shared" si="2"/>
        <v>77.699999999999989</v>
      </c>
    </row>
    <row r="142" spans="1:8" x14ac:dyDescent="0.25">
      <c r="A142" t="s">
        <v>309</v>
      </c>
      <c r="B142">
        <v>44694</v>
      </c>
      <c r="C142" t="s">
        <v>310</v>
      </c>
      <c r="D142" t="s">
        <v>109</v>
      </c>
      <c r="E142">
        <v>1</v>
      </c>
      <c r="F142">
        <f>INDEX([1]products!$A$1:$G$49,MATCH([1]orders!$D142,[1]products!$A$1:$A$49,0),MATCH([1]orders!K$1,[1]products!$A$1:$G$1,0))</f>
        <v>2.5</v>
      </c>
      <c r="G142">
        <f>INDEX([1]products!$A$1:$G$49,MATCH([1]orders!$D142,[1]products!$A$1:$A$49,0),MATCH([1]orders!L$1,[1]products!$A$1:$G$1,0))</f>
        <v>29.784999999999997</v>
      </c>
      <c r="H142">
        <f t="shared" si="2"/>
        <v>29.784999999999997</v>
      </c>
    </row>
    <row r="143" spans="1:8" x14ac:dyDescent="0.25">
      <c r="A143" t="s">
        <v>311</v>
      </c>
      <c r="B143">
        <v>43970</v>
      </c>
      <c r="C143" t="s">
        <v>312</v>
      </c>
      <c r="D143" t="s">
        <v>115</v>
      </c>
      <c r="E143">
        <v>4</v>
      </c>
      <c r="F143">
        <f>INDEX([1]products!$A$1:$G$49,MATCH([1]orders!$D143,[1]products!$A$1:$A$49,0),MATCH([1]orders!K$1,[1]products!$A$1:$G$1,0))</f>
        <v>0.2</v>
      </c>
      <c r="G143">
        <f>INDEX([1]products!$A$1:$G$49,MATCH([1]orders!$D143,[1]products!$A$1:$A$49,0),MATCH([1]orders!L$1,[1]products!$A$1:$G$1,0))</f>
        <v>3.8849999999999998</v>
      </c>
      <c r="H143">
        <f t="shared" si="2"/>
        <v>15.54</v>
      </c>
    </row>
    <row r="144" spans="1:8" x14ac:dyDescent="0.25">
      <c r="A144" t="s">
        <v>313</v>
      </c>
      <c r="B144">
        <v>44678</v>
      </c>
      <c r="C144" t="s">
        <v>314</v>
      </c>
      <c r="D144" t="s">
        <v>30</v>
      </c>
      <c r="E144">
        <v>4</v>
      </c>
      <c r="F144">
        <f>INDEX([1]products!$A$1:$G$49,MATCH([1]orders!$D144,[1]products!$A$1:$A$49,0),MATCH([1]orders!K$1,[1]products!$A$1:$G$1,0))</f>
        <v>2.5</v>
      </c>
      <c r="G144">
        <f>INDEX([1]products!$A$1:$G$49,MATCH([1]orders!$D144,[1]products!$A$1:$A$49,0),MATCH([1]orders!L$1,[1]products!$A$1:$G$1,0))</f>
        <v>34.154999999999994</v>
      </c>
      <c r="H144">
        <f t="shared" si="2"/>
        <v>136.61999999999998</v>
      </c>
    </row>
    <row r="145" spans="1:8" x14ac:dyDescent="0.25">
      <c r="A145" t="s">
        <v>315</v>
      </c>
      <c r="B145">
        <v>44083</v>
      </c>
      <c r="C145" t="s">
        <v>316</v>
      </c>
      <c r="D145" t="s">
        <v>78</v>
      </c>
      <c r="E145">
        <v>2</v>
      </c>
      <c r="F145">
        <f>INDEX([1]products!$A$1:$G$49,MATCH([1]orders!$D145,[1]products!$A$1:$A$49,0),MATCH([1]orders!K$1,[1]products!$A$1:$G$1,0))</f>
        <v>0.5</v>
      </c>
      <c r="G145">
        <f>INDEX([1]products!$A$1:$G$49,MATCH([1]orders!$D145,[1]products!$A$1:$A$49,0),MATCH([1]orders!L$1,[1]products!$A$1:$G$1,0))</f>
        <v>8.73</v>
      </c>
      <c r="H145">
        <f t="shared" si="2"/>
        <v>17.46</v>
      </c>
    </row>
    <row r="146" spans="1:8" x14ac:dyDescent="0.25">
      <c r="A146" t="s">
        <v>317</v>
      </c>
      <c r="B146">
        <v>44265</v>
      </c>
      <c r="C146" t="s">
        <v>318</v>
      </c>
      <c r="D146" t="s">
        <v>30</v>
      </c>
      <c r="E146">
        <v>2</v>
      </c>
      <c r="F146">
        <f>INDEX([1]products!$A$1:$G$49,MATCH([1]orders!$D146,[1]products!$A$1:$A$49,0),MATCH([1]orders!K$1,[1]products!$A$1:$G$1,0))</f>
        <v>2.5</v>
      </c>
      <c r="G146">
        <f>INDEX([1]products!$A$1:$G$49,MATCH([1]orders!$D146,[1]products!$A$1:$A$49,0),MATCH([1]orders!L$1,[1]products!$A$1:$G$1,0))</f>
        <v>34.154999999999994</v>
      </c>
      <c r="H146">
        <f t="shared" si="2"/>
        <v>68.309999999999988</v>
      </c>
    </row>
    <row r="147" spans="1:8" x14ac:dyDescent="0.25">
      <c r="A147" t="s">
        <v>319</v>
      </c>
      <c r="B147">
        <v>43562</v>
      </c>
      <c r="C147" t="s">
        <v>320</v>
      </c>
      <c r="D147" t="s">
        <v>77</v>
      </c>
      <c r="E147">
        <v>4</v>
      </c>
      <c r="F147">
        <f>INDEX([1]products!$A$1:$G$49,MATCH([1]orders!$D147,[1]products!$A$1:$A$49,0),MATCH([1]orders!K$1,[1]products!$A$1:$G$1,0))</f>
        <v>0.2</v>
      </c>
      <c r="G147">
        <f>INDEX([1]products!$A$1:$G$49,MATCH([1]orders!$D147,[1]products!$A$1:$A$49,0),MATCH([1]orders!L$1,[1]products!$A$1:$G$1,0))</f>
        <v>4.3650000000000002</v>
      </c>
      <c r="H147">
        <f t="shared" si="2"/>
        <v>17.46</v>
      </c>
    </row>
    <row r="148" spans="1:8" x14ac:dyDescent="0.25">
      <c r="A148" t="s">
        <v>321</v>
      </c>
      <c r="B148">
        <v>44024</v>
      </c>
      <c r="C148" t="s">
        <v>322</v>
      </c>
      <c r="D148" t="s">
        <v>96</v>
      </c>
      <c r="E148">
        <v>3</v>
      </c>
      <c r="F148">
        <f>INDEX([1]products!$A$1:$G$49,MATCH([1]orders!$D148,[1]products!$A$1:$A$49,0),MATCH([1]orders!K$1,[1]products!$A$1:$G$1,0))</f>
        <v>1</v>
      </c>
      <c r="G148">
        <f>INDEX([1]products!$A$1:$G$49,MATCH([1]orders!$D148,[1]products!$A$1:$A$49,0),MATCH([1]orders!L$1,[1]products!$A$1:$G$1,0))</f>
        <v>14.55</v>
      </c>
      <c r="H148">
        <f t="shared" si="2"/>
        <v>43.650000000000006</v>
      </c>
    </row>
    <row r="149" spans="1:8" x14ac:dyDescent="0.25">
      <c r="A149" t="s">
        <v>321</v>
      </c>
      <c r="B149">
        <v>44024</v>
      </c>
      <c r="C149" t="s">
        <v>322</v>
      </c>
      <c r="D149" t="s">
        <v>9</v>
      </c>
      <c r="E149">
        <v>2</v>
      </c>
      <c r="F149">
        <f>INDEX([1]products!$A$1:$G$49,MATCH([1]orders!$D149,[1]products!$A$1:$A$49,0),MATCH([1]orders!K$1,[1]products!$A$1:$G$1,0))</f>
        <v>1</v>
      </c>
      <c r="G149">
        <f>INDEX([1]products!$A$1:$G$49,MATCH([1]orders!$D149,[1]products!$A$1:$A$49,0),MATCH([1]orders!L$1,[1]products!$A$1:$G$1,0))</f>
        <v>13.75</v>
      </c>
      <c r="H149">
        <f t="shared" si="2"/>
        <v>27.5</v>
      </c>
    </row>
    <row r="150" spans="1:8" x14ac:dyDescent="0.25">
      <c r="A150" t="s">
        <v>323</v>
      </c>
      <c r="B150">
        <v>44551</v>
      </c>
      <c r="C150" t="s">
        <v>324</v>
      </c>
      <c r="D150" t="s">
        <v>51</v>
      </c>
      <c r="E150">
        <v>5</v>
      </c>
      <c r="F150">
        <f>INDEX([1]products!$A$1:$G$49,MATCH([1]orders!$D150,[1]products!$A$1:$A$49,0),MATCH([1]orders!K$1,[1]products!$A$1:$G$1,0))</f>
        <v>0.2</v>
      </c>
      <c r="G150">
        <f>INDEX([1]products!$A$1:$G$49,MATCH([1]orders!$D150,[1]products!$A$1:$A$49,0),MATCH([1]orders!L$1,[1]products!$A$1:$G$1,0))</f>
        <v>3.645</v>
      </c>
      <c r="H150">
        <f t="shared" si="2"/>
        <v>18.225000000000001</v>
      </c>
    </row>
    <row r="151" spans="1:8" x14ac:dyDescent="0.25">
      <c r="A151" t="s">
        <v>325</v>
      </c>
      <c r="B151">
        <v>44108</v>
      </c>
      <c r="C151" t="s">
        <v>326</v>
      </c>
      <c r="D151" t="s">
        <v>171</v>
      </c>
      <c r="E151">
        <v>2</v>
      </c>
      <c r="F151">
        <f>INDEX([1]products!$A$1:$G$49,MATCH([1]orders!$D151,[1]products!$A$1:$A$49,0),MATCH([1]orders!K$1,[1]products!$A$1:$G$1,0))</f>
        <v>2.5</v>
      </c>
      <c r="G151">
        <f>INDEX([1]products!$A$1:$G$49,MATCH([1]orders!$D151,[1]products!$A$1:$A$49,0),MATCH([1]orders!L$1,[1]products!$A$1:$G$1,0))</f>
        <v>25.874999999999996</v>
      </c>
      <c r="H151">
        <f t="shared" si="2"/>
        <v>51.749999999999993</v>
      </c>
    </row>
    <row r="152" spans="1:8" x14ac:dyDescent="0.25">
      <c r="A152" t="s">
        <v>327</v>
      </c>
      <c r="B152">
        <v>44051</v>
      </c>
      <c r="C152" t="s">
        <v>328</v>
      </c>
      <c r="D152" t="s">
        <v>13</v>
      </c>
      <c r="E152">
        <v>1</v>
      </c>
      <c r="F152">
        <f>INDEX([1]products!$A$1:$G$49,MATCH([1]orders!$D152,[1]products!$A$1:$A$49,0),MATCH([1]orders!K$1,[1]products!$A$1:$G$1,0))</f>
        <v>1</v>
      </c>
      <c r="G152">
        <f>INDEX([1]products!$A$1:$G$49,MATCH([1]orders!$D152,[1]products!$A$1:$A$49,0),MATCH([1]orders!L$1,[1]products!$A$1:$G$1,0))</f>
        <v>12.95</v>
      </c>
      <c r="H152">
        <f t="shared" si="2"/>
        <v>12.95</v>
      </c>
    </row>
    <row r="153" spans="1:8" x14ac:dyDescent="0.25">
      <c r="A153" t="s">
        <v>329</v>
      </c>
      <c r="B153">
        <v>44115</v>
      </c>
      <c r="C153" t="s">
        <v>330</v>
      </c>
      <c r="D153" t="s">
        <v>61</v>
      </c>
      <c r="E153">
        <v>3</v>
      </c>
      <c r="F153">
        <f>INDEX([1]products!$A$1:$G$49,MATCH([1]orders!$D153,[1]products!$A$1:$A$49,0),MATCH([1]orders!K$1,[1]products!$A$1:$G$1,0))</f>
        <v>1</v>
      </c>
      <c r="G153">
        <f>INDEX([1]products!$A$1:$G$49,MATCH([1]orders!$D153,[1]products!$A$1:$A$49,0),MATCH([1]orders!L$1,[1]products!$A$1:$G$1,0))</f>
        <v>11.25</v>
      </c>
      <c r="H153">
        <f t="shared" si="2"/>
        <v>33.75</v>
      </c>
    </row>
    <row r="154" spans="1:8" x14ac:dyDescent="0.25">
      <c r="A154" t="s">
        <v>331</v>
      </c>
      <c r="B154">
        <v>44510</v>
      </c>
      <c r="C154" t="s">
        <v>332</v>
      </c>
      <c r="D154" t="s">
        <v>41</v>
      </c>
      <c r="E154">
        <v>3</v>
      </c>
      <c r="F154">
        <f>INDEX([1]products!$A$1:$G$49,MATCH([1]orders!$D154,[1]products!$A$1:$A$49,0),MATCH([1]orders!K$1,[1]products!$A$1:$G$1,0))</f>
        <v>2.5</v>
      </c>
      <c r="G154">
        <f>INDEX([1]products!$A$1:$G$49,MATCH([1]orders!$D154,[1]products!$A$1:$A$49,0),MATCH([1]orders!L$1,[1]products!$A$1:$G$1,0))</f>
        <v>22.884999999999998</v>
      </c>
      <c r="H154">
        <f t="shared" si="2"/>
        <v>68.655000000000001</v>
      </c>
    </row>
    <row r="155" spans="1:8" x14ac:dyDescent="0.25">
      <c r="A155" t="s">
        <v>333</v>
      </c>
      <c r="B155">
        <v>44367</v>
      </c>
      <c r="C155" t="s">
        <v>334</v>
      </c>
      <c r="D155" t="s">
        <v>101</v>
      </c>
      <c r="E155">
        <v>1</v>
      </c>
      <c r="F155">
        <f>INDEX([1]products!$A$1:$G$49,MATCH([1]orders!$D155,[1]products!$A$1:$A$49,0),MATCH([1]orders!K$1,[1]products!$A$1:$G$1,0))</f>
        <v>0.2</v>
      </c>
      <c r="G155">
        <f>INDEX([1]products!$A$1:$G$49,MATCH([1]orders!$D155,[1]products!$A$1:$A$49,0),MATCH([1]orders!L$1,[1]products!$A$1:$G$1,0))</f>
        <v>2.6849999999999996</v>
      </c>
      <c r="H155">
        <f t="shared" si="2"/>
        <v>2.6849999999999996</v>
      </c>
    </row>
    <row r="156" spans="1:8" x14ac:dyDescent="0.25">
      <c r="A156" t="s">
        <v>335</v>
      </c>
      <c r="B156">
        <v>44473</v>
      </c>
      <c r="C156" t="s">
        <v>336</v>
      </c>
      <c r="D156" t="s">
        <v>118</v>
      </c>
      <c r="E156">
        <v>5</v>
      </c>
      <c r="F156">
        <f>INDEX([1]products!$A$1:$G$49,MATCH([1]orders!$D156,[1]products!$A$1:$A$49,0),MATCH([1]orders!K$1,[1]products!$A$1:$G$1,0))</f>
        <v>2.5</v>
      </c>
      <c r="G156">
        <f>INDEX([1]products!$A$1:$G$49,MATCH([1]orders!$D156,[1]products!$A$1:$A$49,0),MATCH([1]orders!L$1,[1]products!$A$1:$G$1,0))</f>
        <v>22.884999999999998</v>
      </c>
      <c r="H156">
        <f t="shared" si="2"/>
        <v>114.42499999999998</v>
      </c>
    </row>
    <row r="157" spans="1:8" x14ac:dyDescent="0.25">
      <c r="A157" t="s">
        <v>337</v>
      </c>
      <c r="B157">
        <v>43640</v>
      </c>
      <c r="C157" t="s">
        <v>338</v>
      </c>
      <c r="D157" t="s">
        <v>171</v>
      </c>
      <c r="E157">
        <v>6</v>
      </c>
      <c r="F157">
        <f>INDEX([1]products!$A$1:$G$49,MATCH([1]orders!$D157,[1]products!$A$1:$A$49,0),MATCH([1]orders!K$1,[1]products!$A$1:$G$1,0))</f>
        <v>2.5</v>
      </c>
      <c r="G157">
        <f>INDEX([1]products!$A$1:$G$49,MATCH([1]orders!$D157,[1]products!$A$1:$A$49,0),MATCH([1]orders!L$1,[1]products!$A$1:$G$1,0))</f>
        <v>25.874999999999996</v>
      </c>
      <c r="H157">
        <f t="shared" si="2"/>
        <v>155.24999999999997</v>
      </c>
    </row>
    <row r="158" spans="1:8" x14ac:dyDescent="0.25">
      <c r="A158" t="s">
        <v>339</v>
      </c>
      <c r="B158">
        <v>43764</v>
      </c>
      <c r="C158" t="s">
        <v>340</v>
      </c>
      <c r="D158" t="s">
        <v>171</v>
      </c>
      <c r="E158">
        <v>3</v>
      </c>
      <c r="F158">
        <f>INDEX([1]products!$A$1:$G$49,MATCH([1]orders!$D158,[1]products!$A$1:$A$49,0),MATCH([1]orders!K$1,[1]products!$A$1:$G$1,0))</f>
        <v>2.5</v>
      </c>
      <c r="G158">
        <f>INDEX([1]products!$A$1:$G$49,MATCH([1]orders!$D158,[1]products!$A$1:$A$49,0),MATCH([1]orders!L$1,[1]products!$A$1:$G$1,0))</f>
        <v>25.874999999999996</v>
      </c>
      <c r="H158">
        <f t="shared" si="2"/>
        <v>77.624999999999986</v>
      </c>
    </row>
    <row r="159" spans="1:8" x14ac:dyDescent="0.25">
      <c r="A159" t="s">
        <v>341</v>
      </c>
      <c r="B159">
        <v>44374</v>
      </c>
      <c r="C159" t="s">
        <v>342</v>
      </c>
      <c r="D159" t="s">
        <v>35</v>
      </c>
      <c r="E159">
        <v>3</v>
      </c>
      <c r="F159">
        <f>INDEX([1]products!$A$1:$G$49,MATCH([1]orders!$D159,[1]products!$A$1:$A$49,0),MATCH([1]orders!K$1,[1]products!$A$1:$G$1,0))</f>
        <v>2.5</v>
      </c>
      <c r="G159">
        <f>INDEX([1]products!$A$1:$G$49,MATCH([1]orders!$D159,[1]products!$A$1:$A$49,0),MATCH([1]orders!L$1,[1]products!$A$1:$G$1,0))</f>
        <v>20.584999999999997</v>
      </c>
      <c r="H159">
        <f t="shared" si="2"/>
        <v>61.754999999999995</v>
      </c>
    </row>
    <row r="160" spans="1:8" x14ac:dyDescent="0.25">
      <c r="A160" t="s">
        <v>343</v>
      </c>
      <c r="B160">
        <v>43714</v>
      </c>
      <c r="C160" t="s">
        <v>344</v>
      </c>
      <c r="D160" t="s">
        <v>35</v>
      </c>
      <c r="E160">
        <v>6</v>
      </c>
      <c r="F160">
        <f>INDEX([1]products!$A$1:$G$49,MATCH([1]orders!$D160,[1]products!$A$1:$A$49,0),MATCH([1]orders!K$1,[1]products!$A$1:$G$1,0))</f>
        <v>2.5</v>
      </c>
      <c r="G160">
        <f>INDEX([1]products!$A$1:$G$49,MATCH([1]orders!$D160,[1]products!$A$1:$A$49,0),MATCH([1]orders!L$1,[1]products!$A$1:$G$1,0))</f>
        <v>20.584999999999997</v>
      </c>
      <c r="H160">
        <f t="shared" si="2"/>
        <v>123.50999999999999</v>
      </c>
    </row>
    <row r="161" spans="1:8" x14ac:dyDescent="0.25">
      <c r="A161" t="s">
        <v>345</v>
      </c>
      <c r="B161">
        <v>44316</v>
      </c>
      <c r="C161" t="s">
        <v>346</v>
      </c>
      <c r="D161" t="s">
        <v>104</v>
      </c>
      <c r="E161">
        <v>6</v>
      </c>
      <c r="F161">
        <f>INDEX([1]products!$A$1:$G$49,MATCH([1]orders!$D161,[1]products!$A$1:$A$49,0),MATCH([1]orders!K$1,[1]products!$A$1:$G$1,0))</f>
        <v>2.5</v>
      </c>
      <c r="G161">
        <f>INDEX([1]products!$A$1:$G$49,MATCH([1]orders!$D161,[1]products!$A$1:$A$49,0),MATCH([1]orders!L$1,[1]products!$A$1:$G$1,0))</f>
        <v>36.454999999999998</v>
      </c>
      <c r="H161">
        <f t="shared" si="2"/>
        <v>218.73</v>
      </c>
    </row>
    <row r="162" spans="1:8" x14ac:dyDescent="0.25">
      <c r="A162" t="s">
        <v>347</v>
      </c>
      <c r="B162">
        <v>43837</v>
      </c>
      <c r="C162" t="s">
        <v>348</v>
      </c>
      <c r="D162" t="s">
        <v>3</v>
      </c>
      <c r="E162">
        <v>4</v>
      </c>
      <c r="F162">
        <f>INDEX([1]products!$A$1:$G$49,MATCH([1]orders!$D162,[1]products!$A$1:$A$49,0),MATCH([1]orders!K$1,[1]products!$A$1:$G$1,0))</f>
        <v>0.5</v>
      </c>
      <c r="G162">
        <f>INDEX([1]products!$A$1:$G$49,MATCH([1]orders!$D162,[1]products!$A$1:$A$49,0),MATCH([1]orders!L$1,[1]products!$A$1:$G$1,0))</f>
        <v>8.25</v>
      </c>
      <c r="H162">
        <f t="shared" si="2"/>
        <v>33</v>
      </c>
    </row>
    <row r="163" spans="1:8" x14ac:dyDescent="0.25">
      <c r="A163" t="s">
        <v>349</v>
      </c>
      <c r="B163">
        <v>44207</v>
      </c>
      <c r="C163" t="s">
        <v>350</v>
      </c>
      <c r="D163" t="s">
        <v>192</v>
      </c>
      <c r="E163">
        <v>3</v>
      </c>
      <c r="F163">
        <f>INDEX([1]products!$A$1:$G$49,MATCH([1]orders!$D163,[1]products!$A$1:$A$49,0),MATCH([1]orders!K$1,[1]products!$A$1:$G$1,0))</f>
        <v>0.5</v>
      </c>
      <c r="G163">
        <f>INDEX([1]products!$A$1:$G$49,MATCH([1]orders!$D163,[1]products!$A$1:$A$49,0),MATCH([1]orders!L$1,[1]products!$A$1:$G$1,0))</f>
        <v>7.77</v>
      </c>
      <c r="H163">
        <f t="shared" si="2"/>
        <v>23.31</v>
      </c>
    </row>
    <row r="164" spans="1:8" x14ac:dyDescent="0.25">
      <c r="A164" t="s">
        <v>351</v>
      </c>
      <c r="B164">
        <v>44515</v>
      </c>
      <c r="C164" t="s">
        <v>352</v>
      </c>
      <c r="D164" t="s">
        <v>16</v>
      </c>
      <c r="E164">
        <v>3</v>
      </c>
      <c r="F164">
        <f>INDEX([1]products!$A$1:$G$49,MATCH([1]orders!$D164,[1]products!$A$1:$A$49,0),MATCH([1]orders!K$1,[1]products!$A$1:$G$1,0))</f>
        <v>0.5</v>
      </c>
      <c r="G164">
        <f>INDEX([1]products!$A$1:$G$49,MATCH([1]orders!$D164,[1]products!$A$1:$A$49,0),MATCH([1]orders!L$1,[1]products!$A$1:$G$1,0))</f>
        <v>7.29</v>
      </c>
      <c r="H164">
        <f t="shared" si="2"/>
        <v>21.87</v>
      </c>
    </row>
    <row r="165" spans="1:8" x14ac:dyDescent="0.25">
      <c r="A165" t="s">
        <v>353</v>
      </c>
      <c r="B165">
        <v>43619</v>
      </c>
      <c r="C165" t="s">
        <v>354</v>
      </c>
      <c r="D165" t="s">
        <v>101</v>
      </c>
      <c r="E165">
        <v>6</v>
      </c>
      <c r="F165">
        <f>INDEX([1]products!$A$1:$G$49,MATCH([1]orders!$D165,[1]products!$A$1:$A$49,0),MATCH([1]orders!K$1,[1]products!$A$1:$G$1,0))</f>
        <v>0.2</v>
      </c>
      <c r="G165">
        <f>INDEX([1]products!$A$1:$G$49,MATCH([1]orders!$D165,[1]products!$A$1:$A$49,0),MATCH([1]orders!L$1,[1]products!$A$1:$G$1,0))</f>
        <v>2.6849999999999996</v>
      </c>
      <c r="H165">
        <f t="shared" si="2"/>
        <v>16.11</v>
      </c>
    </row>
    <row r="166" spans="1:8" x14ac:dyDescent="0.25">
      <c r="A166" t="s">
        <v>355</v>
      </c>
      <c r="B166">
        <v>44182</v>
      </c>
      <c r="C166" t="s">
        <v>356</v>
      </c>
      <c r="D166" t="s">
        <v>16</v>
      </c>
      <c r="E166">
        <v>4</v>
      </c>
      <c r="F166">
        <f>INDEX([1]products!$A$1:$G$49,MATCH([1]orders!$D166,[1]products!$A$1:$A$49,0),MATCH([1]orders!K$1,[1]products!$A$1:$G$1,0))</f>
        <v>0.5</v>
      </c>
      <c r="G166">
        <f>INDEX([1]products!$A$1:$G$49,MATCH([1]orders!$D166,[1]products!$A$1:$A$49,0),MATCH([1]orders!L$1,[1]products!$A$1:$G$1,0))</f>
        <v>7.29</v>
      </c>
      <c r="H166">
        <f t="shared" si="2"/>
        <v>29.16</v>
      </c>
    </row>
    <row r="167" spans="1:8" x14ac:dyDescent="0.25">
      <c r="A167" t="s">
        <v>357</v>
      </c>
      <c r="B167">
        <v>44234</v>
      </c>
      <c r="C167" t="s">
        <v>358</v>
      </c>
      <c r="D167" t="s">
        <v>179</v>
      </c>
      <c r="E167">
        <v>6</v>
      </c>
      <c r="F167">
        <f>INDEX([1]products!$A$1:$G$49,MATCH([1]orders!$D167,[1]products!$A$1:$A$49,0),MATCH([1]orders!K$1,[1]products!$A$1:$G$1,0))</f>
        <v>1</v>
      </c>
      <c r="G167">
        <f>INDEX([1]products!$A$1:$G$49,MATCH([1]orders!$D167,[1]products!$A$1:$A$49,0),MATCH([1]orders!L$1,[1]products!$A$1:$G$1,0))</f>
        <v>8.9499999999999993</v>
      </c>
      <c r="H167">
        <f t="shared" si="2"/>
        <v>53.699999999999996</v>
      </c>
    </row>
    <row r="168" spans="1:8" x14ac:dyDescent="0.25">
      <c r="A168" t="s">
        <v>359</v>
      </c>
      <c r="B168">
        <v>44270</v>
      </c>
      <c r="C168" t="s">
        <v>360</v>
      </c>
      <c r="D168" t="s">
        <v>146</v>
      </c>
      <c r="E168">
        <v>5</v>
      </c>
      <c r="F168">
        <f>INDEX([1]products!$A$1:$G$49,MATCH([1]orders!$D168,[1]products!$A$1:$A$49,0),MATCH([1]orders!K$1,[1]products!$A$1:$G$1,0))</f>
        <v>0.5</v>
      </c>
      <c r="G168">
        <f>INDEX([1]products!$A$1:$G$49,MATCH([1]orders!$D168,[1]products!$A$1:$A$49,0),MATCH([1]orders!L$1,[1]products!$A$1:$G$1,0))</f>
        <v>5.3699999999999992</v>
      </c>
      <c r="H168">
        <f t="shared" si="2"/>
        <v>26.849999999999994</v>
      </c>
    </row>
    <row r="169" spans="1:8" x14ac:dyDescent="0.25">
      <c r="A169" t="s">
        <v>361</v>
      </c>
      <c r="B169">
        <v>44777</v>
      </c>
      <c r="C169" t="s">
        <v>362</v>
      </c>
      <c r="D169" t="s">
        <v>3</v>
      </c>
      <c r="E169">
        <v>5</v>
      </c>
      <c r="F169">
        <f>INDEX([1]products!$A$1:$G$49,MATCH([1]orders!$D169,[1]products!$A$1:$A$49,0),MATCH([1]orders!K$1,[1]products!$A$1:$G$1,0))</f>
        <v>0.5</v>
      </c>
      <c r="G169">
        <f>INDEX([1]products!$A$1:$G$49,MATCH([1]orders!$D169,[1]products!$A$1:$A$49,0),MATCH([1]orders!L$1,[1]products!$A$1:$G$1,0))</f>
        <v>8.25</v>
      </c>
      <c r="H169">
        <f t="shared" si="2"/>
        <v>41.25</v>
      </c>
    </row>
    <row r="170" spans="1:8" x14ac:dyDescent="0.25">
      <c r="A170" t="s">
        <v>363</v>
      </c>
      <c r="B170">
        <v>43484</v>
      </c>
      <c r="C170" t="s">
        <v>364</v>
      </c>
      <c r="D170" t="s">
        <v>67</v>
      </c>
      <c r="E170">
        <v>6</v>
      </c>
      <c r="F170">
        <f>INDEX([1]products!$A$1:$G$49,MATCH([1]orders!$D170,[1]products!$A$1:$A$49,0),MATCH([1]orders!K$1,[1]products!$A$1:$G$1,0))</f>
        <v>0.5</v>
      </c>
      <c r="G170">
        <f>INDEX([1]products!$A$1:$G$49,MATCH([1]orders!$D170,[1]products!$A$1:$A$49,0),MATCH([1]orders!L$1,[1]products!$A$1:$G$1,0))</f>
        <v>6.75</v>
      </c>
      <c r="H170">
        <f t="shared" si="2"/>
        <v>40.5</v>
      </c>
    </row>
    <row r="171" spans="1:8" x14ac:dyDescent="0.25">
      <c r="A171" t="s">
        <v>365</v>
      </c>
      <c r="B171">
        <v>44643</v>
      </c>
      <c r="C171" t="s">
        <v>366</v>
      </c>
      <c r="D171" t="s">
        <v>179</v>
      </c>
      <c r="E171">
        <v>2</v>
      </c>
      <c r="F171">
        <f>INDEX([1]products!$A$1:$G$49,MATCH([1]orders!$D171,[1]products!$A$1:$A$49,0),MATCH([1]orders!K$1,[1]products!$A$1:$G$1,0))</f>
        <v>1</v>
      </c>
      <c r="G171">
        <f>INDEX([1]products!$A$1:$G$49,MATCH([1]orders!$D171,[1]products!$A$1:$A$49,0),MATCH([1]orders!L$1,[1]products!$A$1:$G$1,0))</f>
        <v>8.9499999999999993</v>
      </c>
      <c r="H171">
        <f t="shared" si="2"/>
        <v>17.899999999999999</v>
      </c>
    </row>
    <row r="172" spans="1:8" x14ac:dyDescent="0.25">
      <c r="A172" t="s">
        <v>367</v>
      </c>
      <c r="B172">
        <v>44476</v>
      </c>
      <c r="C172" t="s">
        <v>368</v>
      </c>
      <c r="D172" t="s">
        <v>30</v>
      </c>
      <c r="E172">
        <v>2</v>
      </c>
      <c r="F172">
        <f>INDEX([1]products!$A$1:$G$49,MATCH([1]orders!$D172,[1]products!$A$1:$A$49,0),MATCH([1]orders!K$1,[1]products!$A$1:$G$1,0))</f>
        <v>2.5</v>
      </c>
      <c r="G172">
        <f>INDEX([1]products!$A$1:$G$49,MATCH([1]orders!$D172,[1]products!$A$1:$A$49,0),MATCH([1]orders!L$1,[1]products!$A$1:$G$1,0))</f>
        <v>34.154999999999994</v>
      </c>
      <c r="H172">
        <f t="shared" si="2"/>
        <v>68.309999999999988</v>
      </c>
    </row>
    <row r="173" spans="1:8" x14ac:dyDescent="0.25">
      <c r="A173" t="s">
        <v>369</v>
      </c>
      <c r="B173">
        <v>43544</v>
      </c>
      <c r="C173" t="s">
        <v>370</v>
      </c>
      <c r="D173" t="s">
        <v>112</v>
      </c>
      <c r="E173">
        <v>2</v>
      </c>
      <c r="F173">
        <f>INDEX([1]products!$A$1:$G$49,MATCH([1]orders!$D173,[1]products!$A$1:$A$49,0),MATCH([1]orders!K$1,[1]products!$A$1:$G$1,0))</f>
        <v>2.5</v>
      </c>
      <c r="G173">
        <f>INDEX([1]products!$A$1:$G$49,MATCH([1]orders!$D173,[1]products!$A$1:$A$49,0),MATCH([1]orders!L$1,[1]products!$A$1:$G$1,0))</f>
        <v>31.624999999999996</v>
      </c>
      <c r="H173">
        <f t="shared" si="2"/>
        <v>63.249999999999993</v>
      </c>
    </row>
    <row r="174" spans="1:8" x14ac:dyDescent="0.25">
      <c r="A174" t="s">
        <v>371</v>
      </c>
      <c r="B174">
        <v>44545</v>
      </c>
      <c r="C174" t="s">
        <v>372</v>
      </c>
      <c r="D174" t="s">
        <v>16</v>
      </c>
      <c r="E174">
        <v>3</v>
      </c>
      <c r="F174">
        <f>INDEX([1]products!$A$1:$G$49,MATCH([1]orders!$D174,[1]products!$A$1:$A$49,0),MATCH([1]orders!K$1,[1]products!$A$1:$G$1,0))</f>
        <v>0.5</v>
      </c>
      <c r="G174">
        <f>INDEX([1]products!$A$1:$G$49,MATCH([1]orders!$D174,[1]products!$A$1:$A$49,0),MATCH([1]orders!L$1,[1]products!$A$1:$G$1,0))</f>
        <v>7.29</v>
      </c>
      <c r="H174">
        <f t="shared" si="2"/>
        <v>21.87</v>
      </c>
    </row>
    <row r="175" spans="1:8" x14ac:dyDescent="0.25">
      <c r="A175" t="s">
        <v>373</v>
      </c>
      <c r="B175">
        <v>44720</v>
      </c>
      <c r="C175" t="s">
        <v>374</v>
      </c>
      <c r="D175" t="s">
        <v>41</v>
      </c>
      <c r="E175">
        <v>4</v>
      </c>
      <c r="F175">
        <f>INDEX([1]products!$A$1:$G$49,MATCH([1]orders!$D175,[1]products!$A$1:$A$49,0),MATCH([1]orders!K$1,[1]products!$A$1:$G$1,0))</f>
        <v>2.5</v>
      </c>
      <c r="G175">
        <f>INDEX([1]products!$A$1:$G$49,MATCH([1]orders!$D175,[1]products!$A$1:$A$49,0),MATCH([1]orders!L$1,[1]products!$A$1:$G$1,0))</f>
        <v>22.884999999999998</v>
      </c>
      <c r="H175">
        <f t="shared" si="2"/>
        <v>91.539999999999992</v>
      </c>
    </row>
    <row r="176" spans="1:8" x14ac:dyDescent="0.25">
      <c r="A176" t="s">
        <v>375</v>
      </c>
      <c r="B176">
        <v>43813</v>
      </c>
      <c r="C176" t="s">
        <v>376</v>
      </c>
      <c r="D176" t="s">
        <v>30</v>
      </c>
      <c r="E176">
        <v>6</v>
      </c>
      <c r="F176">
        <f>INDEX([1]products!$A$1:$G$49,MATCH([1]orders!$D176,[1]products!$A$1:$A$49,0),MATCH([1]orders!K$1,[1]products!$A$1:$G$1,0))</f>
        <v>2.5</v>
      </c>
      <c r="G176">
        <f>INDEX([1]products!$A$1:$G$49,MATCH([1]orders!$D176,[1]products!$A$1:$A$49,0),MATCH([1]orders!L$1,[1]products!$A$1:$G$1,0))</f>
        <v>34.154999999999994</v>
      </c>
      <c r="H176">
        <f t="shared" si="2"/>
        <v>204.92999999999995</v>
      </c>
    </row>
    <row r="177" spans="1:8" x14ac:dyDescent="0.25">
      <c r="A177" t="s">
        <v>377</v>
      </c>
      <c r="B177">
        <v>44296</v>
      </c>
      <c r="C177" t="s">
        <v>378</v>
      </c>
      <c r="D177" t="s">
        <v>112</v>
      </c>
      <c r="E177">
        <v>2</v>
      </c>
      <c r="F177">
        <f>INDEX([1]products!$A$1:$G$49,MATCH([1]orders!$D177,[1]products!$A$1:$A$49,0),MATCH([1]orders!K$1,[1]products!$A$1:$G$1,0))</f>
        <v>2.5</v>
      </c>
      <c r="G177">
        <f>INDEX([1]products!$A$1:$G$49,MATCH([1]orders!$D177,[1]products!$A$1:$A$49,0),MATCH([1]orders!L$1,[1]products!$A$1:$G$1,0))</f>
        <v>31.624999999999996</v>
      </c>
      <c r="H177">
        <f t="shared" si="2"/>
        <v>63.249999999999993</v>
      </c>
    </row>
    <row r="178" spans="1:8" x14ac:dyDescent="0.25">
      <c r="A178" t="s">
        <v>379</v>
      </c>
      <c r="B178">
        <v>43900</v>
      </c>
      <c r="C178" t="s">
        <v>380</v>
      </c>
      <c r="D178" t="s">
        <v>30</v>
      </c>
      <c r="E178">
        <v>1</v>
      </c>
      <c r="F178">
        <f>INDEX([1]products!$A$1:$G$49,MATCH([1]orders!$D178,[1]products!$A$1:$A$49,0),MATCH([1]orders!K$1,[1]products!$A$1:$G$1,0))</f>
        <v>2.5</v>
      </c>
      <c r="G178">
        <f>INDEX([1]products!$A$1:$G$49,MATCH([1]orders!$D178,[1]products!$A$1:$A$49,0),MATCH([1]orders!L$1,[1]products!$A$1:$G$1,0))</f>
        <v>34.154999999999994</v>
      </c>
      <c r="H178">
        <f t="shared" si="2"/>
        <v>34.154999999999994</v>
      </c>
    </row>
    <row r="179" spans="1:8" x14ac:dyDescent="0.25">
      <c r="A179" t="s">
        <v>381</v>
      </c>
      <c r="B179">
        <v>44120</v>
      </c>
      <c r="C179" t="s">
        <v>382</v>
      </c>
      <c r="D179" t="s">
        <v>10</v>
      </c>
      <c r="E179">
        <v>4</v>
      </c>
      <c r="F179">
        <f>INDEX([1]products!$A$1:$G$49,MATCH([1]orders!$D179,[1]products!$A$1:$A$49,0),MATCH([1]orders!K$1,[1]products!$A$1:$G$1,0))</f>
        <v>2.5</v>
      </c>
      <c r="G179">
        <f>INDEX([1]products!$A$1:$G$49,MATCH([1]orders!$D179,[1]products!$A$1:$A$49,0),MATCH([1]orders!L$1,[1]products!$A$1:$G$1,0))</f>
        <v>27.484999999999996</v>
      </c>
      <c r="H179">
        <f t="shared" si="2"/>
        <v>109.93999999999998</v>
      </c>
    </row>
    <row r="180" spans="1:8" x14ac:dyDescent="0.25">
      <c r="A180" t="s">
        <v>383</v>
      </c>
      <c r="B180">
        <v>43746</v>
      </c>
      <c r="C180" t="s">
        <v>384</v>
      </c>
      <c r="D180" t="s">
        <v>6</v>
      </c>
      <c r="E180">
        <v>2</v>
      </c>
      <c r="F180">
        <f>INDEX([1]products!$A$1:$G$49,MATCH([1]orders!$D180,[1]products!$A$1:$A$49,0),MATCH([1]orders!K$1,[1]products!$A$1:$G$1,0))</f>
        <v>1</v>
      </c>
      <c r="G180">
        <f>INDEX([1]products!$A$1:$G$49,MATCH([1]orders!$D180,[1]products!$A$1:$A$49,0),MATCH([1]orders!L$1,[1]products!$A$1:$G$1,0))</f>
        <v>12.95</v>
      </c>
      <c r="H180">
        <f t="shared" si="2"/>
        <v>25.9</v>
      </c>
    </row>
    <row r="181" spans="1:8" x14ac:dyDescent="0.25">
      <c r="A181" t="s">
        <v>385</v>
      </c>
      <c r="B181">
        <v>43830</v>
      </c>
      <c r="C181" t="s">
        <v>386</v>
      </c>
      <c r="D181" t="s">
        <v>54</v>
      </c>
      <c r="E181">
        <v>1</v>
      </c>
      <c r="F181">
        <f>INDEX([1]products!$A$1:$G$49,MATCH([1]orders!$D181,[1]products!$A$1:$A$49,0),MATCH([1]orders!K$1,[1]products!$A$1:$G$1,0))</f>
        <v>0.2</v>
      </c>
      <c r="G181">
        <f>INDEX([1]products!$A$1:$G$49,MATCH([1]orders!$D181,[1]products!$A$1:$A$49,0),MATCH([1]orders!L$1,[1]products!$A$1:$G$1,0))</f>
        <v>2.9849999999999999</v>
      </c>
      <c r="H181">
        <f t="shared" si="2"/>
        <v>2.9849999999999999</v>
      </c>
    </row>
    <row r="182" spans="1:8" x14ac:dyDescent="0.25">
      <c r="A182" t="s">
        <v>387</v>
      </c>
      <c r="B182">
        <v>43910</v>
      </c>
      <c r="C182" t="s">
        <v>388</v>
      </c>
      <c r="D182" t="s">
        <v>254</v>
      </c>
      <c r="E182">
        <v>5</v>
      </c>
      <c r="F182">
        <f>INDEX([1]products!$A$1:$G$49,MATCH([1]orders!$D182,[1]products!$A$1:$A$49,0),MATCH([1]orders!K$1,[1]products!$A$1:$G$1,0))</f>
        <v>0.2</v>
      </c>
      <c r="G182">
        <f>INDEX([1]products!$A$1:$G$49,MATCH([1]orders!$D182,[1]products!$A$1:$A$49,0),MATCH([1]orders!L$1,[1]products!$A$1:$G$1,0))</f>
        <v>4.4550000000000001</v>
      </c>
      <c r="H182">
        <f t="shared" si="2"/>
        <v>22.274999999999999</v>
      </c>
    </row>
    <row r="183" spans="1:8" x14ac:dyDescent="0.25">
      <c r="A183" t="s">
        <v>387</v>
      </c>
      <c r="B183">
        <v>43910</v>
      </c>
      <c r="C183" t="s">
        <v>388</v>
      </c>
      <c r="D183" t="s">
        <v>72</v>
      </c>
      <c r="E183">
        <v>5</v>
      </c>
      <c r="F183">
        <f>INDEX([1]products!$A$1:$G$49,MATCH([1]orders!$D183,[1]products!$A$1:$A$49,0),MATCH([1]orders!K$1,[1]products!$A$1:$G$1,0))</f>
        <v>0.5</v>
      </c>
      <c r="G183">
        <f>INDEX([1]products!$A$1:$G$49,MATCH([1]orders!$D183,[1]products!$A$1:$A$49,0),MATCH([1]orders!L$1,[1]products!$A$1:$G$1,0))</f>
        <v>5.97</v>
      </c>
      <c r="H183">
        <f t="shared" si="2"/>
        <v>29.849999999999998</v>
      </c>
    </row>
    <row r="184" spans="1:8" x14ac:dyDescent="0.25">
      <c r="A184" t="s">
        <v>389</v>
      </c>
      <c r="B184">
        <v>44284</v>
      </c>
      <c r="C184" t="s">
        <v>390</v>
      </c>
      <c r="D184" t="s">
        <v>146</v>
      </c>
      <c r="E184">
        <v>6</v>
      </c>
      <c r="F184">
        <f>INDEX([1]products!$A$1:$G$49,MATCH([1]orders!$D184,[1]products!$A$1:$A$49,0),MATCH([1]orders!K$1,[1]products!$A$1:$G$1,0))</f>
        <v>0.5</v>
      </c>
      <c r="G184">
        <f>INDEX([1]products!$A$1:$G$49,MATCH([1]orders!$D184,[1]products!$A$1:$A$49,0),MATCH([1]orders!L$1,[1]products!$A$1:$G$1,0))</f>
        <v>5.3699999999999992</v>
      </c>
      <c r="H184">
        <f t="shared" si="2"/>
        <v>32.22</v>
      </c>
    </row>
    <row r="185" spans="1:8" x14ac:dyDescent="0.25">
      <c r="A185" t="s">
        <v>391</v>
      </c>
      <c r="B185">
        <v>44512</v>
      </c>
      <c r="C185" t="s">
        <v>392</v>
      </c>
      <c r="D185" t="s">
        <v>64</v>
      </c>
      <c r="E185">
        <v>2</v>
      </c>
      <c r="F185">
        <f>INDEX([1]products!$A$1:$G$49,MATCH([1]orders!$D185,[1]products!$A$1:$A$49,0),MATCH([1]orders!K$1,[1]products!$A$1:$G$1,0))</f>
        <v>0.2</v>
      </c>
      <c r="G185">
        <f>INDEX([1]products!$A$1:$G$49,MATCH([1]orders!$D185,[1]products!$A$1:$A$49,0),MATCH([1]orders!L$1,[1]products!$A$1:$G$1,0))</f>
        <v>4.125</v>
      </c>
      <c r="H185">
        <f t="shared" si="2"/>
        <v>8.25</v>
      </c>
    </row>
    <row r="186" spans="1:8" x14ac:dyDescent="0.25">
      <c r="A186" t="s">
        <v>393</v>
      </c>
      <c r="B186">
        <v>44397</v>
      </c>
      <c r="C186" t="s">
        <v>394</v>
      </c>
      <c r="D186" t="s">
        <v>192</v>
      </c>
      <c r="E186">
        <v>4</v>
      </c>
      <c r="F186">
        <f>INDEX([1]products!$A$1:$G$49,MATCH([1]orders!$D186,[1]products!$A$1:$A$49,0),MATCH([1]orders!K$1,[1]products!$A$1:$G$1,0))</f>
        <v>0.5</v>
      </c>
      <c r="G186">
        <f>INDEX([1]products!$A$1:$G$49,MATCH([1]orders!$D186,[1]products!$A$1:$A$49,0),MATCH([1]orders!L$1,[1]products!$A$1:$G$1,0))</f>
        <v>7.77</v>
      </c>
      <c r="H186">
        <f t="shared" si="2"/>
        <v>31.08</v>
      </c>
    </row>
    <row r="187" spans="1:8" x14ac:dyDescent="0.25">
      <c r="A187" t="s">
        <v>395</v>
      </c>
      <c r="B187">
        <v>43483</v>
      </c>
      <c r="C187" t="s">
        <v>396</v>
      </c>
      <c r="D187" t="s">
        <v>16</v>
      </c>
      <c r="E187">
        <v>5</v>
      </c>
      <c r="F187">
        <f>INDEX([1]products!$A$1:$G$49,MATCH([1]orders!$D187,[1]products!$A$1:$A$49,0),MATCH([1]orders!K$1,[1]products!$A$1:$G$1,0))</f>
        <v>0.5</v>
      </c>
      <c r="G187">
        <f>INDEX([1]products!$A$1:$G$49,MATCH([1]orders!$D187,[1]products!$A$1:$A$49,0),MATCH([1]orders!L$1,[1]products!$A$1:$G$1,0))</f>
        <v>7.29</v>
      </c>
      <c r="H187">
        <f t="shared" si="2"/>
        <v>36.450000000000003</v>
      </c>
    </row>
    <row r="188" spans="1:8" x14ac:dyDescent="0.25">
      <c r="A188" t="s">
        <v>397</v>
      </c>
      <c r="B188">
        <v>43684</v>
      </c>
      <c r="C188" t="s">
        <v>398</v>
      </c>
      <c r="D188" t="s">
        <v>41</v>
      </c>
      <c r="E188">
        <v>3</v>
      </c>
      <c r="F188">
        <f>INDEX([1]products!$A$1:$G$49,MATCH([1]orders!$D188,[1]products!$A$1:$A$49,0),MATCH([1]orders!K$1,[1]products!$A$1:$G$1,0))</f>
        <v>2.5</v>
      </c>
      <c r="G188">
        <f>INDEX([1]products!$A$1:$G$49,MATCH([1]orders!$D188,[1]products!$A$1:$A$49,0),MATCH([1]orders!L$1,[1]products!$A$1:$G$1,0))</f>
        <v>22.884999999999998</v>
      </c>
      <c r="H188">
        <f t="shared" si="2"/>
        <v>68.655000000000001</v>
      </c>
    </row>
    <row r="189" spans="1:8" x14ac:dyDescent="0.25">
      <c r="A189" t="s">
        <v>399</v>
      </c>
      <c r="B189">
        <v>44633</v>
      </c>
      <c r="C189" t="s">
        <v>400</v>
      </c>
      <c r="D189" t="s">
        <v>78</v>
      </c>
      <c r="E189">
        <v>5</v>
      </c>
      <c r="F189">
        <f>INDEX([1]products!$A$1:$G$49,MATCH([1]orders!$D189,[1]products!$A$1:$A$49,0),MATCH([1]orders!K$1,[1]products!$A$1:$G$1,0))</f>
        <v>0.5</v>
      </c>
      <c r="G189">
        <f>INDEX([1]products!$A$1:$G$49,MATCH([1]orders!$D189,[1]products!$A$1:$A$49,0),MATCH([1]orders!L$1,[1]products!$A$1:$G$1,0))</f>
        <v>8.73</v>
      </c>
      <c r="H189">
        <f t="shared" si="2"/>
        <v>43.650000000000006</v>
      </c>
    </row>
    <row r="190" spans="1:8" x14ac:dyDescent="0.25">
      <c r="A190" t="s">
        <v>401</v>
      </c>
      <c r="B190">
        <v>44698</v>
      </c>
      <c r="C190" t="s">
        <v>402</v>
      </c>
      <c r="D190" t="s">
        <v>254</v>
      </c>
      <c r="E190">
        <v>1</v>
      </c>
      <c r="F190">
        <f>INDEX([1]products!$A$1:$G$49,MATCH([1]orders!$D190,[1]products!$A$1:$A$49,0),MATCH([1]orders!K$1,[1]products!$A$1:$G$1,0))</f>
        <v>0.2</v>
      </c>
      <c r="G190">
        <f>INDEX([1]products!$A$1:$G$49,MATCH([1]orders!$D190,[1]products!$A$1:$A$49,0),MATCH([1]orders!L$1,[1]products!$A$1:$G$1,0))</f>
        <v>4.4550000000000001</v>
      </c>
      <c r="H190">
        <f t="shared" si="2"/>
        <v>4.4550000000000001</v>
      </c>
    </row>
    <row r="191" spans="1:8" x14ac:dyDescent="0.25">
      <c r="A191" t="s">
        <v>403</v>
      </c>
      <c r="B191">
        <v>43813</v>
      </c>
      <c r="C191" t="s">
        <v>404</v>
      </c>
      <c r="D191" t="s">
        <v>96</v>
      </c>
      <c r="E191">
        <v>3</v>
      </c>
      <c r="F191">
        <f>INDEX([1]products!$A$1:$G$49,MATCH([1]orders!$D191,[1]products!$A$1:$A$49,0),MATCH([1]orders!K$1,[1]products!$A$1:$G$1,0))</f>
        <v>1</v>
      </c>
      <c r="G191">
        <f>INDEX([1]products!$A$1:$G$49,MATCH([1]orders!$D191,[1]products!$A$1:$A$49,0),MATCH([1]orders!L$1,[1]products!$A$1:$G$1,0))</f>
        <v>14.55</v>
      </c>
      <c r="H191">
        <f t="shared" si="2"/>
        <v>43.650000000000006</v>
      </c>
    </row>
    <row r="192" spans="1:8" x14ac:dyDescent="0.25">
      <c r="A192" t="s">
        <v>405</v>
      </c>
      <c r="B192">
        <v>43845</v>
      </c>
      <c r="C192" t="s">
        <v>406</v>
      </c>
      <c r="D192" t="s">
        <v>197</v>
      </c>
      <c r="E192">
        <v>1</v>
      </c>
      <c r="F192">
        <f>INDEX([1]products!$A$1:$G$49,MATCH([1]orders!$D192,[1]products!$A$1:$A$49,0),MATCH([1]orders!K$1,[1]products!$A$1:$G$1,0))</f>
        <v>2.5</v>
      </c>
      <c r="G192">
        <f>INDEX([1]products!$A$1:$G$49,MATCH([1]orders!$D192,[1]products!$A$1:$A$49,0),MATCH([1]orders!L$1,[1]products!$A$1:$G$1,0))</f>
        <v>33.464999999999996</v>
      </c>
      <c r="H192">
        <f t="shared" si="2"/>
        <v>33.464999999999996</v>
      </c>
    </row>
    <row r="193" spans="1:8" x14ac:dyDescent="0.25">
      <c r="A193" t="s">
        <v>407</v>
      </c>
      <c r="B193">
        <v>43567</v>
      </c>
      <c r="C193" t="s">
        <v>408</v>
      </c>
      <c r="D193" t="s">
        <v>38</v>
      </c>
      <c r="E193">
        <v>5</v>
      </c>
      <c r="F193">
        <f>INDEX([1]products!$A$1:$G$49,MATCH([1]orders!$D193,[1]products!$A$1:$A$49,0),MATCH([1]orders!K$1,[1]products!$A$1:$G$1,0))</f>
        <v>0.2</v>
      </c>
      <c r="G193">
        <f>INDEX([1]products!$A$1:$G$49,MATCH([1]orders!$D193,[1]products!$A$1:$A$49,0),MATCH([1]orders!L$1,[1]products!$A$1:$G$1,0))</f>
        <v>3.8849999999999998</v>
      </c>
      <c r="H193">
        <f t="shared" si="2"/>
        <v>19.424999999999997</v>
      </c>
    </row>
    <row r="194" spans="1:8" x14ac:dyDescent="0.25">
      <c r="A194" t="s">
        <v>409</v>
      </c>
      <c r="B194">
        <v>43919</v>
      </c>
      <c r="C194" t="s">
        <v>410</v>
      </c>
      <c r="D194" t="s">
        <v>245</v>
      </c>
      <c r="E194">
        <v>6</v>
      </c>
      <c r="F194">
        <f>INDEX([1]products!$A$1:$G$49,MATCH([1]orders!$D194,[1]products!$A$1:$A$49,0),MATCH([1]orders!K$1,[1]products!$A$1:$G$1,0))</f>
        <v>1</v>
      </c>
      <c r="G194">
        <f>INDEX([1]products!$A$1:$G$49,MATCH([1]orders!$D194,[1]products!$A$1:$A$49,0),MATCH([1]orders!L$1,[1]products!$A$1:$G$1,0))</f>
        <v>12.15</v>
      </c>
      <c r="H194">
        <f t="shared" ref="H194:H257" si="3">E194*G194</f>
        <v>72.900000000000006</v>
      </c>
    </row>
    <row r="195" spans="1:8" x14ac:dyDescent="0.25">
      <c r="A195" t="s">
        <v>411</v>
      </c>
      <c r="B195">
        <v>44644</v>
      </c>
      <c r="C195" t="s">
        <v>412</v>
      </c>
      <c r="D195" t="s">
        <v>137</v>
      </c>
      <c r="E195">
        <v>3</v>
      </c>
      <c r="F195">
        <f>INDEX([1]products!$A$1:$G$49,MATCH([1]orders!$D195,[1]products!$A$1:$A$49,0),MATCH([1]orders!K$1,[1]products!$A$1:$G$1,0))</f>
        <v>1</v>
      </c>
      <c r="G195">
        <f>INDEX([1]products!$A$1:$G$49,MATCH([1]orders!$D195,[1]products!$A$1:$A$49,0),MATCH([1]orders!L$1,[1]products!$A$1:$G$1,0))</f>
        <v>14.85</v>
      </c>
      <c r="H195">
        <f t="shared" si="3"/>
        <v>44.55</v>
      </c>
    </row>
    <row r="196" spans="1:8" x14ac:dyDescent="0.25">
      <c r="A196" t="s">
        <v>413</v>
      </c>
      <c r="B196">
        <v>44398</v>
      </c>
      <c r="C196" t="s">
        <v>414</v>
      </c>
      <c r="D196" t="s">
        <v>16</v>
      </c>
      <c r="E196">
        <v>5</v>
      </c>
      <c r="F196">
        <f>INDEX([1]products!$A$1:$G$49,MATCH([1]orders!$D196,[1]products!$A$1:$A$49,0),MATCH([1]orders!K$1,[1]products!$A$1:$G$1,0))</f>
        <v>0.5</v>
      </c>
      <c r="G196">
        <f>INDEX([1]products!$A$1:$G$49,MATCH([1]orders!$D196,[1]products!$A$1:$A$49,0),MATCH([1]orders!L$1,[1]products!$A$1:$G$1,0))</f>
        <v>7.29</v>
      </c>
      <c r="H196">
        <f t="shared" si="3"/>
        <v>36.450000000000003</v>
      </c>
    </row>
    <row r="197" spans="1:8" x14ac:dyDescent="0.25">
      <c r="A197" t="s">
        <v>415</v>
      </c>
      <c r="B197">
        <v>43683</v>
      </c>
      <c r="C197" t="s">
        <v>416</v>
      </c>
      <c r="D197" t="s">
        <v>6</v>
      </c>
      <c r="E197">
        <v>3</v>
      </c>
      <c r="F197">
        <f>INDEX([1]products!$A$1:$G$49,MATCH([1]orders!$D197,[1]products!$A$1:$A$49,0),MATCH([1]orders!K$1,[1]products!$A$1:$G$1,0))</f>
        <v>1</v>
      </c>
      <c r="G197">
        <f>INDEX([1]products!$A$1:$G$49,MATCH([1]orders!$D197,[1]products!$A$1:$A$49,0),MATCH([1]orders!L$1,[1]products!$A$1:$G$1,0))</f>
        <v>12.95</v>
      </c>
      <c r="H197">
        <f t="shared" si="3"/>
        <v>38.849999999999994</v>
      </c>
    </row>
    <row r="198" spans="1:8" x14ac:dyDescent="0.25">
      <c r="A198" t="s">
        <v>417</v>
      </c>
      <c r="B198">
        <v>44339</v>
      </c>
      <c r="C198" t="s">
        <v>418</v>
      </c>
      <c r="D198" t="s">
        <v>176</v>
      </c>
      <c r="E198">
        <v>6</v>
      </c>
      <c r="F198">
        <f>INDEX([1]products!$A$1:$G$49,MATCH([1]orders!$D198,[1]products!$A$1:$A$49,0),MATCH([1]orders!K$1,[1]products!$A$1:$G$1,0))</f>
        <v>0.5</v>
      </c>
      <c r="G198">
        <f>INDEX([1]products!$A$1:$G$49,MATCH([1]orders!$D198,[1]products!$A$1:$A$49,0),MATCH([1]orders!L$1,[1]products!$A$1:$G$1,0))</f>
        <v>8.91</v>
      </c>
      <c r="H198">
        <f t="shared" si="3"/>
        <v>53.46</v>
      </c>
    </row>
    <row r="199" spans="1:8" x14ac:dyDescent="0.25">
      <c r="A199" t="s">
        <v>417</v>
      </c>
      <c r="B199">
        <v>44339</v>
      </c>
      <c r="C199" t="s">
        <v>418</v>
      </c>
      <c r="D199" t="s">
        <v>109</v>
      </c>
      <c r="E199">
        <v>2</v>
      </c>
      <c r="F199">
        <f>INDEX([1]products!$A$1:$G$49,MATCH([1]orders!$D199,[1]products!$A$1:$A$49,0),MATCH([1]orders!K$1,[1]products!$A$1:$G$1,0))</f>
        <v>2.5</v>
      </c>
      <c r="G199">
        <f>INDEX([1]products!$A$1:$G$49,MATCH([1]orders!$D199,[1]products!$A$1:$A$49,0),MATCH([1]orders!L$1,[1]products!$A$1:$G$1,0))</f>
        <v>29.784999999999997</v>
      </c>
      <c r="H199">
        <f t="shared" si="3"/>
        <v>59.569999999999993</v>
      </c>
    </row>
    <row r="200" spans="1:8" x14ac:dyDescent="0.25">
      <c r="A200" t="s">
        <v>417</v>
      </c>
      <c r="B200">
        <v>44339</v>
      </c>
      <c r="C200" t="s">
        <v>418</v>
      </c>
      <c r="D200" t="s">
        <v>109</v>
      </c>
      <c r="E200">
        <v>3</v>
      </c>
      <c r="F200">
        <f>INDEX([1]products!$A$1:$G$49,MATCH([1]orders!$D200,[1]products!$A$1:$A$49,0),MATCH([1]orders!K$1,[1]products!$A$1:$G$1,0))</f>
        <v>2.5</v>
      </c>
      <c r="G200">
        <f>INDEX([1]products!$A$1:$G$49,MATCH([1]orders!$D200,[1]products!$A$1:$A$49,0),MATCH([1]orders!L$1,[1]products!$A$1:$G$1,0))</f>
        <v>29.784999999999997</v>
      </c>
      <c r="H200">
        <f t="shared" si="3"/>
        <v>89.35499999999999</v>
      </c>
    </row>
    <row r="201" spans="1:8" x14ac:dyDescent="0.25">
      <c r="A201" t="s">
        <v>417</v>
      </c>
      <c r="B201">
        <v>44339</v>
      </c>
      <c r="C201" t="s">
        <v>418</v>
      </c>
      <c r="D201" t="s">
        <v>83</v>
      </c>
      <c r="E201">
        <v>4</v>
      </c>
      <c r="F201">
        <f>INDEX([1]products!$A$1:$G$49,MATCH([1]orders!$D201,[1]products!$A$1:$A$49,0),MATCH([1]orders!K$1,[1]products!$A$1:$G$1,0))</f>
        <v>0.5</v>
      </c>
      <c r="G201">
        <f>INDEX([1]products!$A$1:$G$49,MATCH([1]orders!$D201,[1]products!$A$1:$A$49,0),MATCH([1]orders!L$1,[1]products!$A$1:$G$1,0))</f>
        <v>9.51</v>
      </c>
      <c r="H201">
        <f t="shared" si="3"/>
        <v>38.04</v>
      </c>
    </row>
    <row r="202" spans="1:8" x14ac:dyDescent="0.25">
      <c r="A202" t="s">
        <v>417</v>
      </c>
      <c r="B202">
        <v>44339</v>
      </c>
      <c r="C202" t="s">
        <v>418</v>
      </c>
      <c r="D202" t="s">
        <v>9</v>
      </c>
      <c r="E202">
        <v>3</v>
      </c>
      <c r="F202">
        <f>INDEX([1]products!$A$1:$G$49,MATCH([1]orders!$D202,[1]products!$A$1:$A$49,0),MATCH([1]orders!K$1,[1]products!$A$1:$G$1,0))</f>
        <v>1</v>
      </c>
      <c r="G202">
        <f>INDEX([1]products!$A$1:$G$49,MATCH([1]orders!$D202,[1]products!$A$1:$A$49,0),MATCH([1]orders!L$1,[1]products!$A$1:$G$1,0))</f>
        <v>13.75</v>
      </c>
      <c r="H202">
        <f t="shared" si="3"/>
        <v>41.25</v>
      </c>
    </row>
    <row r="203" spans="1:8" x14ac:dyDescent="0.25">
      <c r="A203" t="s">
        <v>419</v>
      </c>
      <c r="B203">
        <v>44294</v>
      </c>
      <c r="C203" t="s">
        <v>420</v>
      </c>
      <c r="D203" t="s">
        <v>83</v>
      </c>
      <c r="E203">
        <v>6</v>
      </c>
      <c r="F203">
        <f>INDEX([1]products!$A$1:$G$49,MATCH([1]orders!$D203,[1]products!$A$1:$A$49,0),MATCH([1]orders!K$1,[1]products!$A$1:$G$1,0))</f>
        <v>0.5</v>
      </c>
      <c r="G203">
        <f>INDEX([1]products!$A$1:$G$49,MATCH([1]orders!$D203,[1]products!$A$1:$A$49,0),MATCH([1]orders!L$1,[1]products!$A$1:$G$1,0))</f>
        <v>9.51</v>
      </c>
      <c r="H203">
        <f t="shared" si="3"/>
        <v>57.06</v>
      </c>
    </row>
    <row r="204" spans="1:8" x14ac:dyDescent="0.25">
      <c r="A204" t="s">
        <v>421</v>
      </c>
      <c r="B204">
        <v>44486</v>
      </c>
      <c r="C204" t="s">
        <v>422</v>
      </c>
      <c r="D204" t="s">
        <v>109</v>
      </c>
      <c r="E204">
        <v>6</v>
      </c>
      <c r="F204">
        <f>INDEX([1]products!$A$1:$G$49,MATCH([1]orders!$D204,[1]products!$A$1:$A$49,0),MATCH([1]orders!K$1,[1]products!$A$1:$G$1,0))</f>
        <v>2.5</v>
      </c>
      <c r="G204">
        <f>INDEX([1]products!$A$1:$G$49,MATCH([1]orders!$D204,[1]products!$A$1:$A$49,0),MATCH([1]orders!L$1,[1]products!$A$1:$G$1,0))</f>
        <v>29.784999999999997</v>
      </c>
      <c r="H204">
        <f t="shared" si="3"/>
        <v>178.70999999999998</v>
      </c>
    </row>
    <row r="205" spans="1:8" x14ac:dyDescent="0.25">
      <c r="A205" t="s">
        <v>423</v>
      </c>
      <c r="B205">
        <v>44608</v>
      </c>
      <c r="C205" t="s">
        <v>424</v>
      </c>
      <c r="D205" t="s">
        <v>19</v>
      </c>
      <c r="E205">
        <v>1</v>
      </c>
      <c r="F205">
        <f>INDEX([1]products!$A$1:$G$49,MATCH([1]orders!$D205,[1]products!$A$1:$A$49,0),MATCH([1]orders!K$1,[1]products!$A$1:$G$1,0))</f>
        <v>0.2</v>
      </c>
      <c r="G205">
        <f>INDEX([1]products!$A$1:$G$49,MATCH([1]orders!$D205,[1]products!$A$1:$A$49,0),MATCH([1]orders!L$1,[1]products!$A$1:$G$1,0))</f>
        <v>4.7549999999999999</v>
      </c>
      <c r="H205">
        <f t="shared" si="3"/>
        <v>4.7549999999999999</v>
      </c>
    </row>
    <row r="206" spans="1:8" x14ac:dyDescent="0.25">
      <c r="A206" t="s">
        <v>425</v>
      </c>
      <c r="B206">
        <v>44027</v>
      </c>
      <c r="C206" t="s">
        <v>426</v>
      </c>
      <c r="D206" t="s">
        <v>9</v>
      </c>
      <c r="E206">
        <v>6</v>
      </c>
      <c r="F206">
        <f>INDEX([1]products!$A$1:$G$49,MATCH([1]orders!$D206,[1]products!$A$1:$A$49,0),MATCH([1]orders!K$1,[1]products!$A$1:$G$1,0))</f>
        <v>1</v>
      </c>
      <c r="G206">
        <f>INDEX([1]products!$A$1:$G$49,MATCH([1]orders!$D206,[1]products!$A$1:$A$49,0),MATCH([1]orders!L$1,[1]products!$A$1:$G$1,0))</f>
        <v>13.75</v>
      </c>
      <c r="H206">
        <f t="shared" si="3"/>
        <v>82.5</v>
      </c>
    </row>
    <row r="207" spans="1:8" x14ac:dyDescent="0.25">
      <c r="A207" t="s">
        <v>427</v>
      </c>
      <c r="B207">
        <v>43883</v>
      </c>
      <c r="C207" t="s">
        <v>428</v>
      </c>
      <c r="D207" t="s">
        <v>101</v>
      </c>
      <c r="E207">
        <v>3</v>
      </c>
      <c r="F207">
        <f>INDEX([1]products!$A$1:$G$49,MATCH([1]orders!$D207,[1]products!$A$1:$A$49,0),MATCH([1]orders!K$1,[1]products!$A$1:$G$1,0))</f>
        <v>0.2</v>
      </c>
      <c r="G207">
        <f>INDEX([1]products!$A$1:$G$49,MATCH([1]orders!$D207,[1]products!$A$1:$A$49,0),MATCH([1]orders!L$1,[1]products!$A$1:$G$1,0))</f>
        <v>2.6849999999999996</v>
      </c>
      <c r="H207">
        <f t="shared" si="3"/>
        <v>8.0549999999999997</v>
      </c>
    </row>
    <row r="208" spans="1:8" x14ac:dyDescent="0.25">
      <c r="A208" t="s">
        <v>429</v>
      </c>
      <c r="B208">
        <v>44211</v>
      </c>
      <c r="C208" t="s">
        <v>430</v>
      </c>
      <c r="D208" t="s">
        <v>61</v>
      </c>
      <c r="E208">
        <v>2</v>
      </c>
      <c r="F208">
        <f>INDEX([1]products!$A$1:$G$49,MATCH([1]orders!$D208,[1]products!$A$1:$A$49,0),MATCH([1]orders!K$1,[1]products!$A$1:$G$1,0))</f>
        <v>1</v>
      </c>
      <c r="G208">
        <f>INDEX([1]products!$A$1:$G$49,MATCH([1]orders!$D208,[1]products!$A$1:$A$49,0),MATCH([1]orders!L$1,[1]products!$A$1:$G$1,0))</f>
        <v>11.25</v>
      </c>
      <c r="H208">
        <f t="shared" si="3"/>
        <v>22.5</v>
      </c>
    </row>
    <row r="209" spans="1:8" x14ac:dyDescent="0.25">
      <c r="A209" t="s">
        <v>431</v>
      </c>
      <c r="B209">
        <v>44207</v>
      </c>
      <c r="C209" t="s">
        <v>432</v>
      </c>
      <c r="D209" t="s">
        <v>67</v>
      </c>
      <c r="E209">
        <v>6</v>
      </c>
      <c r="F209">
        <f>INDEX([1]products!$A$1:$G$49,MATCH([1]orders!$D209,[1]products!$A$1:$A$49,0),MATCH([1]orders!K$1,[1]products!$A$1:$G$1,0))</f>
        <v>0.5</v>
      </c>
      <c r="G209">
        <f>INDEX([1]products!$A$1:$G$49,MATCH([1]orders!$D209,[1]products!$A$1:$A$49,0),MATCH([1]orders!L$1,[1]products!$A$1:$G$1,0))</f>
        <v>6.75</v>
      </c>
      <c r="H209">
        <f t="shared" si="3"/>
        <v>40.5</v>
      </c>
    </row>
    <row r="210" spans="1:8" x14ac:dyDescent="0.25">
      <c r="A210" t="s">
        <v>433</v>
      </c>
      <c r="B210">
        <v>44659</v>
      </c>
      <c r="C210" t="s">
        <v>434</v>
      </c>
      <c r="D210" t="s">
        <v>16</v>
      </c>
      <c r="E210">
        <v>4</v>
      </c>
      <c r="F210">
        <f>INDEX([1]products!$A$1:$G$49,MATCH([1]orders!$D210,[1]products!$A$1:$A$49,0),MATCH([1]orders!K$1,[1]products!$A$1:$G$1,0))</f>
        <v>0.5</v>
      </c>
      <c r="G210">
        <f>INDEX([1]products!$A$1:$G$49,MATCH([1]orders!$D210,[1]products!$A$1:$A$49,0),MATCH([1]orders!L$1,[1]products!$A$1:$G$1,0))</f>
        <v>7.29</v>
      </c>
      <c r="H210">
        <f t="shared" si="3"/>
        <v>29.16</v>
      </c>
    </row>
    <row r="211" spans="1:8" x14ac:dyDescent="0.25">
      <c r="A211" t="s">
        <v>435</v>
      </c>
      <c r="B211">
        <v>44105</v>
      </c>
      <c r="C211" t="s">
        <v>436</v>
      </c>
      <c r="D211" t="s">
        <v>67</v>
      </c>
      <c r="E211">
        <v>1</v>
      </c>
      <c r="F211">
        <f>INDEX([1]products!$A$1:$G$49,MATCH([1]orders!$D211,[1]products!$A$1:$A$49,0),MATCH([1]orders!K$1,[1]products!$A$1:$G$1,0))</f>
        <v>0.5</v>
      </c>
      <c r="G211">
        <f>INDEX([1]products!$A$1:$G$49,MATCH([1]orders!$D211,[1]products!$A$1:$A$49,0),MATCH([1]orders!L$1,[1]products!$A$1:$G$1,0))</f>
        <v>6.75</v>
      </c>
      <c r="H211">
        <f t="shared" si="3"/>
        <v>6.75</v>
      </c>
    </row>
    <row r="212" spans="1:8" x14ac:dyDescent="0.25">
      <c r="A212" t="s">
        <v>437</v>
      </c>
      <c r="B212">
        <v>43766</v>
      </c>
      <c r="C212" t="s">
        <v>438</v>
      </c>
      <c r="D212" t="s">
        <v>13</v>
      </c>
      <c r="E212">
        <v>4</v>
      </c>
      <c r="F212">
        <f>INDEX([1]products!$A$1:$G$49,MATCH([1]orders!$D212,[1]products!$A$1:$A$49,0),MATCH([1]orders!K$1,[1]products!$A$1:$G$1,0))</f>
        <v>1</v>
      </c>
      <c r="G212">
        <f>INDEX([1]products!$A$1:$G$49,MATCH([1]orders!$D212,[1]products!$A$1:$A$49,0),MATCH([1]orders!L$1,[1]products!$A$1:$G$1,0))</f>
        <v>12.95</v>
      </c>
      <c r="H212">
        <f t="shared" si="3"/>
        <v>51.8</v>
      </c>
    </row>
    <row r="213" spans="1:8" x14ac:dyDescent="0.25">
      <c r="A213" t="s">
        <v>439</v>
      </c>
      <c r="B213">
        <v>44283</v>
      </c>
      <c r="C213" t="s">
        <v>440</v>
      </c>
      <c r="D213" t="s">
        <v>176</v>
      </c>
      <c r="E213">
        <v>6</v>
      </c>
      <c r="F213">
        <f>INDEX([1]products!$A$1:$G$49,MATCH([1]orders!$D213,[1]products!$A$1:$A$49,0),MATCH([1]orders!K$1,[1]products!$A$1:$G$1,0))</f>
        <v>0.5</v>
      </c>
      <c r="G213">
        <f>INDEX([1]products!$A$1:$G$49,MATCH([1]orders!$D213,[1]products!$A$1:$A$49,0),MATCH([1]orders!L$1,[1]products!$A$1:$G$1,0))</f>
        <v>8.91</v>
      </c>
      <c r="H213">
        <f t="shared" si="3"/>
        <v>53.46</v>
      </c>
    </row>
    <row r="214" spans="1:8" x14ac:dyDescent="0.25">
      <c r="A214" t="s">
        <v>441</v>
      </c>
      <c r="B214">
        <v>43921</v>
      </c>
      <c r="C214" t="s">
        <v>442</v>
      </c>
      <c r="D214" t="s">
        <v>51</v>
      </c>
      <c r="E214">
        <v>4</v>
      </c>
      <c r="F214">
        <f>INDEX([1]products!$A$1:$G$49,MATCH([1]orders!$D214,[1]products!$A$1:$A$49,0),MATCH([1]orders!K$1,[1]products!$A$1:$G$1,0))</f>
        <v>0.2</v>
      </c>
      <c r="G214">
        <f>INDEX([1]products!$A$1:$G$49,MATCH([1]orders!$D214,[1]products!$A$1:$A$49,0),MATCH([1]orders!L$1,[1]products!$A$1:$G$1,0))</f>
        <v>3.645</v>
      </c>
      <c r="H214">
        <f t="shared" si="3"/>
        <v>14.58</v>
      </c>
    </row>
    <row r="215" spans="1:8" x14ac:dyDescent="0.25">
      <c r="A215" t="s">
        <v>443</v>
      </c>
      <c r="B215">
        <v>44646</v>
      </c>
      <c r="C215" t="s">
        <v>444</v>
      </c>
      <c r="D215" t="s">
        <v>35</v>
      </c>
      <c r="E215">
        <v>1</v>
      </c>
      <c r="F215">
        <f>INDEX([1]products!$A$1:$G$49,MATCH([1]orders!$D215,[1]products!$A$1:$A$49,0),MATCH([1]orders!K$1,[1]products!$A$1:$G$1,0))</f>
        <v>2.5</v>
      </c>
      <c r="G215">
        <f>INDEX([1]products!$A$1:$G$49,MATCH([1]orders!$D215,[1]products!$A$1:$A$49,0),MATCH([1]orders!L$1,[1]products!$A$1:$G$1,0))</f>
        <v>20.584999999999997</v>
      </c>
      <c r="H215">
        <f t="shared" si="3"/>
        <v>20.584999999999997</v>
      </c>
    </row>
    <row r="216" spans="1:8" x14ac:dyDescent="0.25">
      <c r="A216" t="s">
        <v>445</v>
      </c>
      <c r="B216">
        <v>43775</v>
      </c>
      <c r="C216" t="s">
        <v>446</v>
      </c>
      <c r="D216" t="s">
        <v>132</v>
      </c>
      <c r="E216">
        <v>2</v>
      </c>
      <c r="F216">
        <f>INDEX([1]products!$A$1:$G$49,MATCH([1]orders!$D216,[1]products!$A$1:$A$49,0),MATCH([1]orders!K$1,[1]products!$A$1:$G$1,0))</f>
        <v>1</v>
      </c>
      <c r="G216">
        <f>INDEX([1]products!$A$1:$G$49,MATCH([1]orders!$D216,[1]products!$A$1:$A$49,0),MATCH([1]orders!L$1,[1]products!$A$1:$G$1,0))</f>
        <v>15.85</v>
      </c>
      <c r="H216">
        <f t="shared" si="3"/>
        <v>31.7</v>
      </c>
    </row>
    <row r="217" spans="1:8" x14ac:dyDescent="0.25">
      <c r="A217" t="s">
        <v>447</v>
      </c>
      <c r="B217">
        <v>43829</v>
      </c>
      <c r="C217" t="s">
        <v>448</v>
      </c>
      <c r="D217" t="s">
        <v>38</v>
      </c>
      <c r="E217">
        <v>6</v>
      </c>
      <c r="F217">
        <f>INDEX([1]products!$A$1:$G$49,MATCH([1]orders!$D217,[1]products!$A$1:$A$49,0),MATCH([1]orders!K$1,[1]products!$A$1:$G$1,0))</f>
        <v>0.2</v>
      </c>
      <c r="G217">
        <f>INDEX([1]products!$A$1:$G$49,MATCH([1]orders!$D217,[1]products!$A$1:$A$49,0),MATCH([1]orders!L$1,[1]products!$A$1:$G$1,0))</f>
        <v>3.8849999999999998</v>
      </c>
      <c r="H217">
        <f t="shared" si="3"/>
        <v>23.31</v>
      </c>
    </row>
    <row r="218" spans="1:8" x14ac:dyDescent="0.25">
      <c r="A218" t="s">
        <v>449</v>
      </c>
      <c r="B218">
        <v>44470</v>
      </c>
      <c r="C218" t="s">
        <v>450</v>
      </c>
      <c r="D218" t="s">
        <v>96</v>
      </c>
      <c r="E218">
        <v>4</v>
      </c>
      <c r="F218">
        <f>INDEX([1]products!$A$1:$G$49,MATCH([1]orders!$D218,[1]products!$A$1:$A$49,0),MATCH([1]orders!K$1,[1]products!$A$1:$G$1,0))</f>
        <v>1</v>
      </c>
      <c r="G218">
        <f>INDEX([1]products!$A$1:$G$49,MATCH([1]orders!$D218,[1]products!$A$1:$A$49,0),MATCH([1]orders!L$1,[1]products!$A$1:$G$1,0))</f>
        <v>14.55</v>
      </c>
      <c r="H218">
        <f t="shared" si="3"/>
        <v>58.2</v>
      </c>
    </row>
    <row r="219" spans="1:8" x14ac:dyDescent="0.25">
      <c r="A219" t="s">
        <v>451</v>
      </c>
      <c r="B219">
        <v>44174</v>
      </c>
      <c r="C219" t="s">
        <v>452</v>
      </c>
      <c r="D219" t="s">
        <v>176</v>
      </c>
      <c r="E219">
        <v>4</v>
      </c>
      <c r="F219">
        <f>INDEX([1]products!$A$1:$G$49,MATCH([1]orders!$D219,[1]products!$A$1:$A$49,0),MATCH([1]orders!K$1,[1]products!$A$1:$G$1,0))</f>
        <v>0.5</v>
      </c>
      <c r="G219">
        <f>INDEX([1]products!$A$1:$G$49,MATCH([1]orders!$D219,[1]products!$A$1:$A$49,0),MATCH([1]orders!L$1,[1]products!$A$1:$G$1,0))</f>
        <v>8.91</v>
      </c>
      <c r="H219">
        <f t="shared" si="3"/>
        <v>35.64</v>
      </c>
    </row>
    <row r="220" spans="1:8" x14ac:dyDescent="0.25">
      <c r="A220" t="s">
        <v>453</v>
      </c>
      <c r="B220">
        <v>44317</v>
      </c>
      <c r="C220" t="s">
        <v>454</v>
      </c>
      <c r="D220" t="s">
        <v>61</v>
      </c>
      <c r="E220">
        <v>5</v>
      </c>
      <c r="F220">
        <f>INDEX([1]products!$A$1:$G$49,MATCH([1]orders!$D220,[1]products!$A$1:$A$49,0),MATCH([1]orders!K$1,[1]products!$A$1:$G$1,0))</f>
        <v>1</v>
      </c>
      <c r="G220">
        <f>INDEX([1]products!$A$1:$G$49,MATCH([1]orders!$D220,[1]products!$A$1:$A$49,0),MATCH([1]orders!L$1,[1]products!$A$1:$G$1,0))</f>
        <v>11.25</v>
      </c>
      <c r="H220">
        <f t="shared" si="3"/>
        <v>56.25</v>
      </c>
    </row>
    <row r="221" spans="1:8" x14ac:dyDescent="0.25">
      <c r="A221" t="s">
        <v>455</v>
      </c>
      <c r="B221">
        <v>44777</v>
      </c>
      <c r="C221" t="s">
        <v>456</v>
      </c>
      <c r="D221" t="s">
        <v>182</v>
      </c>
      <c r="E221">
        <v>3</v>
      </c>
      <c r="F221">
        <f>INDEX([1]products!$A$1:$G$49,MATCH([1]orders!$D221,[1]products!$A$1:$A$49,0),MATCH([1]orders!K$1,[1]products!$A$1:$G$1,0))</f>
        <v>0.2</v>
      </c>
      <c r="G221">
        <f>INDEX([1]products!$A$1:$G$49,MATCH([1]orders!$D221,[1]products!$A$1:$A$49,0),MATCH([1]orders!L$1,[1]products!$A$1:$G$1,0))</f>
        <v>3.5849999999999995</v>
      </c>
      <c r="H221">
        <f t="shared" si="3"/>
        <v>10.754999999999999</v>
      </c>
    </row>
    <row r="222" spans="1:8" x14ac:dyDescent="0.25">
      <c r="A222" t="s">
        <v>455</v>
      </c>
      <c r="B222">
        <v>44777</v>
      </c>
      <c r="C222" t="s">
        <v>456</v>
      </c>
      <c r="D222" t="s">
        <v>162</v>
      </c>
      <c r="E222">
        <v>5</v>
      </c>
      <c r="F222">
        <f>INDEX([1]products!$A$1:$G$49,MATCH([1]orders!$D222,[1]products!$A$1:$A$49,0),MATCH([1]orders!K$1,[1]products!$A$1:$G$1,0))</f>
        <v>0.2</v>
      </c>
      <c r="G222">
        <f>INDEX([1]products!$A$1:$G$49,MATCH([1]orders!$D222,[1]products!$A$1:$A$49,0),MATCH([1]orders!L$1,[1]products!$A$1:$G$1,0))</f>
        <v>2.9849999999999999</v>
      </c>
      <c r="H222">
        <f t="shared" si="3"/>
        <v>14.924999999999999</v>
      </c>
    </row>
    <row r="223" spans="1:8" x14ac:dyDescent="0.25">
      <c r="A223" t="s">
        <v>457</v>
      </c>
      <c r="B223">
        <v>44513</v>
      </c>
      <c r="C223" t="s">
        <v>458</v>
      </c>
      <c r="D223" t="s">
        <v>6</v>
      </c>
      <c r="E223">
        <v>6</v>
      </c>
      <c r="F223">
        <f>INDEX([1]products!$A$1:$G$49,MATCH([1]orders!$D223,[1]products!$A$1:$A$49,0),MATCH([1]orders!K$1,[1]products!$A$1:$G$1,0))</f>
        <v>1</v>
      </c>
      <c r="G223">
        <f>INDEX([1]products!$A$1:$G$49,MATCH([1]orders!$D223,[1]products!$A$1:$A$49,0),MATCH([1]orders!L$1,[1]products!$A$1:$G$1,0))</f>
        <v>12.95</v>
      </c>
      <c r="H223">
        <f t="shared" si="3"/>
        <v>77.699999999999989</v>
      </c>
    </row>
    <row r="224" spans="1:8" x14ac:dyDescent="0.25">
      <c r="A224" t="s">
        <v>459</v>
      </c>
      <c r="B224">
        <v>44090</v>
      </c>
      <c r="C224" t="s">
        <v>460</v>
      </c>
      <c r="D224" t="s">
        <v>123</v>
      </c>
      <c r="E224">
        <v>3</v>
      </c>
      <c r="F224">
        <f>INDEX([1]products!$A$1:$G$49,MATCH([1]orders!$D224,[1]products!$A$1:$A$49,0),MATCH([1]orders!K$1,[1]products!$A$1:$G$1,0))</f>
        <v>0.5</v>
      </c>
      <c r="G224">
        <f>INDEX([1]products!$A$1:$G$49,MATCH([1]orders!$D224,[1]products!$A$1:$A$49,0),MATCH([1]orders!L$1,[1]products!$A$1:$G$1,0))</f>
        <v>7.77</v>
      </c>
      <c r="H224">
        <f t="shared" si="3"/>
        <v>23.31</v>
      </c>
    </row>
    <row r="225" spans="1:8" x14ac:dyDescent="0.25">
      <c r="A225" t="s">
        <v>461</v>
      </c>
      <c r="B225">
        <v>44109</v>
      </c>
      <c r="C225" t="s">
        <v>462</v>
      </c>
      <c r="D225" t="s">
        <v>137</v>
      </c>
      <c r="E225">
        <v>4</v>
      </c>
      <c r="F225">
        <f>INDEX([1]products!$A$1:$G$49,MATCH([1]orders!$D225,[1]products!$A$1:$A$49,0),MATCH([1]orders!K$1,[1]products!$A$1:$G$1,0))</f>
        <v>1</v>
      </c>
      <c r="G225">
        <f>INDEX([1]products!$A$1:$G$49,MATCH([1]orders!$D225,[1]products!$A$1:$A$49,0),MATCH([1]orders!L$1,[1]products!$A$1:$G$1,0))</f>
        <v>14.85</v>
      </c>
      <c r="H225">
        <f t="shared" si="3"/>
        <v>59.4</v>
      </c>
    </row>
    <row r="226" spans="1:8" x14ac:dyDescent="0.25">
      <c r="A226" t="s">
        <v>463</v>
      </c>
      <c r="B226">
        <v>43836</v>
      </c>
      <c r="C226" t="s">
        <v>464</v>
      </c>
      <c r="D226" t="s">
        <v>109</v>
      </c>
      <c r="E226">
        <v>4</v>
      </c>
      <c r="F226">
        <f>INDEX([1]products!$A$1:$G$49,MATCH([1]orders!$D226,[1]products!$A$1:$A$49,0),MATCH([1]orders!K$1,[1]products!$A$1:$G$1,0))</f>
        <v>2.5</v>
      </c>
      <c r="G226">
        <f>INDEX([1]products!$A$1:$G$49,MATCH([1]orders!$D226,[1]products!$A$1:$A$49,0),MATCH([1]orders!L$1,[1]products!$A$1:$G$1,0))</f>
        <v>29.784999999999997</v>
      </c>
      <c r="H226">
        <f t="shared" si="3"/>
        <v>119.13999999999999</v>
      </c>
    </row>
    <row r="227" spans="1:8" x14ac:dyDescent="0.25">
      <c r="A227" t="s">
        <v>465</v>
      </c>
      <c r="B227">
        <v>44337</v>
      </c>
      <c r="C227" t="s">
        <v>466</v>
      </c>
      <c r="D227" t="s">
        <v>182</v>
      </c>
      <c r="E227">
        <v>4</v>
      </c>
      <c r="F227">
        <f>INDEX([1]products!$A$1:$G$49,MATCH([1]orders!$D227,[1]products!$A$1:$A$49,0),MATCH([1]orders!K$1,[1]products!$A$1:$G$1,0))</f>
        <v>0.2</v>
      </c>
      <c r="G227">
        <f>INDEX([1]products!$A$1:$G$49,MATCH([1]orders!$D227,[1]products!$A$1:$A$49,0),MATCH([1]orders!L$1,[1]products!$A$1:$G$1,0))</f>
        <v>3.5849999999999995</v>
      </c>
      <c r="H227">
        <f t="shared" si="3"/>
        <v>14.339999999999998</v>
      </c>
    </row>
    <row r="228" spans="1:8" x14ac:dyDescent="0.25">
      <c r="A228" t="s">
        <v>467</v>
      </c>
      <c r="B228">
        <v>43887</v>
      </c>
      <c r="C228" t="s">
        <v>468</v>
      </c>
      <c r="D228" t="s">
        <v>171</v>
      </c>
      <c r="E228">
        <v>5</v>
      </c>
      <c r="F228">
        <f>INDEX([1]products!$A$1:$G$49,MATCH([1]orders!$D228,[1]products!$A$1:$A$49,0),MATCH([1]orders!K$1,[1]products!$A$1:$G$1,0))</f>
        <v>2.5</v>
      </c>
      <c r="G228">
        <f>INDEX([1]products!$A$1:$G$49,MATCH([1]orders!$D228,[1]products!$A$1:$A$49,0),MATCH([1]orders!L$1,[1]products!$A$1:$G$1,0))</f>
        <v>25.874999999999996</v>
      </c>
      <c r="H228">
        <f t="shared" si="3"/>
        <v>129.37499999999997</v>
      </c>
    </row>
    <row r="229" spans="1:8" x14ac:dyDescent="0.25">
      <c r="A229" t="s">
        <v>469</v>
      </c>
      <c r="B229">
        <v>43880</v>
      </c>
      <c r="C229" t="s">
        <v>470</v>
      </c>
      <c r="D229" t="s">
        <v>101</v>
      </c>
      <c r="E229">
        <v>6</v>
      </c>
      <c r="F229">
        <f>INDEX([1]products!$A$1:$G$49,MATCH([1]orders!$D229,[1]products!$A$1:$A$49,0),MATCH([1]orders!K$1,[1]products!$A$1:$G$1,0))</f>
        <v>0.2</v>
      </c>
      <c r="G229">
        <f>INDEX([1]products!$A$1:$G$49,MATCH([1]orders!$D229,[1]products!$A$1:$A$49,0),MATCH([1]orders!L$1,[1]products!$A$1:$G$1,0))</f>
        <v>2.6849999999999996</v>
      </c>
      <c r="H229">
        <f t="shared" si="3"/>
        <v>16.11</v>
      </c>
    </row>
    <row r="230" spans="1:8" x14ac:dyDescent="0.25">
      <c r="A230" t="s">
        <v>471</v>
      </c>
      <c r="B230">
        <v>44376</v>
      </c>
      <c r="C230" t="s">
        <v>472</v>
      </c>
      <c r="D230" t="s">
        <v>182</v>
      </c>
      <c r="E230">
        <v>5</v>
      </c>
      <c r="F230">
        <f>INDEX([1]products!$A$1:$G$49,MATCH([1]orders!$D230,[1]products!$A$1:$A$49,0),MATCH([1]orders!K$1,[1]products!$A$1:$G$1,0))</f>
        <v>0.2</v>
      </c>
      <c r="G230">
        <f>INDEX([1]products!$A$1:$G$49,MATCH([1]orders!$D230,[1]products!$A$1:$A$49,0),MATCH([1]orders!L$1,[1]products!$A$1:$G$1,0))</f>
        <v>3.5849999999999995</v>
      </c>
      <c r="H230">
        <f t="shared" si="3"/>
        <v>17.924999999999997</v>
      </c>
    </row>
    <row r="231" spans="1:8" x14ac:dyDescent="0.25">
      <c r="A231" t="s">
        <v>473</v>
      </c>
      <c r="B231">
        <v>44282</v>
      </c>
      <c r="C231" t="s">
        <v>474</v>
      </c>
      <c r="D231" t="s">
        <v>77</v>
      </c>
      <c r="E231">
        <v>2</v>
      </c>
      <c r="F231">
        <f>INDEX([1]products!$A$1:$G$49,MATCH([1]orders!$D231,[1]products!$A$1:$A$49,0),MATCH([1]orders!K$1,[1]products!$A$1:$G$1,0))</f>
        <v>0.2</v>
      </c>
      <c r="G231">
        <f>INDEX([1]products!$A$1:$G$49,MATCH([1]orders!$D231,[1]products!$A$1:$A$49,0),MATCH([1]orders!L$1,[1]products!$A$1:$G$1,0))</f>
        <v>4.3650000000000002</v>
      </c>
      <c r="H231">
        <f t="shared" si="3"/>
        <v>8.73</v>
      </c>
    </row>
    <row r="232" spans="1:8" x14ac:dyDescent="0.25">
      <c r="A232" t="s">
        <v>475</v>
      </c>
      <c r="B232">
        <v>44496</v>
      </c>
      <c r="C232" t="s">
        <v>476</v>
      </c>
      <c r="D232" t="s">
        <v>171</v>
      </c>
      <c r="E232">
        <v>2</v>
      </c>
      <c r="F232">
        <f>INDEX([1]products!$A$1:$G$49,MATCH([1]orders!$D232,[1]products!$A$1:$A$49,0),MATCH([1]orders!K$1,[1]products!$A$1:$G$1,0))</f>
        <v>2.5</v>
      </c>
      <c r="G232">
        <f>INDEX([1]products!$A$1:$G$49,MATCH([1]orders!$D232,[1]products!$A$1:$A$49,0),MATCH([1]orders!L$1,[1]products!$A$1:$G$1,0))</f>
        <v>25.874999999999996</v>
      </c>
      <c r="H232">
        <f t="shared" si="3"/>
        <v>51.749999999999993</v>
      </c>
    </row>
    <row r="233" spans="1:8" x14ac:dyDescent="0.25">
      <c r="A233" t="s">
        <v>477</v>
      </c>
      <c r="B233">
        <v>43628</v>
      </c>
      <c r="C233" t="s">
        <v>478</v>
      </c>
      <c r="D233" t="s">
        <v>77</v>
      </c>
      <c r="E233">
        <v>2</v>
      </c>
      <c r="F233">
        <f>INDEX([1]products!$A$1:$G$49,MATCH([1]orders!$D233,[1]products!$A$1:$A$49,0),MATCH([1]orders!K$1,[1]products!$A$1:$G$1,0))</f>
        <v>0.2</v>
      </c>
      <c r="G233">
        <f>INDEX([1]products!$A$1:$G$49,MATCH([1]orders!$D233,[1]products!$A$1:$A$49,0),MATCH([1]orders!L$1,[1]products!$A$1:$G$1,0))</f>
        <v>4.3650000000000002</v>
      </c>
      <c r="H233">
        <f t="shared" si="3"/>
        <v>8.73</v>
      </c>
    </row>
    <row r="234" spans="1:8" x14ac:dyDescent="0.25">
      <c r="A234" t="s">
        <v>479</v>
      </c>
      <c r="B234">
        <v>44010</v>
      </c>
      <c r="C234" t="s">
        <v>480</v>
      </c>
      <c r="D234" t="s">
        <v>19</v>
      </c>
      <c r="E234">
        <v>5</v>
      </c>
      <c r="F234">
        <f>INDEX([1]products!$A$1:$G$49,MATCH([1]orders!$D234,[1]products!$A$1:$A$49,0),MATCH([1]orders!K$1,[1]products!$A$1:$G$1,0))</f>
        <v>0.2</v>
      </c>
      <c r="G234">
        <f>INDEX([1]products!$A$1:$G$49,MATCH([1]orders!$D234,[1]products!$A$1:$A$49,0),MATCH([1]orders!L$1,[1]products!$A$1:$G$1,0))</f>
        <v>4.7549999999999999</v>
      </c>
      <c r="H234">
        <f t="shared" si="3"/>
        <v>23.774999999999999</v>
      </c>
    </row>
    <row r="235" spans="1:8" x14ac:dyDescent="0.25">
      <c r="A235" t="s">
        <v>481</v>
      </c>
      <c r="B235">
        <v>44278</v>
      </c>
      <c r="C235" t="s">
        <v>482</v>
      </c>
      <c r="D235" t="s">
        <v>64</v>
      </c>
      <c r="E235">
        <v>5</v>
      </c>
      <c r="F235">
        <f>INDEX([1]products!$A$1:$G$49,MATCH([1]orders!$D235,[1]products!$A$1:$A$49,0),MATCH([1]orders!K$1,[1]products!$A$1:$G$1,0))</f>
        <v>0.2</v>
      </c>
      <c r="G235">
        <f>INDEX([1]products!$A$1:$G$49,MATCH([1]orders!$D235,[1]products!$A$1:$A$49,0),MATCH([1]orders!L$1,[1]products!$A$1:$G$1,0))</f>
        <v>4.125</v>
      </c>
      <c r="H235">
        <f t="shared" si="3"/>
        <v>20.625</v>
      </c>
    </row>
    <row r="236" spans="1:8" x14ac:dyDescent="0.25">
      <c r="A236" t="s">
        <v>483</v>
      </c>
      <c r="B236">
        <v>44602</v>
      </c>
      <c r="C236" t="s">
        <v>484</v>
      </c>
      <c r="D236" t="s">
        <v>104</v>
      </c>
      <c r="E236">
        <v>1</v>
      </c>
      <c r="F236">
        <f>INDEX([1]products!$A$1:$G$49,MATCH([1]orders!$D236,[1]products!$A$1:$A$49,0),MATCH([1]orders!K$1,[1]products!$A$1:$G$1,0))</f>
        <v>2.5</v>
      </c>
      <c r="G236">
        <f>INDEX([1]products!$A$1:$G$49,MATCH([1]orders!$D236,[1]products!$A$1:$A$49,0),MATCH([1]orders!L$1,[1]products!$A$1:$G$1,0))</f>
        <v>36.454999999999998</v>
      </c>
      <c r="H236">
        <f t="shared" si="3"/>
        <v>36.454999999999998</v>
      </c>
    </row>
    <row r="237" spans="1:8" x14ac:dyDescent="0.25">
      <c r="A237" t="s">
        <v>485</v>
      </c>
      <c r="B237">
        <v>43571</v>
      </c>
      <c r="C237" t="s">
        <v>486</v>
      </c>
      <c r="D237" t="s">
        <v>104</v>
      </c>
      <c r="E237">
        <v>5</v>
      </c>
      <c r="F237">
        <f>INDEX([1]products!$A$1:$G$49,MATCH([1]orders!$D237,[1]products!$A$1:$A$49,0),MATCH([1]orders!K$1,[1]products!$A$1:$G$1,0))</f>
        <v>2.5</v>
      </c>
      <c r="G237">
        <f>INDEX([1]products!$A$1:$G$49,MATCH([1]orders!$D237,[1]products!$A$1:$A$49,0),MATCH([1]orders!L$1,[1]products!$A$1:$G$1,0))</f>
        <v>36.454999999999998</v>
      </c>
      <c r="H237">
        <f t="shared" si="3"/>
        <v>182.27499999999998</v>
      </c>
    </row>
    <row r="238" spans="1:8" x14ac:dyDescent="0.25">
      <c r="A238" t="s">
        <v>487</v>
      </c>
      <c r="B238">
        <v>43873</v>
      </c>
      <c r="C238" t="s">
        <v>488</v>
      </c>
      <c r="D238" t="s">
        <v>109</v>
      </c>
      <c r="E238">
        <v>3</v>
      </c>
      <c r="F238">
        <f>INDEX([1]products!$A$1:$G$49,MATCH([1]orders!$D238,[1]products!$A$1:$A$49,0),MATCH([1]orders!K$1,[1]products!$A$1:$G$1,0))</f>
        <v>2.5</v>
      </c>
      <c r="G238">
        <f>INDEX([1]products!$A$1:$G$49,MATCH([1]orders!$D238,[1]products!$A$1:$A$49,0),MATCH([1]orders!L$1,[1]products!$A$1:$G$1,0))</f>
        <v>29.784999999999997</v>
      </c>
      <c r="H238">
        <f t="shared" si="3"/>
        <v>89.35499999999999</v>
      </c>
    </row>
    <row r="239" spans="1:8" x14ac:dyDescent="0.25">
      <c r="A239" t="s">
        <v>489</v>
      </c>
      <c r="B239">
        <v>44563</v>
      </c>
      <c r="C239" t="s">
        <v>490</v>
      </c>
      <c r="D239" t="s">
        <v>182</v>
      </c>
      <c r="E239">
        <v>1</v>
      </c>
      <c r="F239">
        <f>INDEX([1]products!$A$1:$G$49,MATCH([1]orders!$D239,[1]products!$A$1:$A$49,0),MATCH([1]orders!K$1,[1]products!$A$1:$G$1,0))</f>
        <v>0.2</v>
      </c>
      <c r="G239">
        <f>INDEX([1]products!$A$1:$G$49,MATCH([1]orders!$D239,[1]products!$A$1:$A$49,0),MATCH([1]orders!L$1,[1]products!$A$1:$G$1,0))</f>
        <v>3.5849999999999995</v>
      </c>
      <c r="H239">
        <f t="shared" si="3"/>
        <v>3.5849999999999995</v>
      </c>
    </row>
    <row r="240" spans="1:8" x14ac:dyDescent="0.25">
      <c r="A240" t="s">
        <v>491</v>
      </c>
      <c r="B240">
        <v>44172</v>
      </c>
      <c r="C240" t="s">
        <v>492</v>
      </c>
      <c r="D240" t="s">
        <v>41</v>
      </c>
      <c r="E240">
        <v>2</v>
      </c>
      <c r="F240">
        <f>INDEX([1]products!$A$1:$G$49,MATCH([1]orders!$D240,[1]products!$A$1:$A$49,0),MATCH([1]orders!K$1,[1]products!$A$1:$G$1,0))</f>
        <v>2.5</v>
      </c>
      <c r="G240">
        <f>INDEX([1]products!$A$1:$G$49,MATCH([1]orders!$D240,[1]products!$A$1:$A$49,0),MATCH([1]orders!L$1,[1]products!$A$1:$G$1,0))</f>
        <v>22.884999999999998</v>
      </c>
      <c r="H240">
        <f t="shared" si="3"/>
        <v>45.769999999999996</v>
      </c>
    </row>
    <row r="241" spans="1:8" x14ac:dyDescent="0.25">
      <c r="A241" t="s">
        <v>493</v>
      </c>
      <c r="B241">
        <v>43881</v>
      </c>
      <c r="C241" t="s">
        <v>494</v>
      </c>
      <c r="D241" t="s">
        <v>137</v>
      </c>
      <c r="E241">
        <v>4</v>
      </c>
      <c r="F241">
        <f>INDEX([1]products!$A$1:$G$49,MATCH([1]orders!$D241,[1]products!$A$1:$A$49,0),MATCH([1]orders!K$1,[1]products!$A$1:$G$1,0))</f>
        <v>1</v>
      </c>
      <c r="G241">
        <f>INDEX([1]products!$A$1:$G$49,MATCH([1]orders!$D241,[1]products!$A$1:$A$49,0),MATCH([1]orders!L$1,[1]products!$A$1:$G$1,0))</f>
        <v>14.85</v>
      </c>
      <c r="H241">
        <f t="shared" si="3"/>
        <v>59.4</v>
      </c>
    </row>
    <row r="242" spans="1:8" x14ac:dyDescent="0.25">
      <c r="A242" t="s">
        <v>495</v>
      </c>
      <c r="B242">
        <v>43993</v>
      </c>
      <c r="C242" t="s">
        <v>496</v>
      </c>
      <c r="D242" t="s">
        <v>171</v>
      </c>
      <c r="E242">
        <v>6</v>
      </c>
      <c r="F242">
        <f>INDEX([1]products!$A$1:$G$49,MATCH([1]orders!$D242,[1]products!$A$1:$A$49,0),MATCH([1]orders!K$1,[1]products!$A$1:$G$1,0))</f>
        <v>2.5</v>
      </c>
      <c r="G242">
        <f>INDEX([1]products!$A$1:$G$49,MATCH([1]orders!$D242,[1]products!$A$1:$A$49,0),MATCH([1]orders!L$1,[1]products!$A$1:$G$1,0))</f>
        <v>25.874999999999996</v>
      </c>
      <c r="H242">
        <f t="shared" si="3"/>
        <v>155.24999999999997</v>
      </c>
    </row>
    <row r="243" spans="1:8" x14ac:dyDescent="0.25">
      <c r="A243" t="s">
        <v>497</v>
      </c>
      <c r="B243">
        <v>44082</v>
      </c>
      <c r="C243" t="s">
        <v>498</v>
      </c>
      <c r="D243" t="s">
        <v>41</v>
      </c>
      <c r="E243">
        <v>2</v>
      </c>
      <c r="F243">
        <f>INDEX([1]products!$A$1:$G$49,MATCH([1]orders!$D243,[1]products!$A$1:$A$49,0),MATCH([1]orders!K$1,[1]products!$A$1:$G$1,0))</f>
        <v>2.5</v>
      </c>
      <c r="G243">
        <f>INDEX([1]products!$A$1:$G$49,MATCH([1]orders!$D243,[1]products!$A$1:$A$49,0),MATCH([1]orders!L$1,[1]products!$A$1:$G$1,0))</f>
        <v>22.884999999999998</v>
      </c>
      <c r="H243">
        <f t="shared" si="3"/>
        <v>45.769999999999996</v>
      </c>
    </row>
    <row r="244" spans="1:8" x14ac:dyDescent="0.25">
      <c r="A244" t="s">
        <v>499</v>
      </c>
      <c r="B244">
        <v>43918</v>
      </c>
      <c r="C244" t="s">
        <v>500</v>
      </c>
      <c r="D244" t="s">
        <v>245</v>
      </c>
      <c r="E244">
        <v>3</v>
      </c>
      <c r="F244">
        <f>INDEX([1]products!$A$1:$G$49,MATCH([1]orders!$D244,[1]products!$A$1:$A$49,0),MATCH([1]orders!K$1,[1]products!$A$1:$G$1,0))</f>
        <v>1</v>
      </c>
      <c r="G244">
        <f>INDEX([1]products!$A$1:$G$49,MATCH([1]orders!$D244,[1]products!$A$1:$A$49,0),MATCH([1]orders!L$1,[1]products!$A$1:$G$1,0))</f>
        <v>12.15</v>
      </c>
      <c r="H244">
        <f t="shared" si="3"/>
        <v>36.450000000000003</v>
      </c>
    </row>
    <row r="245" spans="1:8" x14ac:dyDescent="0.25">
      <c r="A245" t="s">
        <v>501</v>
      </c>
      <c r="B245">
        <v>44114</v>
      </c>
      <c r="C245" t="s">
        <v>502</v>
      </c>
      <c r="D245" t="s">
        <v>16</v>
      </c>
      <c r="E245">
        <v>4</v>
      </c>
      <c r="F245">
        <f>INDEX([1]products!$A$1:$G$49,MATCH([1]orders!$D245,[1]products!$A$1:$A$49,0),MATCH([1]orders!K$1,[1]products!$A$1:$G$1,0))</f>
        <v>0.5</v>
      </c>
      <c r="G245">
        <f>INDEX([1]products!$A$1:$G$49,MATCH([1]orders!$D245,[1]products!$A$1:$A$49,0),MATCH([1]orders!L$1,[1]products!$A$1:$G$1,0))</f>
        <v>7.29</v>
      </c>
      <c r="H245">
        <f t="shared" si="3"/>
        <v>29.16</v>
      </c>
    </row>
    <row r="246" spans="1:8" x14ac:dyDescent="0.25">
      <c r="A246" t="s">
        <v>503</v>
      </c>
      <c r="B246">
        <v>44702</v>
      </c>
      <c r="C246" t="s">
        <v>504</v>
      </c>
      <c r="D246" t="s">
        <v>197</v>
      </c>
      <c r="E246">
        <v>4</v>
      </c>
      <c r="F246">
        <f>INDEX([1]products!$A$1:$G$49,MATCH([1]orders!$D246,[1]products!$A$1:$A$49,0),MATCH([1]orders!K$1,[1]products!$A$1:$G$1,0))</f>
        <v>2.5</v>
      </c>
      <c r="G246">
        <f>INDEX([1]products!$A$1:$G$49,MATCH([1]orders!$D246,[1]products!$A$1:$A$49,0),MATCH([1]orders!L$1,[1]products!$A$1:$G$1,0))</f>
        <v>33.464999999999996</v>
      </c>
      <c r="H246">
        <f t="shared" si="3"/>
        <v>133.85999999999999</v>
      </c>
    </row>
    <row r="247" spans="1:8" x14ac:dyDescent="0.25">
      <c r="A247" t="s">
        <v>505</v>
      </c>
      <c r="B247">
        <v>43951</v>
      </c>
      <c r="C247" t="s">
        <v>506</v>
      </c>
      <c r="D247" t="s">
        <v>19</v>
      </c>
      <c r="E247">
        <v>5</v>
      </c>
      <c r="F247">
        <f>INDEX([1]products!$A$1:$G$49,MATCH([1]orders!$D247,[1]products!$A$1:$A$49,0),MATCH([1]orders!K$1,[1]products!$A$1:$G$1,0))</f>
        <v>0.2</v>
      </c>
      <c r="G247">
        <f>INDEX([1]products!$A$1:$G$49,MATCH([1]orders!$D247,[1]products!$A$1:$A$49,0),MATCH([1]orders!L$1,[1]products!$A$1:$G$1,0))</f>
        <v>4.7549999999999999</v>
      </c>
      <c r="H247">
        <f t="shared" si="3"/>
        <v>23.774999999999999</v>
      </c>
    </row>
    <row r="248" spans="1:8" x14ac:dyDescent="0.25">
      <c r="A248" t="s">
        <v>507</v>
      </c>
      <c r="B248">
        <v>44542</v>
      </c>
      <c r="C248" t="s">
        <v>508</v>
      </c>
      <c r="D248" t="s">
        <v>13</v>
      </c>
      <c r="E248">
        <v>3</v>
      </c>
      <c r="F248">
        <f>INDEX([1]products!$A$1:$G$49,MATCH([1]orders!$D248,[1]products!$A$1:$A$49,0),MATCH([1]orders!K$1,[1]products!$A$1:$G$1,0))</f>
        <v>1</v>
      </c>
      <c r="G248">
        <f>INDEX([1]products!$A$1:$G$49,MATCH([1]orders!$D248,[1]products!$A$1:$A$49,0),MATCH([1]orders!L$1,[1]products!$A$1:$G$1,0))</f>
        <v>12.95</v>
      </c>
      <c r="H248">
        <f t="shared" si="3"/>
        <v>38.849999999999994</v>
      </c>
    </row>
    <row r="249" spans="1:8" x14ac:dyDescent="0.25">
      <c r="A249" t="s">
        <v>509</v>
      </c>
      <c r="B249">
        <v>44131</v>
      </c>
      <c r="C249" t="s">
        <v>510</v>
      </c>
      <c r="D249" t="s">
        <v>182</v>
      </c>
      <c r="E249">
        <v>6</v>
      </c>
      <c r="F249">
        <f>INDEX([1]products!$A$1:$G$49,MATCH([1]orders!$D249,[1]products!$A$1:$A$49,0),MATCH([1]orders!K$1,[1]products!$A$1:$G$1,0))</f>
        <v>0.2</v>
      </c>
      <c r="G249">
        <f>INDEX([1]products!$A$1:$G$49,MATCH([1]orders!$D249,[1]products!$A$1:$A$49,0),MATCH([1]orders!L$1,[1]products!$A$1:$G$1,0))</f>
        <v>3.5849999999999995</v>
      </c>
      <c r="H249">
        <f t="shared" si="3"/>
        <v>21.509999999999998</v>
      </c>
    </row>
    <row r="250" spans="1:8" x14ac:dyDescent="0.25">
      <c r="A250" t="s">
        <v>511</v>
      </c>
      <c r="B250">
        <v>44019</v>
      </c>
      <c r="C250" t="s">
        <v>512</v>
      </c>
      <c r="D250" t="s">
        <v>27</v>
      </c>
      <c r="E250">
        <v>1</v>
      </c>
      <c r="F250">
        <f>INDEX([1]products!$A$1:$G$49,MATCH([1]orders!$D250,[1]products!$A$1:$A$49,0),MATCH([1]orders!K$1,[1]products!$A$1:$G$1,0))</f>
        <v>1</v>
      </c>
      <c r="G250">
        <f>INDEX([1]products!$A$1:$G$49,MATCH([1]orders!$D250,[1]products!$A$1:$A$49,0),MATCH([1]orders!L$1,[1]products!$A$1:$G$1,0))</f>
        <v>9.9499999999999993</v>
      </c>
      <c r="H250">
        <f t="shared" si="3"/>
        <v>9.9499999999999993</v>
      </c>
    </row>
    <row r="251" spans="1:8" x14ac:dyDescent="0.25">
      <c r="A251" t="s">
        <v>513</v>
      </c>
      <c r="B251">
        <v>43861</v>
      </c>
      <c r="C251" t="s">
        <v>514</v>
      </c>
      <c r="D251" t="s">
        <v>132</v>
      </c>
      <c r="E251">
        <v>1</v>
      </c>
      <c r="F251">
        <f>INDEX([1]products!$A$1:$G$49,MATCH([1]orders!$D251,[1]products!$A$1:$A$49,0),MATCH([1]orders!K$1,[1]products!$A$1:$G$1,0))</f>
        <v>1</v>
      </c>
      <c r="G251">
        <f>INDEX([1]products!$A$1:$G$49,MATCH([1]orders!$D251,[1]products!$A$1:$A$49,0),MATCH([1]orders!L$1,[1]products!$A$1:$G$1,0))</f>
        <v>15.85</v>
      </c>
      <c r="H251">
        <f t="shared" si="3"/>
        <v>15.85</v>
      </c>
    </row>
    <row r="252" spans="1:8" x14ac:dyDescent="0.25">
      <c r="A252" t="s">
        <v>515</v>
      </c>
      <c r="B252">
        <v>43879</v>
      </c>
      <c r="C252" t="s">
        <v>516</v>
      </c>
      <c r="D252" t="s">
        <v>162</v>
      </c>
      <c r="E252">
        <v>1</v>
      </c>
      <c r="F252">
        <f>INDEX([1]products!$A$1:$G$49,MATCH([1]orders!$D252,[1]products!$A$1:$A$49,0),MATCH([1]orders!K$1,[1]products!$A$1:$G$1,0))</f>
        <v>0.2</v>
      </c>
      <c r="G252">
        <f>INDEX([1]products!$A$1:$G$49,MATCH([1]orders!$D252,[1]products!$A$1:$A$49,0),MATCH([1]orders!L$1,[1]products!$A$1:$G$1,0))</f>
        <v>2.9849999999999999</v>
      </c>
      <c r="H252">
        <f t="shared" si="3"/>
        <v>2.9849999999999999</v>
      </c>
    </row>
    <row r="253" spans="1:8" x14ac:dyDescent="0.25">
      <c r="A253" t="s">
        <v>517</v>
      </c>
      <c r="B253">
        <v>44360</v>
      </c>
      <c r="C253" t="s">
        <v>518</v>
      </c>
      <c r="D253" t="s">
        <v>9</v>
      </c>
      <c r="E253">
        <v>5</v>
      </c>
      <c r="F253">
        <f>INDEX([1]products!$A$1:$G$49,MATCH([1]orders!$D253,[1]products!$A$1:$A$49,0),MATCH([1]orders!K$1,[1]products!$A$1:$G$1,0))</f>
        <v>1</v>
      </c>
      <c r="G253">
        <f>INDEX([1]products!$A$1:$G$49,MATCH([1]orders!$D253,[1]products!$A$1:$A$49,0),MATCH([1]orders!L$1,[1]products!$A$1:$G$1,0))</f>
        <v>13.75</v>
      </c>
      <c r="H253">
        <f t="shared" si="3"/>
        <v>68.75</v>
      </c>
    </row>
    <row r="254" spans="1:8" x14ac:dyDescent="0.25">
      <c r="A254" t="s">
        <v>519</v>
      </c>
      <c r="B254">
        <v>44779</v>
      </c>
      <c r="C254" t="s">
        <v>520</v>
      </c>
      <c r="D254" t="s">
        <v>27</v>
      </c>
      <c r="E254">
        <v>3</v>
      </c>
      <c r="F254">
        <f>INDEX([1]products!$A$1:$G$49,MATCH([1]orders!$D254,[1]products!$A$1:$A$49,0),MATCH([1]orders!K$1,[1]products!$A$1:$G$1,0))</f>
        <v>1</v>
      </c>
      <c r="G254">
        <f>INDEX([1]products!$A$1:$G$49,MATCH([1]orders!$D254,[1]products!$A$1:$A$49,0),MATCH([1]orders!L$1,[1]products!$A$1:$G$1,0))</f>
        <v>9.9499999999999993</v>
      </c>
      <c r="H254">
        <f t="shared" si="3"/>
        <v>29.849999999999998</v>
      </c>
    </row>
    <row r="255" spans="1:8" x14ac:dyDescent="0.25">
      <c r="A255" t="s">
        <v>521</v>
      </c>
      <c r="B255">
        <v>44523</v>
      </c>
      <c r="C255" t="s">
        <v>522</v>
      </c>
      <c r="D255" t="s">
        <v>96</v>
      </c>
      <c r="E255">
        <v>4</v>
      </c>
      <c r="F255">
        <f>INDEX([1]products!$A$1:$G$49,MATCH([1]orders!$D255,[1]products!$A$1:$A$49,0),MATCH([1]orders!K$1,[1]products!$A$1:$G$1,0))</f>
        <v>1</v>
      </c>
      <c r="G255">
        <f>INDEX([1]products!$A$1:$G$49,MATCH([1]orders!$D255,[1]products!$A$1:$A$49,0),MATCH([1]orders!L$1,[1]products!$A$1:$G$1,0))</f>
        <v>14.55</v>
      </c>
      <c r="H255">
        <f t="shared" si="3"/>
        <v>58.2</v>
      </c>
    </row>
    <row r="256" spans="1:8" x14ac:dyDescent="0.25">
      <c r="A256" t="s">
        <v>523</v>
      </c>
      <c r="B256">
        <v>44482</v>
      </c>
      <c r="C256" t="s">
        <v>524</v>
      </c>
      <c r="D256" t="s">
        <v>157</v>
      </c>
      <c r="E256">
        <v>4</v>
      </c>
      <c r="F256">
        <f>INDEX([1]products!$A$1:$G$49,MATCH([1]orders!$D256,[1]products!$A$1:$A$49,0),MATCH([1]orders!K$1,[1]products!$A$1:$G$1,0))</f>
        <v>0.5</v>
      </c>
      <c r="G256">
        <f>INDEX([1]products!$A$1:$G$49,MATCH([1]orders!$D256,[1]products!$A$1:$A$49,0),MATCH([1]orders!L$1,[1]products!$A$1:$G$1,0))</f>
        <v>7.169999999999999</v>
      </c>
      <c r="H256">
        <f t="shared" si="3"/>
        <v>28.679999999999996</v>
      </c>
    </row>
    <row r="257" spans="1:8" x14ac:dyDescent="0.25">
      <c r="A257" t="s">
        <v>525</v>
      </c>
      <c r="B257">
        <v>44439</v>
      </c>
      <c r="C257" t="s">
        <v>526</v>
      </c>
      <c r="D257" t="s">
        <v>157</v>
      </c>
      <c r="E257">
        <v>3</v>
      </c>
      <c r="F257">
        <f>INDEX([1]products!$A$1:$G$49,MATCH([1]orders!$D257,[1]products!$A$1:$A$49,0),MATCH([1]orders!K$1,[1]products!$A$1:$G$1,0))</f>
        <v>0.5</v>
      </c>
      <c r="G257">
        <f>INDEX([1]products!$A$1:$G$49,MATCH([1]orders!$D257,[1]products!$A$1:$A$49,0),MATCH([1]orders!L$1,[1]products!$A$1:$G$1,0))</f>
        <v>7.169999999999999</v>
      </c>
      <c r="H257">
        <f t="shared" si="3"/>
        <v>21.509999999999998</v>
      </c>
    </row>
    <row r="258" spans="1:8" x14ac:dyDescent="0.25">
      <c r="A258" t="s">
        <v>527</v>
      </c>
      <c r="B258">
        <v>43846</v>
      </c>
      <c r="C258" t="s">
        <v>514</v>
      </c>
      <c r="D258" t="s">
        <v>78</v>
      </c>
      <c r="E258">
        <v>2</v>
      </c>
      <c r="F258">
        <f>INDEX([1]products!$A$1:$G$49,MATCH([1]orders!$D258,[1]products!$A$1:$A$49,0),MATCH([1]orders!K$1,[1]products!$A$1:$G$1,0))</f>
        <v>0.5</v>
      </c>
      <c r="G258">
        <f>INDEX([1]products!$A$1:$G$49,MATCH([1]orders!$D258,[1]products!$A$1:$A$49,0),MATCH([1]orders!L$1,[1]products!$A$1:$G$1,0))</f>
        <v>8.73</v>
      </c>
      <c r="H258">
        <f t="shared" ref="H258:H321" si="4">E258*G258</f>
        <v>17.46</v>
      </c>
    </row>
    <row r="259" spans="1:8" x14ac:dyDescent="0.25">
      <c r="A259" t="s">
        <v>528</v>
      </c>
      <c r="B259">
        <v>44676</v>
      </c>
      <c r="C259" t="s">
        <v>529</v>
      </c>
      <c r="D259" t="s">
        <v>530</v>
      </c>
      <c r="E259">
        <v>1</v>
      </c>
      <c r="F259">
        <f>INDEX([1]products!$A$1:$G$49,MATCH([1]orders!$D259,[1]products!$A$1:$A$49,0),MATCH([1]orders!K$1,[1]products!$A$1:$G$1,0))</f>
        <v>2.5</v>
      </c>
      <c r="G259">
        <f>INDEX([1]products!$A$1:$G$49,MATCH([1]orders!$D259,[1]products!$A$1:$A$49,0),MATCH([1]orders!L$1,[1]products!$A$1:$G$1,0))</f>
        <v>27.945</v>
      </c>
      <c r="H259">
        <f t="shared" si="4"/>
        <v>27.945</v>
      </c>
    </row>
    <row r="260" spans="1:8" x14ac:dyDescent="0.25">
      <c r="A260" t="s">
        <v>531</v>
      </c>
      <c r="B260">
        <v>44513</v>
      </c>
      <c r="C260" t="s">
        <v>532</v>
      </c>
      <c r="D260" t="s">
        <v>530</v>
      </c>
      <c r="E260">
        <v>5</v>
      </c>
      <c r="F260">
        <f>INDEX([1]products!$A$1:$G$49,MATCH([1]orders!$D260,[1]products!$A$1:$A$49,0),MATCH([1]orders!K$1,[1]products!$A$1:$G$1,0))</f>
        <v>2.5</v>
      </c>
      <c r="G260">
        <f>INDEX([1]products!$A$1:$G$49,MATCH([1]orders!$D260,[1]products!$A$1:$A$49,0),MATCH([1]orders!L$1,[1]products!$A$1:$G$1,0))</f>
        <v>27.945</v>
      </c>
      <c r="H260">
        <f t="shared" si="4"/>
        <v>139.72499999999999</v>
      </c>
    </row>
    <row r="261" spans="1:8" x14ac:dyDescent="0.25">
      <c r="A261" t="s">
        <v>533</v>
      </c>
      <c r="B261">
        <v>44355</v>
      </c>
      <c r="C261" t="s">
        <v>534</v>
      </c>
      <c r="D261" t="s">
        <v>162</v>
      </c>
      <c r="E261">
        <v>2</v>
      </c>
      <c r="F261">
        <f>INDEX([1]products!$A$1:$G$49,MATCH([1]orders!$D261,[1]products!$A$1:$A$49,0),MATCH([1]orders!K$1,[1]products!$A$1:$G$1,0))</f>
        <v>0.2</v>
      </c>
      <c r="G261">
        <f>INDEX([1]products!$A$1:$G$49,MATCH([1]orders!$D261,[1]products!$A$1:$A$49,0),MATCH([1]orders!L$1,[1]products!$A$1:$G$1,0))</f>
        <v>2.9849999999999999</v>
      </c>
      <c r="H261">
        <f t="shared" si="4"/>
        <v>5.97</v>
      </c>
    </row>
    <row r="262" spans="1:8" x14ac:dyDescent="0.25">
      <c r="A262" t="s">
        <v>535</v>
      </c>
      <c r="B262">
        <v>44156</v>
      </c>
      <c r="C262" t="s">
        <v>536</v>
      </c>
      <c r="D262" t="s">
        <v>10</v>
      </c>
      <c r="E262">
        <v>1</v>
      </c>
      <c r="F262">
        <f>INDEX([1]products!$A$1:$G$49,MATCH([1]orders!$D262,[1]products!$A$1:$A$49,0),MATCH([1]orders!K$1,[1]products!$A$1:$G$1,0))</f>
        <v>2.5</v>
      </c>
      <c r="G262">
        <f>INDEX([1]products!$A$1:$G$49,MATCH([1]orders!$D262,[1]products!$A$1:$A$49,0),MATCH([1]orders!L$1,[1]products!$A$1:$G$1,0))</f>
        <v>27.484999999999996</v>
      </c>
      <c r="H262">
        <f t="shared" si="4"/>
        <v>27.484999999999996</v>
      </c>
    </row>
    <row r="263" spans="1:8" x14ac:dyDescent="0.25">
      <c r="A263" t="s">
        <v>537</v>
      </c>
      <c r="B263">
        <v>43538</v>
      </c>
      <c r="C263" t="s">
        <v>538</v>
      </c>
      <c r="D263" t="s">
        <v>189</v>
      </c>
      <c r="E263">
        <v>5</v>
      </c>
      <c r="F263">
        <f>INDEX([1]products!$A$1:$G$49,MATCH([1]orders!$D263,[1]products!$A$1:$A$49,0),MATCH([1]orders!K$1,[1]products!$A$1:$G$1,0))</f>
        <v>1</v>
      </c>
      <c r="G263">
        <f>INDEX([1]products!$A$1:$G$49,MATCH([1]orders!$D263,[1]products!$A$1:$A$49,0),MATCH([1]orders!L$1,[1]products!$A$1:$G$1,0))</f>
        <v>11.95</v>
      </c>
      <c r="H263">
        <f t="shared" si="4"/>
        <v>59.75</v>
      </c>
    </row>
    <row r="264" spans="1:8" x14ac:dyDescent="0.25">
      <c r="A264" t="s">
        <v>539</v>
      </c>
      <c r="B264">
        <v>43693</v>
      </c>
      <c r="C264" t="s">
        <v>540</v>
      </c>
      <c r="D264" t="s">
        <v>9</v>
      </c>
      <c r="E264">
        <v>3</v>
      </c>
      <c r="F264">
        <f>INDEX([1]products!$A$1:$G$49,MATCH([1]orders!$D264,[1]products!$A$1:$A$49,0),MATCH([1]orders!K$1,[1]products!$A$1:$G$1,0))</f>
        <v>1</v>
      </c>
      <c r="G264">
        <f>INDEX([1]products!$A$1:$G$49,MATCH([1]orders!$D264,[1]products!$A$1:$A$49,0),MATCH([1]orders!L$1,[1]products!$A$1:$G$1,0))</f>
        <v>13.75</v>
      </c>
      <c r="H264">
        <f t="shared" si="4"/>
        <v>41.25</v>
      </c>
    </row>
    <row r="265" spans="1:8" x14ac:dyDescent="0.25">
      <c r="A265" t="s">
        <v>541</v>
      </c>
      <c r="B265">
        <v>43577</v>
      </c>
      <c r="C265" t="s">
        <v>542</v>
      </c>
      <c r="D265" t="s">
        <v>197</v>
      </c>
      <c r="E265">
        <v>4</v>
      </c>
      <c r="F265">
        <f>INDEX([1]products!$A$1:$G$49,MATCH([1]orders!$D265,[1]products!$A$1:$A$49,0),MATCH([1]orders!K$1,[1]products!$A$1:$G$1,0))</f>
        <v>2.5</v>
      </c>
      <c r="G265">
        <f>INDEX([1]products!$A$1:$G$49,MATCH([1]orders!$D265,[1]products!$A$1:$A$49,0),MATCH([1]orders!L$1,[1]products!$A$1:$G$1,0))</f>
        <v>33.464999999999996</v>
      </c>
      <c r="H265">
        <f t="shared" si="4"/>
        <v>133.85999999999999</v>
      </c>
    </row>
    <row r="266" spans="1:8" x14ac:dyDescent="0.25">
      <c r="A266" t="s">
        <v>543</v>
      </c>
      <c r="B266">
        <v>44683</v>
      </c>
      <c r="C266" t="s">
        <v>544</v>
      </c>
      <c r="D266" t="s">
        <v>189</v>
      </c>
      <c r="E266">
        <v>5</v>
      </c>
      <c r="F266">
        <f>INDEX([1]products!$A$1:$G$49,MATCH([1]orders!$D266,[1]products!$A$1:$A$49,0),MATCH([1]orders!K$1,[1]products!$A$1:$G$1,0))</f>
        <v>1</v>
      </c>
      <c r="G266">
        <f>INDEX([1]products!$A$1:$G$49,MATCH([1]orders!$D266,[1]products!$A$1:$A$49,0),MATCH([1]orders!L$1,[1]products!$A$1:$G$1,0))</f>
        <v>11.95</v>
      </c>
      <c r="H266">
        <f t="shared" si="4"/>
        <v>59.75</v>
      </c>
    </row>
    <row r="267" spans="1:8" x14ac:dyDescent="0.25">
      <c r="A267" t="s">
        <v>545</v>
      </c>
      <c r="B267">
        <v>43872</v>
      </c>
      <c r="C267" t="s">
        <v>546</v>
      </c>
      <c r="D267" t="s">
        <v>72</v>
      </c>
      <c r="E267">
        <v>1</v>
      </c>
      <c r="F267">
        <f>INDEX([1]products!$A$1:$G$49,MATCH([1]orders!$D267,[1]products!$A$1:$A$49,0),MATCH([1]orders!K$1,[1]products!$A$1:$G$1,0))</f>
        <v>0.5</v>
      </c>
      <c r="G267">
        <f>INDEX([1]products!$A$1:$G$49,MATCH([1]orders!$D267,[1]products!$A$1:$A$49,0),MATCH([1]orders!L$1,[1]products!$A$1:$G$1,0))</f>
        <v>5.97</v>
      </c>
      <c r="H267">
        <f t="shared" si="4"/>
        <v>5.97</v>
      </c>
    </row>
    <row r="268" spans="1:8" x14ac:dyDescent="0.25">
      <c r="A268" t="s">
        <v>547</v>
      </c>
      <c r="B268">
        <v>44283</v>
      </c>
      <c r="C268" t="s">
        <v>548</v>
      </c>
      <c r="D268" t="s">
        <v>245</v>
      </c>
      <c r="E268">
        <v>2</v>
      </c>
      <c r="F268">
        <f>INDEX([1]products!$A$1:$G$49,MATCH([1]orders!$D268,[1]products!$A$1:$A$49,0),MATCH([1]orders!K$1,[1]products!$A$1:$G$1,0))</f>
        <v>1</v>
      </c>
      <c r="G268">
        <f>INDEX([1]products!$A$1:$G$49,MATCH([1]orders!$D268,[1]products!$A$1:$A$49,0),MATCH([1]orders!L$1,[1]products!$A$1:$G$1,0))</f>
        <v>12.15</v>
      </c>
      <c r="H268">
        <f t="shared" si="4"/>
        <v>24.3</v>
      </c>
    </row>
    <row r="269" spans="1:8" x14ac:dyDescent="0.25">
      <c r="A269" t="s">
        <v>549</v>
      </c>
      <c r="B269">
        <v>44324</v>
      </c>
      <c r="C269" t="s">
        <v>550</v>
      </c>
      <c r="D269" t="s">
        <v>51</v>
      </c>
      <c r="E269">
        <v>6</v>
      </c>
      <c r="F269">
        <f>INDEX([1]products!$A$1:$G$49,MATCH([1]orders!$D269,[1]products!$A$1:$A$49,0),MATCH([1]orders!K$1,[1]products!$A$1:$G$1,0))</f>
        <v>0.2</v>
      </c>
      <c r="G269">
        <f>INDEX([1]products!$A$1:$G$49,MATCH([1]orders!$D269,[1]products!$A$1:$A$49,0),MATCH([1]orders!L$1,[1]products!$A$1:$G$1,0))</f>
        <v>3.645</v>
      </c>
      <c r="H269">
        <f t="shared" si="4"/>
        <v>21.87</v>
      </c>
    </row>
    <row r="270" spans="1:8" x14ac:dyDescent="0.25">
      <c r="A270" t="s">
        <v>551</v>
      </c>
      <c r="B270">
        <v>43790</v>
      </c>
      <c r="C270" t="s">
        <v>438</v>
      </c>
      <c r="D270" t="s">
        <v>27</v>
      </c>
      <c r="E270">
        <v>2</v>
      </c>
      <c r="F270">
        <f>INDEX([1]products!$A$1:$G$49,MATCH([1]orders!$D270,[1]products!$A$1:$A$49,0),MATCH([1]orders!K$1,[1]products!$A$1:$G$1,0))</f>
        <v>1</v>
      </c>
      <c r="G270">
        <f>INDEX([1]products!$A$1:$G$49,MATCH([1]orders!$D270,[1]products!$A$1:$A$49,0),MATCH([1]orders!L$1,[1]products!$A$1:$G$1,0))</f>
        <v>9.9499999999999993</v>
      </c>
      <c r="H270">
        <f t="shared" si="4"/>
        <v>19.899999999999999</v>
      </c>
    </row>
    <row r="271" spans="1:8" x14ac:dyDescent="0.25">
      <c r="A271" t="s">
        <v>552</v>
      </c>
      <c r="B271">
        <v>44333</v>
      </c>
      <c r="C271" t="s">
        <v>553</v>
      </c>
      <c r="D271" t="s">
        <v>54</v>
      </c>
      <c r="E271">
        <v>2</v>
      </c>
      <c r="F271">
        <f>INDEX([1]products!$A$1:$G$49,MATCH([1]orders!$D271,[1]products!$A$1:$A$49,0),MATCH([1]orders!K$1,[1]products!$A$1:$G$1,0))</f>
        <v>0.2</v>
      </c>
      <c r="G271">
        <f>INDEX([1]products!$A$1:$G$49,MATCH([1]orders!$D271,[1]products!$A$1:$A$49,0),MATCH([1]orders!L$1,[1]products!$A$1:$G$1,0))</f>
        <v>2.9849999999999999</v>
      </c>
      <c r="H271">
        <f t="shared" si="4"/>
        <v>5.97</v>
      </c>
    </row>
    <row r="272" spans="1:8" x14ac:dyDescent="0.25">
      <c r="A272" t="s">
        <v>554</v>
      </c>
      <c r="B272">
        <v>43655</v>
      </c>
      <c r="C272" t="s">
        <v>555</v>
      </c>
      <c r="D272" t="s">
        <v>16</v>
      </c>
      <c r="E272">
        <v>1</v>
      </c>
      <c r="F272">
        <f>INDEX([1]products!$A$1:$G$49,MATCH([1]orders!$D272,[1]products!$A$1:$A$49,0),MATCH([1]orders!K$1,[1]products!$A$1:$G$1,0))</f>
        <v>0.5</v>
      </c>
      <c r="G272">
        <f>INDEX([1]products!$A$1:$G$49,MATCH([1]orders!$D272,[1]products!$A$1:$A$49,0),MATCH([1]orders!L$1,[1]products!$A$1:$G$1,0))</f>
        <v>7.29</v>
      </c>
      <c r="H272">
        <f t="shared" si="4"/>
        <v>7.29</v>
      </c>
    </row>
    <row r="273" spans="1:8" x14ac:dyDescent="0.25">
      <c r="A273" t="s">
        <v>556</v>
      </c>
      <c r="B273">
        <v>43971</v>
      </c>
      <c r="C273" t="s">
        <v>557</v>
      </c>
      <c r="D273" t="s">
        <v>54</v>
      </c>
      <c r="E273">
        <v>4</v>
      </c>
      <c r="F273">
        <f>INDEX([1]products!$A$1:$G$49,MATCH([1]orders!$D273,[1]products!$A$1:$A$49,0),MATCH([1]orders!K$1,[1]products!$A$1:$G$1,0))</f>
        <v>0.2</v>
      </c>
      <c r="G273">
        <f>INDEX([1]products!$A$1:$G$49,MATCH([1]orders!$D273,[1]products!$A$1:$A$49,0),MATCH([1]orders!L$1,[1]products!$A$1:$G$1,0))</f>
        <v>2.9849999999999999</v>
      </c>
      <c r="H273">
        <f t="shared" si="4"/>
        <v>11.94</v>
      </c>
    </row>
    <row r="274" spans="1:8" x14ac:dyDescent="0.25">
      <c r="A274" t="s">
        <v>558</v>
      </c>
      <c r="B274">
        <v>44435</v>
      </c>
      <c r="C274" t="s">
        <v>559</v>
      </c>
      <c r="D274" t="s">
        <v>189</v>
      </c>
      <c r="E274">
        <v>6</v>
      </c>
      <c r="F274">
        <f>INDEX([1]products!$A$1:$G$49,MATCH([1]orders!$D274,[1]products!$A$1:$A$49,0),MATCH([1]orders!K$1,[1]products!$A$1:$G$1,0))</f>
        <v>1</v>
      </c>
      <c r="G274">
        <f>INDEX([1]products!$A$1:$G$49,MATCH([1]orders!$D274,[1]products!$A$1:$A$49,0),MATCH([1]orders!L$1,[1]products!$A$1:$G$1,0))</f>
        <v>11.95</v>
      </c>
      <c r="H274">
        <f t="shared" si="4"/>
        <v>71.699999999999989</v>
      </c>
    </row>
    <row r="275" spans="1:8" x14ac:dyDescent="0.25">
      <c r="A275" t="s">
        <v>560</v>
      </c>
      <c r="B275">
        <v>44681</v>
      </c>
      <c r="C275" t="s">
        <v>561</v>
      </c>
      <c r="D275" t="s">
        <v>115</v>
      </c>
      <c r="E275">
        <v>2</v>
      </c>
      <c r="F275">
        <f>INDEX([1]products!$A$1:$G$49,MATCH([1]orders!$D275,[1]products!$A$1:$A$49,0),MATCH([1]orders!K$1,[1]products!$A$1:$G$1,0))</f>
        <v>0.2</v>
      </c>
      <c r="G275">
        <f>INDEX([1]products!$A$1:$G$49,MATCH([1]orders!$D275,[1]products!$A$1:$A$49,0),MATCH([1]orders!L$1,[1]products!$A$1:$G$1,0))</f>
        <v>3.8849999999999998</v>
      </c>
      <c r="H275">
        <f t="shared" si="4"/>
        <v>7.77</v>
      </c>
    </row>
    <row r="276" spans="1:8" x14ac:dyDescent="0.25">
      <c r="A276" t="s">
        <v>562</v>
      </c>
      <c r="B276">
        <v>43985</v>
      </c>
      <c r="C276" t="s">
        <v>563</v>
      </c>
      <c r="D276" t="s">
        <v>171</v>
      </c>
      <c r="E276">
        <v>1</v>
      </c>
      <c r="F276">
        <f>INDEX([1]products!$A$1:$G$49,MATCH([1]orders!$D276,[1]products!$A$1:$A$49,0),MATCH([1]orders!K$1,[1]products!$A$1:$G$1,0))</f>
        <v>2.5</v>
      </c>
      <c r="G276">
        <f>INDEX([1]products!$A$1:$G$49,MATCH([1]orders!$D276,[1]products!$A$1:$A$49,0),MATCH([1]orders!L$1,[1]products!$A$1:$G$1,0))</f>
        <v>25.874999999999996</v>
      </c>
      <c r="H276">
        <f t="shared" si="4"/>
        <v>25.874999999999996</v>
      </c>
    </row>
    <row r="277" spans="1:8" x14ac:dyDescent="0.25">
      <c r="A277" t="s">
        <v>564</v>
      </c>
      <c r="B277">
        <v>44725</v>
      </c>
      <c r="C277" t="s">
        <v>565</v>
      </c>
      <c r="D277" t="s">
        <v>30</v>
      </c>
      <c r="E277">
        <v>6</v>
      </c>
      <c r="F277">
        <f>INDEX([1]products!$A$1:$G$49,MATCH([1]orders!$D277,[1]products!$A$1:$A$49,0),MATCH([1]orders!K$1,[1]products!$A$1:$G$1,0))</f>
        <v>2.5</v>
      </c>
      <c r="G277">
        <f>INDEX([1]products!$A$1:$G$49,MATCH([1]orders!$D277,[1]products!$A$1:$A$49,0),MATCH([1]orders!L$1,[1]products!$A$1:$G$1,0))</f>
        <v>34.154999999999994</v>
      </c>
      <c r="H277">
        <f t="shared" si="4"/>
        <v>204.92999999999995</v>
      </c>
    </row>
    <row r="278" spans="1:8" x14ac:dyDescent="0.25">
      <c r="A278" t="s">
        <v>566</v>
      </c>
      <c r="B278">
        <v>43992</v>
      </c>
      <c r="C278" t="s">
        <v>567</v>
      </c>
      <c r="D278" t="s">
        <v>10</v>
      </c>
      <c r="E278">
        <v>4</v>
      </c>
      <c r="F278">
        <f>INDEX([1]products!$A$1:$G$49,MATCH([1]orders!$D278,[1]products!$A$1:$A$49,0),MATCH([1]orders!K$1,[1]products!$A$1:$G$1,0))</f>
        <v>2.5</v>
      </c>
      <c r="G278">
        <f>INDEX([1]products!$A$1:$G$49,MATCH([1]orders!$D278,[1]products!$A$1:$A$49,0),MATCH([1]orders!L$1,[1]products!$A$1:$G$1,0))</f>
        <v>27.484999999999996</v>
      </c>
      <c r="H278">
        <f t="shared" si="4"/>
        <v>109.93999999999998</v>
      </c>
    </row>
    <row r="279" spans="1:8" x14ac:dyDescent="0.25">
      <c r="A279" t="s">
        <v>568</v>
      </c>
      <c r="B279">
        <v>44183</v>
      </c>
      <c r="C279" t="s">
        <v>569</v>
      </c>
      <c r="D279" t="s">
        <v>137</v>
      </c>
      <c r="E279">
        <v>6</v>
      </c>
      <c r="F279">
        <f>INDEX([1]products!$A$1:$G$49,MATCH([1]orders!$D279,[1]products!$A$1:$A$49,0),MATCH([1]orders!K$1,[1]products!$A$1:$G$1,0))</f>
        <v>1</v>
      </c>
      <c r="G279">
        <f>INDEX([1]products!$A$1:$G$49,MATCH([1]orders!$D279,[1]products!$A$1:$A$49,0),MATCH([1]orders!L$1,[1]products!$A$1:$G$1,0))</f>
        <v>14.85</v>
      </c>
      <c r="H279">
        <f t="shared" si="4"/>
        <v>89.1</v>
      </c>
    </row>
    <row r="280" spans="1:8" x14ac:dyDescent="0.25">
      <c r="A280" t="s">
        <v>570</v>
      </c>
      <c r="B280">
        <v>43708</v>
      </c>
      <c r="C280" t="s">
        <v>571</v>
      </c>
      <c r="D280" t="s">
        <v>115</v>
      </c>
      <c r="E280">
        <v>2</v>
      </c>
      <c r="F280">
        <f>INDEX([1]products!$A$1:$G$49,MATCH([1]orders!$D280,[1]products!$A$1:$A$49,0),MATCH([1]orders!K$1,[1]products!$A$1:$G$1,0))</f>
        <v>0.2</v>
      </c>
      <c r="G280">
        <f>INDEX([1]products!$A$1:$G$49,MATCH([1]orders!$D280,[1]products!$A$1:$A$49,0),MATCH([1]orders!L$1,[1]products!$A$1:$G$1,0))</f>
        <v>3.8849999999999998</v>
      </c>
      <c r="H280">
        <f t="shared" si="4"/>
        <v>7.77</v>
      </c>
    </row>
    <row r="281" spans="1:8" x14ac:dyDescent="0.25">
      <c r="A281" t="s">
        <v>572</v>
      </c>
      <c r="B281">
        <v>43521</v>
      </c>
      <c r="C281" t="s">
        <v>573</v>
      </c>
      <c r="D281" t="s">
        <v>197</v>
      </c>
      <c r="E281">
        <v>1</v>
      </c>
      <c r="F281">
        <f>INDEX([1]products!$A$1:$G$49,MATCH([1]orders!$D281,[1]products!$A$1:$A$49,0),MATCH([1]orders!K$1,[1]products!$A$1:$G$1,0))</f>
        <v>2.5</v>
      </c>
      <c r="G281">
        <f>INDEX([1]products!$A$1:$G$49,MATCH([1]orders!$D281,[1]products!$A$1:$A$49,0),MATCH([1]orders!L$1,[1]products!$A$1:$G$1,0))</f>
        <v>33.464999999999996</v>
      </c>
      <c r="H281">
        <f t="shared" si="4"/>
        <v>33.464999999999996</v>
      </c>
    </row>
    <row r="282" spans="1:8" x14ac:dyDescent="0.25">
      <c r="A282" t="s">
        <v>574</v>
      </c>
      <c r="B282">
        <v>44234</v>
      </c>
      <c r="C282" t="s">
        <v>575</v>
      </c>
      <c r="D282" t="s">
        <v>3</v>
      </c>
      <c r="E282">
        <v>5</v>
      </c>
      <c r="F282">
        <f>INDEX([1]products!$A$1:$G$49,MATCH([1]orders!$D282,[1]products!$A$1:$A$49,0),MATCH([1]orders!K$1,[1]products!$A$1:$G$1,0))</f>
        <v>0.5</v>
      </c>
      <c r="G282">
        <f>INDEX([1]products!$A$1:$G$49,MATCH([1]orders!$D282,[1]products!$A$1:$A$49,0),MATCH([1]orders!L$1,[1]products!$A$1:$G$1,0))</f>
        <v>8.25</v>
      </c>
      <c r="H282">
        <f t="shared" si="4"/>
        <v>41.25</v>
      </c>
    </row>
    <row r="283" spans="1:8" x14ac:dyDescent="0.25">
      <c r="A283" t="s">
        <v>576</v>
      </c>
      <c r="B283">
        <v>44210</v>
      </c>
      <c r="C283" t="s">
        <v>577</v>
      </c>
      <c r="D283" t="s">
        <v>137</v>
      </c>
      <c r="E283">
        <v>4</v>
      </c>
      <c r="F283">
        <f>INDEX([1]products!$A$1:$G$49,MATCH([1]orders!$D283,[1]products!$A$1:$A$49,0),MATCH([1]orders!K$1,[1]products!$A$1:$G$1,0))</f>
        <v>1</v>
      </c>
      <c r="G283">
        <f>INDEX([1]products!$A$1:$G$49,MATCH([1]orders!$D283,[1]products!$A$1:$A$49,0),MATCH([1]orders!L$1,[1]products!$A$1:$G$1,0))</f>
        <v>14.85</v>
      </c>
      <c r="H283">
        <f t="shared" si="4"/>
        <v>59.4</v>
      </c>
    </row>
    <row r="284" spans="1:8" x14ac:dyDescent="0.25">
      <c r="A284" t="s">
        <v>578</v>
      </c>
      <c r="B284">
        <v>43520</v>
      </c>
      <c r="C284" t="s">
        <v>579</v>
      </c>
      <c r="D284" t="s">
        <v>192</v>
      </c>
      <c r="E284">
        <v>1</v>
      </c>
      <c r="F284">
        <f>INDEX([1]products!$A$1:$G$49,MATCH([1]orders!$D284,[1]products!$A$1:$A$49,0),MATCH([1]orders!K$1,[1]products!$A$1:$G$1,0))</f>
        <v>0.5</v>
      </c>
      <c r="G284">
        <f>INDEX([1]products!$A$1:$G$49,MATCH([1]orders!$D284,[1]products!$A$1:$A$49,0),MATCH([1]orders!L$1,[1]products!$A$1:$G$1,0))</f>
        <v>7.77</v>
      </c>
      <c r="H284">
        <f t="shared" si="4"/>
        <v>7.77</v>
      </c>
    </row>
    <row r="285" spans="1:8" x14ac:dyDescent="0.25">
      <c r="A285" t="s">
        <v>580</v>
      </c>
      <c r="B285">
        <v>43639</v>
      </c>
      <c r="C285" t="s">
        <v>581</v>
      </c>
      <c r="D285" t="s">
        <v>146</v>
      </c>
      <c r="E285">
        <v>1</v>
      </c>
      <c r="F285">
        <f>INDEX([1]products!$A$1:$G$49,MATCH([1]orders!$D285,[1]products!$A$1:$A$49,0),MATCH([1]orders!K$1,[1]products!$A$1:$G$1,0))</f>
        <v>0.5</v>
      </c>
      <c r="G285">
        <f>INDEX([1]products!$A$1:$G$49,MATCH([1]orders!$D285,[1]products!$A$1:$A$49,0),MATCH([1]orders!L$1,[1]products!$A$1:$G$1,0))</f>
        <v>5.3699999999999992</v>
      </c>
      <c r="H285">
        <f t="shared" si="4"/>
        <v>5.3699999999999992</v>
      </c>
    </row>
    <row r="286" spans="1:8" x14ac:dyDescent="0.25">
      <c r="A286" t="s">
        <v>582</v>
      </c>
      <c r="B286">
        <v>43960</v>
      </c>
      <c r="C286" t="s">
        <v>583</v>
      </c>
      <c r="D286" t="s">
        <v>112</v>
      </c>
      <c r="E286">
        <v>3</v>
      </c>
      <c r="F286">
        <f>INDEX([1]products!$A$1:$G$49,MATCH([1]orders!$D286,[1]products!$A$1:$A$49,0),MATCH([1]orders!K$1,[1]products!$A$1:$G$1,0))</f>
        <v>2.5</v>
      </c>
      <c r="G286">
        <f>INDEX([1]products!$A$1:$G$49,MATCH([1]orders!$D286,[1]products!$A$1:$A$49,0),MATCH([1]orders!L$1,[1]products!$A$1:$G$1,0))</f>
        <v>31.624999999999996</v>
      </c>
      <c r="H286">
        <f t="shared" si="4"/>
        <v>94.874999999999986</v>
      </c>
    </row>
    <row r="287" spans="1:8" x14ac:dyDescent="0.25">
      <c r="A287" t="s">
        <v>584</v>
      </c>
      <c r="B287">
        <v>44030</v>
      </c>
      <c r="C287" t="s">
        <v>585</v>
      </c>
      <c r="D287" t="s">
        <v>104</v>
      </c>
      <c r="E287">
        <v>1</v>
      </c>
      <c r="F287">
        <f>INDEX([1]products!$A$1:$G$49,MATCH([1]orders!$D287,[1]products!$A$1:$A$49,0),MATCH([1]orders!K$1,[1]products!$A$1:$G$1,0))</f>
        <v>2.5</v>
      </c>
      <c r="G287">
        <f>INDEX([1]products!$A$1:$G$49,MATCH([1]orders!$D287,[1]products!$A$1:$A$49,0),MATCH([1]orders!L$1,[1]products!$A$1:$G$1,0))</f>
        <v>36.454999999999998</v>
      </c>
      <c r="H287">
        <f t="shared" si="4"/>
        <v>36.454999999999998</v>
      </c>
    </row>
    <row r="288" spans="1:8" x14ac:dyDescent="0.25">
      <c r="A288" t="s">
        <v>586</v>
      </c>
      <c r="B288">
        <v>43755</v>
      </c>
      <c r="C288" t="s">
        <v>587</v>
      </c>
      <c r="D288" t="s">
        <v>44</v>
      </c>
      <c r="E288">
        <v>4</v>
      </c>
      <c r="F288">
        <f>INDEX([1]products!$A$1:$G$49,MATCH([1]orders!$D288,[1]products!$A$1:$A$49,0),MATCH([1]orders!K$1,[1]products!$A$1:$G$1,0))</f>
        <v>0.2</v>
      </c>
      <c r="G288">
        <f>INDEX([1]products!$A$1:$G$49,MATCH([1]orders!$D288,[1]products!$A$1:$A$49,0),MATCH([1]orders!L$1,[1]products!$A$1:$G$1,0))</f>
        <v>3.375</v>
      </c>
      <c r="H288">
        <f t="shared" si="4"/>
        <v>13.5</v>
      </c>
    </row>
    <row r="289" spans="1:8" x14ac:dyDescent="0.25">
      <c r="A289" t="s">
        <v>588</v>
      </c>
      <c r="B289">
        <v>44697</v>
      </c>
      <c r="C289" t="s">
        <v>589</v>
      </c>
      <c r="D289" t="s">
        <v>182</v>
      </c>
      <c r="E289">
        <v>4</v>
      </c>
      <c r="F289">
        <f>INDEX([1]products!$A$1:$G$49,MATCH([1]orders!$D289,[1]products!$A$1:$A$49,0),MATCH([1]orders!K$1,[1]products!$A$1:$G$1,0))</f>
        <v>0.2</v>
      </c>
      <c r="G289">
        <f>INDEX([1]products!$A$1:$G$49,MATCH([1]orders!$D289,[1]products!$A$1:$A$49,0),MATCH([1]orders!L$1,[1]products!$A$1:$G$1,0))</f>
        <v>3.5849999999999995</v>
      </c>
      <c r="H289">
        <f t="shared" si="4"/>
        <v>14.339999999999998</v>
      </c>
    </row>
    <row r="290" spans="1:8" x14ac:dyDescent="0.25">
      <c r="A290" t="s">
        <v>590</v>
      </c>
      <c r="B290">
        <v>44279</v>
      </c>
      <c r="C290" t="s">
        <v>591</v>
      </c>
      <c r="D290" t="s">
        <v>3</v>
      </c>
      <c r="E290">
        <v>1</v>
      </c>
      <c r="F290">
        <f>INDEX([1]products!$A$1:$G$49,MATCH([1]orders!$D290,[1]products!$A$1:$A$49,0),MATCH([1]orders!K$1,[1]products!$A$1:$G$1,0))</f>
        <v>0.5</v>
      </c>
      <c r="G290">
        <f>INDEX([1]products!$A$1:$G$49,MATCH([1]orders!$D290,[1]products!$A$1:$A$49,0),MATCH([1]orders!L$1,[1]products!$A$1:$G$1,0))</f>
        <v>8.25</v>
      </c>
      <c r="H290">
        <f t="shared" si="4"/>
        <v>8.25</v>
      </c>
    </row>
    <row r="291" spans="1:8" x14ac:dyDescent="0.25">
      <c r="A291" t="s">
        <v>592</v>
      </c>
      <c r="B291">
        <v>43772</v>
      </c>
      <c r="C291" t="s">
        <v>593</v>
      </c>
      <c r="D291" t="s">
        <v>101</v>
      </c>
      <c r="E291">
        <v>5</v>
      </c>
      <c r="F291">
        <f>INDEX([1]products!$A$1:$G$49,MATCH([1]orders!$D291,[1]products!$A$1:$A$49,0),MATCH([1]orders!K$1,[1]products!$A$1:$G$1,0))</f>
        <v>0.2</v>
      </c>
      <c r="G291">
        <f>INDEX([1]products!$A$1:$G$49,MATCH([1]orders!$D291,[1]products!$A$1:$A$49,0),MATCH([1]orders!L$1,[1]products!$A$1:$G$1,0))</f>
        <v>2.6849999999999996</v>
      </c>
      <c r="H291">
        <f t="shared" si="4"/>
        <v>13.424999999999997</v>
      </c>
    </row>
    <row r="292" spans="1:8" x14ac:dyDescent="0.25">
      <c r="A292" t="s">
        <v>594</v>
      </c>
      <c r="B292">
        <v>44497</v>
      </c>
      <c r="C292" t="s">
        <v>595</v>
      </c>
      <c r="D292" t="s">
        <v>27</v>
      </c>
      <c r="E292">
        <v>5</v>
      </c>
      <c r="F292">
        <f>INDEX([1]products!$A$1:$G$49,MATCH([1]orders!$D292,[1]products!$A$1:$A$49,0),MATCH([1]orders!K$1,[1]products!$A$1:$G$1,0))</f>
        <v>1</v>
      </c>
      <c r="G292">
        <f>INDEX([1]products!$A$1:$G$49,MATCH([1]orders!$D292,[1]products!$A$1:$A$49,0),MATCH([1]orders!L$1,[1]products!$A$1:$G$1,0))</f>
        <v>9.9499999999999993</v>
      </c>
      <c r="H292">
        <f t="shared" si="4"/>
        <v>49.75</v>
      </c>
    </row>
    <row r="293" spans="1:8" x14ac:dyDescent="0.25">
      <c r="A293" t="s">
        <v>596</v>
      </c>
      <c r="B293">
        <v>44181</v>
      </c>
      <c r="C293" t="s">
        <v>597</v>
      </c>
      <c r="D293" t="s">
        <v>3</v>
      </c>
      <c r="E293">
        <v>2</v>
      </c>
      <c r="F293">
        <f>INDEX([1]products!$A$1:$G$49,MATCH([1]orders!$D293,[1]products!$A$1:$A$49,0),MATCH([1]orders!K$1,[1]products!$A$1:$G$1,0))</f>
        <v>0.5</v>
      </c>
      <c r="G293">
        <f>INDEX([1]products!$A$1:$G$49,MATCH([1]orders!$D293,[1]products!$A$1:$A$49,0),MATCH([1]orders!L$1,[1]products!$A$1:$G$1,0))</f>
        <v>8.25</v>
      </c>
      <c r="H293">
        <f t="shared" si="4"/>
        <v>16.5</v>
      </c>
    </row>
    <row r="294" spans="1:8" x14ac:dyDescent="0.25">
      <c r="A294" t="s">
        <v>598</v>
      </c>
      <c r="B294">
        <v>44529</v>
      </c>
      <c r="C294" t="s">
        <v>599</v>
      </c>
      <c r="D294" t="s">
        <v>72</v>
      </c>
      <c r="E294">
        <v>3</v>
      </c>
      <c r="F294">
        <f>INDEX([1]products!$A$1:$G$49,MATCH([1]orders!$D294,[1]products!$A$1:$A$49,0),MATCH([1]orders!K$1,[1]products!$A$1:$G$1,0))</f>
        <v>0.5</v>
      </c>
      <c r="G294">
        <f>INDEX([1]products!$A$1:$G$49,MATCH([1]orders!$D294,[1]products!$A$1:$A$49,0),MATCH([1]orders!L$1,[1]products!$A$1:$G$1,0))</f>
        <v>5.97</v>
      </c>
      <c r="H294">
        <f t="shared" si="4"/>
        <v>17.91</v>
      </c>
    </row>
    <row r="295" spans="1:8" x14ac:dyDescent="0.25">
      <c r="A295" t="s">
        <v>600</v>
      </c>
      <c r="B295">
        <v>44275</v>
      </c>
      <c r="C295" t="s">
        <v>601</v>
      </c>
      <c r="D295" t="s">
        <v>72</v>
      </c>
      <c r="E295">
        <v>5</v>
      </c>
      <c r="F295">
        <f>INDEX([1]products!$A$1:$G$49,MATCH([1]orders!$D295,[1]products!$A$1:$A$49,0),MATCH([1]orders!K$1,[1]products!$A$1:$G$1,0))</f>
        <v>0.5</v>
      </c>
      <c r="G295">
        <f>INDEX([1]products!$A$1:$G$49,MATCH([1]orders!$D295,[1]products!$A$1:$A$49,0),MATCH([1]orders!L$1,[1]products!$A$1:$G$1,0))</f>
        <v>5.97</v>
      </c>
      <c r="H295">
        <f t="shared" si="4"/>
        <v>29.849999999999998</v>
      </c>
    </row>
    <row r="296" spans="1:8" x14ac:dyDescent="0.25">
      <c r="A296" t="s">
        <v>602</v>
      </c>
      <c r="B296">
        <v>44659</v>
      </c>
      <c r="C296" t="s">
        <v>603</v>
      </c>
      <c r="D296" t="s">
        <v>137</v>
      </c>
      <c r="E296">
        <v>3</v>
      </c>
      <c r="F296">
        <f>INDEX([1]products!$A$1:$G$49,MATCH([1]orders!$D296,[1]products!$A$1:$A$49,0),MATCH([1]orders!K$1,[1]products!$A$1:$G$1,0))</f>
        <v>1</v>
      </c>
      <c r="G296">
        <f>INDEX([1]products!$A$1:$G$49,MATCH([1]orders!$D296,[1]products!$A$1:$A$49,0),MATCH([1]orders!L$1,[1]products!$A$1:$G$1,0))</f>
        <v>14.85</v>
      </c>
      <c r="H296">
        <f t="shared" si="4"/>
        <v>44.55</v>
      </c>
    </row>
    <row r="297" spans="1:8" x14ac:dyDescent="0.25">
      <c r="A297" t="s">
        <v>604</v>
      </c>
      <c r="B297">
        <v>44057</v>
      </c>
      <c r="C297" t="s">
        <v>605</v>
      </c>
      <c r="D297" t="s">
        <v>9</v>
      </c>
      <c r="E297">
        <v>2</v>
      </c>
      <c r="F297">
        <f>INDEX([1]products!$A$1:$G$49,MATCH([1]orders!$D297,[1]products!$A$1:$A$49,0),MATCH([1]orders!K$1,[1]products!$A$1:$G$1,0))</f>
        <v>1</v>
      </c>
      <c r="G297">
        <f>INDEX([1]products!$A$1:$G$49,MATCH([1]orders!$D297,[1]products!$A$1:$A$49,0),MATCH([1]orders!L$1,[1]products!$A$1:$G$1,0))</f>
        <v>13.75</v>
      </c>
      <c r="H297">
        <f t="shared" si="4"/>
        <v>27.5</v>
      </c>
    </row>
    <row r="298" spans="1:8" x14ac:dyDescent="0.25">
      <c r="A298" t="s">
        <v>606</v>
      </c>
      <c r="B298">
        <v>43597</v>
      </c>
      <c r="C298" t="s">
        <v>607</v>
      </c>
      <c r="D298" t="s">
        <v>22</v>
      </c>
      <c r="E298">
        <v>6</v>
      </c>
      <c r="F298">
        <f>INDEX([1]products!$A$1:$G$49,MATCH([1]orders!$D298,[1]products!$A$1:$A$49,0),MATCH([1]orders!K$1,[1]products!$A$1:$G$1,0))</f>
        <v>0.5</v>
      </c>
      <c r="G298">
        <f>INDEX([1]products!$A$1:$G$49,MATCH([1]orders!$D298,[1]products!$A$1:$A$49,0),MATCH([1]orders!L$1,[1]products!$A$1:$G$1,0))</f>
        <v>5.97</v>
      </c>
      <c r="H298">
        <f t="shared" si="4"/>
        <v>35.82</v>
      </c>
    </row>
    <row r="299" spans="1:8" x14ac:dyDescent="0.25">
      <c r="A299" t="s">
        <v>608</v>
      </c>
      <c r="B299">
        <v>44258</v>
      </c>
      <c r="C299" t="s">
        <v>609</v>
      </c>
      <c r="D299" t="s">
        <v>146</v>
      </c>
      <c r="E299">
        <v>3</v>
      </c>
      <c r="F299">
        <f>INDEX([1]products!$A$1:$G$49,MATCH([1]orders!$D299,[1]products!$A$1:$A$49,0),MATCH([1]orders!K$1,[1]products!$A$1:$G$1,0))</f>
        <v>0.5</v>
      </c>
      <c r="G299">
        <f>INDEX([1]products!$A$1:$G$49,MATCH([1]orders!$D299,[1]products!$A$1:$A$49,0),MATCH([1]orders!L$1,[1]products!$A$1:$G$1,0))</f>
        <v>5.3699999999999992</v>
      </c>
      <c r="H299">
        <f t="shared" si="4"/>
        <v>16.11</v>
      </c>
    </row>
    <row r="300" spans="1:8" x14ac:dyDescent="0.25">
      <c r="A300" t="s">
        <v>610</v>
      </c>
      <c r="B300">
        <v>43872</v>
      </c>
      <c r="C300" t="s">
        <v>611</v>
      </c>
      <c r="D300" t="s">
        <v>254</v>
      </c>
      <c r="E300">
        <v>6</v>
      </c>
      <c r="F300">
        <f>INDEX([1]products!$A$1:$G$49,MATCH([1]orders!$D300,[1]products!$A$1:$A$49,0),MATCH([1]orders!K$1,[1]products!$A$1:$G$1,0))</f>
        <v>0.2</v>
      </c>
      <c r="G300">
        <f>INDEX([1]products!$A$1:$G$49,MATCH([1]orders!$D300,[1]products!$A$1:$A$49,0),MATCH([1]orders!L$1,[1]products!$A$1:$G$1,0))</f>
        <v>4.4550000000000001</v>
      </c>
      <c r="H300">
        <f t="shared" si="4"/>
        <v>26.73</v>
      </c>
    </row>
    <row r="301" spans="1:8" x14ac:dyDescent="0.25">
      <c r="A301" t="s">
        <v>612</v>
      </c>
      <c r="B301">
        <v>43582</v>
      </c>
      <c r="C301" t="s">
        <v>613</v>
      </c>
      <c r="D301" t="s">
        <v>30</v>
      </c>
      <c r="E301">
        <v>6</v>
      </c>
      <c r="F301">
        <f>INDEX([1]products!$A$1:$G$49,MATCH([1]orders!$D301,[1]products!$A$1:$A$49,0),MATCH([1]orders!K$1,[1]products!$A$1:$G$1,0))</f>
        <v>2.5</v>
      </c>
      <c r="G301">
        <f>INDEX([1]products!$A$1:$G$49,MATCH([1]orders!$D301,[1]products!$A$1:$A$49,0),MATCH([1]orders!L$1,[1]products!$A$1:$G$1,0))</f>
        <v>34.154999999999994</v>
      </c>
      <c r="H301">
        <f t="shared" si="4"/>
        <v>204.92999999999995</v>
      </c>
    </row>
    <row r="302" spans="1:8" x14ac:dyDescent="0.25">
      <c r="A302" t="s">
        <v>614</v>
      </c>
      <c r="B302">
        <v>44646</v>
      </c>
      <c r="C302" t="s">
        <v>615</v>
      </c>
      <c r="D302" t="s">
        <v>6</v>
      </c>
      <c r="E302">
        <v>3</v>
      </c>
      <c r="F302">
        <f>INDEX([1]products!$A$1:$G$49,MATCH([1]orders!$D302,[1]products!$A$1:$A$49,0),MATCH([1]orders!K$1,[1]products!$A$1:$G$1,0))</f>
        <v>1</v>
      </c>
      <c r="G302">
        <f>INDEX([1]products!$A$1:$G$49,MATCH([1]orders!$D302,[1]products!$A$1:$A$49,0),MATCH([1]orders!L$1,[1]products!$A$1:$G$1,0))</f>
        <v>12.95</v>
      </c>
      <c r="H302">
        <f t="shared" si="4"/>
        <v>38.849999999999994</v>
      </c>
    </row>
    <row r="303" spans="1:8" x14ac:dyDescent="0.25">
      <c r="A303" t="s">
        <v>616</v>
      </c>
      <c r="B303">
        <v>44102</v>
      </c>
      <c r="C303" t="s">
        <v>617</v>
      </c>
      <c r="D303" t="s">
        <v>38</v>
      </c>
      <c r="E303">
        <v>4</v>
      </c>
      <c r="F303">
        <f>INDEX([1]products!$A$1:$G$49,MATCH([1]orders!$D303,[1]products!$A$1:$A$49,0),MATCH([1]orders!K$1,[1]products!$A$1:$G$1,0))</f>
        <v>0.2</v>
      </c>
      <c r="G303">
        <f>INDEX([1]products!$A$1:$G$49,MATCH([1]orders!$D303,[1]products!$A$1:$A$49,0),MATCH([1]orders!L$1,[1]products!$A$1:$G$1,0))</f>
        <v>3.8849999999999998</v>
      </c>
      <c r="H303">
        <f t="shared" si="4"/>
        <v>15.54</v>
      </c>
    </row>
    <row r="304" spans="1:8" x14ac:dyDescent="0.25">
      <c r="A304" t="s">
        <v>618</v>
      </c>
      <c r="B304">
        <v>43762</v>
      </c>
      <c r="C304" t="s">
        <v>619</v>
      </c>
      <c r="D304" t="s">
        <v>67</v>
      </c>
      <c r="E304">
        <v>1</v>
      </c>
      <c r="F304">
        <f>INDEX([1]products!$A$1:$G$49,MATCH([1]orders!$D304,[1]products!$A$1:$A$49,0),MATCH([1]orders!K$1,[1]products!$A$1:$G$1,0))</f>
        <v>0.5</v>
      </c>
      <c r="G304">
        <f>INDEX([1]products!$A$1:$G$49,MATCH([1]orders!$D304,[1]products!$A$1:$A$49,0),MATCH([1]orders!L$1,[1]products!$A$1:$G$1,0))</f>
        <v>6.75</v>
      </c>
      <c r="H304">
        <f t="shared" si="4"/>
        <v>6.75</v>
      </c>
    </row>
    <row r="305" spans="1:8" x14ac:dyDescent="0.25">
      <c r="A305" t="s">
        <v>620</v>
      </c>
      <c r="B305">
        <v>44412</v>
      </c>
      <c r="C305" t="s">
        <v>621</v>
      </c>
      <c r="D305" t="s">
        <v>530</v>
      </c>
      <c r="E305">
        <v>4</v>
      </c>
      <c r="F305">
        <f>INDEX([1]products!$A$1:$G$49,MATCH([1]orders!$D305,[1]products!$A$1:$A$49,0),MATCH([1]orders!K$1,[1]products!$A$1:$G$1,0))</f>
        <v>2.5</v>
      </c>
      <c r="G305">
        <f>INDEX([1]products!$A$1:$G$49,MATCH([1]orders!$D305,[1]products!$A$1:$A$49,0),MATCH([1]orders!L$1,[1]products!$A$1:$G$1,0))</f>
        <v>27.945</v>
      </c>
      <c r="H305">
        <f t="shared" si="4"/>
        <v>111.78</v>
      </c>
    </row>
    <row r="306" spans="1:8" x14ac:dyDescent="0.25">
      <c r="A306" t="s">
        <v>622</v>
      </c>
      <c r="B306">
        <v>43828</v>
      </c>
      <c r="C306" t="s">
        <v>623</v>
      </c>
      <c r="D306" t="s">
        <v>115</v>
      </c>
      <c r="E306">
        <v>1</v>
      </c>
      <c r="F306">
        <f>INDEX([1]products!$A$1:$G$49,MATCH([1]orders!$D306,[1]products!$A$1:$A$49,0),MATCH([1]orders!K$1,[1]products!$A$1:$G$1,0))</f>
        <v>0.2</v>
      </c>
      <c r="G306">
        <f>INDEX([1]products!$A$1:$G$49,MATCH([1]orders!$D306,[1]products!$A$1:$A$49,0),MATCH([1]orders!L$1,[1]products!$A$1:$G$1,0))</f>
        <v>3.8849999999999998</v>
      </c>
      <c r="H306">
        <f t="shared" si="4"/>
        <v>3.8849999999999998</v>
      </c>
    </row>
    <row r="307" spans="1:8" x14ac:dyDescent="0.25">
      <c r="A307" t="s">
        <v>624</v>
      </c>
      <c r="B307">
        <v>43796</v>
      </c>
      <c r="C307" t="s">
        <v>625</v>
      </c>
      <c r="D307" t="s">
        <v>77</v>
      </c>
      <c r="E307">
        <v>5</v>
      </c>
      <c r="F307">
        <f>INDEX([1]products!$A$1:$G$49,MATCH([1]orders!$D307,[1]products!$A$1:$A$49,0),MATCH([1]orders!K$1,[1]products!$A$1:$G$1,0))</f>
        <v>0.2</v>
      </c>
      <c r="G307">
        <f>INDEX([1]products!$A$1:$G$49,MATCH([1]orders!$D307,[1]products!$A$1:$A$49,0),MATCH([1]orders!L$1,[1]products!$A$1:$G$1,0))</f>
        <v>4.3650000000000002</v>
      </c>
      <c r="H307">
        <f t="shared" si="4"/>
        <v>21.825000000000003</v>
      </c>
    </row>
    <row r="308" spans="1:8" x14ac:dyDescent="0.25">
      <c r="A308" t="s">
        <v>626</v>
      </c>
      <c r="B308">
        <v>43890</v>
      </c>
      <c r="C308" t="s">
        <v>627</v>
      </c>
      <c r="D308" t="s">
        <v>162</v>
      </c>
      <c r="E308">
        <v>5</v>
      </c>
      <c r="F308">
        <f>INDEX([1]products!$A$1:$G$49,MATCH([1]orders!$D308,[1]products!$A$1:$A$49,0),MATCH([1]orders!K$1,[1]products!$A$1:$G$1,0))</f>
        <v>0.2</v>
      </c>
      <c r="G308">
        <f>INDEX([1]products!$A$1:$G$49,MATCH([1]orders!$D308,[1]products!$A$1:$A$49,0),MATCH([1]orders!L$1,[1]products!$A$1:$G$1,0))</f>
        <v>2.9849999999999999</v>
      </c>
      <c r="H308">
        <f t="shared" si="4"/>
        <v>14.924999999999999</v>
      </c>
    </row>
    <row r="309" spans="1:8" x14ac:dyDescent="0.25">
      <c r="A309" t="s">
        <v>628</v>
      </c>
      <c r="B309">
        <v>44227</v>
      </c>
      <c r="C309" t="s">
        <v>629</v>
      </c>
      <c r="D309" t="s">
        <v>61</v>
      </c>
      <c r="E309">
        <v>3</v>
      </c>
      <c r="F309">
        <f>INDEX([1]products!$A$1:$G$49,MATCH([1]orders!$D309,[1]products!$A$1:$A$49,0),MATCH([1]orders!K$1,[1]products!$A$1:$G$1,0))</f>
        <v>1</v>
      </c>
      <c r="G309">
        <f>INDEX([1]products!$A$1:$G$49,MATCH([1]orders!$D309,[1]products!$A$1:$A$49,0),MATCH([1]orders!L$1,[1]products!$A$1:$G$1,0))</f>
        <v>11.25</v>
      </c>
      <c r="H309">
        <f t="shared" si="4"/>
        <v>33.75</v>
      </c>
    </row>
    <row r="310" spans="1:8" x14ac:dyDescent="0.25">
      <c r="A310" t="s">
        <v>630</v>
      </c>
      <c r="B310">
        <v>44729</v>
      </c>
      <c r="C310" t="s">
        <v>631</v>
      </c>
      <c r="D310" t="s">
        <v>61</v>
      </c>
      <c r="E310">
        <v>3</v>
      </c>
      <c r="F310">
        <f>INDEX([1]products!$A$1:$G$49,MATCH([1]orders!$D310,[1]products!$A$1:$A$49,0),MATCH([1]orders!K$1,[1]products!$A$1:$G$1,0))</f>
        <v>1</v>
      </c>
      <c r="G310">
        <f>INDEX([1]products!$A$1:$G$49,MATCH([1]orders!$D310,[1]products!$A$1:$A$49,0),MATCH([1]orders!L$1,[1]products!$A$1:$G$1,0))</f>
        <v>11.25</v>
      </c>
      <c r="H310">
        <f t="shared" si="4"/>
        <v>33.75</v>
      </c>
    </row>
    <row r="311" spans="1:8" x14ac:dyDescent="0.25">
      <c r="A311" t="s">
        <v>632</v>
      </c>
      <c r="B311">
        <v>43864</v>
      </c>
      <c r="C311" t="s">
        <v>633</v>
      </c>
      <c r="D311" t="s">
        <v>77</v>
      </c>
      <c r="E311">
        <v>6</v>
      </c>
      <c r="F311">
        <f>INDEX([1]products!$A$1:$G$49,MATCH([1]orders!$D311,[1]products!$A$1:$A$49,0),MATCH([1]orders!K$1,[1]products!$A$1:$G$1,0))</f>
        <v>0.2</v>
      </c>
      <c r="G311">
        <f>INDEX([1]products!$A$1:$G$49,MATCH([1]orders!$D311,[1]products!$A$1:$A$49,0),MATCH([1]orders!L$1,[1]products!$A$1:$G$1,0))</f>
        <v>4.3650000000000002</v>
      </c>
      <c r="H311">
        <f t="shared" si="4"/>
        <v>26.19</v>
      </c>
    </row>
    <row r="312" spans="1:8" x14ac:dyDescent="0.25">
      <c r="A312" t="s">
        <v>634</v>
      </c>
      <c r="B312">
        <v>44586</v>
      </c>
      <c r="C312" t="s">
        <v>635</v>
      </c>
      <c r="D312" t="s">
        <v>137</v>
      </c>
      <c r="E312">
        <v>1</v>
      </c>
      <c r="F312">
        <f>INDEX([1]products!$A$1:$G$49,MATCH([1]orders!$D312,[1]products!$A$1:$A$49,0),MATCH([1]orders!K$1,[1]products!$A$1:$G$1,0))</f>
        <v>1</v>
      </c>
      <c r="G312">
        <f>INDEX([1]products!$A$1:$G$49,MATCH([1]orders!$D312,[1]products!$A$1:$A$49,0),MATCH([1]orders!L$1,[1]products!$A$1:$G$1,0))</f>
        <v>14.85</v>
      </c>
      <c r="H312">
        <f t="shared" si="4"/>
        <v>14.85</v>
      </c>
    </row>
    <row r="313" spans="1:8" x14ac:dyDescent="0.25">
      <c r="A313" t="s">
        <v>636</v>
      </c>
      <c r="B313">
        <v>43951</v>
      </c>
      <c r="C313" t="s">
        <v>623</v>
      </c>
      <c r="D313" t="s">
        <v>112</v>
      </c>
      <c r="E313">
        <v>6</v>
      </c>
      <c r="F313">
        <f>INDEX([1]products!$A$1:$G$49,MATCH([1]orders!$D313,[1]products!$A$1:$A$49,0),MATCH([1]orders!K$1,[1]products!$A$1:$G$1,0))</f>
        <v>2.5</v>
      </c>
      <c r="G313">
        <f>INDEX([1]products!$A$1:$G$49,MATCH([1]orders!$D313,[1]products!$A$1:$A$49,0),MATCH([1]orders!L$1,[1]products!$A$1:$G$1,0))</f>
        <v>31.624999999999996</v>
      </c>
      <c r="H313">
        <f t="shared" si="4"/>
        <v>189.74999999999997</v>
      </c>
    </row>
    <row r="314" spans="1:8" x14ac:dyDescent="0.25">
      <c r="A314" t="s">
        <v>637</v>
      </c>
      <c r="B314">
        <v>44317</v>
      </c>
      <c r="C314" t="s">
        <v>638</v>
      </c>
      <c r="D314" t="s">
        <v>22</v>
      </c>
      <c r="E314">
        <v>1</v>
      </c>
      <c r="F314">
        <f>INDEX([1]products!$A$1:$G$49,MATCH([1]orders!$D314,[1]products!$A$1:$A$49,0),MATCH([1]orders!K$1,[1]products!$A$1:$G$1,0))</f>
        <v>0.5</v>
      </c>
      <c r="G314">
        <f>INDEX([1]products!$A$1:$G$49,MATCH([1]orders!$D314,[1]products!$A$1:$A$49,0),MATCH([1]orders!L$1,[1]products!$A$1:$G$1,0))</f>
        <v>5.97</v>
      </c>
      <c r="H314">
        <f t="shared" si="4"/>
        <v>5.97</v>
      </c>
    </row>
    <row r="315" spans="1:8" x14ac:dyDescent="0.25">
      <c r="A315" t="s">
        <v>639</v>
      </c>
      <c r="B315">
        <v>44497</v>
      </c>
      <c r="C315" t="s">
        <v>640</v>
      </c>
      <c r="D315" t="s">
        <v>2</v>
      </c>
      <c r="E315">
        <v>3</v>
      </c>
      <c r="F315">
        <f>INDEX([1]products!$A$1:$G$49,MATCH([1]orders!$D315,[1]products!$A$1:$A$49,0),MATCH([1]orders!K$1,[1]products!$A$1:$G$1,0))</f>
        <v>1</v>
      </c>
      <c r="G315">
        <f>INDEX([1]products!$A$1:$G$49,MATCH([1]orders!$D315,[1]products!$A$1:$A$49,0),MATCH([1]orders!L$1,[1]products!$A$1:$G$1,0))</f>
        <v>9.9499999999999993</v>
      </c>
      <c r="H315">
        <f t="shared" si="4"/>
        <v>29.849999999999998</v>
      </c>
    </row>
    <row r="316" spans="1:8" x14ac:dyDescent="0.25">
      <c r="A316" t="s">
        <v>641</v>
      </c>
      <c r="B316">
        <v>44437</v>
      </c>
      <c r="C316" t="s">
        <v>642</v>
      </c>
      <c r="D316" t="s">
        <v>179</v>
      </c>
      <c r="E316">
        <v>5</v>
      </c>
      <c r="F316">
        <f>INDEX([1]products!$A$1:$G$49,MATCH([1]orders!$D316,[1]products!$A$1:$A$49,0),MATCH([1]orders!K$1,[1]products!$A$1:$G$1,0))</f>
        <v>1</v>
      </c>
      <c r="G316">
        <f>INDEX([1]products!$A$1:$G$49,MATCH([1]orders!$D316,[1]products!$A$1:$A$49,0),MATCH([1]orders!L$1,[1]products!$A$1:$G$1,0))</f>
        <v>8.9499999999999993</v>
      </c>
      <c r="H316">
        <f t="shared" si="4"/>
        <v>44.75</v>
      </c>
    </row>
    <row r="317" spans="1:8" x14ac:dyDescent="0.25">
      <c r="A317" t="s">
        <v>643</v>
      </c>
      <c r="B317">
        <v>43826</v>
      </c>
      <c r="C317" t="s">
        <v>644</v>
      </c>
      <c r="D317" t="s">
        <v>30</v>
      </c>
      <c r="E317">
        <v>1</v>
      </c>
      <c r="F317">
        <f>INDEX([1]products!$A$1:$G$49,MATCH([1]orders!$D317,[1]products!$A$1:$A$49,0),MATCH([1]orders!K$1,[1]products!$A$1:$G$1,0))</f>
        <v>2.5</v>
      </c>
      <c r="G317">
        <f>INDEX([1]products!$A$1:$G$49,MATCH([1]orders!$D317,[1]products!$A$1:$A$49,0),MATCH([1]orders!L$1,[1]products!$A$1:$G$1,0))</f>
        <v>34.154999999999994</v>
      </c>
      <c r="H317">
        <f t="shared" si="4"/>
        <v>34.154999999999994</v>
      </c>
    </row>
    <row r="318" spans="1:8" x14ac:dyDescent="0.25">
      <c r="A318" t="s">
        <v>645</v>
      </c>
      <c r="B318">
        <v>43641</v>
      </c>
      <c r="C318" t="s">
        <v>646</v>
      </c>
      <c r="D318" t="s">
        <v>30</v>
      </c>
      <c r="E318">
        <v>6</v>
      </c>
      <c r="F318">
        <f>INDEX([1]products!$A$1:$G$49,MATCH([1]orders!$D318,[1]products!$A$1:$A$49,0),MATCH([1]orders!K$1,[1]products!$A$1:$G$1,0))</f>
        <v>2.5</v>
      </c>
      <c r="G318">
        <f>INDEX([1]products!$A$1:$G$49,MATCH([1]orders!$D318,[1]products!$A$1:$A$49,0),MATCH([1]orders!L$1,[1]products!$A$1:$G$1,0))</f>
        <v>34.154999999999994</v>
      </c>
      <c r="H318">
        <f t="shared" si="4"/>
        <v>204.92999999999995</v>
      </c>
    </row>
    <row r="319" spans="1:8" x14ac:dyDescent="0.25">
      <c r="A319" t="s">
        <v>647</v>
      </c>
      <c r="B319">
        <v>43526</v>
      </c>
      <c r="C319" t="s">
        <v>648</v>
      </c>
      <c r="D319" t="s">
        <v>16</v>
      </c>
      <c r="E319">
        <v>3</v>
      </c>
      <c r="F319">
        <f>INDEX([1]products!$A$1:$G$49,MATCH([1]orders!$D319,[1]products!$A$1:$A$49,0),MATCH([1]orders!K$1,[1]products!$A$1:$G$1,0))</f>
        <v>0.5</v>
      </c>
      <c r="G319">
        <f>INDEX([1]products!$A$1:$G$49,MATCH([1]orders!$D319,[1]products!$A$1:$A$49,0),MATCH([1]orders!L$1,[1]products!$A$1:$G$1,0))</f>
        <v>7.29</v>
      </c>
      <c r="H319">
        <f t="shared" si="4"/>
        <v>21.87</v>
      </c>
    </row>
    <row r="320" spans="1:8" x14ac:dyDescent="0.25">
      <c r="A320" t="s">
        <v>649</v>
      </c>
      <c r="B320">
        <v>44563</v>
      </c>
      <c r="C320" t="s">
        <v>650</v>
      </c>
      <c r="D320" t="s">
        <v>171</v>
      </c>
      <c r="E320">
        <v>2</v>
      </c>
      <c r="F320">
        <f>INDEX([1]products!$A$1:$G$49,MATCH([1]orders!$D320,[1]products!$A$1:$A$49,0),MATCH([1]orders!K$1,[1]products!$A$1:$G$1,0))</f>
        <v>2.5</v>
      </c>
      <c r="G320">
        <f>INDEX([1]products!$A$1:$G$49,MATCH([1]orders!$D320,[1]products!$A$1:$A$49,0),MATCH([1]orders!L$1,[1]products!$A$1:$G$1,0))</f>
        <v>25.874999999999996</v>
      </c>
      <c r="H320">
        <f t="shared" si="4"/>
        <v>51.749999999999993</v>
      </c>
    </row>
    <row r="321" spans="1:8" x14ac:dyDescent="0.25">
      <c r="A321" t="s">
        <v>651</v>
      </c>
      <c r="B321">
        <v>43676</v>
      </c>
      <c r="C321" t="s">
        <v>652</v>
      </c>
      <c r="D321" t="s">
        <v>64</v>
      </c>
      <c r="E321">
        <v>2</v>
      </c>
      <c r="F321">
        <f>INDEX([1]products!$A$1:$G$49,MATCH([1]orders!$D321,[1]products!$A$1:$A$49,0),MATCH([1]orders!K$1,[1]products!$A$1:$G$1,0))</f>
        <v>0.2</v>
      </c>
      <c r="G321">
        <f>INDEX([1]products!$A$1:$G$49,MATCH([1]orders!$D321,[1]products!$A$1:$A$49,0),MATCH([1]orders!L$1,[1]products!$A$1:$G$1,0))</f>
        <v>4.125</v>
      </c>
      <c r="H321">
        <f t="shared" si="4"/>
        <v>8.25</v>
      </c>
    </row>
    <row r="322" spans="1:8" x14ac:dyDescent="0.25">
      <c r="A322" t="s">
        <v>651</v>
      </c>
      <c r="B322">
        <v>43676</v>
      </c>
      <c r="C322" t="s">
        <v>652</v>
      </c>
      <c r="D322" t="s">
        <v>115</v>
      </c>
      <c r="E322">
        <v>5</v>
      </c>
      <c r="F322">
        <f>INDEX([1]products!$A$1:$G$49,MATCH([1]orders!$D322,[1]products!$A$1:$A$49,0),MATCH([1]orders!K$1,[1]products!$A$1:$G$1,0))</f>
        <v>0.2</v>
      </c>
      <c r="G322">
        <f>INDEX([1]products!$A$1:$G$49,MATCH([1]orders!$D322,[1]products!$A$1:$A$49,0),MATCH([1]orders!L$1,[1]products!$A$1:$G$1,0))</f>
        <v>3.8849999999999998</v>
      </c>
      <c r="H322">
        <f t="shared" ref="H322:H385" si="5">E322*G322</f>
        <v>19.424999999999997</v>
      </c>
    </row>
    <row r="323" spans="1:8" x14ac:dyDescent="0.25">
      <c r="A323" t="s">
        <v>653</v>
      </c>
      <c r="B323">
        <v>44170</v>
      </c>
      <c r="C323" t="s">
        <v>654</v>
      </c>
      <c r="D323" t="s">
        <v>44</v>
      </c>
      <c r="E323">
        <v>6</v>
      </c>
      <c r="F323">
        <f>INDEX([1]products!$A$1:$G$49,MATCH([1]orders!$D323,[1]products!$A$1:$A$49,0),MATCH([1]orders!K$1,[1]products!$A$1:$G$1,0))</f>
        <v>0.2</v>
      </c>
      <c r="G323">
        <f>INDEX([1]products!$A$1:$G$49,MATCH([1]orders!$D323,[1]products!$A$1:$A$49,0),MATCH([1]orders!L$1,[1]products!$A$1:$G$1,0))</f>
        <v>3.375</v>
      </c>
      <c r="H323">
        <f t="shared" si="5"/>
        <v>20.25</v>
      </c>
    </row>
    <row r="324" spans="1:8" x14ac:dyDescent="0.25">
      <c r="A324" t="s">
        <v>655</v>
      </c>
      <c r="B324">
        <v>44182</v>
      </c>
      <c r="C324" t="s">
        <v>656</v>
      </c>
      <c r="D324" t="s">
        <v>123</v>
      </c>
      <c r="E324">
        <v>3</v>
      </c>
      <c r="F324">
        <f>INDEX([1]products!$A$1:$G$49,MATCH([1]orders!$D324,[1]products!$A$1:$A$49,0),MATCH([1]orders!K$1,[1]products!$A$1:$G$1,0))</f>
        <v>0.5</v>
      </c>
      <c r="G324">
        <f>INDEX([1]products!$A$1:$G$49,MATCH([1]orders!$D324,[1]products!$A$1:$A$49,0),MATCH([1]orders!L$1,[1]products!$A$1:$G$1,0))</f>
        <v>7.77</v>
      </c>
      <c r="H324">
        <f t="shared" si="5"/>
        <v>23.31</v>
      </c>
    </row>
    <row r="325" spans="1:8" x14ac:dyDescent="0.25">
      <c r="A325" t="s">
        <v>657</v>
      </c>
      <c r="B325">
        <v>44373</v>
      </c>
      <c r="C325" t="s">
        <v>658</v>
      </c>
      <c r="D325" t="s">
        <v>51</v>
      </c>
      <c r="E325">
        <v>5</v>
      </c>
      <c r="F325">
        <f>INDEX([1]products!$A$1:$G$49,MATCH([1]orders!$D325,[1]products!$A$1:$A$49,0),MATCH([1]orders!K$1,[1]products!$A$1:$G$1,0))</f>
        <v>0.2</v>
      </c>
      <c r="G325">
        <f>INDEX([1]products!$A$1:$G$49,MATCH([1]orders!$D325,[1]products!$A$1:$A$49,0),MATCH([1]orders!L$1,[1]products!$A$1:$G$1,0))</f>
        <v>3.645</v>
      </c>
      <c r="H325">
        <f t="shared" si="5"/>
        <v>18.225000000000001</v>
      </c>
    </row>
    <row r="326" spans="1:8" x14ac:dyDescent="0.25">
      <c r="A326" t="s">
        <v>659</v>
      </c>
      <c r="B326">
        <v>43666</v>
      </c>
      <c r="C326" t="s">
        <v>660</v>
      </c>
      <c r="D326" t="s">
        <v>9</v>
      </c>
      <c r="E326">
        <v>1</v>
      </c>
      <c r="F326">
        <f>INDEX([1]products!$A$1:$G$49,MATCH([1]orders!$D326,[1]products!$A$1:$A$49,0),MATCH([1]orders!K$1,[1]products!$A$1:$G$1,0))</f>
        <v>1</v>
      </c>
      <c r="G326">
        <f>INDEX([1]products!$A$1:$G$49,MATCH([1]orders!$D326,[1]products!$A$1:$A$49,0),MATCH([1]orders!L$1,[1]products!$A$1:$G$1,0))</f>
        <v>13.75</v>
      </c>
      <c r="H326">
        <f t="shared" si="5"/>
        <v>13.75</v>
      </c>
    </row>
    <row r="327" spans="1:8" x14ac:dyDescent="0.25">
      <c r="A327" t="s">
        <v>661</v>
      </c>
      <c r="B327">
        <v>44756</v>
      </c>
      <c r="C327" t="s">
        <v>662</v>
      </c>
      <c r="D327" t="s">
        <v>204</v>
      </c>
      <c r="E327">
        <v>1</v>
      </c>
      <c r="F327">
        <f>INDEX([1]products!$A$1:$G$49,MATCH([1]orders!$D327,[1]products!$A$1:$A$49,0),MATCH([1]orders!K$1,[1]products!$A$1:$G$1,0))</f>
        <v>2.5</v>
      </c>
      <c r="G327">
        <f>INDEX([1]products!$A$1:$G$49,MATCH([1]orders!$D327,[1]products!$A$1:$A$49,0),MATCH([1]orders!L$1,[1]products!$A$1:$G$1,0))</f>
        <v>29.784999999999997</v>
      </c>
      <c r="H327">
        <f t="shared" si="5"/>
        <v>29.784999999999997</v>
      </c>
    </row>
    <row r="328" spans="1:8" x14ac:dyDescent="0.25">
      <c r="A328" t="s">
        <v>663</v>
      </c>
      <c r="B328">
        <v>44057</v>
      </c>
      <c r="C328" t="s">
        <v>664</v>
      </c>
      <c r="D328" t="s">
        <v>179</v>
      </c>
      <c r="E328">
        <v>5</v>
      </c>
      <c r="F328">
        <f>INDEX([1]products!$A$1:$G$49,MATCH([1]orders!$D328,[1]products!$A$1:$A$49,0),MATCH([1]orders!K$1,[1]products!$A$1:$G$1,0))</f>
        <v>1</v>
      </c>
      <c r="G328">
        <f>INDEX([1]products!$A$1:$G$49,MATCH([1]orders!$D328,[1]products!$A$1:$A$49,0),MATCH([1]orders!L$1,[1]products!$A$1:$G$1,0))</f>
        <v>8.9499999999999993</v>
      </c>
      <c r="H328">
        <f t="shared" si="5"/>
        <v>44.75</v>
      </c>
    </row>
    <row r="329" spans="1:8" x14ac:dyDescent="0.25">
      <c r="A329" t="s">
        <v>665</v>
      </c>
      <c r="B329">
        <v>43579</v>
      </c>
      <c r="C329" t="s">
        <v>666</v>
      </c>
      <c r="D329" t="s">
        <v>179</v>
      </c>
      <c r="E329">
        <v>5</v>
      </c>
      <c r="F329">
        <f>INDEX([1]products!$A$1:$G$49,MATCH([1]orders!$D329,[1]products!$A$1:$A$49,0),MATCH([1]orders!K$1,[1]products!$A$1:$G$1,0))</f>
        <v>1</v>
      </c>
      <c r="G329">
        <f>INDEX([1]products!$A$1:$G$49,MATCH([1]orders!$D329,[1]products!$A$1:$A$49,0),MATCH([1]orders!L$1,[1]products!$A$1:$G$1,0))</f>
        <v>8.9499999999999993</v>
      </c>
      <c r="H329">
        <f t="shared" si="5"/>
        <v>44.75</v>
      </c>
    </row>
    <row r="330" spans="1:8" x14ac:dyDescent="0.25">
      <c r="A330" t="s">
        <v>667</v>
      </c>
      <c r="B330">
        <v>43620</v>
      </c>
      <c r="C330" t="s">
        <v>668</v>
      </c>
      <c r="D330" t="s">
        <v>83</v>
      </c>
      <c r="E330">
        <v>4</v>
      </c>
      <c r="F330">
        <f>INDEX([1]products!$A$1:$G$49,MATCH([1]orders!$D330,[1]products!$A$1:$A$49,0),MATCH([1]orders!K$1,[1]products!$A$1:$G$1,0))</f>
        <v>0.5</v>
      </c>
      <c r="G330">
        <f>INDEX([1]products!$A$1:$G$49,MATCH([1]orders!$D330,[1]products!$A$1:$A$49,0),MATCH([1]orders!L$1,[1]products!$A$1:$G$1,0))</f>
        <v>9.51</v>
      </c>
      <c r="H330">
        <f t="shared" si="5"/>
        <v>38.04</v>
      </c>
    </row>
    <row r="331" spans="1:8" x14ac:dyDescent="0.25">
      <c r="A331" t="s">
        <v>669</v>
      </c>
      <c r="B331">
        <v>44781</v>
      </c>
      <c r="C331" t="s">
        <v>670</v>
      </c>
      <c r="D331" t="s">
        <v>146</v>
      </c>
      <c r="E331">
        <v>4</v>
      </c>
      <c r="F331">
        <f>INDEX([1]products!$A$1:$G$49,MATCH([1]orders!$D331,[1]products!$A$1:$A$49,0),MATCH([1]orders!K$1,[1]products!$A$1:$G$1,0))</f>
        <v>0.5</v>
      </c>
      <c r="G331">
        <f>INDEX([1]products!$A$1:$G$49,MATCH([1]orders!$D331,[1]products!$A$1:$A$49,0),MATCH([1]orders!L$1,[1]products!$A$1:$G$1,0))</f>
        <v>5.3699999999999992</v>
      </c>
      <c r="H331">
        <f t="shared" si="5"/>
        <v>21.479999999999997</v>
      </c>
    </row>
    <row r="332" spans="1:8" x14ac:dyDescent="0.25">
      <c r="A332" t="s">
        <v>671</v>
      </c>
      <c r="B332">
        <v>43782</v>
      </c>
      <c r="C332" t="s">
        <v>648</v>
      </c>
      <c r="D332" t="s">
        <v>146</v>
      </c>
      <c r="E332">
        <v>3</v>
      </c>
      <c r="F332">
        <f>INDEX([1]products!$A$1:$G$49,MATCH([1]orders!$D332,[1]products!$A$1:$A$49,0),MATCH([1]orders!K$1,[1]products!$A$1:$G$1,0))</f>
        <v>0.5</v>
      </c>
      <c r="G332">
        <f>INDEX([1]products!$A$1:$G$49,MATCH([1]orders!$D332,[1]products!$A$1:$A$49,0),MATCH([1]orders!L$1,[1]products!$A$1:$G$1,0))</f>
        <v>5.3699999999999992</v>
      </c>
      <c r="H332">
        <f t="shared" si="5"/>
        <v>16.11</v>
      </c>
    </row>
    <row r="333" spans="1:8" x14ac:dyDescent="0.25">
      <c r="A333" t="s">
        <v>672</v>
      </c>
      <c r="B333">
        <v>43989</v>
      </c>
      <c r="C333" t="s">
        <v>673</v>
      </c>
      <c r="D333" t="s">
        <v>41</v>
      </c>
      <c r="E333">
        <v>1</v>
      </c>
      <c r="F333">
        <f>INDEX([1]products!$A$1:$G$49,MATCH([1]orders!$D333,[1]products!$A$1:$A$49,0),MATCH([1]orders!K$1,[1]products!$A$1:$G$1,0))</f>
        <v>2.5</v>
      </c>
      <c r="G333">
        <f>INDEX([1]products!$A$1:$G$49,MATCH([1]orders!$D333,[1]products!$A$1:$A$49,0),MATCH([1]orders!L$1,[1]products!$A$1:$G$1,0))</f>
        <v>22.884999999999998</v>
      </c>
      <c r="H333">
        <f t="shared" si="5"/>
        <v>22.884999999999998</v>
      </c>
    </row>
    <row r="334" spans="1:8" x14ac:dyDescent="0.25">
      <c r="A334" t="s">
        <v>674</v>
      </c>
      <c r="B334">
        <v>43689</v>
      </c>
      <c r="C334" t="s">
        <v>675</v>
      </c>
      <c r="D334" t="s">
        <v>72</v>
      </c>
      <c r="E334">
        <v>3</v>
      </c>
      <c r="F334">
        <f>INDEX([1]products!$A$1:$G$49,MATCH([1]orders!$D334,[1]products!$A$1:$A$49,0),MATCH([1]orders!K$1,[1]products!$A$1:$G$1,0))</f>
        <v>0.5</v>
      </c>
      <c r="G334">
        <f>INDEX([1]products!$A$1:$G$49,MATCH([1]orders!$D334,[1]products!$A$1:$A$49,0),MATCH([1]orders!L$1,[1]products!$A$1:$G$1,0))</f>
        <v>5.97</v>
      </c>
      <c r="H334">
        <f t="shared" si="5"/>
        <v>17.91</v>
      </c>
    </row>
    <row r="335" spans="1:8" x14ac:dyDescent="0.25">
      <c r="A335" t="s">
        <v>676</v>
      </c>
      <c r="B335">
        <v>43712</v>
      </c>
      <c r="C335" t="s">
        <v>677</v>
      </c>
      <c r="D335" t="s">
        <v>22</v>
      </c>
      <c r="E335">
        <v>4</v>
      </c>
      <c r="F335">
        <f>INDEX([1]products!$A$1:$G$49,MATCH([1]orders!$D335,[1]products!$A$1:$A$49,0),MATCH([1]orders!K$1,[1]products!$A$1:$G$1,0))</f>
        <v>0.5</v>
      </c>
      <c r="G335">
        <f>INDEX([1]products!$A$1:$G$49,MATCH([1]orders!$D335,[1]products!$A$1:$A$49,0),MATCH([1]orders!L$1,[1]products!$A$1:$G$1,0))</f>
        <v>5.97</v>
      </c>
      <c r="H335">
        <f t="shared" si="5"/>
        <v>23.88</v>
      </c>
    </row>
    <row r="336" spans="1:8" x14ac:dyDescent="0.25">
      <c r="A336" t="s">
        <v>678</v>
      </c>
      <c r="B336">
        <v>43742</v>
      </c>
      <c r="C336" t="s">
        <v>679</v>
      </c>
      <c r="D336" t="s">
        <v>189</v>
      </c>
      <c r="E336">
        <v>5</v>
      </c>
      <c r="F336">
        <f>INDEX([1]products!$A$1:$G$49,MATCH([1]orders!$D336,[1]products!$A$1:$A$49,0),MATCH([1]orders!K$1,[1]products!$A$1:$G$1,0))</f>
        <v>1</v>
      </c>
      <c r="G336">
        <f>INDEX([1]products!$A$1:$G$49,MATCH([1]orders!$D336,[1]products!$A$1:$A$49,0),MATCH([1]orders!L$1,[1]products!$A$1:$G$1,0))</f>
        <v>11.95</v>
      </c>
      <c r="H336">
        <f t="shared" si="5"/>
        <v>59.75</v>
      </c>
    </row>
    <row r="337" spans="1:8" x14ac:dyDescent="0.25">
      <c r="A337" t="s">
        <v>680</v>
      </c>
      <c r="B337">
        <v>43885</v>
      </c>
      <c r="C337" t="s">
        <v>681</v>
      </c>
      <c r="D337" t="s">
        <v>19</v>
      </c>
      <c r="E337">
        <v>6</v>
      </c>
      <c r="F337">
        <f>INDEX([1]products!$A$1:$G$49,MATCH([1]orders!$D337,[1]products!$A$1:$A$49,0),MATCH([1]orders!K$1,[1]products!$A$1:$G$1,0))</f>
        <v>0.2</v>
      </c>
      <c r="G337">
        <f>INDEX([1]products!$A$1:$G$49,MATCH([1]orders!$D337,[1]products!$A$1:$A$49,0),MATCH([1]orders!L$1,[1]products!$A$1:$G$1,0))</f>
        <v>4.7549999999999999</v>
      </c>
      <c r="H337">
        <f t="shared" si="5"/>
        <v>28.53</v>
      </c>
    </row>
    <row r="338" spans="1:8" x14ac:dyDescent="0.25">
      <c r="A338" t="s">
        <v>682</v>
      </c>
      <c r="B338">
        <v>44434</v>
      </c>
      <c r="C338" t="s">
        <v>683</v>
      </c>
      <c r="D338" t="s">
        <v>61</v>
      </c>
      <c r="E338">
        <v>4</v>
      </c>
      <c r="F338">
        <f>INDEX([1]products!$A$1:$G$49,MATCH([1]orders!$D338,[1]products!$A$1:$A$49,0),MATCH([1]orders!K$1,[1]products!$A$1:$G$1,0))</f>
        <v>1</v>
      </c>
      <c r="G338">
        <f>INDEX([1]products!$A$1:$G$49,MATCH([1]orders!$D338,[1]products!$A$1:$A$49,0),MATCH([1]orders!L$1,[1]products!$A$1:$G$1,0))</f>
        <v>11.25</v>
      </c>
      <c r="H338">
        <f t="shared" si="5"/>
        <v>45</v>
      </c>
    </row>
    <row r="339" spans="1:8" x14ac:dyDescent="0.25">
      <c r="A339" t="s">
        <v>684</v>
      </c>
      <c r="B339">
        <v>44472</v>
      </c>
      <c r="C339" t="s">
        <v>664</v>
      </c>
      <c r="D339" t="s">
        <v>530</v>
      </c>
      <c r="E339">
        <v>2</v>
      </c>
      <c r="F339">
        <f>INDEX([1]products!$A$1:$G$49,MATCH([1]orders!$D339,[1]products!$A$1:$A$49,0),MATCH([1]orders!K$1,[1]products!$A$1:$G$1,0))</f>
        <v>2.5</v>
      </c>
      <c r="G339">
        <f>INDEX([1]products!$A$1:$G$49,MATCH([1]orders!$D339,[1]products!$A$1:$A$49,0),MATCH([1]orders!L$1,[1]products!$A$1:$G$1,0))</f>
        <v>27.945</v>
      </c>
      <c r="H339">
        <f t="shared" si="5"/>
        <v>55.89</v>
      </c>
    </row>
    <row r="340" spans="1:8" x14ac:dyDescent="0.25">
      <c r="A340" t="s">
        <v>685</v>
      </c>
      <c r="B340">
        <v>43995</v>
      </c>
      <c r="C340" t="s">
        <v>686</v>
      </c>
      <c r="D340" t="s">
        <v>137</v>
      </c>
      <c r="E340">
        <v>4</v>
      </c>
      <c r="F340">
        <f>INDEX([1]products!$A$1:$G$49,MATCH([1]orders!$D340,[1]products!$A$1:$A$49,0),MATCH([1]orders!K$1,[1]products!$A$1:$G$1,0))</f>
        <v>1</v>
      </c>
      <c r="G340">
        <f>INDEX([1]products!$A$1:$G$49,MATCH([1]orders!$D340,[1]products!$A$1:$A$49,0),MATCH([1]orders!L$1,[1]products!$A$1:$G$1,0))</f>
        <v>14.85</v>
      </c>
      <c r="H340">
        <f t="shared" si="5"/>
        <v>59.4</v>
      </c>
    </row>
    <row r="341" spans="1:8" x14ac:dyDescent="0.25">
      <c r="A341" t="s">
        <v>687</v>
      </c>
      <c r="B341">
        <v>44256</v>
      </c>
      <c r="C341" t="s">
        <v>688</v>
      </c>
      <c r="D341" t="s">
        <v>51</v>
      </c>
      <c r="E341">
        <v>2</v>
      </c>
      <c r="F341">
        <f>INDEX([1]products!$A$1:$G$49,MATCH([1]orders!$D341,[1]products!$A$1:$A$49,0),MATCH([1]orders!K$1,[1]products!$A$1:$G$1,0))</f>
        <v>0.2</v>
      </c>
      <c r="G341">
        <f>INDEX([1]products!$A$1:$G$49,MATCH([1]orders!$D341,[1]products!$A$1:$A$49,0),MATCH([1]orders!L$1,[1]products!$A$1:$G$1,0))</f>
        <v>3.645</v>
      </c>
      <c r="H341">
        <f t="shared" si="5"/>
        <v>7.29</v>
      </c>
    </row>
    <row r="342" spans="1:8" x14ac:dyDescent="0.25">
      <c r="A342" t="s">
        <v>689</v>
      </c>
      <c r="B342">
        <v>43528</v>
      </c>
      <c r="C342" t="s">
        <v>690</v>
      </c>
      <c r="D342" t="s">
        <v>16</v>
      </c>
      <c r="E342">
        <v>1</v>
      </c>
      <c r="F342">
        <f>INDEX([1]products!$A$1:$G$49,MATCH([1]orders!$D342,[1]products!$A$1:$A$49,0),MATCH([1]orders!K$1,[1]products!$A$1:$G$1,0))</f>
        <v>0.5</v>
      </c>
      <c r="G342">
        <f>INDEX([1]products!$A$1:$G$49,MATCH([1]orders!$D342,[1]products!$A$1:$A$49,0),MATCH([1]orders!L$1,[1]products!$A$1:$G$1,0))</f>
        <v>7.29</v>
      </c>
      <c r="H342">
        <f t="shared" si="5"/>
        <v>7.29</v>
      </c>
    </row>
    <row r="343" spans="1:8" x14ac:dyDescent="0.25">
      <c r="A343" t="s">
        <v>691</v>
      </c>
      <c r="B343">
        <v>43751</v>
      </c>
      <c r="C343" t="s">
        <v>692</v>
      </c>
      <c r="D343" t="s">
        <v>176</v>
      </c>
      <c r="E343">
        <v>2</v>
      </c>
      <c r="F343">
        <f>INDEX([1]products!$A$1:$G$49,MATCH([1]orders!$D343,[1]products!$A$1:$A$49,0),MATCH([1]orders!K$1,[1]products!$A$1:$G$1,0))</f>
        <v>0.5</v>
      </c>
      <c r="G343">
        <f>INDEX([1]products!$A$1:$G$49,MATCH([1]orders!$D343,[1]products!$A$1:$A$49,0),MATCH([1]orders!L$1,[1]products!$A$1:$G$1,0))</f>
        <v>8.91</v>
      </c>
      <c r="H343">
        <f t="shared" si="5"/>
        <v>17.82</v>
      </c>
    </row>
    <row r="344" spans="1:8" x14ac:dyDescent="0.25">
      <c r="A344" t="s">
        <v>691</v>
      </c>
      <c r="B344">
        <v>43751</v>
      </c>
      <c r="C344" t="s">
        <v>692</v>
      </c>
      <c r="D344" t="s">
        <v>123</v>
      </c>
      <c r="E344">
        <v>5</v>
      </c>
      <c r="F344">
        <f>INDEX([1]products!$A$1:$G$49,MATCH([1]orders!$D344,[1]products!$A$1:$A$49,0),MATCH([1]orders!K$1,[1]products!$A$1:$G$1,0))</f>
        <v>0.5</v>
      </c>
      <c r="G344">
        <f>INDEX([1]products!$A$1:$G$49,MATCH([1]orders!$D344,[1]products!$A$1:$A$49,0),MATCH([1]orders!L$1,[1]products!$A$1:$G$1,0))</f>
        <v>7.77</v>
      </c>
      <c r="H344">
        <f t="shared" si="5"/>
        <v>38.849999999999994</v>
      </c>
    </row>
    <row r="345" spans="1:8" x14ac:dyDescent="0.25">
      <c r="A345" t="s">
        <v>693</v>
      </c>
      <c r="B345">
        <v>43692</v>
      </c>
      <c r="C345" t="s">
        <v>694</v>
      </c>
      <c r="D345" t="s">
        <v>146</v>
      </c>
      <c r="E345">
        <v>6</v>
      </c>
      <c r="F345">
        <f>INDEX([1]products!$A$1:$G$49,MATCH([1]orders!$D345,[1]products!$A$1:$A$49,0),MATCH([1]orders!K$1,[1]products!$A$1:$G$1,0))</f>
        <v>0.5</v>
      </c>
      <c r="G345">
        <f>INDEX([1]products!$A$1:$G$49,MATCH([1]orders!$D345,[1]products!$A$1:$A$49,0),MATCH([1]orders!L$1,[1]products!$A$1:$G$1,0))</f>
        <v>5.3699999999999992</v>
      </c>
      <c r="H345">
        <f t="shared" si="5"/>
        <v>32.22</v>
      </c>
    </row>
    <row r="346" spans="1:8" x14ac:dyDescent="0.25">
      <c r="A346" t="s">
        <v>695</v>
      </c>
      <c r="B346">
        <v>44529</v>
      </c>
      <c r="C346" t="s">
        <v>696</v>
      </c>
      <c r="D346" t="s">
        <v>2</v>
      </c>
      <c r="E346">
        <v>2</v>
      </c>
      <c r="F346">
        <f>INDEX([1]products!$A$1:$G$49,MATCH([1]orders!$D346,[1]products!$A$1:$A$49,0),MATCH([1]orders!K$1,[1]products!$A$1:$G$1,0))</f>
        <v>1</v>
      </c>
      <c r="G346">
        <f>INDEX([1]products!$A$1:$G$49,MATCH([1]orders!$D346,[1]products!$A$1:$A$49,0),MATCH([1]orders!L$1,[1]products!$A$1:$G$1,0))</f>
        <v>9.9499999999999993</v>
      </c>
      <c r="H346">
        <f t="shared" si="5"/>
        <v>19.899999999999999</v>
      </c>
    </row>
    <row r="347" spans="1:8" x14ac:dyDescent="0.25">
      <c r="A347" t="s">
        <v>697</v>
      </c>
      <c r="B347">
        <v>43849</v>
      </c>
      <c r="C347" t="s">
        <v>698</v>
      </c>
      <c r="D347" t="s">
        <v>189</v>
      </c>
      <c r="E347">
        <v>5</v>
      </c>
      <c r="F347">
        <f>INDEX([1]products!$A$1:$G$49,MATCH([1]orders!$D347,[1]products!$A$1:$A$49,0),MATCH([1]orders!K$1,[1]products!$A$1:$G$1,0))</f>
        <v>1</v>
      </c>
      <c r="G347">
        <f>INDEX([1]products!$A$1:$G$49,MATCH([1]orders!$D347,[1]products!$A$1:$A$49,0),MATCH([1]orders!L$1,[1]products!$A$1:$G$1,0))</f>
        <v>11.95</v>
      </c>
      <c r="H347">
        <f t="shared" si="5"/>
        <v>59.75</v>
      </c>
    </row>
    <row r="348" spans="1:8" x14ac:dyDescent="0.25">
      <c r="A348" t="s">
        <v>699</v>
      </c>
      <c r="B348">
        <v>44344</v>
      </c>
      <c r="C348" t="s">
        <v>700</v>
      </c>
      <c r="D348" t="s">
        <v>192</v>
      </c>
      <c r="E348">
        <v>3</v>
      </c>
      <c r="F348">
        <f>INDEX([1]products!$A$1:$G$49,MATCH([1]orders!$D348,[1]products!$A$1:$A$49,0),MATCH([1]orders!K$1,[1]products!$A$1:$G$1,0))</f>
        <v>0.5</v>
      </c>
      <c r="G348">
        <f>INDEX([1]products!$A$1:$G$49,MATCH([1]orders!$D348,[1]products!$A$1:$A$49,0),MATCH([1]orders!L$1,[1]products!$A$1:$G$1,0))</f>
        <v>7.77</v>
      </c>
      <c r="H348">
        <f t="shared" si="5"/>
        <v>23.31</v>
      </c>
    </row>
    <row r="349" spans="1:8" x14ac:dyDescent="0.25">
      <c r="A349" t="s">
        <v>701</v>
      </c>
      <c r="B349">
        <v>44576</v>
      </c>
      <c r="C349" t="s">
        <v>702</v>
      </c>
      <c r="D349" t="s">
        <v>96</v>
      </c>
      <c r="E349">
        <v>3</v>
      </c>
      <c r="F349">
        <f>INDEX([1]products!$A$1:$G$49,MATCH([1]orders!$D349,[1]products!$A$1:$A$49,0),MATCH([1]orders!K$1,[1]products!$A$1:$G$1,0))</f>
        <v>1</v>
      </c>
      <c r="G349">
        <f>INDEX([1]products!$A$1:$G$49,MATCH([1]orders!$D349,[1]products!$A$1:$A$49,0),MATCH([1]orders!L$1,[1]products!$A$1:$G$1,0))</f>
        <v>14.55</v>
      </c>
      <c r="H349">
        <f t="shared" si="5"/>
        <v>43.650000000000006</v>
      </c>
    </row>
    <row r="350" spans="1:8" x14ac:dyDescent="0.25">
      <c r="A350" t="s">
        <v>703</v>
      </c>
      <c r="B350">
        <v>43803</v>
      </c>
      <c r="C350" t="s">
        <v>704</v>
      </c>
      <c r="D350" t="s">
        <v>30</v>
      </c>
      <c r="E350">
        <v>6</v>
      </c>
      <c r="F350">
        <f>INDEX([1]products!$A$1:$G$49,MATCH([1]orders!$D350,[1]products!$A$1:$A$49,0),MATCH([1]orders!K$1,[1]products!$A$1:$G$1,0))</f>
        <v>2.5</v>
      </c>
      <c r="G350">
        <f>INDEX([1]products!$A$1:$G$49,MATCH([1]orders!$D350,[1]products!$A$1:$A$49,0),MATCH([1]orders!L$1,[1]products!$A$1:$G$1,0))</f>
        <v>34.154999999999994</v>
      </c>
      <c r="H350">
        <f t="shared" si="5"/>
        <v>204.92999999999995</v>
      </c>
    </row>
    <row r="351" spans="1:8" x14ac:dyDescent="0.25">
      <c r="A351" t="s">
        <v>705</v>
      </c>
      <c r="B351">
        <v>44743</v>
      </c>
      <c r="C351" t="s">
        <v>706</v>
      </c>
      <c r="D351" t="s">
        <v>182</v>
      </c>
      <c r="E351">
        <v>4</v>
      </c>
      <c r="F351">
        <f>INDEX([1]products!$A$1:$G$49,MATCH([1]orders!$D351,[1]products!$A$1:$A$49,0),MATCH([1]orders!K$1,[1]products!$A$1:$G$1,0))</f>
        <v>0.2</v>
      </c>
      <c r="G351">
        <f>INDEX([1]products!$A$1:$G$49,MATCH([1]orders!$D351,[1]products!$A$1:$A$49,0),MATCH([1]orders!L$1,[1]products!$A$1:$G$1,0))</f>
        <v>3.5849999999999995</v>
      </c>
      <c r="H351">
        <f t="shared" si="5"/>
        <v>14.339999999999998</v>
      </c>
    </row>
    <row r="352" spans="1:8" x14ac:dyDescent="0.25">
      <c r="A352" t="s">
        <v>707</v>
      </c>
      <c r="B352">
        <v>43592</v>
      </c>
      <c r="C352" t="s">
        <v>708</v>
      </c>
      <c r="D352" t="s">
        <v>72</v>
      </c>
      <c r="E352">
        <v>4</v>
      </c>
      <c r="F352">
        <f>INDEX([1]products!$A$1:$G$49,MATCH([1]orders!$D352,[1]products!$A$1:$A$49,0),MATCH([1]orders!K$1,[1]products!$A$1:$G$1,0))</f>
        <v>0.5</v>
      </c>
      <c r="G352">
        <f>INDEX([1]products!$A$1:$G$49,MATCH([1]orders!$D352,[1]products!$A$1:$A$49,0),MATCH([1]orders!L$1,[1]products!$A$1:$G$1,0))</f>
        <v>5.97</v>
      </c>
      <c r="H352">
        <f t="shared" si="5"/>
        <v>23.88</v>
      </c>
    </row>
    <row r="353" spans="1:8" x14ac:dyDescent="0.25">
      <c r="A353" t="s">
        <v>709</v>
      </c>
      <c r="B353">
        <v>44066</v>
      </c>
      <c r="C353" t="s">
        <v>710</v>
      </c>
      <c r="D353" t="s">
        <v>61</v>
      </c>
      <c r="E353">
        <v>2</v>
      </c>
      <c r="F353">
        <f>INDEX([1]products!$A$1:$G$49,MATCH([1]orders!$D353,[1]products!$A$1:$A$49,0),MATCH([1]orders!K$1,[1]products!$A$1:$G$1,0))</f>
        <v>1</v>
      </c>
      <c r="G353">
        <f>INDEX([1]products!$A$1:$G$49,MATCH([1]orders!$D353,[1]products!$A$1:$A$49,0),MATCH([1]orders!L$1,[1]products!$A$1:$G$1,0))</f>
        <v>11.25</v>
      </c>
      <c r="H353">
        <f t="shared" si="5"/>
        <v>22.5</v>
      </c>
    </row>
    <row r="354" spans="1:8" x14ac:dyDescent="0.25">
      <c r="A354" t="s">
        <v>711</v>
      </c>
      <c r="B354">
        <v>43984</v>
      </c>
      <c r="C354" t="s">
        <v>664</v>
      </c>
      <c r="D354" t="s">
        <v>16</v>
      </c>
      <c r="E354">
        <v>5</v>
      </c>
      <c r="F354">
        <f>INDEX([1]products!$A$1:$G$49,MATCH([1]orders!$D354,[1]products!$A$1:$A$49,0),MATCH([1]orders!K$1,[1]products!$A$1:$G$1,0))</f>
        <v>0.5</v>
      </c>
      <c r="G354">
        <f>INDEX([1]products!$A$1:$G$49,MATCH([1]orders!$D354,[1]products!$A$1:$A$49,0),MATCH([1]orders!L$1,[1]products!$A$1:$G$1,0))</f>
        <v>7.29</v>
      </c>
      <c r="H354">
        <f t="shared" si="5"/>
        <v>36.450000000000003</v>
      </c>
    </row>
    <row r="355" spans="1:8" x14ac:dyDescent="0.25">
      <c r="A355" t="s">
        <v>712</v>
      </c>
      <c r="B355">
        <v>43860</v>
      </c>
      <c r="C355" t="s">
        <v>713</v>
      </c>
      <c r="D355" t="s">
        <v>67</v>
      </c>
      <c r="E355">
        <v>4</v>
      </c>
      <c r="F355">
        <f>INDEX([1]products!$A$1:$G$49,MATCH([1]orders!$D355,[1]products!$A$1:$A$49,0),MATCH([1]orders!K$1,[1]products!$A$1:$G$1,0))</f>
        <v>0.5</v>
      </c>
      <c r="G355">
        <f>INDEX([1]products!$A$1:$G$49,MATCH([1]orders!$D355,[1]products!$A$1:$A$49,0),MATCH([1]orders!L$1,[1]products!$A$1:$G$1,0))</f>
        <v>6.75</v>
      </c>
      <c r="H355">
        <f t="shared" si="5"/>
        <v>27</v>
      </c>
    </row>
    <row r="356" spans="1:8" x14ac:dyDescent="0.25">
      <c r="A356" t="s">
        <v>714</v>
      </c>
      <c r="B356">
        <v>43876</v>
      </c>
      <c r="C356" t="s">
        <v>715</v>
      </c>
      <c r="D356" t="s">
        <v>171</v>
      </c>
      <c r="E356">
        <v>6</v>
      </c>
      <c r="F356">
        <f>INDEX([1]products!$A$1:$G$49,MATCH([1]orders!$D356,[1]products!$A$1:$A$49,0),MATCH([1]orders!K$1,[1]products!$A$1:$G$1,0))</f>
        <v>2.5</v>
      </c>
      <c r="G356">
        <f>INDEX([1]products!$A$1:$G$49,MATCH([1]orders!$D356,[1]products!$A$1:$A$49,0),MATCH([1]orders!L$1,[1]products!$A$1:$G$1,0))</f>
        <v>25.874999999999996</v>
      </c>
      <c r="H356">
        <f t="shared" si="5"/>
        <v>155.24999999999997</v>
      </c>
    </row>
    <row r="357" spans="1:8" x14ac:dyDescent="0.25">
      <c r="A357" t="s">
        <v>716</v>
      </c>
      <c r="B357">
        <v>44358</v>
      </c>
      <c r="C357" t="s">
        <v>717</v>
      </c>
      <c r="D357" t="s">
        <v>118</v>
      </c>
      <c r="E357">
        <v>5</v>
      </c>
      <c r="F357">
        <f>INDEX([1]products!$A$1:$G$49,MATCH([1]orders!$D357,[1]products!$A$1:$A$49,0),MATCH([1]orders!K$1,[1]products!$A$1:$G$1,0))</f>
        <v>2.5</v>
      </c>
      <c r="G357">
        <f>INDEX([1]products!$A$1:$G$49,MATCH([1]orders!$D357,[1]products!$A$1:$A$49,0),MATCH([1]orders!L$1,[1]products!$A$1:$G$1,0))</f>
        <v>22.884999999999998</v>
      </c>
      <c r="H357">
        <f t="shared" si="5"/>
        <v>114.42499999999998</v>
      </c>
    </row>
    <row r="358" spans="1:8" x14ac:dyDescent="0.25">
      <c r="A358" t="s">
        <v>718</v>
      </c>
      <c r="B358">
        <v>44631</v>
      </c>
      <c r="C358" t="s">
        <v>719</v>
      </c>
      <c r="D358" t="s">
        <v>13</v>
      </c>
      <c r="E358">
        <v>4</v>
      </c>
      <c r="F358">
        <f>INDEX([1]products!$A$1:$G$49,MATCH([1]orders!$D358,[1]products!$A$1:$A$49,0),MATCH([1]orders!K$1,[1]products!$A$1:$G$1,0))</f>
        <v>1</v>
      </c>
      <c r="G358">
        <f>INDEX([1]products!$A$1:$G$49,MATCH([1]orders!$D358,[1]products!$A$1:$A$49,0),MATCH([1]orders!L$1,[1]products!$A$1:$G$1,0))</f>
        <v>12.95</v>
      </c>
      <c r="H358">
        <f t="shared" si="5"/>
        <v>51.8</v>
      </c>
    </row>
    <row r="359" spans="1:8" x14ac:dyDescent="0.25">
      <c r="A359" t="s">
        <v>720</v>
      </c>
      <c r="B359">
        <v>44448</v>
      </c>
      <c r="C359" t="s">
        <v>721</v>
      </c>
      <c r="D359" t="s">
        <v>171</v>
      </c>
      <c r="E359">
        <v>6</v>
      </c>
      <c r="F359">
        <f>INDEX([1]products!$A$1:$G$49,MATCH([1]orders!$D359,[1]products!$A$1:$A$49,0),MATCH([1]orders!K$1,[1]products!$A$1:$G$1,0))</f>
        <v>2.5</v>
      </c>
      <c r="G359">
        <f>INDEX([1]products!$A$1:$G$49,MATCH([1]orders!$D359,[1]products!$A$1:$A$49,0),MATCH([1]orders!L$1,[1]products!$A$1:$G$1,0))</f>
        <v>25.874999999999996</v>
      </c>
      <c r="H359">
        <f t="shared" si="5"/>
        <v>155.24999999999997</v>
      </c>
    </row>
    <row r="360" spans="1:8" x14ac:dyDescent="0.25">
      <c r="A360" t="s">
        <v>722</v>
      </c>
      <c r="B360">
        <v>43599</v>
      </c>
      <c r="C360" t="s">
        <v>723</v>
      </c>
      <c r="D360" t="s">
        <v>204</v>
      </c>
      <c r="E360">
        <v>1</v>
      </c>
      <c r="F360">
        <f>INDEX([1]products!$A$1:$G$49,MATCH([1]orders!$D360,[1]products!$A$1:$A$49,0),MATCH([1]orders!K$1,[1]products!$A$1:$G$1,0))</f>
        <v>2.5</v>
      </c>
      <c r="G360">
        <f>INDEX([1]products!$A$1:$G$49,MATCH([1]orders!$D360,[1]products!$A$1:$A$49,0),MATCH([1]orders!L$1,[1]products!$A$1:$G$1,0))</f>
        <v>29.784999999999997</v>
      </c>
      <c r="H360">
        <f t="shared" si="5"/>
        <v>29.784999999999997</v>
      </c>
    </row>
    <row r="361" spans="1:8" x14ac:dyDescent="0.25">
      <c r="A361" t="s">
        <v>724</v>
      </c>
      <c r="B361">
        <v>43563</v>
      </c>
      <c r="C361" t="s">
        <v>725</v>
      </c>
      <c r="D361" t="s">
        <v>182</v>
      </c>
      <c r="E361">
        <v>6</v>
      </c>
      <c r="F361">
        <f>INDEX([1]products!$A$1:$G$49,MATCH([1]orders!$D361,[1]products!$A$1:$A$49,0),MATCH([1]orders!K$1,[1]products!$A$1:$G$1,0))</f>
        <v>0.2</v>
      </c>
      <c r="G361">
        <f>INDEX([1]products!$A$1:$G$49,MATCH([1]orders!$D361,[1]products!$A$1:$A$49,0),MATCH([1]orders!L$1,[1]products!$A$1:$G$1,0))</f>
        <v>3.5849999999999995</v>
      </c>
      <c r="H361">
        <f t="shared" si="5"/>
        <v>21.509999999999998</v>
      </c>
    </row>
    <row r="362" spans="1:8" x14ac:dyDescent="0.25">
      <c r="A362" t="s">
        <v>726</v>
      </c>
      <c r="B362">
        <v>44058</v>
      </c>
      <c r="C362" t="s">
        <v>727</v>
      </c>
      <c r="D362" t="s">
        <v>35</v>
      </c>
      <c r="E362">
        <v>2</v>
      </c>
      <c r="F362">
        <f>INDEX([1]products!$A$1:$G$49,MATCH([1]orders!$D362,[1]products!$A$1:$A$49,0),MATCH([1]orders!K$1,[1]products!$A$1:$G$1,0))</f>
        <v>2.5</v>
      </c>
      <c r="G362">
        <f>INDEX([1]products!$A$1:$G$49,MATCH([1]orders!$D362,[1]products!$A$1:$A$49,0),MATCH([1]orders!L$1,[1]products!$A$1:$G$1,0))</f>
        <v>20.584999999999997</v>
      </c>
      <c r="H362">
        <f t="shared" si="5"/>
        <v>41.169999999999995</v>
      </c>
    </row>
    <row r="363" spans="1:8" x14ac:dyDescent="0.25">
      <c r="A363" t="s">
        <v>726</v>
      </c>
      <c r="B363">
        <v>44058</v>
      </c>
      <c r="C363" t="s">
        <v>727</v>
      </c>
      <c r="D363" t="s">
        <v>22</v>
      </c>
      <c r="E363">
        <v>1</v>
      </c>
      <c r="F363">
        <f>INDEX([1]products!$A$1:$G$49,MATCH([1]orders!$D363,[1]products!$A$1:$A$49,0),MATCH([1]orders!K$1,[1]products!$A$1:$G$1,0))</f>
        <v>0.5</v>
      </c>
      <c r="G363">
        <f>INDEX([1]products!$A$1:$G$49,MATCH([1]orders!$D363,[1]products!$A$1:$A$49,0),MATCH([1]orders!L$1,[1]products!$A$1:$G$1,0))</f>
        <v>5.97</v>
      </c>
      <c r="H363">
        <f t="shared" si="5"/>
        <v>5.97</v>
      </c>
    </row>
    <row r="364" spans="1:8" x14ac:dyDescent="0.25">
      <c r="A364" t="s">
        <v>728</v>
      </c>
      <c r="B364">
        <v>44686</v>
      </c>
      <c r="C364" t="s">
        <v>729</v>
      </c>
      <c r="D364" t="s">
        <v>137</v>
      </c>
      <c r="E364">
        <v>5</v>
      </c>
      <c r="F364">
        <f>INDEX([1]products!$A$1:$G$49,MATCH([1]orders!$D364,[1]products!$A$1:$A$49,0),MATCH([1]orders!K$1,[1]products!$A$1:$G$1,0))</f>
        <v>1</v>
      </c>
      <c r="G364">
        <f>INDEX([1]products!$A$1:$G$49,MATCH([1]orders!$D364,[1]products!$A$1:$A$49,0),MATCH([1]orders!L$1,[1]products!$A$1:$G$1,0))</f>
        <v>14.85</v>
      </c>
      <c r="H364">
        <f t="shared" si="5"/>
        <v>74.25</v>
      </c>
    </row>
    <row r="365" spans="1:8" x14ac:dyDescent="0.25">
      <c r="A365" t="s">
        <v>730</v>
      </c>
      <c r="B365">
        <v>44282</v>
      </c>
      <c r="C365" t="s">
        <v>731</v>
      </c>
      <c r="D365" t="s">
        <v>96</v>
      </c>
      <c r="E365">
        <v>6</v>
      </c>
      <c r="F365">
        <f>INDEX([1]products!$A$1:$G$49,MATCH([1]orders!$D365,[1]products!$A$1:$A$49,0),MATCH([1]orders!K$1,[1]products!$A$1:$G$1,0))</f>
        <v>1</v>
      </c>
      <c r="G365">
        <f>INDEX([1]products!$A$1:$G$49,MATCH([1]orders!$D365,[1]products!$A$1:$A$49,0),MATCH([1]orders!L$1,[1]products!$A$1:$G$1,0))</f>
        <v>14.55</v>
      </c>
      <c r="H365">
        <f t="shared" si="5"/>
        <v>87.300000000000011</v>
      </c>
    </row>
    <row r="366" spans="1:8" x14ac:dyDescent="0.25">
      <c r="A366" t="s">
        <v>732</v>
      </c>
      <c r="B366">
        <v>43582</v>
      </c>
      <c r="C366" t="s">
        <v>733</v>
      </c>
      <c r="D366" t="s">
        <v>245</v>
      </c>
      <c r="E366">
        <v>6</v>
      </c>
      <c r="F366">
        <f>INDEX([1]products!$A$1:$G$49,MATCH([1]orders!$D366,[1]products!$A$1:$A$49,0),MATCH([1]orders!K$1,[1]products!$A$1:$G$1,0))</f>
        <v>1</v>
      </c>
      <c r="G366">
        <f>INDEX([1]products!$A$1:$G$49,MATCH([1]orders!$D366,[1]products!$A$1:$A$49,0),MATCH([1]orders!L$1,[1]products!$A$1:$G$1,0))</f>
        <v>12.15</v>
      </c>
      <c r="H366">
        <f t="shared" si="5"/>
        <v>72.900000000000006</v>
      </c>
    </row>
    <row r="367" spans="1:8" x14ac:dyDescent="0.25">
      <c r="A367" t="s">
        <v>734</v>
      </c>
      <c r="B367">
        <v>44464</v>
      </c>
      <c r="C367" t="s">
        <v>735</v>
      </c>
      <c r="D367" t="s">
        <v>123</v>
      </c>
      <c r="E367">
        <v>1</v>
      </c>
      <c r="F367">
        <f>INDEX([1]products!$A$1:$G$49,MATCH([1]orders!$D367,[1]products!$A$1:$A$49,0),MATCH([1]orders!K$1,[1]products!$A$1:$G$1,0))</f>
        <v>0.5</v>
      </c>
      <c r="G367">
        <f>INDEX([1]products!$A$1:$G$49,MATCH([1]orders!$D367,[1]products!$A$1:$A$49,0),MATCH([1]orders!L$1,[1]products!$A$1:$G$1,0))</f>
        <v>7.77</v>
      </c>
      <c r="H367">
        <f t="shared" si="5"/>
        <v>7.77</v>
      </c>
    </row>
    <row r="368" spans="1:8" x14ac:dyDescent="0.25">
      <c r="A368" t="s">
        <v>736</v>
      </c>
      <c r="B368">
        <v>43874</v>
      </c>
      <c r="C368" t="s">
        <v>737</v>
      </c>
      <c r="D368" t="s">
        <v>16</v>
      </c>
      <c r="E368">
        <v>6</v>
      </c>
      <c r="F368">
        <f>INDEX([1]products!$A$1:$G$49,MATCH([1]orders!$D368,[1]products!$A$1:$A$49,0),MATCH([1]orders!K$1,[1]products!$A$1:$G$1,0))</f>
        <v>0.5</v>
      </c>
      <c r="G368">
        <f>INDEX([1]products!$A$1:$G$49,MATCH([1]orders!$D368,[1]products!$A$1:$A$49,0),MATCH([1]orders!L$1,[1]products!$A$1:$G$1,0))</f>
        <v>7.29</v>
      </c>
      <c r="H368">
        <f t="shared" si="5"/>
        <v>43.74</v>
      </c>
    </row>
    <row r="369" spans="1:8" x14ac:dyDescent="0.25">
      <c r="A369" t="s">
        <v>738</v>
      </c>
      <c r="B369">
        <v>44393</v>
      </c>
      <c r="C369" t="s">
        <v>739</v>
      </c>
      <c r="D369" t="s">
        <v>77</v>
      </c>
      <c r="E369">
        <v>2</v>
      </c>
      <c r="F369">
        <f>INDEX([1]products!$A$1:$G$49,MATCH([1]orders!$D369,[1]products!$A$1:$A$49,0),MATCH([1]orders!K$1,[1]products!$A$1:$G$1,0))</f>
        <v>0.2</v>
      </c>
      <c r="G369">
        <f>INDEX([1]products!$A$1:$G$49,MATCH([1]orders!$D369,[1]products!$A$1:$A$49,0),MATCH([1]orders!L$1,[1]products!$A$1:$G$1,0))</f>
        <v>4.3650000000000002</v>
      </c>
      <c r="H369">
        <f t="shared" si="5"/>
        <v>8.73</v>
      </c>
    </row>
    <row r="370" spans="1:8" x14ac:dyDescent="0.25">
      <c r="A370" t="s">
        <v>740</v>
      </c>
      <c r="B370">
        <v>44692</v>
      </c>
      <c r="C370" t="s">
        <v>741</v>
      </c>
      <c r="D370" t="s">
        <v>112</v>
      </c>
      <c r="E370">
        <v>2</v>
      </c>
      <c r="F370">
        <f>INDEX([1]products!$A$1:$G$49,MATCH([1]orders!$D370,[1]products!$A$1:$A$49,0),MATCH([1]orders!K$1,[1]products!$A$1:$G$1,0))</f>
        <v>2.5</v>
      </c>
      <c r="G370">
        <f>INDEX([1]products!$A$1:$G$49,MATCH([1]orders!$D370,[1]products!$A$1:$A$49,0),MATCH([1]orders!L$1,[1]products!$A$1:$G$1,0))</f>
        <v>31.624999999999996</v>
      </c>
      <c r="H370">
        <f t="shared" si="5"/>
        <v>63.249999999999993</v>
      </c>
    </row>
    <row r="371" spans="1:8" x14ac:dyDescent="0.25">
      <c r="A371" t="s">
        <v>742</v>
      </c>
      <c r="B371">
        <v>43500</v>
      </c>
      <c r="C371" t="s">
        <v>743</v>
      </c>
      <c r="D371" t="s">
        <v>176</v>
      </c>
      <c r="E371">
        <v>1</v>
      </c>
      <c r="F371">
        <f>INDEX([1]products!$A$1:$G$49,MATCH([1]orders!$D371,[1]products!$A$1:$A$49,0),MATCH([1]orders!K$1,[1]products!$A$1:$G$1,0))</f>
        <v>0.5</v>
      </c>
      <c r="G371">
        <f>INDEX([1]products!$A$1:$G$49,MATCH([1]orders!$D371,[1]products!$A$1:$A$49,0),MATCH([1]orders!L$1,[1]products!$A$1:$G$1,0))</f>
        <v>8.91</v>
      </c>
      <c r="H371">
        <f t="shared" si="5"/>
        <v>8.91</v>
      </c>
    </row>
    <row r="372" spans="1:8" x14ac:dyDescent="0.25">
      <c r="A372" t="s">
        <v>744</v>
      </c>
      <c r="B372">
        <v>43501</v>
      </c>
      <c r="C372" t="s">
        <v>745</v>
      </c>
      <c r="D372" t="s">
        <v>245</v>
      </c>
      <c r="E372">
        <v>2</v>
      </c>
      <c r="F372">
        <f>INDEX([1]products!$A$1:$G$49,MATCH([1]orders!$D372,[1]products!$A$1:$A$49,0),MATCH([1]orders!K$1,[1]products!$A$1:$G$1,0))</f>
        <v>1</v>
      </c>
      <c r="G372">
        <f>INDEX([1]products!$A$1:$G$49,MATCH([1]orders!$D372,[1]products!$A$1:$A$49,0),MATCH([1]orders!L$1,[1]products!$A$1:$G$1,0))</f>
        <v>12.15</v>
      </c>
      <c r="H372">
        <f t="shared" si="5"/>
        <v>24.3</v>
      </c>
    </row>
    <row r="373" spans="1:8" x14ac:dyDescent="0.25">
      <c r="A373" t="s">
        <v>746</v>
      </c>
      <c r="B373">
        <v>44705</v>
      </c>
      <c r="C373" t="s">
        <v>747</v>
      </c>
      <c r="D373" t="s">
        <v>192</v>
      </c>
      <c r="E373">
        <v>6</v>
      </c>
      <c r="F373">
        <f>INDEX([1]products!$A$1:$G$49,MATCH([1]orders!$D373,[1]products!$A$1:$A$49,0),MATCH([1]orders!K$1,[1]products!$A$1:$G$1,0))</f>
        <v>0.5</v>
      </c>
      <c r="G373">
        <f>INDEX([1]products!$A$1:$G$49,MATCH([1]orders!$D373,[1]products!$A$1:$A$49,0),MATCH([1]orders!L$1,[1]products!$A$1:$G$1,0))</f>
        <v>7.77</v>
      </c>
      <c r="H373">
        <f t="shared" si="5"/>
        <v>46.62</v>
      </c>
    </row>
    <row r="374" spans="1:8" x14ac:dyDescent="0.25">
      <c r="A374" t="s">
        <v>748</v>
      </c>
      <c r="B374">
        <v>44108</v>
      </c>
      <c r="C374" t="s">
        <v>749</v>
      </c>
      <c r="D374" t="s">
        <v>157</v>
      </c>
      <c r="E374">
        <v>6</v>
      </c>
      <c r="F374">
        <f>INDEX([1]products!$A$1:$G$49,MATCH([1]orders!$D374,[1]products!$A$1:$A$49,0),MATCH([1]orders!K$1,[1]products!$A$1:$G$1,0))</f>
        <v>0.5</v>
      </c>
      <c r="G374">
        <f>INDEX([1]products!$A$1:$G$49,MATCH([1]orders!$D374,[1]products!$A$1:$A$49,0),MATCH([1]orders!L$1,[1]products!$A$1:$G$1,0))</f>
        <v>7.169999999999999</v>
      </c>
      <c r="H374">
        <f t="shared" si="5"/>
        <v>43.019999999999996</v>
      </c>
    </row>
    <row r="375" spans="1:8" x14ac:dyDescent="0.25">
      <c r="A375" t="s">
        <v>750</v>
      </c>
      <c r="B375">
        <v>44742</v>
      </c>
      <c r="C375" t="s">
        <v>751</v>
      </c>
      <c r="D375" t="s">
        <v>72</v>
      </c>
      <c r="E375">
        <v>3</v>
      </c>
      <c r="F375">
        <f>INDEX([1]products!$A$1:$G$49,MATCH([1]orders!$D375,[1]products!$A$1:$A$49,0),MATCH([1]orders!K$1,[1]products!$A$1:$G$1,0))</f>
        <v>0.5</v>
      </c>
      <c r="G375">
        <f>INDEX([1]products!$A$1:$G$49,MATCH([1]orders!$D375,[1]products!$A$1:$A$49,0),MATCH([1]orders!L$1,[1]products!$A$1:$G$1,0))</f>
        <v>5.97</v>
      </c>
      <c r="H375">
        <f t="shared" si="5"/>
        <v>17.91</v>
      </c>
    </row>
    <row r="376" spans="1:8" x14ac:dyDescent="0.25">
      <c r="A376" t="s">
        <v>752</v>
      </c>
      <c r="B376">
        <v>44125</v>
      </c>
      <c r="C376" t="s">
        <v>753</v>
      </c>
      <c r="D376" t="s">
        <v>83</v>
      </c>
      <c r="E376">
        <v>4</v>
      </c>
      <c r="F376">
        <f>INDEX([1]products!$A$1:$G$49,MATCH([1]orders!$D376,[1]products!$A$1:$A$49,0),MATCH([1]orders!K$1,[1]products!$A$1:$G$1,0))</f>
        <v>0.5</v>
      </c>
      <c r="G376">
        <f>INDEX([1]products!$A$1:$G$49,MATCH([1]orders!$D376,[1]products!$A$1:$A$49,0),MATCH([1]orders!L$1,[1]products!$A$1:$G$1,0))</f>
        <v>9.51</v>
      </c>
      <c r="H376">
        <f t="shared" si="5"/>
        <v>38.04</v>
      </c>
    </row>
    <row r="377" spans="1:8" x14ac:dyDescent="0.25">
      <c r="A377" t="s">
        <v>754</v>
      </c>
      <c r="B377">
        <v>44120</v>
      </c>
      <c r="C377" t="s">
        <v>755</v>
      </c>
      <c r="D377" t="s">
        <v>44</v>
      </c>
      <c r="E377">
        <v>2</v>
      </c>
      <c r="F377">
        <f>INDEX([1]products!$A$1:$G$49,MATCH([1]orders!$D377,[1]products!$A$1:$A$49,0),MATCH([1]orders!K$1,[1]products!$A$1:$G$1,0))</f>
        <v>0.2</v>
      </c>
      <c r="G377">
        <f>INDEX([1]products!$A$1:$G$49,MATCH([1]orders!$D377,[1]products!$A$1:$A$49,0),MATCH([1]orders!L$1,[1]products!$A$1:$G$1,0))</f>
        <v>3.375</v>
      </c>
      <c r="H377">
        <f t="shared" si="5"/>
        <v>6.75</v>
      </c>
    </row>
    <row r="378" spans="1:8" x14ac:dyDescent="0.25">
      <c r="A378" t="s">
        <v>756</v>
      </c>
      <c r="B378">
        <v>44097</v>
      </c>
      <c r="C378" t="s">
        <v>757</v>
      </c>
      <c r="D378" t="s">
        <v>22</v>
      </c>
      <c r="E378">
        <v>1</v>
      </c>
      <c r="F378">
        <f>INDEX([1]products!$A$1:$G$49,MATCH([1]orders!$D378,[1]products!$A$1:$A$49,0),MATCH([1]orders!K$1,[1]products!$A$1:$G$1,0))</f>
        <v>0.5</v>
      </c>
      <c r="G378">
        <f>INDEX([1]products!$A$1:$G$49,MATCH([1]orders!$D378,[1]products!$A$1:$A$49,0),MATCH([1]orders!L$1,[1]products!$A$1:$G$1,0))</f>
        <v>5.97</v>
      </c>
      <c r="H378">
        <f t="shared" si="5"/>
        <v>5.97</v>
      </c>
    </row>
    <row r="379" spans="1:8" x14ac:dyDescent="0.25">
      <c r="A379" t="s">
        <v>758</v>
      </c>
      <c r="B379">
        <v>43532</v>
      </c>
      <c r="C379" t="s">
        <v>759</v>
      </c>
      <c r="D379" t="s">
        <v>101</v>
      </c>
      <c r="E379">
        <v>3</v>
      </c>
      <c r="F379">
        <f>INDEX([1]products!$A$1:$G$49,MATCH([1]orders!$D379,[1]products!$A$1:$A$49,0),MATCH([1]orders!K$1,[1]products!$A$1:$G$1,0))</f>
        <v>0.2</v>
      </c>
      <c r="G379">
        <f>INDEX([1]products!$A$1:$G$49,MATCH([1]orders!$D379,[1]products!$A$1:$A$49,0),MATCH([1]orders!L$1,[1]products!$A$1:$G$1,0))</f>
        <v>2.6849999999999996</v>
      </c>
      <c r="H379">
        <f t="shared" si="5"/>
        <v>8.0549999999999997</v>
      </c>
    </row>
    <row r="380" spans="1:8" x14ac:dyDescent="0.25">
      <c r="A380" t="s">
        <v>760</v>
      </c>
      <c r="B380">
        <v>44377</v>
      </c>
      <c r="C380" t="s">
        <v>761</v>
      </c>
      <c r="D380" t="s">
        <v>192</v>
      </c>
      <c r="E380">
        <v>3</v>
      </c>
      <c r="F380">
        <f>INDEX([1]products!$A$1:$G$49,MATCH([1]orders!$D380,[1]products!$A$1:$A$49,0),MATCH([1]orders!K$1,[1]products!$A$1:$G$1,0))</f>
        <v>0.5</v>
      </c>
      <c r="G380">
        <f>INDEX([1]products!$A$1:$G$49,MATCH([1]orders!$D380,[1]products!$A$1:$A$49,0),MATCH([1]orders!L$1,[1]products!$A$1:$G$1,0))</f>
        <v>7.77</v>
      </c>
      <c r="H380">
        <f t="shared" si="5"/>
        <v>23.31</v>
      </c>
    </row>
    <row r="381" spans="1:8" x14ac:dyDescent="0.25">
      <c r="A381" t="s">
        <v>762</v>
      </c>
      <c r="B381">
        <v>43690</v>
      </c>
      <c r="C381" t="s">
        <v>763</v>
      </c>
      <c r="D381" t="s">
        <v>157</v>
      </c>
      <c r="E381">
        <v>6</v>
      </c>
      <c r="F381">
        <f>INDEX([1]products!$A$1:$G$49,MATCH([1]orders!$D381,[1]products!$A$1:$A$49,0),MATCH([1]orders!K$1,[1]products!$A$1:$G$1,0))</f>
        <v>0.5</v>
      </c>
      <c r="G381">
        <f>INDEX([1]products!$A$1:$G$49,MATCH([1]orders!$D381,[1]products!$A$1:$A$49,0),MATCH([1]orders!L$1,[1]products!$A$1:$G$1,0))</f>
        <v>7.169999999999999</v>
      </c>
      <c r="H381">
        <f t="shared" si="5"/>
        <v>43.019999999999996</v>
      </c>
    </row>
    <row r="382" spans="1:8" x14ac:dyDescent="0.25">
      <c r="A382" t="s">
        <v>764</v>
      </c>
      <c r="B382">
        <v>44249</v>
      </c>
      <c r="C382" t="s">
        <v>664</v>
      </c>
      <c r="D382" t="s">
        <v>123</v>
      </c>
      <c r="E382">
        <v>3</v>
      </c>
      <c r="F382">
        <f>INDEX([1]products!$A$1:$G$49,MATCH([1]orders!$D382,[1]products!$A$1:$A$49,0),MATCH([1]orders!K$1,[1]products!$A$1:$G$1,0))</f>
        <v>0.5</v>
      </c>
      <c r="G382">
        <f>INDEX([1]products!$A$1:$G$49,MATCH([1]orders!$D382,[1]products!$A$1:$A$49,0),MATCH([1]orders!L$1,[1]products!$A$1:$G$1,0))</f>
        <v>7.77</v>
      </c>
      <c r="H382">
        <f t="shared" si="5"/>
        <v>23.31</v>
      </c>
    </row>
    <row r="383" spans="1:8" x14ac:dyDescent="0.25">
      <c r="A383" t="s">
        <v>765</v>
      </c>
      <c r="B383">
        <v>44646</v>
      </c>
      <c r="C383" t="s">
        <v>766</v>
      </c>
      <c r="D383" t="s">
        <v>54</v>
      </c>
      <c r="E383">
        <v>5</v>
      </c>
      <c r="F383">
        <f>INDEX([1]products!$A$1:$G$49,MATCH([1]orders!$D383,[1]products!$A$1:$A$49,0),MATCH([1]orders!K$1,[1]products!$A$1:$G$1,0))</f>
        <v>0.2</v>
      </c>
      <c r="G383">
        <f>INDEX([1]products!$A$1:$G$49,MATCH([1]orders!$D383,[1]products!$A$1:$A$49,0),MATCH([1]orders!L$1,[1]products!$A$1:$G$1,0))</f>
        <v>2.9849999999999999</v>
      </c>
      <c r="H383">
        <f t="shared" si="5"/>
        <v>14.924999999999999</v>
      </c>
    </row>
    <row r="384" spans="1:8" x14ac:dyDescent="0.25">
      <c r="A384" t="s">
        <v>767</v>
      </c>
      <c r="B384">
        <v>43840</v>
      </c>
      <c r="C384" t="s">
        <v>768</v>
      </c>
      <c r="D384" t="s">
        <v>16</v>
      </c>
      <c r="E384">
        <v>3</v>
      </c>
      <c r="F384">
        <f>INDEX([1]products!$A$1:$G$49,MATCH([1]orders!$D384,[1]products!$A$1:$A$49,0),MATCH([1]orders!K$1,[1]products!$A$1:$G$1,0))</f>
        <v>0.5</v>
      </c>
      <c r="G384">
        <f>INDEX([1]products!$A$1:$G$49,MATCH([1]orders!$D384,[1]products!$A$1:$A$49,0),MATCH([1]orders!L$1,[1]products!$A$1:$G$1,0))</f>
        <v>7.29</v>
      </c>
      <c r="H384">
        <f t="shared" si="5"/>
        <v>21.87</v>
      </c>
    </row>
    <row r="385" spans="1:8" x14ac:dyDescent="0.25">
      <c r="A385" t="s">
        <v>769</v>
      </c>
      <c r="B385">
        <v>43586</v>
      </c>
      <c r="C385" t="s">
        <v>770</v>
      </c>
      <c r="D385" t="s">
        <v>176</v>
      </c>
      <c r="E385">
        <v>6</v>
      </c>
      <c r="F385">
        <f>INDEX([1]products!$A$1:$G$49,MATCH([1]orders!$D385,[1]products!$A$1:$A$49,0),MATCH([1]orders!K$1,[1]products!$A$1:$G$1,0))</f>
        <v>0.5</v>
      </c>
      <c r="G385">
        <f>INDEX([1]products!$A$1:$G$49,MATCH([1]orders!$D385,[1]products!$A$1:$A$49,0),MATCH([1]orders!L$1,[1]products!$A$1:$G$1,0))</f>
        <v>8.91</v>
      </c>
      <c r="H385">
        <f t="shared" si="5"/>
        <v>53.46</v>
      </c>
    </row>
    <row r="386" spans="1:8" x14ac:dyDescent="0.25">
      <c r="A386" t="s">
        <v>771</v>
      </c>
      <c r="B386">
        <v>43870</v>
      </c>
      <c r="C386" t="s">
        <v>772</v>
      </c>
      <c r="D386" t="s">
        <v>204</v>
      </c>
      <c r="E386">
        <v>4</v>
      </c>
      <c r="F386">
        <f>INDEX([1]products!$A$1:$G$49,MATCH([1]orders!$D386,[1]products!$A$1:$A$49,0),MATCH([1]orders!K$1,[1]products!$A$1:$G$1,0))</f>
        <v>2.5</v>
      </c>
      <c r="G386">
        <f>INDEX([1]products!$A$1:$G$49,MATCH([1]orders!$D386,[1]products!$A$1:$A$49,0),MATCH([1]orders!L$1,[1]products!$A$1:$G$1,0))</f>
        <v>29.784999999999997</v>
      </c>
      <c r="H386">
        <f t="shared" ref="H386:H449" si="6">E386*G386</f>
        <v>119.13999999999999</v>
      </c>
    </row>
    <row r="387" spans="1:8" x14ac:dyDescent="0.25">
      <c r="A387" t="s">
        <v>773</v>
      </c>
      <c r="B387">
        <v>44559</v>
      </c>
      <c r="C387" t="s">
        <v>774</v>
      </c>
      <c r="D387" t="s">
        <v>78</v>
      </c>
      <c r="E387">
        <v>5</v>
      </c>
      <c r="F387">
        <f>INDEX([1]products!$A$1:$G$49,MATCH([1]orders!$D387,[1]products!$A$1:$A$49,0),MATCH([1]orders!K$1,[1]products!$A$1:$G$1,0))</f>
        <v>0.5</v>
      </c>
      <c r="G387">
        <f>INDEX([1]products!$A$1:$G$49,MATCH([1]orders!$D387,[1]products!$A$1:$A$49,0),MATCH([1]orders!L$1,[1]products!$A$1:$G$1,0))</f>
        <v>8.73</v>
      </c>
      <c r="H387">
        <f t="shared" si="6"/>
        <v>43.650000000000006</v>
      </c>
    </row>
    <row r="388" spans="1:8" x14ac:dyDescent="0.25">
      <c r="A388" t="s">
        <v>775</v>
      </c>
      <c r="B388">
        <v>44083</v>
      </c>
      <c r="C388" t="s">
        <v>776</v>
      </c>
      <c r="D388" t="s">
        <v>54</v>
      </c>
      <c r="E388">
        <v>6</v>
      </c>
      <c r="F388">
        <f>INDEX([1]products!$A$1:$G$49,MATCH([1]orders!$D388,[1]products!$A$1:$A$49,0),MATCH([1]orders!K$1,[1]products!$A$1:$G$1,0))</f>
        <v>0.2</v>
      </c>
      <c r="G388">
        <f>INDEX([1]products!$A$1:$G$49,MATCH([1]orders!$D388,[1]products!$A$1:$A$49,0),MATCH([1]orders!L$1,[1]products!$A$1:$G$1,0))</f>
        <v>2.9849999999999999</v>
      </c>
      <c r="H388">
        <f t="shared" si="6"/>
        <v>17.91</v>
      </c>
    </row>
    <row r="389" spans="1:8" x14ac:dyDescent="0.25">
      <c r="A389" t="s">
        <v>777</v>
      </c>
      <c r="B389">
        <v>44455</v>
      </c>
      <c r="C389" t="s">
        <v>778</v>
      </c>
      <c r="D389" t="s">
        <v>137</v>
      </c>
      <c r="E389">
        <v>5</v>
      </c>
      <c r="F389">
        <f>INDEX([1]products!$A$1:$G$49,MATCH([1]orders!$D389,[1]products!$A$1:$A$49,0),MATCH([1]orders!K$1,[1]products!$A$1:$G$1,0))</f>
        <v>1</v>
      </c>
      <c r="G389">
        <f>INDEX([1]products!$A$1:$G$49,MATCH([1]orders!$D389,[1]products!$A$1:$A$49,0),MATCH([1]orders!L$1,[1]products!$A$1:$G$1,0))</f>
        <v>14.85</v>
      </c>
      <c r="H389">
        <f t="shared" si="6"/>
        <v>74.25</v>
      </c>
    </row>
    <row r="390" spans="1:8" x14ac:dyDescent="0.25">
      <c r="A390" t="s">
        <v>779</v>
      </c>
      <c r="B390">
        <v>44130</v>
      </c>
      <c r="C390" t="s">
        <v>780</v>
      </c>
      <c r="D390" t="s">
        <v>38</v>
      </c>
      <c r="E390">
        <v>3</v>
      </c>
      <c r="F390">
        <f>INDEX([1]products!$A$1:$G$49,MATCH([1]orders!$D390,[1]products!$A$1:$A$49,0),MATCH([1]orders!K$1,[1]products!$A$1:$G$1,0))</f>
        <v>0.2</v>
      </c>
      <c r="G390">
        <f>INDEX([1]products!$A$1:$G$49,MATCH([1]orders!$D390,[1]products!$A$1:$A$49,0),MATCH([1]orders!L$1,[1]products!$A$1:$G$1,0))</f>
        <v>3.8849999999999998</v>
      </c>
      <c r="H390">
        <f t="shared" si="6"/>
        <v>11.654999999999999</v>
      </c>
    </row>
    <row r="391" spans="1:8" x14ac:dyDescent="0.25">
      <c r="A391" t="s">
        <v>781</v>
      </c>
      <c r="B391">
        <v>43536</v>
      </c>
      <c r="C391" t="s">
        <v>782</v>
      </c>
      <c r="D391" t="s">
        <v>123</v>
      </c>
      <c r="E391">
        <v>3</v>
      </c>
      <c r="F391">
        <f>INDEX([1]products!$A$1:$G$49,MATCH([1]orders!$D391,[1]products!$A$1:$A$49,0),MATCH([1]orders!K$1,[1]products!$A$1:$G$1,0))</f>
        <v>0.5</v>
      </c>
      <c r="G391">
        <f>INDEX([1]products!$A$1:$G$49,MATCH([1]orders!$D391,[1]products!$A$1:$A$49,0),MATCH([1]orders!L$1,[1]products!$A$1:$G$1,0))</f>
        <v>7.77</v>
      </c>
      <c r="H391">
        <f t="shared" si="6"/>
        <v>23.31</v>
      </c>
    </row>
    <row r="392" spans="1:8" x14ac:dyDescent="0.25">
      <c r="A392" t="s">
        <v>783</v>
      </c>
      <c r="B392">
        <v>44245</v>
      </c>
      <c r="C392" t="s">
        <v>784</v>
      </c>
      <c r="D392" t="s">
        <v>16</v>
      </c>
      <c r="E392">
        <v>2</v>
      </c>
      <c r="F392">
        <f>INDEX([1]products!$A$1:$G$49,MATCH([1]orders!$D392,[1]products!$A$1:$A$49,0),MATCH([1]orders!K$1,[1]products!$A$1:$G$1,0))</f>
        <v>0.5</v>
      </c>
      <c r="G392">
        <f>INDEX([1]products!$A$1:$G$49,MATCH([1]orders!$D392,[1]products!$A$1:$A$49,0),MATCH([1]orders!L$1,[1]products!$A$1:$G$1,0))</f>
        <v>7.29</v>
      </c>
      <c r="H392">
        <f t="shared" si="6"/>
        <v>14.58</v>
      </c>
    </row>
    <row r="393" spans="1:8" x14ac:dyDescent="0.25">
      <c r="A393" t="s">
        <v>785</v>
      </c>
      <c r="B393">
        <v>44133</v>
      </c>
      <c r="C393" t="s">
        <v>786</v>
      </c>
      <c r="D393" t="s">
        <v>67</v>
      </c>
      <c r="E393">
        <v>2</v>
      </c>
      <c r="F393">
        <f>INDEX([1]products!$A$1:$G$49,MATCH([1]orders!$D393,[1]products!$A$1:$A$49,0),MATCH([1]orders!K$1,[1]products!$A$1:$G$1,0))</f>
        <v>0.5</v>
      </c>
      <c r="G393">
        <f>INDEX([1]products!$A$1:$G$49,MATCH([1]orders!$D393,[1]products!$A$1:$A$49,0),MATCH([1]orders!L$1,[1]products!$A$1:$G$1,0))</f>
        <v>6.75</v>
      </c>
      <c r="H393">
        <f t="shared" si="6"/>
        <v>13.5</v>
      </c>
    </row>
    <row r="394" spans="1:8" x14ac:dyDescent="0.25">
      <c r="A394" t="s">
        <v>787</v>
      </c>
      <c r="B394">
        <v>44445</v>
      </c>
      <c r="C394" t="s">
        <v>788</v>
      </c>
      <c r="D394" t="s">
        <v>137</v>
      </c>
      <c r="E394">
        <v>6</v>
      </c>
      <c r="F394">
        <f>INDEX([1]products!$A$1:$G$49,MATCH([1]orders!$D394,[1]products!$A$1:$A$49,0),MATCH([1]orders!K$1,[1]products!$A$1:$G$1,0))</f>
        <v>1</v>
      </c>
      <c r="G394">
        <f>INDEX([1]products!$A$1:$G$49,MATCH([1]orders!$D394,[1]products!$A$1:$A$49,0),MATCH([1]orders!L$1,[1]products!$A$1:$G$1,0))</f>
        <v>14.85</v>
      </c>
      <c r="H394">
        <f t="shared" si="6"/>
        <v>89.1</v>
      </c>
    </row>
    <row r="395" spans="1:8" x14ac:dyDescent="0.25">
      <c r="A395" t="s">
        <v>787</v>
      </c>
      <c r="B395">
        <v>44445</v>
      </c>
      <c r="C395" t="s">
        <v>788</v>
      </c>
      <c r="D395" t="s">
        <v>115</v>
      </c>
      <c r="E395">
        <v>1</v>
      </c>
      <c r="F395">
        <f>INDEX([1]products!$A$1:$G$49,MATCH([1]orders!$D395,[1]products!$A$1:$A$49,0),MATCH([1]orders!K$1,[1]products!$A$1:$G$1,0))</f>
        <v>0.2</v>
      </c>
      <c r="G395">
        <f>INDEX([1]products!$A$1:$G$49,MATCH([1]orders!$D395,[1]products!$A$1:$A$49,0),MATCH([1]orders!L$1,[1]products!$A$1:$G$1,0))</f>
        <v>3.8849999999999998</v>
      </c>
      <c r="H395">
        <f t="shared" si="6"/>
        <v>3.8849999999999998</v>
      </c>
    </row>
    <row r="396" spans="1:8" x14ac:dyDescent="0.25">
      <c r="A396" t="s">
        <v>789</v>
      </c>
      <c r="B396">
        <v>44083</v>
      </c>
      <c r="C396" t="s">
        <v>790</v>
      </c>
      <c r="D396" t="s">
        <v>10</v>
      </c>
      <c r="E396">
        <v>4</v>
      </c>
      <c r="F396">
        <f>INDEX([1]products!$A$1:$G$49,MATCH([1]orders!$D396,[1]products!$A$1:$A$49,0),MATCH([1]orders!K$1,[1]products!$A$1:$G$1,0))</f>
        <v>2.5</v>
      </c>
      <c r="G396">
        <f>INDEX([1]products!$A$1:$G$49,MATCH([1]orders!$D396,[1]products!$A$1:$A$49,0),MATCH([1]orders!L$1,[1]products!$A$1:$G$1,0))</f>
        <v>27.484999999999996</v>
      </c>
      <c r="H396">
        <f t="shared" si="6"/>
        <v>109.93999999999998</v>
      </c>
    </row>
    <row r="397" spans="1:8" x14ac:dyDescent="0.25">
      <c r="A397" t="s">
        <v>791</v>
      </c>
      <c r="B397">
        <v>44465</v>
      </c>
      <c r="C397" t="s">
        <v>792</v>
      </c>
      <c r="D397" t="s">
        <v>123</v>
      </c>
      <c r="E397">
        <v>6</v>
      </c>
      <c r="F397">
        <f>INDEX([1]products!$A$1:$G$49,MATCH([1]orders!$D397,[1]products!$A$1:$A$49,0),MATCH([1]orders!K$1,[1]products!$A$1:$G$1,0))</f>
        <v>0.5</v>
      </c>
      <c r="G397">
        <f>INDEX([1]products!$A$1:$G$49,MATCH([1]orders!$D397,[1]products!$A$1:$A$49,0),MATCH([1]orders!L$1,[1]products!$A$1:$G$1,0))</f>
        <v>7.77</v>
      </c>
      <c r="H397">
        <f t="shared" si="6"/>
        <v>46.62</v>
      </c>
    </row>
    <row r="398" spans="1:8" x14ac:dyDescent="0.25">
      <c r="A398" t="s">
        <v>793</v>
      </c>
      <c r="B398">
        <v>44140</v>
      </c>
      <c r="C398" t="s">
        <v>794</v>
      </c>
      <c r="D398" t="s">
        <v>192</v>
      </c>
      <c r="E398">
        <v>5</v>
      </c>
      <c r="F398">
        <f>INDEX([1]products!$A$1:$G$49,MATCH([1]orders!$D398,[1]products!$A$1:$A$49,0),MATCH([1]orders!K$1,[1]products!$A$1:$G$1,0))</f>
        <v>0.5</v>
      </c>
      <c r="G398">
        <f>INDEX([1]products!$A$1:$G$49,MATCH([1]orders!$D398,[1]products!$A$1:$A$49,0),MATCH([1]orders!L$1,[1]products!$A$1:$G$1,0))</f>
        <v>7.77</v>
      </c>
      <c r="H398">
        <f t="shared" si="6"/>
        <v>38.849999999999994</v>
      </c>
    </row>
    <row r="399" spans="1:8" x14ac:dyDescent="0.25">
      <c r="A399" t="s">
        <v>795</v>
      </c>
      <c r="B399">
        <v>43720</v>
      </c>
      <c r="C399" t="s">
        <v>796</v>
      </c>
      <c r="D399" t="s">
        <v>123</v>
      </c>
      <c r="E399">
        <v>4</v>
      </c>
      <c r="F399">
        <f>INDEX([1]products!$A$1:$G$49,MATCH([1]orders!$D399,[1]products!$A$1:$A$49,0),MATCH([1]orders!K$1,[1]products!$A$1:$G$1,0))</f>
        <v>0.5</v>
      </c>
      <c r="G399">
        <f>INDEX([1]products!$A$1:$G$49,MATCH([1]orders!$D399,[1]products!$A$1:$A$49,0),MATCH([1]orders!L$1,[1]products!$A$1:$G$1,0))</f>
        <v>7.77</v>
      </c>
      <c r="H399">
        <f t="shared" si="6"/>
        <v>31.08</v>
      </c>
    </row>
    <row r="400" spans="1:8" x14ac:dyDescent="0.25">
      <c r="A400" t="s">
        <v>797</v>
      </c>
      <c r="B400">
        <v>43677</v>
      </c>
      <c r="C400" t="s">
        <v>798</v>
      </c>
      <c r="D400" t="s">
        <v>54</v>
      </c>
      <c r="E400">
        <v>6</v>
      </c>
      <c r="F400">
        <f>INDEX([1]products!$A$1:$G$49,MATCH([1]orders!$D400,[1]products!$A$1:$A$49,0),MATCH([1]orders!K$1,[1]products!$A$1:$G$1,0))</f>
        <v>0.2</v>
      </c>
      <c r="G400">
        <f>INDEX([1]products!$A$1:$G$49,MATCH([1]orders!$D400,[1]products!$A$1:$A$49,0),MATCH([1]orders!L$1,[1]products!$A$1:$G$1,0))</f>
        <v>2.9849999999999999</v>
      </c>
      <c r="H400">
        <f t="shared" si="6"/>
        <v>17.91</v>
      </c>
    </row>
    <row r="401" spans="1:8" x14ac:dyDescent="0.25">
      <c r="A401" t="s">
        <v>799</v>
      </c>
      <c r="B401">
        <v>43539</v>
      </c>
      <c r="C401" t="s">
        <v>800</v>
      </c>
      <c r="D401" t="s">
        <v>530</v>
      </c>
      <c r="E401">
        <v>6</v>
      </c>
      <c r="F401">
        <f>INDEX([1]products!$A$1:$G$49,MATCH([1]orders!$D401,[1]products!$A$1:$A$49,0),MATCH([1]orders!K$1,[1]products!$A$1:$G$1,0))</f>
        <v>2.5</v>
      </c>
      <c r="G401">
        <f>INDEX([1]products!$A$1:$G$49,MATCH([1]orders!$D401,[1]products!$A$1:$A$49,0),MATCH([1]orders!L$1,[1]products!$A$1:$G$1,0))</f>
        <v>27.945</v>
      </c>
      <c r="H401">
        <f t="shared" si="6"/>
        <v>167.67000000000002</v>
      </c>
    </row>
    <row r="402" spans="1:8" x14ac:dyDescent="0.25">
      <c r="A402" t="s">
        <v>801</v>
      </c>
      <c r="B402">
        <v>44332</v>
      </c>
      <c r="C402" t="s">
        <v>802</v>
      </c>
      <c r="D402" t="s">
        <v>132</v>
      </c>
      <c r="E402">
        <v>4</v>
      </c>
      <c r="F402">
        <f>INDEX([1]products!$A$1:$G$49,MATCH([1]orders!$D402,[1]products!$A$1:$A$49,0),MATCH([1]orders!K$1,[1]products!$A$1:$G$1,0))</f>
        <v>1</v>
      </c>
      <c r="G402">
        <f>INDEX([1]products!$A$1:$G$49,MATCH([1]orders!$D402,[1]products!$A$1:$A$49,0),MATCH([1]orders!L$1,[1]products!$A$1:$G$1,0))</f>
        <v>15.85</v>
      </c>
      <c r="H402">
        <f t="shared" si="6"/>
        <v>63.4</v>
      </c>
    </row>
    <row r="403" spans="1:8" x14ac:dyDescent="0.25">
      <c r="A403" t="s">
        <v>803</v>
      </c>
      <c r="B403">
        <v>43591</v>
      </c>
      <c r="C403" t="s">
        <v>804</v>
      </c>
      <c r="D403" t="s">
        <v>77</v>
      </c>
      <c r="E403">
        <v>2</v>
      </c>
      <c r="F403">
        <f>INDEX([1]products!$A$1:$G$49,MATCH([1]orders!$D403,[1]products!$A$1:$A$49,0),MATCH([1]orders!K$1,[1]products!$A$1:$G$1,0))</f>
        <v>0.2</v>
      </c>
      <c r="G403">
        <f>INDEX([1]products!$A$1:$G$49,MATCH([1]orders!$D403,[1]products!$A$1:$A$49,0),MATCH([1]orders!L$1,[1]products!$A$1:$G$1,0))</f>
        <v>4.3650000000000002</v>
      </c>
      <c r="H403">
        <f t="shared" si="6"/>
        <v>8.73</v>
      </c>
    </row>
    <row r="404" spans="1:8" x14ac:dyDescent="0.25">
      <c r="A404" t="s">
        <v>805</v>
      </c>
      <c r="B404">
        <v>43502</v>
      </c>
      <c r="C404" t="s">
        <v>806</v>
      </c>
      <c r="D404" t="s">
        <v>179</v>
      </c>
      <c r="E404">
        <v>3</v>
      </c>
      <c r="F404">
        <f>INDEX([1]products!$A$1:$G$49,MATCH([1]orders!$D404,[1]products!$A$1:$A$49,0),MATCH([1]orders!K$1,[1]products!$A$1:$G$1,0))</f>
        <v>1</v>
      </c>
      <c r="G404">
        <f>INDEX([1]products!$A$1:$G$49,MATCH([1]orders!$D404,[1]products!$A$1:$A$49,0),MATCH([1]orders!L$1,[1]products!$A$1:$G$1,0))</f>
        <v>8.9499999999999993</v>
      </c>
      <c r="H404">
        <f t="shared" si="6"/>
        <v>26.849999999999998</v>
      </c>
    </row>
    <row r="405" spans="1:8" x14ac:dyDescent="0.25">
      <c r="A405" t="s">
        <v>807</v>
      </c>
      <c r="B405">
        <v>44295</v>
      </c>
      <c r="C405" t="s">
        <v>808</v>
      </c>
      <c r="D405" t="s">
        <v>19</v>
      </c>
      <c r="E405">
        <v>2</v>
      </c>
      <c r="F405">
        <f>INDEX([1]products!$A$1:$G$49,MATCH([1]orders!$D405,[1]products!$A$1:$A$49,0),MATCH([1]orders!K$1,[1]products!$A$1:$G$1,0))</f>
        <v>0.2</v>
      </c>
      <c r="G405">
        <f>INDEX([1]products!$A$1:$G$49,MATCH([1]orders!$D405,[1]products!$A$1:$A$49,0),MATCH([1]orders!L$1,[1]products!$A$1:$G$1,0))</f>
        <v>4.7549999999999999</v>
      </c>
      <c r="H405">
        <f t="shared" si="6"/>
        <v>9.51</v>
      </c>
    </row>
    <row r="406" spans="1:8" x14ac:dyDescent="0.25">
      <c r="A406" t="s">
        <v>809</v>
      </c>
      <c r="B406">
        <v>43971</v>
      </c>
      <c r="C406" t="s">
        <v>810</v>
      </c>
      <c r="D406" t="s">
        <v>27</v>
      </c>
      <c r="E406">
        <v>4</v>
      </c>
      <c r="F406">
        <f>INDEX([1]products!$A$1:$G$49,MATCH([1]orders!$D406,[1]products!$A$1:$A$49,0),MATCH([1]orders!K$1,[1]products!$A$1:$G$1,0))</f>
        <v>1</v>
      </c>
      <c r="G406">
        <f>INDEX([1]products!$A$1:$G$49,MATCH([1]orders!$D406,[1]products!$A$1:$A$49,0),MATCH([1]orders!L$1,[1]products!$A$1:$G$1,0))</f>
        <v>9.9499999999999993</v>
      </c>
      <c r="H406">
        <f t="shared" si="6"/>
        <v>39.799999999999997</v>
      </c>
    </row>
    <row r="407" spans="1:8" x14ac:dyDescent="0.25">
      <c r="A407" t="s">
        <v>811</v>
      </c>
      <c r="B407">
        <v>44167</v>
      </c>
      <c r="C407" t="s">
        <v>812</v>
      </c>
      <c r="D407" t="s">
        <v>3</v>
      </c>
      <c r="E407">
        <v>3</v>
      </c>
      <c r="F407">
        <f>INDEX([1]products!$A$1:$G$49,MATCH([1]orders!$D407,[1]products!$A$1:$A$49,0),MATCH([1]orders!K$1,[1]products!$A$1:$G$1,0))</f>
        <v>0.5</v>
      </c>
      <c r="G407">
        <f>INDEX([1]products!$A$1:$G$49,MATCH([1]orders!$D407,[1]products!$A$1:$A$49,0),MATCH([1]orders!L$1,[1]products!$A$1:$G$1,0))</f>
        <v>8.25</v>
      </c>
      <c r="H407">
        <f t="shared" si="6"/>
        <v>24.75</v>
      </c>
    </row>
    <row r="408" spans="1:8" x14ac:dyDescent="0.25">
      <c r="A408" t="s">
        <v>813</v>
      </c>
      <c r="B408">
        <v>44416</v>
      </c>
      <c r="C408" t="s">
        <v>814</v>
      </c>
      <c r="D408" t="s">
        <v>9</v>
      </c>
      <c r="E408">
        <v>5</v>
      </c>
      <c r="F408">
        <f>INDEX([1]products!$A$1:$G$49,MATCH([1]orders!$D408,[1]products!$A$1:$A$49,0),MATCH([1]orders!K$1,[1]products!$A$1:$G$1,0))</f>
        <v>1</v>
      </c>
      <c r="G408">
        <f>INDEX([1]products!$A$1:$G$49,MATCH([1]orders!$D408,[1]products!$A$1:$A$49,0),MATCH([1]orders!L$1,[1]products!$A$1:$G$1,0))</f>
        <v>13.75</v>
      </c>
      <c r="H408">
        <f t="shared" si="6"/>
        <v>68.75</v>
      </c>
    </row>
    <row r="409" spans="1:8" x14ac:dyDescent="0.25">
      <c r="A409" t="s">
        <v>815</v>
      </c>
      <c r="B409">
        <v>44595</v>
      </c>
      <c r="C409" t="s">
        <v>816</v>
      </c>
      <c r="D409" t="s">
        <v>3</v>
      </c>
      <c r="E409">
        <v>6</v>
      </c>
      <c r="F409">
        <f>INDEX([1]products!$A$1:$G$49,MATCH([1]orders!$D409,[1]products!$A$1:$A$49,0),MATCH([1]orders!K$1,[1]products!$A$1:$G$1,0))</f>
        <v>0.5</v>
      </c>
      <c r="G409">
        <f>INDEX([1]products!$A$1:$G$49,MATCH([1]orders!$D409,[1]products!$A$1:$A$49,0),MATCH([1]orders!L$1,[1]products!$A$1:$G$1,0))</f>
        <v>8.25</v>
      </c>
      <c r="H409">
        <f t="shared" si="6"/>
        <v>49.5</v>
      </c>
    </row>
    <row r="410" spans="1:8" x14ac:dyDescent="0.25">
      <c r="A410" t="s">
        <v>817</v>
      </c>
      <c r="B410">
        <v>44659</v>
      </c>
      <c r="C410" t="s">
        <v>818</v>
      </c>
      <c r="D410" t="s">
        <v>171</v>
      </c>
      <c r="E410">
        <v>2</v>
      </c>
      <c r="F410">
        <f>INDEX([1]products!$A$1:$G$49,MATCH([1]orders!$D410,[1]products!$A$1:$A$49,0),MATCH([1]orders!K$1,[1]products!$A$1:$G$1,0))</f>
        <v>2.5</v>
      </c>
      <c r="G410">
        <f>INDEX([1]products!$A$1:$G$49,MATCH([1]orders!$D410,[1]products!$A$1:$A$49,0),MATCH([1]orders!L$1,[1]products!$A$1:$G$1,0))</f>
        <v>25.874999999999996</v>
      </c>
      <c r="H410">
        <f t="shared" si="6"/>
        <v>51.749999999999993</v>
      </c>
    </row>
    <row r="411" spans="1:8" x14ac:dyDescent="0.25">
      <c r="A411" t="s">
        <v>819</v>
      </c>
      <c r="B411">
        <v>44203</v>
      </c>
      <c r="C411" t="s">
        <v>820</v>
      </c>
      <c r="D411" t="s">
        <v>132</v>
      </c>
      <c r="E411">
        <v>3</v>
      </c>
      <c r="F411">
        <f>INDEX([1]products!$A$1:$G$49,MATCH([1]orders!$D411,[1]products!$A$1:$A$49,0),MATCH([1]orders!K$1,[1]products!$A$1:$G$1,0))</f>
        <v>1</v>
      </c>
      <c r="G411">
        <f>INDEX([1]products!$A$1:$G$49,MATCH([1]orders!$D411,[1]products!$A$1:$A$49,0),MATCH([1]orders!L$1,[1]products!$A$1:$G$1,0))</f>
        <v>15.85</v>
      </c>
      <c r="H411">
        <f t="shared" si="6"/>
        <v>47.55</v>
      </c>
    </row>
    <row r="412" spans="1:8" x14ac:dyDescent="0.25">
      <c r="A412" t="s">
        <v>821</v>
      </c>
      <c r="B412">
        <v>44441</v>
      </c>
      <c r="C412" t="s">
        <v>822</v>
      </c>
      <c r="D412" t="s">
        <v>115</v>
      </c>
      <c r="E412">
        <v>4</v>
      </c>
      <c r="F412">
        <f>INDEX([1]products!$A$1:$G$49,MATCH([1]orders!$D412,[1]products!$A$1:$A$49,0),MATCH([1]orders!K$1,[1]products!$A$1:$G$1,0))</f>
        <v>0.2</v>
      </c>
      <c r="G412">
        <f>INDEX([1]products!$A$1:$G$49,MATCH([1]orders!$D412,[1]products!$A$1:$A$49,0),MATCH([1]orders!L$1,[1]products!$A$1:$G$1,0))</f>
        <v>3.8849999999999998</v>
      </c>
      <c r="H412">
        <f t="shared" si="6"/>
        <v>15.54</v>
      </c>
    </row>
    <row r="413" spans="1:8" x14ac:dyDescent="0.25">
      <c r="A413" t="s">
        <v>823</v>
      </c>
      <c r="B413">
        <v>44504</v>
      </c>
      <c r="C413" t="s">
        <v>824</v>
      </c>
      <c r="D413" t="s">
        <v>96</v>
      </c>
      <c r="E413">
        <v>6</v>
      </c>
      <c r="F413">
        <f>INDEX([1]products!$A$1:$G$49,MATCH([1]orders!$D413,[1]products!$A$1:$A$49,0),MATCH([1]orders!K$1,[1]products!$A$1:$G$1,0))</f>
        <v>1</v>
      </c>
      <c r="G413">
        <f>INDEX([1]products!$A$1:$G$49,MATCH([1]orders!$D413,[1]products!$A$1:$A$49,0),MATCH([1]orders!L$1,[1]products!$A$1:$G$1,0))</f>
        <v>14.55</v>
      </c>
      <c r="H413">
        <f t="shared" si="6"/>
        <v>87.300000000000011</v>
      </c>
    </row>
    <row r="414" spans="1:8" x14ac:dyDescent="0.25">
      <c r="A414" t="s">
        <v>825</v>
      </c>
      <c r="B414">
        <v>44410</v>
      </c>
      <c r="C414" t="s">
        <v>826</v>
      </c>
      <c r="D414" t="s">
        <v>61</v>
      </c>
      <c r="E414">
        <v>5</v>
      </c>
      <c r="F414">
        <f>INDEX([1]products!$A$1:$G$49,MATCH([1]orders!$D414,[1]products!$A$1:$A$49,0),MATCH([1]orders!K$1,[1]products!$A$1:$G$1,0))</f>
        <v>1</v>
      </c>
      <c r="G414">
        <f>INDEX([1]products!$A$1:$G$49,MATCH([1]orders!$D414,[1]products!$A$1:$A$49,0),MATCH([1]orders!L$1,[1]products!$A$1:$G$1,0))</f>
        <v>11.25</v>
      </c>
      <c r="H414">
        <f t="shared" si="6"/>
        <v>56.25</v>
      </c>
    </row>
    <row r="415" spans="1:8" x14ac:dyDescent="0.25">
      <c r="A415" t="s">
        <v>827</v>
      </c>
      <c r="B415">
        <v>43857</v>
      </c>
      <c r="C415" t="s">
        <v>828</v>
      </c>
      <c r="D415" t="s">
        <v>104</v>
      </c>
      <c r="E415">
        <v>1</v>
      </c>
      <c r="F415">
        <f>INDEX([1]products!$A$1:$G$49,MATCH([1]orders!$D415,[1]products!$A$1:$A$49,0),MATCH([1]orders!K$1,[1]products!$A$1:$G$1,0))</f>
        <v>2.5</v>
      </c>
      <c r="G415">
        <f>INDEX([1]products!$A$1:$G$49,MATCH([1]orders!$D415,[1]products!$A$1:$A$49,0),MATCH([1]orders!L$1,[1]products!$A$1:$G$1,0))</f>
        <v>36.454999999999998</v>
      </c>
      <c r="H415">
        <f t="shared" si="6"/>
        <v>36.454999999999998</v>
      </c>
    </row>
    <row r="416" spans="1:8" x14ac:dyDescent="0.25">
      <c r="A416" t="s">
        <v>829</v>
      </c>
      <c r="B416">
        <v>43802</v>
      </c>
      <c r="C416" t="s">
        <v>830</v>
      </c>
      <c r="D416" t="s">
        <v>182</v>
      </c>
      <c r="E416">
        <v>3</v>
      </c>
      <c r="F416">
        <f>INDEX([1]products!$A$1:$G$49,MATCH([1]orders!$D416,[1]products!$A$1:$A$49,0),MATCH([1]orders!K$1,[1]products!$A$1:$G$1,0))</f>
        <v>0.2</v>
      </c>
      <c r="G416">
        <f>INDEX([1]products!$A$1:$G$49,MATCH([1]orders!$D416,[1]products!$A$1:$A$49,0),MATCH([1]orders!L$1,[1]products!$A$1:$G$1,0))</f>
        <v>3.5849999999999995</v>
      </c>
      <c r="H416">
        <f t="shared" si="6"/>
        <v>10.754999999999999</v>
      </c>
    </row>
    <row r="417" spans="1:8" x14ac:dyDescent="0.25">
      <c r="A417" t="s">
        <v>831</v>
      </c>
      <c r="B417">
        <v>43683</v>
      </c>
      <c r="C417" t="s">
        <v>832</v>
      </c>
      <c r="D417" t="s">
        <v>162</v>
      </c>
      <c r="E417">
        <v>3</v>
      </c>
      <c r="F417">
        <f>INDEX([1]products!$A$1:$G$49,MATCH([1]orders!$D417,[1]products!$A$1:$A$49,0),MATCH([1]orders!K$1,[1]products!$A$1:$G$1,0))</f>
        <v>0.2</v>
      </c>
      <c r="G417">
        <f>INDEX([1]products!$A$1:$G$49,MATCH([1]orders!$D417,[1]products!$A$1:$A$49,0),MATCH([1]orders!L$1,[1]products!$A$1:$G$1,0))</f>
        <v>2.9849999999999999</v>
      </c>
      <c r="H417">
        <f t="shared" si="6"/>
        <v>8.9550000000000001</v>
      </c>
    </row>
    <row r="418" spans="1:8" x14ac:dyDescent="0.25">
      <c r="A418" t="s">
        <v>833</v>
      </c>
      <c r="B418">
        <v>43901</v>
      </c>
      <c r="C418" t="s">
        <v>834</v>
      </c>
      <c r="D418" t="s">
        <v>192</v>
      </c>
      <c r="E418">
        <v>3</v>
      </c>
      <c r="F418">
        <f>INDEX([1]products!$A$1:$G$49,MATCH([1]orders!$D418,[1]products!$A$1:$A$49,0),MATCH([1]orders!K$1,[1]products!$A$1:$G$1,0))</f>
        <v>0.5</v>
      </c>
      <c r="G418">
        <f>INDEX([1]products!$A$1:$G$49,MATCH([1]orders!$D418,[1]products!$A$1:$A$49,0),MATCH([1]orders!L$1,[1]products!$A$1:$G$1,0))</f>
        <v>7.77</v>
      </c>
      <c r="H418">
        <f t="shared" si="6"/>
        <v>23.31</v>
      </c>
    </row>
    <row r="419" spans="1:8" x14ac:dyDescent="0.25">
      <c r="A419" t="s">
        <v>835</v>
      </c>
      <c r="B419">
        <v>44457</v>
      </c>
      <c r="C419" t="s">
        <v>836</v>
      </c>
      <c r="D419" t="s">
        <v>204</v>
      </c>
      <c r="E419">
        <v>1</v>
      </c>
      <c r="F419">
        <f>INDEX([1]products!$A$1:$G$49,MATCH([1]orders!$D419,[1]products!$A$1:$A$49,0),MATCH([1]orders!K$1,[1]products!$A$1:$G$1,0))</f>
        <v>2.5</v>
      </c>
      <c r="G419">
        <f>INDEX([1]products!$A$1:$G$49,MATCH([1]orders!$D419,[1]products!$A$1:$A$49,0),MATCH([1]orders!L$1,[1]products!$A$1:$G$1,0))</f>
        <v>29.784999999999997</v>
      </c>
      <c r="H419">
        <f t="shared" si="6"/>
        <v>29.784999999999997</v>
      </c>
    </row>
    <row r="420" spans="1:8" x14ac:dyDescent="0.25">
      <c r="A420" t="s">
        <v>837</v>
      </c>
      <c r="B420">
        <v>44142</v>
      </c>
      <c r="C420" t="s">
        <v>838</v>
      </c>
      <c r="D420" t="s">
        <v>204</v>
      </c>
      <c r="E420">
        <v>5</v>
      </c>
      <c r="F420">
        <f>INDEX([1]products!$A$1:$G$49,MATCH([1]orders!$D420,[1]products!$A$1:$A$49,0),MATCH([1]orders!K$1,[1]products!$A$1:$G$1,0))</f>
        <v>2.5</v>
      </c>
      <c r="G420">
        <f>INDEX([1]products!$A$1:$G$49,MATCH([1]orders!$D420,[1]products!$A$1:$A$49,0),MATCH([1]orders!L$1,[1]products!$A$1:$G$1,0))</f>
        <v>29.784999999999997</v>
      </c>
      <c r="H420">
        <f t="shared" si="6"/>
        <v>148.92499999999998</v>
      </c>
    </row>
    <row r="421" spans="1:8" x14ac:dyDescent="0.25">
      <c r="A421" t="s">
        <v>839</v>
      </c>
      <c r="B421">
        <v>44739</v>
      </c>
      <c r="C421" t="s">
        <v>840</v>
      </c>
      <c r="D421" t="s">
        <v>78</v>
      </c>
      <c r="E421">
        <v>1</v>
      </c>
      <c r="F421">
        <f>INDEX([1]products!$A$1:$G$49,MATCH([1]orders!$D421,[1]products!$A$1:$A$49,0),MATCH([1]orders!K$1,[1]products!$A$1:$G$1,0))</f>
        <v>0.5</v>
      </c>
      <c r="G421">
        <f>INDEX([1]products!$A$1:$G$49,MATCH([1]orders!$D421,[1]products!$A$1:$A$49,0),MATCH([1]orders!L$1,[1]products!$A$1:$G$1,0))</f>
        <v>8.73</v>
      </c>
      <c r="H421">
        <f t="shared" si="6"/>
        <v>8.73</v>
      </c>
    </row>
    <row r="422" spans="1:8" x14ac:dyDescent="0.25">
      <c r="A422" t="s">
        <v>841</v>
      </c>
      <c r="B422">
        <v>43866</v>
      </c>
      <c r="C422" t="s">
        <v>749</v>
      </c>
      <c r="D422" t="s">
        <v>123</v>
      </c>
      <c r="E422">
        <v>4</v>
      </c>
      <c r="F422">
        <f>INDEX([1]products!$A$1:$G$49,MATCH([1]orders!$D422,[1]products!$A$1:$A$49,0),MATCH([1]orders!K$1,[1]products!$A$1:$G$1,0))</f>
        <v>0.5</v>
      </c>
      <c r="G422">
        <f>INDEX([1]products!$A$1:$G$49,MATCH([1]orders!$D422,[1]products!$A$1:$A$49,0),MATCH([1]orders!L$1,[1]products!$A$1:$G$1,0))</f>
        <v>7.77</v>
      </c>
      <c r="H422">
        <f t="shared" si="6"/>
        <v>31.08</v>
      </c>
    </row>
    <row r="423" spans="1:8" x14ac:dyDescent="0.25">
      <c r="A423" t="s">
        <v>841</v>
      </c>
      <c r="B423">
        <v>43866</v>
      </c>
      <c r="C423" t="s">
        <v>749</v>
      </c>
      <c r="D423" t="s">
        <v>118</v>
      </c>
      <c r="E423">
        <v>6</v>
      </c>
      <c r="F423">
        <f>INDEX([1]products!$A$1:$G$49,MATCH([1]orders!$D423,[1]products!$A$1:$A$49,0),MATCH([1]orders!K$1,[1]products!$A$1:$G$1,0))</f>
        <v>2.5</v>
      </c>
      <c r="G423">
        <f>INDEX([1]products!$A$1:$G$49,MATCH([1]orders!$D423,[1]products!$A$1:$A$49,0),MATCH([1]orders!L$1,[1]products!$A$1:$G$1,0))</f>
        <v>22.884999999999998</v>
      </c>
      <c r="H423">
        <f t="shared" si="6"/>
        <v>137.31</v>
      </c>
    </row>
    <row r="424" spans="1:8" x14ac:dyDescent="0.25">
      <c r="A424" t="s">
        <v>842</v>
      </c>
      <c r="B424">
        <v>43868</v>
      </c>
      <c r="C424" t="s">
        <v>843</v>
      </c>
      <c r="D424" t="s">
        <v>72</v>
      </c>
      <c r="E424">
        <v>5</v>
      </c>
      <c r="F424">
        <f>INDEX([1]products!$A$1:$G$49,MATCH([1]orders!$D424,[1]products!$A$1:$A$49,0),MATCH([1]orders!K$1,[1]products!$A$1:$G$1,0))</f>
        <v>0.5</v>
      </c>
      <c r="G424">
        <f>INDEX([1]products!$A$1:$G$49,MATCH([1]orders!$D424,[1]products!$A$1:$A$49,0),MATCH([1]orders!L$1,[1]products!$A$1:$G$1,0))</f>
        <v>5.97</v>
      </c>
      <c r="H424">
        <f t="shared" si="6"/>
        <v>29.849999999999998</v>
      </c>
    </row>
    <row r="425" spans="1:8" x14ac:dyDescent="0.25">
      <c r="A425" t="s">
        <v>844</v>
      </c>
      <c r="B425">
        <v>44183</v>
      </c>
      <c r="C425" t="s">
        <v>845</v>
      </c>
      <c r="D425" t="s">
        <v>22</v>
      </c>
      <c r="E425">
        <v>3</v>
      </c>
      <c r="F425">
        <f>INDEX([1]products!$A$1:$G$49,MATCH([1]orders!$D425,[1]products!$A$1:$A$49,0),MATCH([1]orders!K$1,[1]products!$A$1:$G$1,0))</f>
        <v>0.5</v>
      </c>
      <c r="G425">
        <f>INDEX([1]products!$A$1:$G$49,MATCH([1]orders!$D425,[1]products!$A$1:$A$49,0),MATCH([1]orders!L$1,[1]products!$A$1:$G$1,0))</f>
        <v>5.97</v>
      </c>
      <c r="H425">
        <f t="shared" si="6"/>
        <v>17.91</v>
      </c>
    </row>
    <row r="426" spans="1:8" x14ac:dyDescent="0.25">
      <c r="A426" t="s">
        <v>846</v>
      </c>
      <c r="B426">
        <v>44431</v>
      </c>
      <c r="C426" t="s">
        <v>847</v>
      </c>
      <c r="D426" t="s">
        <v>176</v>
      </c>
      <c r="E426">
        <v>3</v>
      </c>
      <c r="F426">
        <f>INDEX([1]products!$A$1:$G$49,MATCH([1]orders!$D426,[1]products!$A$1:$A$49,0),MATCH([1]orders!K$1,[1]products!$A$1:$G$1,0))</f>
        <v>0.5</v>
      </c>
      <c r="G426">
        <f>INDEX([1]products!$A$1:$G$49,MATCH([1]orders!$D426,[1]products!$A$1:$A$49,0),MATCH([1]orders!L$1,[1]products!$A$1:$G$1,0))</f>
        <v>8.91</v>
      </c>
      <c r="H426">
        <f t="shared" si="6"/>
        <v>26.73</v>
      </c>
    </row>
    <row r="427" spans="1:8" x14ac:dyDescent="0.25">
      <c r="A427" t="s">
        <v>848</v>
      </c>
      <c r="B427">
        <v>44428</v>
      </c>
      <c r="C427" t="s">
        <v>849</v>
      </c>
      <c r="D427" t="s">
        <v>179</v>
      </c>
      <c r="E427">
        <v>2</v>
      </c>
      <c r="F427">
        <f>INDEX([1]products!$A$1:$G$49,MATCH([1]orders!$D427,[1]products!$A$1:$A$49,0),MATCH([1]orders!K$1,[1]products!$A$1:$G$1,0))</f>
        <v>1</v>
      </c>
      <c r="G427">
        <f>INDEX([1]products!$A$1:$G$49,MATCH([1]orders!$D427,[1]products!$A$1:$A$49,0),MATCH([1]orders!L$1,[1]products!$A$1:$G$1,0))</f>
        <v>8.9499999999999993</v>
      </c>
      <c r="H427">
        <f t="shared" si="6"/>
        <v>17.899999999999999</v>
      </c>
    </row>
    <row r="428" spans="1:8" x14ac:dyDescent="0.25">
      <c r="A428" t="s">
        <v>850</v>
      </c>
      <c r="B428">
        <v>43556</v>
      </c>
      <c r="C428" t="s">
        <v>851</v>
      </c>
      <c r="D428" t="s">
        <v>182</v>
      </c>
      <c r="E428">
        <v>4</v>
      </c>
      <c r="F428">
        <f>INDEX([1]products!$A$1:$G$49,MATCH([1]orders!$D428,[1]products!$A$1:$A$49,0),MATCH([1]orders!K$1,[1]products!$A$1:$G$1,0))</f>
        <v>0.2</v>
      </c>
      <c r="G428">
        <f>INDEX([1]products!$A$1:$G$49,MATCH([1]orders!$D428,[1]products!$A$1:$A$49,0),MATCH([1]orders!L$1,[1]products!$A$1:$G$1,0))</f>
        <v>3.5849999999999995</v>
      </c>
      <c r="H428">
        <f t="shared" si="6"/>
        <v>14.339999999999998</v>
      </c>
    </row>
    <row r="429" spans="1:8" x14ac:dyDescent="0.25">
      <c r="A429" t="s">
        <v>852</v>
      </c>
      <c r="B429">
        <v>44224</v>
      </c>
      <c r="C429" t="s">
        <v>853</v>
      </c>
      <c r="D429" t="s">
        <v>171</v>
      </c>
      <c r="E429">
        <v>3</v>
      </c>
      <c r="F429">
        <f>INDEX([1]products!$A$1:$G$49,MATCH([1]orders!$D429,[1]products!$A$1:$A$49,0),MATCH([1]orders!K$1,[1]products!$A$1:$G$1,0))</f>
        <v>2.5</v>
      </c>
      <c r="G429">
        <f>INDEX([1]products!$A$1:$G$49,MATCH([1]orders!$D429,[1]products!$A$1:$A$49,0),MATCH([1]orders!L$1,[1]products!$A$1:$G$1,0))</f>
        <v>25.874999999999996</v>
      </c>
      <c r="H429">
        <f t="shared" si="6"/>
        <v>77.624999999999986</v>
      </c>
    </row>
    <row r="430" spans="1:8" x14ac:dyDescent="0.25">
      <c r="A430" t="s">
        <v>854</v>
      </c>
      <c r="B430">
        <v>43759</v>
      </c>
      <c r="C430" t="s">
        <v>855</v>
      </c>
      <c r="D430" t="s">
        <v>189</v>
      </c>
      <c r="E430">
        <v>5</v>
      </c>
      <c r="F430">
        <f>INDEX([1]products!$A$1:$G$49,MATCH([1]orders!$D430,[1]products!$A$1:$A$49,0),MATCH([1]orders!K$1,[1]products!$A$1:$G$1,0))</f>
        <v>1</v>
      </c>
      <c r="G430">
        <f>INDEX([1]products!$A$1:$G$49,MATCH([1]orders!$D430,[1]products!$A$1:$A$49,0),MATCH([1]orders!L$1,[1]products!$A$1:$G$1,0))</f>
        <v>11.95</v>
      </c>
      <c r="H430">
        <f t="shared" si="6"/>
        <v>59.75</v>
      </c>
    </row>
    <row r="431" spans="1:8" x14ac:dyDescent="0.25">
      <c r="A431" t="s">
        <v>856</v>
      </c>
      <c r="B431">
        <v>44367</v>
      </c>
      <c r="C431" t="s">
        <v>749</v>
      </c>
      <c r="D431" t="s">
        <v>6</v>
      </c>
      <c r="E431">
        <v>6</v>
      </c>
      <c r="F431">
        <f>INDEX([1]products!$A$1:$G$49,MATCH([1]orders!$D431,[1]products!$A$1:$A$49,0),MATCH([1]orders!K$1,[1]products!$A$1:$G$1,0))</f>
        <v>1</v>
      </c>
      <c r="G431">
        <f>INDEX([1]products!$A$1:$G$49,MATCH([1]orders!$D431,[1]products!$A$1:$A$49,0),MATCH([1]orders!L$1,[1]products!$A$1:$G$1,0))</f>
        <v>12.95</v>
      </c>
      <c r="H431">
        <f t="shared" si="6"/>
        <v>77.699999999999989</v>
      </c>
    </row>
    <row r="432" spans="1:8" x14ac:dyDescent="0.25">
      <c r="A432" t="s">
        <v>857</v>
      </c>
      <c r="B432">
        <v>44504</v>
      </c>
      <c r="C432" t="s">
        <v>858</v>
      </c>
      <c r="D432" t="s">
        <v>101</v>
      </c>
      <c r="E432">
        <v>2</v>
      </c>
      <c r="F432">
        <f>INDEX([1]products!$A$1:$G$49,MATCH([1]orders!$D432,[1]products!$A$1:$A$49,0),MATCH([1]orders!K$1,[1]products!$A$1:$G$1,0))</f>
        <v>0.2</v>
      </c>
      <c r="G432">
        <f>INDEX([1]products!$A$1:$G$49,MATCH([1]orders!$D432,[1]products!$A$1:$A$49,0),MATCH([1]orders!L$1,[1]products!$A$1:$G$1,0))</f>
        <v>2.6849999999999996</v>
      </c>
      <c r="H432">
        <f t="shared" si="6"/>
        <v>5.3699999999999992</v>
      </c>
    </row>
    <row r="433" spans="1:8" x14ac:dyDescent="0.25">
      <c r="A433" t="s">
        <v>859</v>
      </c>
      <c r="B433">
        <v>44291</v>
      </c>
      <c r="C433" t="s">
        <v>860</v>
      </c>
      <c r="D433" t="s">
        <v>530</v>
      </c>
      <c r="E433">
        <v>3</v>
      </c>
      <c r="F433">
        <f>INDEX([1]products!$A$1:$G$49,MATCH([1]orders!$D433,[1]products!$A$1:$A$49,0),MATCH([1]orders!K$1,[1]products!$A$1:$G$1,0))</f>
        <v>2.5</v>
      </c>
      <c r="G433">
        <f>INDEX([1]products!$A$1:$G$49,MATCH([1]orders!$D433,[1]products!$A$1:$A$49,0),MATCH([1]orders!L$1,[1]products!$A$1:$G$1,0))</f>
        <v>27.945</v>
      </c>
      <c r="H433">
        <f t="shared" si="6"/>
        <v>83.835000000000008</v>
      </c>
    </row>
    <row r="434" spans="1:8" x14ac:dyDescent="0.25">
      <c r="A434" t="s">
        <v>861</v>
      </c>
      <c r="B434">
        <v>43808</v>
      </c>
      <c r="C434" t="s">
        <v>862</v>
      </c>
      <c r="D434" t="s">
        <v>61</v>
      </c>
      <c r="E434">
        <v>2</v>
      </c>
      <c r="F434">
        <f>INDEX([1]products!$A$1:$G$49,MATCH([1]orders!$D434,[1]products!$A$1:$A$49,0),MATCH([1]orders!K$1,[1]products!$A$1:$G$1,0))</f>
        <v>1</v>
      </c>
      <c r="G434">
        <f>INDEX([1]products!$A$1:$G$49,MATCH([1]orders!$D434,[1]products!$A$1:$A$49,0),MATCH([1]orders!L$1,[1]products!$A$1:$G$1,0))</f>
        <v>11.25</v>
      </c>
      <c r="H434">
        <f t="shared" si="6"/>
        <v>22.5</v>
      </c>
    </row>
    <row r="435" spans="1:8" x14ac:dyDescent="0.25">
      <c r="A435" t="s">
        <v>863</v>
      </c>
      <c r="B435">
        <v>44563</v>
      </c>
      <c r="C435" t="s">
        <v>864</v>
      </c>
      <c r="D435" t="s">
        <v>197</v>
      </c>
      <c r="E435">
        <v>6</v>
      </c>
      <c r="F435">
        <f>INDEX([1]products!$A$1:$G$49,MATCH([1]orders!$D435,[1]products!$A$1:$A$49,0),MATCH([1]orders!K$1,[1]products!$A$1:$G$1,0))</f>
        <v>2.5</v>
      </c>
      <c r="G435">
        <f>INDEX([1]products!$A$1:$G$49,MATCH([1]orders!$D435,[1]products!$A$1:$A$49,0),MATCH([1]orders!L$1,[1]products!$A$1:$G$1,0))</f>
        <v>33.464999999999996</v>
      </c>
      <c r="H435">
        <f t="shared" si="6"/>
        <v>200.78999999999996</v>
      </c>
    </row>
    <row r="436" spans="1:8" x14ac:dyDescent="0.25">
      <c r="A436" t="s">
        <v>865</v>
      </c>
      <c r="B436">
        <v>43807</v>
      </c>
      <c r="C436" t="s">
        <v>866</v>
      </c>
      <c r="D436" t="s">
        <v>61</v>
      </c>
      <c r="E436">
        <v>6</v>
      </c>
      <c r="F436">
        <f>INDEX([1]products!$A$1:$G$49,MATCH([1]orders!$D436,[1]products!$A$1:$A$49,0),MATCH([1]orders!K$1,[1]products!$A$1:$G$1,0))</f>
        <v>1</v>
      </c>
      <c r="G436">
        <f>INDEX([1]products!$A$1:$G$49,MATCH([1]orders!$D436,[1]products!$A$1:$A$49,0),MATCH([1]orders!L$1,[1]products!$A$1:$G$1,0))</f>
        <v>11.25</v>
      </c>
      <c r="H436">
        <f t="shared" si="6"/>
        <v>67.5</v>
      </c>
    </row>
    <row r="437" spans="1:8" x14ac:dyDescent="0.25">
      <c r="A437" t="s">
        <v>867</v>
      </c>
      <c r="B437">
        <v>44528</v>
      </c>
      <c r="C437" t="s">
        <v>868</v>
      </c>
      <c r="D437" t="s">
        <v>3</v>
      </c>
      <c r="E437">
        <v>1</v>
      </c>
      <c r="F437">
        <f>INDEX([1]products!$A$1:$G$49,MATCH([1]orders!$D437,[1]products!$A$1:$A$49,0),MATCH([1]orders!K$1,[1]products!$A$1:$G$1,0))</f>
        <v>0.5</v>
      </c>
      <c r="G437">
        <f>INDEX([1]products!$A$1:$G$49,MATCH([1]orders!$D437,[1]products!$A$1:$A$49,0),MATCH([1]orders!L$1,[1]products!$A$1:$G$1,0))</f>
        <v>8.25</v>
      </c>
      <c r="H437">
        <f t="shared" si="6"/>
        <v>8.25</v>
      </c>
    </row>
    <row r="438" spans="1:8" x14ac:dyDescent="0.25">
      <c r="A438" t="s">
        <v>869</v>
      </c>
      <c r="B438">
        <v>44631</v>
      </c>
      <c r="C438" t="s">
        <v>870</v>
      </c>
      <c r="D438" t="s">
        <v>19</v>
      </c>
      <c r="E438">
        <v>2</v>
      </c>
      <c r="F438">
        <f>INDEX([1]products!$A$1:$G$49,MATCH([1]orders!$D438,[1]products!$A$1:$A$49,0),MATCH([1]orders!K$1,[1]products!$A$1:$G$1,0))</f>
        <v>0.2</v>
      </c>
      <c r="G438">
        <f>INDEX([1]products!$A$1:$G$49,MATCH([1]orders!$D438,[1]products!$A$1:$A$49,0),MATCH([1]orders!L$1,[1]products!$A$1:$G$1,0))</f>
        <v>4.7549999999999999</v>
      </c>
      <c r="H438">
        <f t="shared" si="6"/>
        <v>9.51</v>
      </c>
    </row>
    <row r="439" spans="1:8" x14ac:dyDescent="0.25">
      <c r="A439" t="s">
        <v>871</v>
      </c>
      <c r="B439">
        <v>44213</v>
      </c>
      <c r="C439" t="s">
        <v>872</v>
      </c>
      <c r="D439" t="s">
        <v>109</v>
      </c>
      <c r="E439">
        <v>1</v>
      </c>
      <c r="F439">
        <f>INDEX([1]products!$A$1:$G$49,MATCH([1]orders!$D439,[1]products!$A$1:$A$49,0),MATCH([1]orders!K$1,[1]products!$A$1:$G$1,0))</f>
        <v>2.5</v>
      </c>
      <c r="G439">
        <f>INDEX([1]products!$A$1:$G$49,MATCH([1]orders!$D439,[1]products!$A$1:$A$49,0),MATCH([1]orders!L$1,[1]products!$A$1:$G$1,0))</f>
        <v>29.784999999999997</v>
      </c>
      <c r="H439">
        <f t="shared" si="6"/>
        <v>29.784999999999997</v>
      </c>
    </row>
    <row r="440" spans="1:8" x14ac:dyDescent="0.25">
      <c r="A440" t="s">
        <v>873</v>
      </c>
      <c r="B440">
        <v>43483</v>
      </c>
      <c r="C440" t="s">
        <v>874</v>
      </c>
      <c r="D440" t="s">
        <v>123</v>
      </c>
      <c r="E440">
        <v>2</v>
      </c>
      <c r="F440">
        <f>INDEX([1]products!$A$1:$G$49,MATCH([1]orders!$D440,[1]products!$A$1:$A$49,0),MATCH([1]orders!K$1,[1]products!$A$1:$G$1,0))</f>
        <v>0.5</v>
      </c>
      <c r="G440">
        <f>INDEX([1]products!$A$1:$G$49,MATCH([1]orders!$D440,[1]products!$A$1:$A$49,0),MATCH([1]orders!L$1,[1]products!$A$1:$G$1,0))</f>
        <v>7.77</v>
      </c>
      <c r="H440">
        <f t="shared" si="6"/>
        <v>15.54</v>
      </c>
    </row>
    <row r="441" spans="1:8" x14ac:dyDescent="0.25">
      <c r="A441" t="s">
        <v>875</v>
      </c>
      <c r="B441">
        <v>43562</v>
      </c>
      <c r="C441" t="s">
        <v>876</v>
      </c>
      <c r="D441" t="s">
        <v>176</v>
      </c>
      <c r="E441">
        <v>4</v>
      </c>
      <c r="F441">
        <f>INDEX([1]products!$A$1:$G$49,MATCH([1]orders!$D441,[1]products!$A$1:$A$49,0),MATCH([1]orders!K$1,[1]products!$A$1:$G$1,0))</f>
        <v>0.5</v>
      </c>
      <c r="G441">
        <f>INDEX([1]products!$A$1:$G$49,MATCH([1]orders!$D441,[1]products!$A$1:$A$49,0),MATCH([1]orders!L$1,[1]products!$A$1:$G$1,0))</f>
        <v>8.91</v>
      </c>
      <c r="H441">
        <f t="shared" si="6"/>
        <v>35.64</v>
      </c>
    </row>
    <row r="442" spans="1:8" x14ac:dyDescent="0.25">
      <c r="A442" t="s">
        <v>877</v>
      </c>
      <c r="B442">
        <v>44230</v>
      </c>
      <c r="C442" t="s">
        <v>878</v>
      </c>
      <c r="D442" t="s">
        <v>171</v>
      </c>
      <c r="E442">
        <v>4</v>
      </c>
      <c r="F442">
        <f>INDEX([1]products!$A$1:$G$49,MATCH([1]orders!$D442,[1]products!$A$1:$A$49,0),MATCH([1]orders!K$1,[1]products!$A$1:$G$1,0))</f>
        <v>2.5</v>
      </c>
      <c r="G442">
        <f>INDEX([1]products!$A$1:$G$49,MATCH([1]orders!$D442,[1]products!$A$1:$A$49,0),MATCH([1]orders!L$1,[1]products!$A$1:$G$1,0))</f>
        <v>25.874999999999996</v>
      </c>
      <c r="H442">
        <f t="shared" si="6"/>
        <v>103.49999999999999</v>
      </c>
    </row>
    <row r="443" spans="1:8" x14ac:dyDescent="0.25">
      <c r="A443" t="s">
        <v>879</v>
      </c>
      <c r="B443">
        <v>43573</v>
      </c>
      <c r="C443" t="s">
        <v>880</v>
      </c>
      <c r="D443" t="s">
        <v>245</v>
      </c>
      <c r="E443">
        <v>3</v>
      </c>
      <c r="F443">
        <f>INDEX([1]products!$A$1:$G$49,MATCH([1]orders!$D443,[1]products!$A$1:$A$49,0),MATCH([1]orders!K$1,[1]products!$A$1:$G$1,0))</f>
        <v>1</v>
      </c>
      <c r="G443">
        <f>INDEX([1]products!$A$1:$G$49,MATCH([1]orders!$D443,[1]products!$A$1:$A$49,0),MATCH([1]orders!L$1,[1]products!$A$1:$G$1,0))</f>
        <v>12.15</v>
      </c>
      <c r="H443">
        <f t="shared" si="6"/>
        <v>36.450000000000003</v>
      </c>
    </row>
    <row r="444" spans="1:8" x14ac:dyDescent="0.25">
      <c r="A444" t="s">
        <v>881</v>
      </c>
      <c r="B444">
        <v>44384</v>
      </c>
      <c r="C444" t="s">
        <v>882</v>
      </c>
      <c r="D444" t="s">
        <v>157</v>
      </c>
      <c r="E444">
        <v>5</v>
      </c>
      <c r="F444">
        <f>INDEX([1]products!$A$1:$G$49,MATCH([1]orders!$D444,[1]products!$A$1:$A$49,0),MATCH([1]orders!K$1,[1]products!$A$1:$G$1,0))</f>
        <v>0.5</v>
      </c>
      <c r="G444">
        <f>INDEX([1]products!$A$1:$G$49,MATCH([1]orders!$D444,[1]products!$A$1:$A$49,0),MATCH([1]orders!L$1,[1]products!$A$1:$G$1,0))</f>
        <v>7.169999999999999</v>
      </c>
      <c r="H444">
        <f t="shared" si="6"/>
        <v>35.849999999999994</v>
      </c>
    </row>
    <row r="445" spans="1:8" x14ac:dyDescent="0.25">
      <c r="A445" t="s">
        <v>883</v>
      </c>
      <c r="B445">
        <v>44250</v>
      </c>
      <c r="C445" t="s">
        <v>884</v>
      </c>
      <c r="D445" t="s">
        <v>254</v>
      </c>
      <c r="E445">
        <v>5</v>
      </c>
      <c r="F445">
        <f>INDEX([1]products!$A$1:$G$49,MATCH([1]orders!$D445,[1]products!$A$1:$A$49,0),MATCH([1]orders!K$1,[1]products!$A$1:$G$1,0))</f>
        <v>0.2</v>
      </c>
      <c r="G445">
        <f>INDEX([1]products!$A$1:$G$49,MATCH([1]orders!$D445,[1]products!$A$1:$A$49,0),MATCH([1]orders!L$1,[1]products!$A$1:$G$1,0))</f>
        <v>4.4550000000000001</v>
      </c>
      <c r="H445">
        <f t="shared" si="6"/>
        <v>22.274999999999999</v>
      </c>
    </row>
    <row r="446" spans="1:8" x14ac:dyDescent="0.25">
      <c r="A446" t="s">
        <v>885</v>
      </c>
      <c r="B446">
        <v>44418</v>
      </c>
      <c r="C446" t="s">
        <v>886</v>
      </c>
      <c r="D446" t="s">
        <v>64</v>
      </c>
      <c r="E446">
        <v>6</v>
      </c>
      <c r="F446">
        <f>INDEX([1]products!$A$1:$G$49,MATCH([1]orders!$D446,[1]products!$A$1:$A$49,0),MATCH([1]orders!K$1,[1]products!$A$1:$G$1,0))</f>
        <v>0.2</v>
      </c>
      <c r="G446">
        <f>INDEX([1]products!$A$1:$G$49,MATCH([1]orders!$D446,[1]products!$A$1:$A$49,0),MATCH([1]orders!L$1,[1]products!$A$1:$G$1,0))</f>
        <v>4.125</v>
      </c>
      <c r="H446">
        <f t="shared" si="6"/>
        <v>24.75</v>
      </c>
    </row>
    <row r="447" spans="1:8" x14ac:dyDescent="0.25">
      <c r="A447" t="s">
        <v>887</v>
      </c>
      <c r="B447">
        <v>43784</v>
      </c>
      <c r="C447" t="s">
        <v>888</v>
      </c>
      <c r="D447" t="s">
        <v>197</v>
      </c>
      <c r="E447">
        <v>2</v>
      </c>
      <c r="F447">
        <f>INDEX([1]products!$A$1:$G$49,MATCH([1]orders!$D447,[1]products!$A$1:$A$49,0),MATCH([1]orders!K$1,[1]products!$A$1:$G$1,0))</f>
        <v>2.5</v>
      </c>
      <c r="G447">
        <f>INDEX([1]products!$A$1:$G$49,MATCH([1]orders!$D447,[1]products!$A$1:$A$49,0),MATCH([1]orders!L$1,[1]products!$A$1:$G$1,0))</f>
        <v>33.464999999999996</v>
      </c>
      <c r="H447">
        <f t="shared" si="6"/>
        <v>66.929999999999993</v>
      </c>
    </row>
    <row r="448" spans="1:8" x14ac:dyDescent="0.25">
      <c r="A448" t="s">
        <v>889</v>
      </c>
      <c r="B448">
        <v>43816</v>
      </c>
      <c r="C448" t="s">
        <v>890</v>
      </c>
      <c r="D448" t="s">
        <v>78</v>
      </c>
      <c r="E448">
        <v>1</v>
      </c>
      <c r="F448">
        <f>INDEX([1]products!$A$1:$G$49,MATCH([1]orders!$D448,[1]products!$A$1:$A$49,0),MATCH([1]orders!K$1,[1]products!$A$1:$G$1,0))</f>
        <v>0.5</v>
      </c>
      <c r="G448">
        <f>INDEX([1]products!$A$1:$G$49,MATCH([1]orders!$D448,[1]products!$A$1:$A$49,0),MATCH([1]orders!L$1,[1]products!$A$1:$G$1,0))</f>
        <v>8.73</v>
      </c>
      <c r="H448">
        <f t="shared" si="6"/>
        <v>8.73</v>
      </c>
    </row>
    <row r="449" spans="1:8" x14ac:dyDescent="0.25">
      <c r="A449" t="s">
        <v>891</v>
      </c>
      <c r="B449">
        <v>43908</v>
      </c>
      <c r="C449" t="s">
        <v>892</v>
      </c>
      <c r="D449" t="s">
        <v>22</v>
      </c>
      <c r="E449">
        <v>3</v>
      </c>
      <c r="F449">
        <f>INDEX([1]products!$A$1:$G$49,MATCH([1]orders!$D449,[1]products!$A$1:$A$49,0),MATCH([1]orders!K$1,[1]products!$A$1:$G$1,0))</f>
        <v>0.5</v>
      </c>
      <c r="G449">
        <f>INDEX([1]products!$A$1:$G$49,MATCH([1]orders!$D449,[1]products!$A$1:$A$49,0),MATCH([1]orders!L$1,[1]products!$A$1:$G$1,0))</f>
        <v>5.97</v>
      </c>
      <c r="H449">
        <f t="shared" si="6"/>
        <v>17.91</v>
      </c>
    </row>
    <row r="450" spans="1:8" x14ac:dyDescent="0.25">
      <c r="A450" t="s">
        <v>893</v>
      </c>
      <c r="B450">
        <v>44718</v>
      </c>
      <c r="C450" t="s">
        <v>894</v>
      </c>
      <c r="D450" t="s">
        <v>157</v>
      </c>
      <c r="E450">
        <v>1</v>
      </c>
      <c r="F450">
        <f>INDEX([1]products!$A$1:$G$49,MATCH([1]orders!$D450,[1]products!$A$1:$A$49,0),MATCH([1]orders!K$1,[1]products!$A$1:$G$1,0))</f>
        <v>0.5</v>
      </c>
      <c r="G450">
        <f>INDEX([1]products!$A$1:$G$49,MATCH([1]orders!$D450,[1]products!$A$1:$A$49,0),MATCH([1]orders!L$1,[1]products!$A$1:$G$1,0))</f>
        <v>7.169999999999999</v>
      </c>
      <c r="H450">
        <f t="shared" ref="H450:H513" si="7">E450*G450</f>
        <v>7.169999999999999</v>
      </c>
    </row>
    <row r="451" spans="1:8" x14ac:dyDescent="0.25">
      <c r="A451" t="s">
        <v>895</v>
      </c>
      <c r="B451">
        <v>44336</v>
      </c>
      <c r="C451" t="s">
        <v>896</v>
      </c>
      <c r="D451" t="s">
        <v>101</v>
      </c>
      <c r="E451">
        <v>2</v>
      </c>
      <c r="F451">
        <f>INDEX([1]products!$A$1:$G$49,MATCH([1]orders!$D451,[1]products!$A$1:$A$49,0),MATCH([1]orders!K$1,[1]products!$A$1:$G$1,0))</f>
        <v>0.2</v>
      </c>
      <c r="G451">
        <f>INDEX([1]products!$A$1:$G$49,MATCH([1]orders!$D451,[1]products!$A$1:$A$49,0),MATCH([1]orders!L$1,[1]products!$A$1:$G$1,0))</f>
        <v>2.6849999999999996</v>
      </c>
      <c r="H451">
        <f t="shared" si="7"/>
        <v>5.3699999999999992</v>
      </c>
    </row>
    <row r="452" spans="1:8" x14ac:dyDescent="0.25">
      <c r="A452" t="s">
        <v>897</v>
      </c>
      <c r="B452">
        <v>44207</v>
      </c>
      <c r="C452" t="s">
        <v>898</v>
      </c>
      <c r="D452" t="s">
        <v>19</v>
      </c>
      <c r="E452">
        <v>5</v>
      </c>
      <c r="F452">
        <f>INDEX([1]products!$A$1:$G$49,MATCH([1]orders!$D452,[1]products!$A$1:$A$49,0),MATCH([1]orders!K$1,[1]products!$A$1:$G$1,0))</f>
        <v>0.2</v>
      </c>
      <c r="G452">
        <f>INDEX([1]products!$A$1:$G$49,MATCH([1]orders!$D452,[1]products!$A$1:$A$49,0),MATCH([1]orders!L$1,[1]products!$A$1:$G$1,0))</f>
        <v>4.7549999999999999</v>
      </c>
      <c r="H452">
        <f t="shared" si="7"/>
        <v>23.774999999999999</v>
      </c>
    </row>
    <row r="453" spans="1:8" x14ac:dyDescent="0.25">
      <c r="A453" t="s">
        <v>899</v>
      </c>
      <c r="B453">
        <v>43518</v>
      </c>
      <c r="C453" t="s">
        <v>900</v>
      </c>
      <c r="D453" t="s">
        <v>35</v>
      </c>
      <c r="E453">
        <v>2</v>
      </c>
      <c r="F453">
        <f>INDEX([1]products!$A$1:$G$49,MATCH([1]orders!$D453,[1]products!$A$1:$A$49,0),MATCH([1]orders!K$1,[1]products!$A$1:$G$1,0))</f>
        <v>2.5</v>
      </c>
      <c r="G453">
        <f>INDEX([1]products!$A$1:$G$49,MATCH([1]orders!$D453,[1]products!$A$1:$A$49,0),MATCH([1]orders!L$1,[1]products!$A$1:$G$1,0))</f>
        <v>20.584999999999997</v>
      </c>
      <c r="H453">
        <f t="shared" si="7"/>
        <v>41.169999999999995</v>
      </c>
    </row>
    <row r="454" spans="1:8" x14ac:dyDescent="0.25">
      <c r="A454" t="s">
        <v>901</v>
      </c>
      <c r="B454">
        <v>44524</v>
      </c>
      <c r="C454" t="s">
        <v>874</v>
      </c>
      <c r="D454" t="s">
        <v>115</v>
      </c>
      <c r="E454">
        <v>3</v>
      </c>
      <c r="F454">
        <f>INDEX([1]products!$A$1:$G$49,MATCH([1]orders!$D454,[1]products!$A$1:$A$49,0),MATCH([1]orders!K$1,[1]products!$A$1:$G$1,0))</f>
        <v>0.2</v>
      </c>
      <c r="G454">
        <f>INDEX([1]products!$A$1:$G$49,MATCH([1]orders!$D454,[1]products!$A$1:$A$49,0),MATCH([1]orders!L$1,[1]products!$A$1:$G$1,0))</f>
        <v>3.8849999999999998</v>
      </c>
      <c r="H454">
        <f t="shared" si="7"/>
        <v>11.654999999999999</v>
      </c>
    </row>
    <row r="455" spans="1:8" x14ac:dyDescent="0.25">
      <c r="A455" t="s">
        <v>902</v>
      </c>
      <c r="B455">
        <v>44579</v>
      </c>
      <c r="C455" t="s">
        <v>903</v>
      </c>
      <c r="D455" t="s">
        <v>83</v>
      </c>
      <c r="E455">
        <v>4</v>
      </c>
      <c r="F455">
        <f>INDEX([1]products!$A$1:$G$49,MATCH([1]orders!$D455,[1]products!$A$1:$A$49,0),MATCH([1]orders!K$1,[1]products!$A$1:$G$1,0))</f>
        <v>0.5</v>
      </c>
      <c r="G455">
        <f>INDEX([1]products!$A$1:$G$49,MATCH([1]orders!$D455,[1]products!$A$1:$A$49,0),MATCH([1]orders!L$1,[1]products!$A$1:$G$1,0))</f>
        <v>9.51</v>
      </c>
      <c r="H455">
        <f t="shared" si="7"/>
        <v>38.04</v>
      </c>
    </row>
    <row r="456" spans="1:8" x14ac:dyDescent="0.25">
      <c r="A456" t="s">
        <v>904</v>
      </c>
      <c r="B456">
        <v>44421</v>
      </c>
      <c r="C456" t="s">
        <v>905</v>
      </c>
      <c r="D456" t="s">
        <v>35</v>
      </c>
      <c r="E456">
        <v>4</v>
      </c>
      <c r="F456">
        <f>INDEX([1]products!$A$1:$G$49,MATCH([1]orders!$D456,[1]products!$A$1:$A$49,0),MATCH([1]orders!K$1,[1]products!$A$1:$G$1,0))</f>
        <v>2.5</v>
      </c>
      <c r="G456">
        <f>INDEX([1]products!$A$1:$G$49,MATCH([1]orders!$D456,[1]products!$A$1:$A$49,0),MATCH([1]orders!L$1,[1]products!$A$1:$G$1,0))</f>
        <v>20.584999999999997</v>
      </c>
      <c r="H456">
        <f t="shared" si="7"/>
        <v>82.339999999999989</v>
      </c>
    </row>
    <row r="457" spans="1:8" x14ac:dyDescent="0.25">
      <c r="A457" t="s">
        <v>906</v>
      </c>
      <c r="B457">
        <v>43841</v>
      </c>
      <c r="C457" t="s">
        <v>907</v>
      </c>
      <c r="D457" t="s">
        <v>19</v>
      </c>
      <c r="E457">
        <v>2</v>
      </c>
      <c r="F457">
        <f>INDEX([1]products!$A$1:$G$49,MATCH([1]orders!$D457,[1]products!$A$1:$A$49,0),MATCH([1]orders!K$1,[1]products!$A$1:$G$1,0))</f>
        <v>0.2</v>
      </c>
      <c r="G457">
        <f>INDEX([1]products!$A$1:$G$49,MATCH([1]orders!$D457,[1]products!$A$1:$A$49,0),MATCH([1]orders!L$1,[1]products!$A$1:$G$1,0))</f>
        <v>4.7549999999999999</v>
      </c>
      <c r="H457">
        <f t="shared" si="7"/>
        <v>9.51</v>
      </c>
    </row>
    <row r="458" spans="1:8" x14ac:dyDescent="0.25">
      <c r="A458" t="s">
        <v>908</v>
      </c>
      <c r="B458">
        <v>44017</v>
      </c>
      <c r="C458" t="s">
        <v>909</v>
      </c>
      <c r="D458" t="s">
        <v>35</v>
      </c>
      <c r="E458">
        <v>2</v>
      </c>
      <c r="F458">
        <f>INDEX([1]products!$A$1:$G$49,MATCH([1]orders!$D458,[1]products!$A$1:$A$49,0),MATCH([1]orders!K$1,[1]products!$A$1:$G$1,0))</f>
        <v>2.5</v>
      </c>
      <c r="G458">
        <f>INDEX([1]products!$A$1:$G$49,MATCH([1]orders!$D458,[1]products!$A$1:$A$49,0),MATCH([1]orders!L$1,[1]products!$A$1:$G$1,0))</f>
        <v>20.584999999999997</v>
      </c>
      <c r="H458">
        <f t="shared" si="7"/>
        <v>41.169999999999995</v>
      </c>
    </row>
    <row r="459" spans="1:8" x14ac:dyDescent="0.25">
      <c r="A459" t="s">
        <v>910</v>
      </c>
      <c r="B459">
        <v>43671</v>
      </c>
      <c r="C459" t="s">
        <v>911</v>
      </c>
      <c r="D459" t="s">
        <v>83</v>
      </c>
      <c r="E459">
        <v>5</v>
      </c>
      <c r="F459">
        <f>INDEX([1]products!$A$1:$G$49,MATCH([1]orders!$D459,[1]products!$A$1:$A$49,0),MATCH([1]orders!K$1,[1]products!$A$1:$G$1,0))</f>
        <v>0.5</v>
      </c>
      <c r="G459">
        <f>INDEX([1]products!$A$1:$G$49,MATCH([1]orders!$D459,[1]products!$A$1:$A$49,0),MATCH([1]orders!L$1,[1]products!$A$1:$G$1,0))</f>
        <v>9.51</v>
      </c>
      <c r="H459">
        <f t="shared" si="7"/>
        <v>47.55</v>
      </c>
    </row>
    <row r="460" spans="1:8" x14ac:dyDescent="0.25">
      <c r="A460" t="s">
        <v>912</v>
      </c>
      <c r="B460">
        <v>44707</v>
      </c>
      <c r="C460" t="s">
        <v>913</v>
      </c>
      <c r="D460" t="s">
        <v>61</v>
      </c>
      <c r="E460">
        <v>4</v>
      </c>
      <c r="F460">
        <f>INDEX([1]products!$A$1:$G$49,MATCH([1]orders!$D460,[1]products!$A$1:$A$49,0),MATCH([1]orders!K$1,[1]products!$A$1:$G$1,0))</f>
        <v>1</v>
      </c>
      <c r="G460">
        <f>INDEX([1]products!$A$1:$G$49,MATCH([1]orders!$D460,[1]products!$A$1:$A$49,0),MATCH([1]orders!L$1,[1]products!$A$1:$G$1,0))</f>
        <v>11.25</v>
      </c>
      <c r="H460">
        <f t="shared" si="7"/>
        <v>45</v>
      </c>
    </row>
    <row r="461" spans="1:8" x14ac:dyDescent="0.25">
      <c r="A461" t="s">
        <v>914</v>
      </c>
      <c r="B461">
        <v>43840</v>
      </c>
      <c r="C461" t="s">
        <v>915</v>
      </c>
      <c r="D461" t="s">
        <v>19</v>
      </c>
      <c r="E461">
        <v>5</v>
      </c>
      <c r="F461">
        <f>INDEX([1]products!$A$1:$G$49,MATCH([1]orders!$D461,[1]products!$A$1:$A$49,0),MATCH([1]orders!K$1,[1]products!$A$1:$G$1,0))</f>
        <v>0.2</v>
      </c>
      <c r="G461">
        <f>INDEX([1]products!$A$1:$G$49,MATCH([1]orders!$D461,[1]products!$A$1:$A$49,0),MATCH([1]orders!L$1,[1]products!$A$1:$G$1,0))</f>
        <v>4.7549999999999999</v>
      </c>
      <c r="H461">
        <f t="shared" si="7"/>
        <v>23.774999999999999</v>
      </c>
    </row>
    <row r="462" spans="1:8" x14ac:dyDescent="0.25">
      <c r="A462" t="s">
        <v>916</v>
      </c>
      <c r="B462">
        <v>43602</v>
      </c>
      <c r="C462" t="s">
        <v>917</v>
      </c>
      <c r="D462" t="s">
        <v>146</v>
      </c>
      <c r="E462">
        <v>3</v>
      </c>
      <c r="F462">
        <f>INDEX([1]products!$A$1:$G$49,MATCH([1]orders!$D462,[1]products!$A$1:$A$49,0),MATCH([1]orders!K$1,[1]products!$A$1:$G$1,0))</f>
        <v>0.5</v>
      </c>
      <c r="G462">
        <f>INDEX([1]products!$A$1:$G$49,MATCH([1]orders!$D462,[1]products!$A$1:$A$49,0),MATCH([1]orders!L$1,[1]products!$A$1:$G$1,0))</f>
        <v>5.3699999999999992</v>
      </c>
      <c r="H462">
        <f t="shared" si="7"/>
        <v>16.11</v>
      </c>
    </row>
    <row r="463" spans="1:8" x14ac:dyDescent="0.25">
      <c r="A463" t="s">
        <v>918</v>
      </c>
      <c r="B463">
        <v>44036</v>
      </c>
      <c r="C463" t="s">
        <v>919</v>
      </c>
      <c r="D463" t="s">
        <v>101</v>
      </c>
      <c r="E463">
        <v>4</v>
      </c>
      <c r="F463">
        <f>INDEX([1]products!$A$1:$G$49,MATCH([1]orders!$D463,[1]products!$A$1:$A$49,0),MATCH([1]orders!K$1,[1]products!$A$1:$G$1,0))</f>
        <v>0.2</v>
      </c>
      <c r="G463">
        <f>INDEX([1]products!$A$1:$G$49,MATCH([1]orders!$D463,[1]products!$A$1:$A$49,0),MATCH([1]orders!L$1,[1]products!$A$1:$G$1,0))</f>
        <v>2.6849999999999996</v>
      </c>
      <c r="H463">
        <f t="shared" si="7"/>
        <v>10.739999999999998</v>
      </c>
    </row>
    <row r="464" spans="1:8" x14ac:dyDescent="0.25">
      <c r="A464" t="s">
        <v>920</v>
      </c>
      <c r="B464">
        <v>44124</v>
      </c>
      <c r="C464" t="s">
        <v>921</v>
      </c>
      <c r="D464" t="s">
        <v>27</v>
      </c>
      <c r="E464">
        <v>5</v>
      </c>
      <c r="F464">
        <f>INDEX([1]products!$A$1:$G$49,MATCH([1]orders!$D464,[1]products!$A$1:$A$49,0),MATCH([1]orders!K$1,[1]products!$A$1:$G$1,0))</f>
        <v>1</v>
      </c>
      <c r="G464">
        <f>INDEX([1]products!$A$1:$G$49,MATCH([1]orders!$D464,[1]products!$A$1:$A$49,0),MATCH([1]orders!L$1,[1]products!$A$1:$G$1,0))</f>
        <v>9.9499999999999993</v>
      </c>
      <c r="H464">
        <f t="shared" si="7"/>
        <v>49.75</v>
      </c>
    </row>
    <row r="465" spans="1:8" x14ac:dyDescent="0.25">
      <c r="A465" t="s">
        <v>922</v>
      </c>
      <c r="B465">
        <v>43730</v>
      </c>
      <c r="C465" t="s">
        <v>923</v>
      </c>
      <c r="D465" t="s">
        <v>9</v>
      </c>
      <c r="E465">
        <v>2</v>
      </c>
      <c r="F465">
        <f>INDEX([1]products!$A$1:$G$49,MATCH([1]orders!$D465,[1]products!$A$1:$A$49,0),MATCH([1]orders!K$1,[1]products!$A$1:$G$1,0))</f>
        <v>1</v>
      </c>
      <c r="G465">
        <f>INDEX([1]products!$A$1:$G$49,MATCH([1]orders!$D465,[1]products!$A$1:$A$49,0),MATCH([1]orders!L$1,[1]products!$A$1:$G$1,0))</f>
        <v>13.75</v>
      </c>
      <c r="H465">
        <f t="shared" si="7"/>
        <v>27.5</v>
      </c>
    </row>
    <row r="466" spans="1:8" x14ac:dyDescent="0.25">
      <c r="A466" t="s">
        <v>924</v>
      </c>
      <c r="B466">
        <v>43989</v>
      </c>
      <c r="C466" t="s">
        <v>925</v>
      </c>
      <c r="D466" t="s">
        <v>109</v>
      </c>
      <c r="E466">
        <v>4</v>
      </c>
      <c r="F466">
        <f>INDEX([1]products!$A$1:$G$49,MATCH([1]orders!$D466,[1]products!$A$1:$A$49,0),MATCH([1]orders!K$1,[1]products!$A$1:$G$1,0))</f>
        <v>2.5</v>
      </c>
      <c r="G466">
        <f>INDEX([1]products!$A$1:$G$49,MATCH([1]orders!$D466,[1]products!$A$1:$A$49,0),MATCH([1]orders!L$1,[1]products!$A$1:$G$1,0))</f>
        <v>29.784999999999997</v>
      </c>
      <c r="H466">
        <f t="shared" si="7"/>
        <v>119.13999999999999</v>
      </c>
    </row>
    <row r="467" spans="1:8" x14ac:dyDescent="0.25">
      <c r="A467" t="s">
        <v>926</v>
      </c>
      <c r="B467">
        <v>43814</v>
      </c>
      <c r="C467" t="s">
        <v>927</v>
      </c>
      <c r="D467" t="s">
        <v>35</v>
      </c>
      <c r="E467">
        <v>1</v>
      </c>
      <c r="F467">
        <f>INDEX([1]products!$A$1:$G$49,MATCH([1]orders!$D467,[1]products!$A$1:$A$49,0),MATCH([1]orders!K$1,[1]products!$A$1:$G$1,0))</f>
        <v>2.5</v>
      </c>
      <c r="G467">
        <f>INDEX([1]products!$A$1:$G$49,MATCH([1]orders!$D467,[1]products!$A$1:$A$49,0),MATCH([1]orders!L$1,[1]products!$A$1:$G$1,0))</f>
        <v>20.584999999999997</v>
      </c>
      <c r="H467">
        <f t="shared" si="7"/>
        <v>20.584999999999997</v>
      </c>
    </row>
    <row r="468" spans="1:8" x14ac:dyDescent="0.25">
      <c r="A468" t="s">
        <v>928</v>
      </c>
      <c r="B468">
        <v>44171</v>
      </c>
      <c r="C468" t="s">
        <v>929</v>
      </c>
      <c r="D468" t="s">
        <v>54</v>
      </c>
      <c r="E468">
        <v>3</v>
      </c>
      <c r="F468">
        <f>INDEX([1]products!$A$1:$G$49,MATCH([1]orders!$D468,[1]products!$A$1:$A$49,0),MATCH([1]orders!K$1,[1]products!$A$1:$G$1,0))</f>
        <v>0.2</v>
      </c>
      <c r="G468">
        <f>INDEX([1]products!$A$1:$G$49,MATCH([1]orders!$D468,[1]products!$A$1:$A$49,0),MATCH([1]orders!L$1,[1]products!$A$1:$G$1,0))</f>
        <v>2.9849999999999999</v>
      </c>
      <c r="H468">
        <f t="shared" si="7"/>
        <v>8.9550000000000001</v>
      </c>
    </row>
    <row r="469" spans="1:8" x14ac:dyDescent="0.25">
      <c r="A469" t="s">
        <v>930</v>
      </c>
      <c r="B469">
        <v>44536</v>
      </c>
      <c r="C469" t="s">
        <v>931</v>
      </c>
      <c r="D469" t="s">
        <v>72</v>
      </c>
      <c r="E469">
        <v>1</v>
      </c>
      <c r="F469">
        <f>INDEX([1]products!$A$1:$G$49,MATCH([1]orders!$D469,[1]products!$A$1:$A$49,0),MATCH([1]orders!K$1,[1]products!$A$1:$G$1,0))</f>
        <v>0.5</v>
      </c>
      <c r="G469">
        <f>INDEX([1]products!$A$1:$G$49,MATCH([1]orders!$D469,[1]products!$A$1:$A$49,0),MATCH([1]orders!L$1,[1]products!$A$1:$G$1,0))</f>
        <v>5.97</v>
      </c>
      <c r="H469">
        <f t="shared" si="7"/>
        <v>5.97</v>
      </c>
    </row>
    <row r="470" spans="1:8" x14ac:dyDescent="0.25">
      <c r="A470" t="s">
        <v>932</v>
      </c>
      <c r="B470">
        <v>44023</v>
      </c>
      <c r="C470" t="s">
        <v>933</v>
      </c>
      <c r="D470" t="s">
        <v>9</v>
      </c>
      <c r="E470">
        <v>3</v>
      </c>
      <c r="F470">
        <f>INDEX([1]products!$A$1:$G$49,MATCH([1]orders!$D470,[1]products!$A$1:$A$49,0),MATCH([1]orders!K$1,[1]products!$A$1:$G$1,0))</f>
        <v>1</v>
      </c>
      <c r="G470">
        <f>INDEX([1]products!$A$1:$G$49,MATCH([1]orders!$D470,[1]products!$A$1:$A$49,0),MATCH([1]orders!L$1,[1]products!$A$1:$G$1,0))</f>
        <v>13.75</v>
      </c>
      <c r="H470">
        <f t="shared" si="7"/>
        <v>41.25</v>
      </c>
    </row>
    <row r="471" spans="1:8" x14ac:dyDescent="0.25">
      <c r="A471" t="s">
        <v>934</v>
      </c>
      <c r="B471">
        <v>44375</v>
      </c>
      <c r="C471" t="s">
        <v>935</v>
      </c>
      <c r="D471" t="s">
        <v>254</v>
      </c>
      <c r="E471">
        <v>5</v>
      </c>
      <c r="F471">
        <f>INDEX([1]products!$A$1:$G$49,MATCH([1]orders!$D471,[1]products!$A$1:$A$49,0),MATCH([1]orders!K$1,[1]products!$A$1:$G$1,0))</f>
        <v>0.2</v>
      </c>
      <c r="G471">
        <f>INDEX([1]products!$A$1:$G$49,MATCH([1]orders!$D471,[1]products!$A$1:$A$49,0),MATCH([1]orders!L$1,[1]products!$A$1:$G$1,0))</f>
        <v>4.4550000000000001</v>
      </c>
      <c r="H471">
        <f t="shared" si="7"/>
        <v>22.274999999999999</v>
      </c>
    </row>
    <row r="472" spans="1:8" x14ac:dyDescent="0.25">
      <c r="A472" t="s">
        <v>936</v>
      </c>
      <c r="B472">
        <v>44656</v>
      </c>
      <c r="C472" t="s">
        <v>937</v>
      </c>
      <c r="D472" t="s">
        <v>67</v>
      </c>
      <c r="E472">
        <v>1</v>
      </c>
      <c r="F472">
        <f>INDEX([1]products!$A$1:$G$49,MATCH([1]orders!$D472,[1]products!$A$1:$A$49,0),MATCH([1]orders!K$1,[1]products!$A$1:$G$1,0))</f>
        <v>0.5</v>
      </c>
      <c r="G472">
        <f>INDEX([1]products!$A$1:$G$49,MATCH([1]orders!$D472,[1]products!$A$1:$A$49,0),MATCH([1]orders!L$1,[1]products!$A$1:$G$1,0))</f>
        <v>6.75</v>
      </c>
      <c r="H472">
        <f t="shared" si="7"/>
        <v>6.75</v>
      </c>
    </row>
    <row r="473" spans="1:8" x14ac:dyDescent="0.25">
      <c r="A473" t="s">
        <v>938</v>
      </c>
      <c r="B473">
        <v>44644</v>
      </c>
      <c r="C473" t="s">
        <v>939</v>
      </c>
      <c r="D473" t="s">
        <v>197</v>
      </c>
      <c r="E473">
        <v>4</v>
      </c>
      <c r="F473">
        <f>INDEX([1]products!$A$1:$G$49,MATCH([1]orders!$D473,[1]products!$A$1:$A$49,0),MATCH([1]orders!K$1,[1]products!$A$1:$G$1,0))</f>
        <v>2.5</v>
      </c>
      <c r="G473">
        <f>INDEX([1]products!$A$1:$G$49,MATCH([1]orders!$D473,[1]products!$A$1:$A$49,0),MATCH([1]orders!L$1,[1]products!$A$1:$G$1,0))</f>
        <v>33.464999999999996</v>
      </c>
      <c r="H473">
        <f t="shared" si="7"/>
        <v>133.85999999999999</v>
      </c>
    </row>
    <row r="474" spans="1:8" x14ac:dyDescent="0.25">
      <c r="A474" t="s">
        <v>940</v>
      </c>
      <c r="B474">
        <v>43869</v>
      </c>
      <c r="C474" t="s">
        <v>941</v>
      </c>
      <c r="D474" t="s">
        <v>54</v>
      </c>
      <c r="E474">
        <v>2</v>
      </c>
      <c r="F474">
        <f>INDEX([1]products!$A$1:$G$49,MATCH([1]orders!$D474,[1]products!$A$1:$A$49,0),MATCH([1]orders!K$1,[1]products!$A$1:$G$1,0))</f>
        <v>0.2</v>
      </c>
      <c r="G474">
        <f>INDEX([1]products!$A$1:$G$49,MATCH([1]orders!$D474,[1]products!$A$1:$A$49,0),MATCH([1]orders!L$1,[1]products!$A$1:$G$1,0))</f>
        <v>2.9849999999999999</v>
      </c>
      <c r="H474">
        <f t="shared" si="7"/>
        <v>5.97</v>
      </c>
    </row>
    <row r="475" spans="1:8" x14ac:dyDescent="0.25">
      <c r="A475" t="s">
        <v>942</v>
      </c>
      <c r="B475">
        <v>44603</v>
      </c>
      <c r="C475" t="s">
        <v>943</v>
      </c>
      <c r="D475" t="s">
        <v>6</v>
      </c>
      <c r="E475">
        <v>2</v>
      </c>
      <c r="F475">
        <f>INDEX([1]products!$A$1:$G$49,MATCH([1]orders!$D475,[1]products!$A$1:$A$49,0),MATCH([1]orders!K$1,[1]products!$A$1:$G$1,0))</f>
        <v>1</v>
      </c>
      <c r="G475">
        <f>INDEX([1]products!$A$1:$G$49,MATCH([1]orders!$D475,[1]products!$A$1:$A$49,0),MATCH([1]orders!L$1,[1]products!$A$1:$G$1,0))</f>
        <v>12.95</v>
      </c>
      <c r="H475">
        <f t="shared" si="7"/>
        <v>25.9</v>
      </c>
    </row>
    <row r="476" spans="1:8" x14ac:dyDescent="0.25">
      <c r="A476" t="s">
        <v>944</v>
      </c>
      <c r="B476">
        <v>44014</v>
      </c>
      <c r="C476" t="s">
        <v>945</v>
      </c>
      <c r="D476" t="s">
        <v>112</v>
      </c>
      <c r="E476">
        <v>1</v>
      </c>
      <c r="F476">
        <f>INDEX([1]products!$A$1:$G$49,MATCH([1]orders!$D476,[1]products!$A$1:$A$49,0),MATCH([1]orders!K$1,[1]products!$A$1:$G$1,0))</f>
        <v>2.5</v>
      </c>
      <c r="G476">
        <f>INDEX([1]products!$A$1:$G$49,MATCH([1]orders!$D476,[1]products!$A$1:$A$49,0),MATCH([1]orders!L$1,[1]products!$A$1:$G$1,0))</f>
        <v>31.624999999999996</v>
      </c>
      <c r="H476">
        <f t="shared" si="7"/>
        <v>31.624999999999996</v>
      </c>
    </row>
    <row r="477" spans="1:8" x14ac:dyDescent="0.25">
      <c r="A477" t="s">
        <v>946</v>
      </c>
      <c r="B477">
        <v>44767</v>
      </c>
      <c r="C477" t="s">
        <v>947</v>
      </c>
      <c r="D477" t="s">
        <v>77</v>
      </c>
      <c r="E477">
        <v>2</v>
      </c>
      <c r="F477">
        <f>INDEX([1]products!$A$1:$G$49,MATCH([1]orders!$D477,[1]products!$A$1:$A$49,0),MATCH([1]orders!K$1,[1]products!$A$1:$G$1,0))</f>
        <v>0.2</v>
      </c>
      <c r="G477">
        <f>INDEX([1]products!$A$1:$G$49,MATCH([1]orders!$D477,[1]products!$A$1:$A$49,0),MATCH([1]orders!L$1,[1]products!$A$1:$G$1,0))</f>
        <v>4.3650000000000002</v>
      </c>
      <c r="H477">
        <f t="shared" si="7"/>
        <v>8.73</v>
      </c>
    </row>
    <row r="478" spans="1:8" x14ac:dyDescent="0.25">
      <c r="A478" t="s">
        <v>948</v>
      </c>
      <c r="B478">
        <v>44274</v>
      </c>
      <c r="C478" t="s">
        <v>949</v>
      </c>
      <c r="D478" t="s">
        <v>254</v>
      </c>
      <c r="E478">
        <v>6</v>
      </c>
      <c r="F478">
        <f>INDEX([1]products!$A$1:$G$49,MATCH([1]orders!$D478,[1]products!$A$1:$A$49,0),MATCH([1]orders!K$1,[1]products!$A$1:$G$1,0))</f>
        <v>0.2</v>
      </c>
      <c r="G478">
        <f>INDEX([1]products!$A$1:$G$49,MATCH([1]orders!$D478,[1]products!$A$1:$A$49,0),MATCH([1]orders!L$1,[1]products!$A$1:$G$1,0))</f>
        <v>4.4550000000000001</v>
      </c>
      <c r="H478">
        <f t="shared" si="7"/>
        <v>26.73</v>
      </c>
    </row>
    <row r="479" spans="1:8" x14ac:dyDescent="0.25">
      <c r="A479" t="s">
        <v>950</v>
      </c>
      <c r="B479">
        <v>43962</v>
      </c>
      <c r="C479" t="s">
        <v>951</v>
      </c>
      <c r="D479" t="s">
        <v>77</v>
      </c>
      <c r="E479">
        <v>6</v>
      </c>
      <c r="F479">
        <f>INDEX([1]products!$A$1:$G$49,MATCH([1]orders!$D479,[1]products!$A$1:$A$49,0),MATCH([1]orders!K$1,[1]products!$A$1:$G$1,0))</f>
        <v>0.2</v>
      </c>
      <c r="G479">
        <f>INDEX([1]products!$A$1:$G$49,MATCH([1]orders!$D479,[1]products!$A$1:$A$49,0),MATCH([1]orders!L$1,[1]products!$A$1:$G$1,0))</f>
        <v>4.3650000000000002</v>
      </c>
      <c r="H479">
        <f t="shared" si="7"/>
        <v>26.19</v>
      </c>
    </row>
    <row r="480" spans="1:8" x14ac:dyDescent="0.25">
      <c r="A480" t="s">
        <v>952</v>
      </c>
      <c r="B480">
        <v>43624</v>
      </c>
      <c r="C480" t="s">
        <v>935</v>
      </c>
      <c r="D480" t="s">
        <v>179</v>
      </c>
      <c r="E480">
        <v>6</v>
      </c>
      <c r="F480">
        <f>INDEX([1]products!$A$1:$G$49,MATCH([1]orders!$D480,[1]products!$A$1:$A$49,0),MATCH([1]orders!K$1,[1]products!$A$1:$G$1,0))</f>
        <v>1</v>
      </c>
      <c r="G480">
        <f>INDEX([1]products!$A$1:$G$49,MATCH([1]orders!$D480,[1]products!$A$1:$A$49,0),MATCH([1]orders!L$1,[1]products!$A$1:$G$1,0))</f>
        <v>8.9499999999999993</v>
      </c>
      <c r="H480">
        <f t="shared" si="7"/>
        <v>53.699999999999996</v>
      </c>
    </row>
    <row r="481" spans="1:8" x14ac:dyDescent="0.25">
      <c r="A481" t="s">
        <v>952</v>
      </c>
      <c r="B481">
        <v>43624</v>
      </c>
      <c r="C481" t="s">
        <v>935</v>
      </c>
      <c r="D481" t="s">
        <v>112</v>
      </c>
      <c r="E481">
        <v>4</v>
      </c>
      <c r="F481">
        <f>INDEX([1]products!$A$1:$G$49,MATCH([1]orders!$D481,[1]products!$A$1:$A$49,0),MATCH([1]orders!K$1,[1]products!$A$1:$G$1,0))</f>
        <v>2.5</v>
      </c>
      <c r="G481">
        <f>INDEX([1]products!$A$1:$G$49,MATCH([1]orders!$D481,[1]products!$A$1:$A$49,0),MATCH([1]orders!L$1,[1]products!$A$1:$G$1,0))</f>
        <v>31.624999999999996</v>
      </c>
      <c r="H481">
        <f t="shared" si="7"/>
        <v>126.49999999999999</v>
      </c>
    </row>
    <row r="482" spans="1:8" x14ac:dyDescent="0.25">
      <c r="A482" t="s">
        <v>952</v>
      </c>
      <c r="B482">
        <v>43624</v>
      </c>
      <c r="C482" t="s">
        <v>935</v>
      </c>
      <c r="D482" t="s">
        <v>64</v>
      </c>
      <c r="E482">
        <v>1</v>
      </c>
      <c r="F482">
        <f>INDEX([1]products!$A$1:$G$49,MATCH([1]orders!$D482,[1]products!$A$1:$A$49,0),MATCH([1]orders!K$1,[1]products!$A$1:$G$1,0))</f>
        <v>0.2</v>
      </c>
      <c r="G482">
        <f>INDEX([1]products!$A$1:$G$49,MATCH([1]orders!$D482,[1]products!$A$1:$A$49,0),MATCH([1]orders!L$1,[1]products!$A$1:$G$1,0))</f>
        <v>4.125</v>
      </c>
      <c r="H482">
        <f t="shared" si="7"/>
        <v>4.125</v>
      </c>
    </row>
    <row r="483" spans="1:8" x14ac:dyDescent="0.25">
      <c r="A483" t="s">
        <v>953</v>
      </c>
      <c r="B483">
        <v>43747</v>
      </c>
      <c r="C483" t="s">
        <v>954</v>
      </c>
      <c r="D483" t="s">
        <v>189</v>
      </c>
      <c r="E483">
        <v>2</v>
      </c>
      <c r="F483">
        <f>INDEX([1]products!$A$1:$G$49,MATCH([1]orders!$D483,[1]products!$A$1:$A$49,0),MATCH([1]orders!K$1,[1]products!$A$1:$G$1,0))</f>
        <v>1</v>
      </c>
      <c r="G483">
        <f>INDEX([1]products!$A$1:$G$49,MATCH([1]orders!$D483,[1]products!$A$1:$A$49,0),MATCH([1]orders!L$1,[1]products!$A$1:$G$1,0))</f>
        <v>11.95</v>
      </c>
      <c r="H483">
        <f t="shared" si="7"/>
        <v>23.9</v>
      </c>
    </row>
    <row r="484" spans="1:8" x14ac:dyDescent="0.25">
      <c r="A484" t="s">
        <v>955</v>
      </c>
      <c r="B484">
        <v>44247</v>
      </c>
      <c r="C484" t="s">
        <v>956</v>
      </c>
      <c r="D484" t="s">
        <v>530</v>
      </c>
      <c r="E484">
        <v>5</v>
      </c>
      <c r="F484">
        <f>INDEX([1]products!$A$1:$G$49,MATCH([1]orders!$D484,[1]products!$A$1:$A$49,0),MATCH([1]orders!K$1,[1]products!$A$1:$G$1,0))</f>
        <v>2.5</v>
      </c>
      <c r="G484">
        <f>INDEX([1]products!$A$1:$G$49,MATCH([1]orders!$D484,[1]products!$A$1:$A$49,0),MATCH([1]orders!L$1,[1]products!$A$1:$G$1,0))</f>
        <v>27.945</v>
      </c>
      <c r="H484">
        <f t="shared" si="7"/>
        <v>139.72499999999999</v>
      </c>
    </row>
    <row r="485" spans="1:8" x14ac:dyDescent="0.25">
      <c r="A485" t="s">
        <v>957</v>
      </c>
      <c r="B485">
        <v>43790</v>
      </c>
      <c r="C485" t="s">
        <v>958</v>
      </c>
      <c r="D485" t="s">
        <v>109</v>
      </c>
      <c r="E485">
        <v>2</v>
      </c>
      <c r="F485">
        <f>INDEX([1]products!$A$1:$G$49,MATCH([1]orders!$D485,[1]products!$A$1:$A$49,0),MATCH([1]orders!K$1,[1]products!$A$1:$G$1,0))</f>
        <v>2.5</v>
      </c>
      <c r="G485">
        <f>INDEX([1]products!$A$1:$G$49,MATCH([1]orders!$D485,[1]products!$A$1:$A$49,0),MATCH([1]orders!L$1,[1]products!$A$1:$G$1,0))</f>
        <v>29.784999999999997</v>
      </c>
      <c r="H485">
        <f t="shared" si="7"/>
        <v>59.569999999999993</v>
      </c>
    </row>
    <row r="486" spans="1:8" x14ac:dyDescent="0.25">
      <c r="A486" t="s">
        <v>959</v>
      </c>
      <c r="B486">
        <v>44479</v>
      </c>
      <c r="C486" t="s">
        <v>960</v>
      </c>
      <c r="D486" t="s">
        <v>83</v>
      </c>
      <c r="E486">
        <v>6</v>
      </c>
      <c r="F486">
        <f>INDEX([1]products!$A$1:$G$49,MATCH([1]orders!$D486,[1]products!$A$1:$A$49,0),MATCH([1]orders!K$1,[1]products!$A$1:$G$1,0))</f>
        <v>0.5</v>
      </c>
      <c r="G486">
        <f>INDEX([1]products!$A$1:$G$49,MATCH([1]orders!$D486,[1]products!$A$1:$A$49,0),MATCH([1]orders!L$1,[1]products!$A$1:$G$1,0))</f>
        <v>9.51</v>
      </c>
      <c r="H486">
        <f t="shared" si="7"/>
        <v>57.06</v>
      </c>
    </row>
    <row r="487" spans="1:8" x14ac:dyDescent="0.25">
      <c r="A487" t="s">
        <v>961</v>
      </c>
      <c r="B487">
        <v>44413</v>
      </c>
      <c r="C487" t="s">
        <v>962</v>
      </c>
      <c r="D487" t="s">
        <v>182</v>
      </c>
      <c r="E487">
        <v>6</v>
      </c>
      <c r="F487">
        <f>INDEX([1]products!$A$1:$G$49,MATCH([1]orders!$D487,[1]products!$A$1:$A$49,0),MATCH([1]orders!K$1,[1]products!$A$1:$G$1,0))</f>
        <v>0.2</v>
      </c>
      <c r="G487">
        <f>INDEX([1]products!$A$1:$G$49,MATCH([1]orders!$D487,[1]products!$A$1:$A$49,0),MATCH([1]orders!L$1,[1]products!$A$1:$G$1,0))</f>
        <v>3.5849999999999995</v>
      </c>
      <c r="H487">
        <f t="shared" si="7"/>
        <v>21.509999999999998</v>
      </c>
    </row>
    <row r="488" spans="1:8" x14ac:dyDescent="0.25">
      <c r="A488" t="s">
        <v>963</v>
      </c>
      <c r="B488">
        <v>44043</v>
      </c>
      <c r="C488" t="s">
        <v>964</v>
      </c>
      <c r="D488" t="s">
        <v>78</v>
      </c>
      <c r="E488">
        <v>6</v>
      </c>
      <c r="F488">
        <f>INDEX([1]products!$A$1:$G$49,MATCH([1]orders!$D488,[1]products!$A$1:$A$49,0),MATCH([1]orders!K$1,[1]products!$A$1:$G$1,0))</f>
        <v>0.5</v>
      </c>
      <c r="G488">
        <f>INDEX([1]products!$A$1:$G$49,MATCH([1]orders!$D488,[1]products!$A$1:$A$49,0),MATCH([1]orders!L$1,[1]products!$A$1:$G$1,0))</f>
        <v>8.73</v>
      </c>
      <c r="H488">
        <f t="shared" si="7"/>
        <v>52.38</v>
      </c>
    </row>
    <row r="489" spans="1:8" x14ac:dyDescent="0.25">
      <c r="A489" t="s">
        <v>965</v>
      </c>
      <c r="B489">
        <v>44093</v>
      </c>
      <c r="C489" t="s">
        <v>966</v>
      </c>
      <c r="D489" t="s">
        <v>245</v>
      </c>
      <c r="E489">
        <v>6</v>
      </c>
      <c r="F489">
        <f>INDEX([1]products!$A$1:$G$49,MATCH([1]orders!$D489,[1]products!$A$1:$A$49,0),MATCH([1]orders!K$1,[1]products!$A$1:$G$1,0))</f>
        <v>1</v>
      </c>
      <c r="G489">
        <f>INDEX([1]products!$A$1:$G$49,MATCH([1]orders!$D489,[1]products!$A$1:$A$49,0),MATCH([1]orders!L$1,[1]products!$A$1:$G$1,0))</f>
        <v>12.15</v>
      </c>
      <c r="H489">
        <f t="shared" si="7"/>
        <v>72.900000000000006</v>
      </c>
    </row>
    <row r="490" spans="1:8" x14ac:dyDescent="0.25">
      <c r="A490" t="s">
        <v>967</v>
      </c>
      <c r="B490">
        <v>43954</v>
      </c>
      <c r="C490" t="s">
        <v>968</v>
      </c>
      <c r="D490" t="s">
        <v>162</v>
      </c>
      <c r="E490">
        <v>5</v>
      </c>
      <c r="F490">
        <f>INDEX([1]products!$A$1:$G$49,MATCH([1]orders!$D490,[1]products!$A$1:$A$49,0),MATCH([1]orders!K$1,[1]products!$A$1:$G$1,0))</f>
        <v>0.2</v>
      </c>
      <c r="G490">
        <f>INDEX([1]products!$A$1:$G$49,MATCH([1]orders!$D490,[1]products!$A$1:$A$49,0),MATCH([1]orders!L$1,[1]products!$A$1:$G$1,0))</f>
        <v>2.9849999999999999</v>
      </c>
      <c r="H490">
        <f t="shared" si="7"/>
        <v>14.924999999999999</v>
      </c>
    </row>
    <row r="491" spans="1:8" x14ac:dyDescent="0.25">
      <c r="A491" t="s">
        <v>969</v>
      </c>
      <c r="B491">
        <v>43654</v>
      </c>
      <c r="C491" t="s">
        <v>970</v>
      </c>
      <c r="D491" t="s">
        <v>132</v>
      </c>
      <c r="E491">
        <v>6</v>
      </c>
      <c r="F491">
        <f>INDEX([1]products!$A$1:$G$49,MATCH([1]orders!$D491,[1]products!$A$1:$A$49,0),MATCH([1]orders!K$1,[1]products!$A$1:$G$1,0))</f>
        <v>1</v>
      </c>
      <c r="G491">
        <f>INDEX([1]products!$A$1:$G$49,MATCH([1]orders!$D491,[1]products!$A$1:$A$49,0),MATCH([1]orders!L$1,[1]products!$A$1:$G$1,0))</f>
        <v>15.85</v>
      </c>
      <c r="H491">
        <f t="shared" si="7"/>
        <v>95.1</v>
      </c>
    </row>
    <row r="492" spans="1:8" x14ac:dyDescent="0.25">
      <c r="A492" t="s">
        <v>971</v>
      </c>
      <c r="B492">
        <v>43764</v>
      </c>
      <c r="C492" t="s">
        <v>972</v>
      </c>
      <c r="D492" t="s">
        <v>123</v>
      </c>
      <c r="E492">
        <v>2</v>
      </c>
      <c r="F492">
        <f>INDEX([1]products!$A$1:$G$49,MATCH([1]orders!$D492,[1]products!$A$1:$A$49,0),MATCH([1]orders!K$1,[1]products!$A$1:$G$1,0))</f>
        <v>0.5</v>
      </c>
      <c r="G492">
        <f>INDEX([1]products!$A$1:$G$49,MATCH([1]orders!$D492,[1]products!$A$1:$A$49,0),MATCH([1]orders!L$1,[1]products!$A$1:$G$1,0))</f>
        <v>7.77</v>
      </c>
      <c r="H492">
        <f t="shared" si="7"/>
        <v>15.54</v>
      </c>
    </row>
    <row r="493" spans="1:8" x14ac:dyDescent="0.25">
      <c r="A493" t="s">
        <v>973</v>
      </c>
      <c r="B493">
        <v>44101</v>
      </c>
      <c r="C493" t="s">
        <v>974</v>
      </c>
      <c r="D493" t="s">
        <v>38</v>
      </c>
      <c r="E493">
        <v>6</v>
      </c>
      <c r="F493">
        <f>INDEX([1]products!$A$1:$G$49,MATCH([1]orders!$D493,[1]products!$A$1:$A$49,0),MATCH([1]orders!K$1,[1]products!$A$1:$G$1,0))</f>
        <v>0.2</v>
      </c>
      <c r="G493">
        <f>INDEX([1]products!$A$1:$G$49,MATCH([1]orders!$D493,[1]products!$A$1:$A$49,0),MATCH([1]orders!L$1,[1]products!$A$1:$G$1,0))</f>
        <v>3.8849999999999998</v>
      </c>
      <c r="H493">
        <f t="shared" si="7"/>
        <v>23.31</v>
      </c>
    </row>
    <row r="494" spans="1:8" x14ac:dyDescent="0.25">
      <c r="A494" t="s">
        <v>975</v>
      </c>
      <c r="B494">
        <v>44620</v>
      </c>
      <c r="C494" t="s">
        <v>976</v>
      </c>
      <c r="D494" t="s">
        <v>64</v>
      </c>
      <c r="E494">
        <v>1</v>
      </c>
      <c r="F494">
        <f>INDEX([1]products!$A$1:$G$49,MATCH([1]orders!$D494,[1]products!$A$1:$A$49,0),MATCH([1]orders!K$1,[1]products!$A$1:$G$1,0))</f>
        <v>0.2</v>
      </c>
      <c r="G494">
        <f>INDEX([1]products!$A$1:$G$49,MATCH([1]orders!$D494,[1]products!$A$1:$A$49,0),MATCH([1]orders!L$1,[1]products!$A$1:$G$1,0))</f>
        <v>4.125</v>
      </c>
      <c r="H494">
        <f t="shared" si="7"/>
        <v>4.125</v>
      </c>
    </row>
    <row r="495" spans="1:8" x14ac:dyDescent="0.25">
      <c r="A495" t="s">
        <v>977</v>
      </c>
      <c r="B495">
        <v>44090</v>
      </c>
      <c r="C495" t="s">
        <v>978</v>
      </c>
      <c r="D495" t="s">
        <v>22</v>
      </c>
      <c r="E495">
        <v>6</v>
      </c>
      <c r="F495">
        <f>INDEX([1]products!$A$1:$G$49,MATCH([1]orders!$D495,[1]products!$A$1:$A$49,0),MATCH([1]orders!K$1,[1]products!$A$1:$G$1,0))</f>
        <v>0.5</v>
      </c>
      <c r="G495">
        <f>INDEX([1]products!$A$1:$G$49,MATCH([1]orders!$D495,[1]products!$A$1:$A$49,0),MATCH([1]orders!L$1,[1]products!$A$1:$G$1,0))</f>
        <v>5.97</v>
      </c>
      <c r="H495">
        <f t="shared" si="7"/>
        <v>35.82</v>
      </c>
    </row>
    <row r="496" spans="1:8" x14ac:dyDescent="0.25">
      <c r="A496" t="s">
        <v>979</v>
      </c>
      <c r="B496">
        <v>44132</v>
      </c>
      <c r="C496" t="s">
        <v>980</v>
      </c>
      <c r="D496" t="s">
        <v>132</v>
      </c>
      <c r="E496">
        <v>2</v>
      </c>
      <c r="F496">
        <f>INDEX([1]products!$A$1:$G$49,MATCH([1]orders!$D496,[1]products!$A$1:$A$49,0),MATCH([1]orders!K$1,[1]products!$A$1:$G$1,0))</f>
        <v>1</v>
      </c>
      <c r="G496">
        <f>INDEX([1]products!$A$1:$G$49,MATCH([1]orders!$D496,[1]products!$A$1:$A$49,0),MATCH([1]orders!L$1,[1]products!$A$1:$G$1,0))</f>
        <v>15.85</v>
      </c>
      <c r="H496">
        <f t="shared" si="7"/>
        <v>31.7</v>
      </c>
    </row>
    <row r="497" spans="1:8" x14ac:dyDescent="0.25">
      <c r="A497" t="s">
        <v>981</v>
      </c>
      <c r="B497">
        <v>43710</v>
      </c>
      <c r="C497" t="s">
        <v>982</v>
      </c>
      <c r="D497" t="s">
        <v>132</v>
      </c>
      <c r="E497">
        <v>5</v>
      </c>
      <c r="F497">
        <f>INDEX([1]products!$A$1:$G$49,MATCH([1]orders!$D497,[1]products!$A$1:$A$49,0),MATCH([1]orders!K$1,[1]products!$A$1:$G$1,0))</f>
        <v>1</v>
      </c>
      <c r="G497">
        <f>INDEX([1]products!$A$1:$G$49,MATCH([1]orders!$D497,[1]products!$A$1:$A$49,0),MATCH([1]orders!L$1,[1]products!$A$1:$G$1,0))</f>
        <v>15.85</v>
      </c>
      <c r="H497">
        <f t="shared" si="7"/>
        <v>79.25</v>
      </c>
    </row>
    <row r="498" spans="1:8" x14ac:dyDescent="0.25">
      <c r="A498" t="s">
        <v>983</v>
      </c>
      <c r="B498">
        <v>44438</v>
      </c>
      <c r="C498" t="s">
        <v>984</v>
      </c>
      <c r="D498" t="s">
        <v>51</v>
      </c>
      <c r="E498">
        <v>3</v>
      </c>
      <c r="F498">
        <f>INDEX([1]products!$A$1:$G$49,MATCH([1]orders!$D498,[1]products!$A$1:$A$49,0),MATCH([1]orders!K$1,[1]products!$A$1:$G$1,0))</f>
        <v>0.2</v>
      </c>
      <c r="G498">
        <f>INDEX([1]products!$A$1:$G$49,MATCH([1]orders!$D498,[1]products!$A$1:$A$49,0),MATCH([1]orders!L$1,[1]products!$A$1:$G$1,0))</f>
        <v>3.645</v>
      </c>
      <c r="H498">
        <f t="shared" si="7"/>
        <v>10.935</v>
      </c>
    </row>
    <row r="499" spans="1:8" x14ac:dyDescent="0.25">
      <c r="A499" t="s">
        <v>985</v>
      </c>
      <c r="B499">
        <v>44351</v>
      </c>
      <c r="C499" t="s">
        <v>986</v>
      </c>
      <c r="D499" t="s">
        <v>27</v>
      </c>
      <c r="E499">
        <v>4</v>
      </c>
      <c r="F499">
        <f>INDEX([1]products!$A$1:$G$49,MATCH([1]orders!$D499,[1]products!$A$1:$A$49,0),MATCH([1]orders!K$1,[1]products!$A$1:$G$1,0))</f>
        <v>1</v>
      </c>
      <c r="G499">
        <f>INDEX([1]products!$A$1:$G$49,MATCH([1]orders!$D499,[1]products!$A$1:$A$49,0),MATCH([1]orders!L$1,[1]products!$A$1:$G$1,0))</f>
        <v>9.9499999999999993</v>
      </c>
      <c r="H499">
        <f t="shared" si="7"/>
        <v>39.799999999999997</v>
      </c>
    </row>
    <row r="500" spans="1:8" x14ac:dyDescent="0.25">
      <c r="A500" t="s">
        <v>987</v>
      </c>
      <c r="B500">
        <v>44159</v>
      </c>
      <c r="C500" t="s">
        <v>988</v>
      </c>
      <c r="D500" t="s">
        <v>2</v>
      </c>
      <c r="E500">
        <v>5</v>
      </c>
      <c r="F500">
        <f>INDEX([1]products!$A$1:$G$49,MATCH([1]orders!$D500,[1]products!$A$1:$A$49,0),MATCH([1]orders!K$1,[1]products!$A$1:$G$1,0))</f>
        <v>1</v>
      </c>
      <c r="G500">
        <f>INDEX([1]products!$A$1:$G$49,MATCH([1]orders!$D500,[1]products!$A$1:$A$49,0),MATCH([1]orders!L$1,[1]products!$A$1:$G$1,0))</f>
        <v>9.9499999999999993</v>
      </c>
      <c r="H500">
        <f t="shared" si="7"/>
        <v>49.75</v>
      </c>
    </row>
    <row r="501" spans="1:8" x14ac:dyDescent="0.25">
      <c r="A501" t="s">
        <v>989</v>
      </c>
      <c r="B501">
        <v>44003</v>
      </c>
      <c r="C501" t="s">
        <v>990</v>
      </c>
      <c r="D501" t="s">
        <v>101</v>
      </c>
      <c r="E501">
        <v>3</v>
      </c>
      <c r="F501">
        <f>INDEX([1]products!$A$1:$G$49,MATCH([1]orders!$D501,[1]products!$A$1:$A$49,0),MATCH([1]orders!K$1,[1]products!$A$1:$G$1,0))</f>
        <v>0.2</v>
      </c>
      <c r="G501">
        <f>INDEX([1]products!$A$1:$G$49,MATCH([1]orders!$D501,[1]products!$A$1:$A$49,0),MATCH([1]orders!L$1,[1]products!$A$1:$G$1,0))</f>
        <v>2.6849999999999996</v>
      </c>
      <c r="H501">
        <f t="shared" si="7"/>
        <v>8.0549999999999997</v>
      </c>
    </row>
    <row r="502" spans="1:8" x14ac:dyDescent="0.25">
      <c r="A502" t="s">
        <v>991</v>
      </c>
      <c r="B502">
        <v>44025</v>
      </c>
      <c r="C502" t="s">
        <v>992</v>
      </c>
      <c r="D502" t="s">
        <v>189</v>
      </c>
      <c r="E502">
        <v>4</v>
      </c>
      <c r="F502">
        <f>INDEX([1]products!$A$1:$G$49,MATCH([1]orders!$D502,[1]products!$A$1:$A$49,0),MATCH([1]orders!K$1,[1]products!$A$1:$G$1,0))</f>
        <v>1</v>
      </c>
      <c r="G502">
        <f>INDEX([1]products!$A$1:$G$49,MATCH([1]orders!$D502,[1]products!$A$1:$A$49,0),MATCH([1]orders!L$1,[1]products!$A$1:$G$1,0))</f>
        <v>11.95</v>
      </c>
      <c r="H502">
        <f t="shared" si="7"/>
        <v>47.8</v>
      </c>
    </row>
    <row r="503" spans="1:8" x14ac:dyDescent="0.25">
      <c r="A503" t="s">
        <v>993</v>
      </c>
      <c r="B503">
        <v>43467</v>
      </c>
      <c r="C503" t="s">
        <v>994</v>
      </c>
      <c r="D503" t="s">
        <v>162</v>
      </c>
      <c r="E503">
        <v>4</v>
      </c>
      <c r="F503">
        <f>INDEX([1]products!$A$1:$G$49,MATCH([1]orders!$D503,[1]products!$A$1:$A$49,0),MATCH([1]orders!K$1,[1]products!$A$1:$G$1,0))</f>
        <v>0.2</v>
      </c>
      <c r="G503">
        <f>INDEX([1]products!$A$1:$G$49,MATCH([1]orders!$D503,[1]products!$A$1:$A$49,0),MATCH([1]orders!L$1,[1]products!$A$1:$G$1,0))</f>
        <v>2.9849999999999999</v>
      </c>
      <c r="H503">
        <f t="shared" si="7"/>
        <v>11.94</v>
      </c>
    </row>
    <row r="504" spans="1:8" x14ac:dyDescent="0.25">
      <c r="A504" t="s">
        <v>993</v>
      </c>
      <c r="B504">
        <v>43467</v>
      </c>
      <c r="C504" t="s">
        <v>994</v>
      </c>
      <c r="D504" t="s">
        <v>64</v>
      </c>
      <c r="E504">
        <v>4</v>
      </c>
      <c r="F504">
        <f>INDEX([1]products!$A$1:$G$49,MATCH([1]orders!$D504,[1]products!$A$1:$A$49,0),MATCH([1]orders!K$1,[1]products!$A$1:$G$1,0))</f>
        <v>0.2</v>
      </c>
      <c r="G504">
        <f>INDEX([1]products!$A$1:$G$49,MATCH([1]orders!$D504,[1]products!$A$1:$A$49,0),MATCH([1]orders!L$1,[1]products!$A$1:$G$1,0))</f>
        <v>4.125</v>
      </c>
      <c r="H504">
        <f t="shared" si="7"/>
        <v>16.5</v>
      </c>
    </row>
    <row r="505" spans="1:8" x14ac:dyDescent="0.25">
      <c r="A505" t="s">
        <v>993</v>
      </c>
      <c r="B505">
        <v>43467</v>
      </c>
      <c r="C505" t="s">
        <v>994</v>
      </c>
      <c r="D505" t="s">
        <v>13</v>
      </c>
      <c r="E505">
        <v>4</v>
      </c>
      <c r="F505">
        <f>INDEX([1]products!$A$1:$G$49,MATCH([1]orders!$D505,[1]products!$A$1:$A$49,0),MATCH([1]orders!K$1,[1]products!$A$1:$G$1,0))</f>
        <v>1</v>
      </c>
      <c r="G505">
        <f>INDEX([1]products!$A$1:$G$49,MATCH([1]orders!$D505,[1]products!$A$1:$A$49,0),MATCH([1]orders!L$1,[1]products!$A$1:$G$1,0))</f>
        <v>12.95</v>
      </c>
      <c r="H505">
        <f t="shared" si="7"/>
        <v>51.8</v>
      </c>
    </row>
    <row r="506" spans="1:8" x14ac:dyDescent="0.25">
      <c r="A506" t="s">
        <v>993</v>
      </c>
      <c r="B506">
        <v>43467</v>
      </c>
      <c r="C506" t="s">
        <v>994</v>
      </c>
      <c r="D506" t="s">
        <v>19</v>
      </c>
      <c r="E506">
        <v>3</v>
      </c>
      <c r="F506">
        <f>INDEX([1]products!$A$1:$G$49,MATCH([1]orders!$D506,[1]products!$A$1:$A$49,0),MATCH([1]orders!K$1,[1]products!$A$1:$G$1,0))</f>
        <v>0.2</v>
      </c>
      <c r="G506">
        <f>INDEX([1]products!$A$1:$G$49,MATCH([1]orders!$D506,[1]products!$A$1:$A$49,0),MATCH([1]orders!L$1,[1]products!$A$1:$G$1,0))</f>
        <v>4.7549999999999999</v>
      </c>
      <c r="H506">
        <f t="shared" si="7"/>
        <v>14.265000000000001</v>
      </c>
    </row>
    <row r="507" spans="1:8" x14ac:dyDescent="0.25">
      <c r="A507" t="s">
        <v>995</v>
      </c>
      <c r="B507">
        <v>44609</v>
      </c>
      <c r="C507" t="s">
        <v>996</v>
      </c>
      <c r="D507" t="s">
        <v>77</v>
      </c>
      <c r="E507">
        <v>6</v>
      </c>
      <c r="F507">
        <f>INDEX([1]products!$A$1:$G$49,MATCH([1]orders!$D507,[1]products!$A$1:$A$49,0),MATCH([1]orders!K$1,[1]products!$A$1:$G$1,0))</f>
        <v>0.2</v>
      </c>
      <c r="G507">
        <f>INDEX([1]products!$A$1:$G$49,MATCH([1]orders!$D507,[1]products!$A$1:$A$49,0),MATCH([1]orders!L$1,[1]products!$A$1:$G$1,0))</f>
        <v>4.3650000000000002</v>
      </c>
      <c r="H507">
        <f t="shared" si="7"/>
        <v>26.19</v>
      </c>
    </row>
    <row r="508" spans="1:8" x14ac:dyDescent="0.25">
      <c r="A508" t="s">
        <v>997</v>
      </c>
      <c r="B508">
        <v>44184</v>
      </c>
      <c r="C508" t="s">
        <v>998</v>
      </c>
      <c r="D508" t="s">
        <v>6</v>
      </c>
      <c r="E508">
        <v>2</v>
      </c>
      <c r="F508">
        <f>INDEX([1]products!$A$1:$G$49,MATCH([1]orders!$D508,[1]products!$A$1:$A$49,0),MATCH([1]orders!K$1,[1]products!$A$1:$G$1,0))</f>
        <v>1</v>
      </c>
      <c r="G508">
        <f>INDEX([1]products!$A$1:$G$49,MATCH([1]orders!$D508,[1]products!$A$1:$A$49,0),MATCH([1]orders!L$1,[1]products!$A$1:$G$1,0))</f>
        <v>12.95</v>
      </c>
      <c r="H508">
        <f t="shared" si="7"/>
        <v>25.9</v>
      </c>
    </row>
    <row r="509" spans="1:8" x14ac:dyDescent="0.25">
      <c r="A509" t="s">
        <v>999</v>
      </c>
      <c r="B509">
        <v>43516</v>
      </c>
      <c r="C509" t="s">
        <v>1000</v>
      </c>
      <c r="D509" t="s">
        <v>204</v>
      </c>
      <c r="E509">
        <v>3</v>
      </c>
      <c r="F509">
        <f>INDEX([1]products!$A$1:$G$49,MATCH([1]orders!$D509,[1]products!$A$1:$A$49,0),MATCH([1]orders!K$1,[1]products!$A$1:$G$1,0))</f>
        <v>2.5</v>
      </c>
      <c r="G509">
        <f>INDEX([1]products!$A$1:$G$49,MATCH([1]orders!$D509,[1]products!$A$1:$A$49,0),MATCH([1]orders!L$1,[1]products!$A$1:$G$1,0))</f>
        <v>29.784999999999997</v>
      </c>
      <c r="H509">
        <f t="shared" si="7"/>
        <v>89.35499999999999</v>
      </c>
    </row>
    <row r="510" spans="1:8" x14ac:dyDescent="0.25">
      <c r="A510" t="s">
        <v>1001</v>
      </c>
      <c r="B510">
        <v>44210</v>
      </c>
      <c r="C510" t="s">
        <v>1002</v>
      </c>
      <c r="D510" t="s">
        <v>123</v>
      </c>
      <c r="E510">
        <v>6</v>
      </c>
      <c r="F510">
        <f>INDEX([1]products!$A$1:$G$49,MATCH([1]orders!$D510,[1]products!$A$1:$A$49,0),MATCH([1]orders!K$1,[1]products!$A$1:$G$1,0))</f>
        <v>0.5</v>
      </c>
      <c r="G510">
        <f>INDEX([1]products!$A$1:$G$49,MATCH([1]orders!$D510,[1]products!$A$1:$A$49,0),MATCH([1]orders!L$1,[1]products!$A$1:$G$1,0))</f>
        <v>7.77</v>
      </c>
      <c r="H510">
        <f t="shared" si="7"/>
        <v>46.62</v>
      </c>
    </row>
    <row r="511" spans="1:8" x14ac:dyDescent="0.25">
      <c r="A511" t="s">
        <v>1003</v>
      </c>
      <c r="B511">
        <v>43785</v>
      </c>
      <c r="C511" t="s">
        <v>988</v>
      </c>
      <c r="D511" t="s">
        <v>27</v>
      </c>
      <c r="E511">
        <v>3</v>
      </c>
      <c r="F511">
        <f>INDEX([1]products!$A$1:$G$49,MATCH([1]orders!$D511,[1]products!$A$1:$A$49,0),MATCH([1]orders!K$1,[1]products!$A$1:$G$1,0))</f>
        <v>1</v>
      </c>
      <c r="G511">
        <f>INDEX([1]products!$A$1:$G$49,MATCH([1]orders!$D511,[1]products!$A$1:$A$49,0),MATCH([1]orders!L$1,[1]products!$A$1:$G$1,0))</f>
        <v>9.9499999999999993</v>
      </c>
      <c r="H511">
        <f t="shared" si="7"/>
        <v>29.849999999999998</v>
      </c>
    </row>
    <row r="512" spans="1:8" x14ac:dyDescent="0.25">
      <c r="A512" t="s">
        <v>1004</v>
      </c>
      <c r="B512">
        <v>43803</v>
      </c>
      <c r="C512" t="s">
        <v>1005</v>
      </c>
      <c r="D512" t="s">
        <v>182</v>
      </c>
      <c r="E512">
        <v>3</v>
      </c>
      <c r="F512">
        <f>INDEX([1]products!$A$1:$G$49,MATCH([1]orders!$D512,[1]products!$A$1:$A$49,0),MATCH([1]orders!K$1,[1]products!$A$1:$G$1,0))</f>
        <v>0.2</v>
      </c>
      <c r="G512">
        <f>INDEX([1]products!$A$1:$G$49,MATCH([1]orders!$D512,[1]products!$A$1:$A$49,0),MATCH([1]orders!L$1,[1]products!$A$1:$G$1,0))</f>
        <v>3.5849999999999995</v>
      </c>
      <c r="H512">
        <f t="shared" si="7"/>
        <v>10.754999999999999</v>
      </c>
    </row>
    <row r="513" spans="1:8" x14ac:dyDescent="0.25">
      <c r="A513" t="s">
        <v>1006</v>
      </c>
      <c r="B513">
        <v>44043</v>
      </c>
      <c r="C513" t="s">
        <v>1007</v>
      </c>
      <c r="D513" t="s">
        <v>44</v>
      </c>
      <c r="E513">
        <v>4</v>
      </c>
      <c r="F513">
        <f>INDEX([1]products!$A$1:$G$49,MATCH([1]orders!$D513,[1]products!$A$1:$A$49,0),MATCH([1]orders!K$1,[1]products!$A$1:$G$1,0))</f>
        <v>0.2</v>
      </c>
      <c r="G513">
        <f>INDEX([1]products!$A$1:$G$49,MATCH([1]orders!$D513,[1]products!$A$1:$A$49,0),MATCH([1]orders!L$1,[1]products!$A$1:$G$1,0))</f>
        <v>3.375</v>
      </c>
      <c r="H513">
        <f t="shared" si="7"/>
        <v>13.5</v>
      </c>
    </row>
    <row r="514" spans="1:8" x14ac:dyDescent="0.25">
      <c r="A514" t="s">
        <v>1008</v>
      </c>
      <c r="B514">
        <v>43535</v>
      </c>
      <c r="C514" t="s">
        <v>1009</v>
      </c>
      <c r="D514" t="s">
        <v>132</v>
      </c>
      <c r="E514">
        <v>3</v>
      </c>
      <c r="F514">
        <f>INDEX([1]products!$A$1:$G$49,MATCH([1]orders!$D514,[1]products!$A$1:$A$49,0),MATCH([1]orders!K$1,[1]products!$A$1:$G$1,0))</f>
        <v>1</v>
      </c>
      <c r="G514">
        <f>INDEX([1]products!$A$1:$G$49,MATCH([1]orders!$D514,[1]products!$A$1:$A$49,0),MATCH([1]orders!L$1,[1]products!$A$1:$G$1,0))</f>
        <v>15.85</v>
      </c>
      <c r="H514">
        <f t="shared" ref="H514:H577" si="8">E514*G514</f>
        <v>47.55</v>
      </c>
    </row>
    <row r="515" spans="1:8" x14ac:dyDescent="0.25">
      <c r="A515" t="s">
        <v>1010</v>
      </c>
      <c r="B515">
        <v>44691</v>
      </c>
      <c r="C515" t="s">
        <v>1011</v>
      </c>
      <c r="D515" t="s">
        <v>132</v>
      </c>
      <c r="E515">
        <v>5</v>
      </c>
      <c r="F515">
        <f>INDEX([1]products!$A$1:$G$49,MATCH([1]orders!$D515,[1]products!$A$1:$A$49,0),MATCH([1]orders!K$1,[1]products!$A$1:$G$1,0))</f>
        <v>1</v>
      </c>
      <c r="G515">
        <f>INDEX([1]products!$A$1:$G$49,MATCH([1]orders!$D515,[1]products!$A$1:$A$49,0),MATCH([1]orders!L$1,[1]products!$A$1:$G$1,0))</f>
        <v>15.85</v>
      </c>
      <c r="H515">
        <f t="shared" si="8"/>
        <v>79.25</v>
      </c>
    </row>
    <row r="516" spans="1:8" x14ac:dyDescent="0.25">
      <c r="A516" t="s">
        <v>1012</v>
      </c>
      <c r="B516">
        <v>44555</v>
      </c>
      <c r="C516" t="s">
        <v>1013</v>
      </c>
      <c r="D516" t="s">
        <v>77</v>
      </c>
      <c r="E516">
        <v>6</v>
      </c>
      <c r="F516">
        <f>INDEX([1]products!$A$1:$G$49,MATCH([1]orders!$D516,[1]products!$A$1:$A$49,0),MATCH([1]orders!K$1,[1]products!$A$1:$G$1,0))</f>
        <v>0.2</v>
      </c>
      <c r="G516">
        <f>INDEX([1]products!$A$1:$G$49,MATCH([1]orders!$D516,[1]products!$A$1:$A$49,0),MATCH([1]orders!L$1,[1]products!$A$1:$G$1,0))</f>
        <v>4.3650000000000002</v>
      </c>
      <c r="H516">
        <f t="shared" si="8"/>
        <v>26.19</v>
      </c>
    </row>
    <row r="517" spans="1:8" x14ac:dyDescent="0.25">
      <c r="A517" t="s">
        <v>1014</v>
      </c>
      <c r="B517">
        <v>44673</v>
      </c>
      <c r="C517" t="s">
        <v>1015</v>
      </c>
      <c r="D517" t="s">
        <v>157</v>
      </c>
      <c r="E517">
        <v>3</v>
      </c>
      <c r="F517">
        <f>INDEX([1]products!$A$1:$G$49,MATCH([1]orders!$D517,[1]products!$A$1:$A$49,0),MATCH([1]orders!K$1,[1]products!$A$1:$G$1,0))</f>
        <v>0.5</v>
      </c>
      <c r="G517">
        <f>INDEX([1]products!$A$1:$G$49,MATCH([1]orders!$D517,[1]products!$A$1:$A$49,0),MATCH([1]orders!L$1,[1]products!$A$1:$G$1,0))</f>
        <v>7.169999999999999</v>
      </c>
      <c r="H517">
        <f t="shared" si="8"/>
        <v>21.509999999999998</v>
      </c>
    </row>
    <row r="518" spans="1:8" x14ac:dyDescent="0.25">
      <c r="A518" t="s">
        <v>1016</v>
      </c>
      <c r="B518">
        <v>44723</v>
      </c>
      <c r="C518" t="s">
        <v>1017</v>
      </c>
      <c r="D518" t="s">
        <v>35</v>
      </c>
      <c r="E518">
        <v>5</v>
      </c>
      <c r="F518">
        <f>INDEX([1]products!$A$1:$G$49,MATCH([1]orders!$D518,[1]products!$A$1:$A$49,0),MATCH([1]orders!K$1,[1]products!$A$1:$G$1,0))</f>
        <v>2.5</v>
      </c>
      <c r="G518">
        <f>INDEX([1]products!$A$1:$G$49,MATCH([1]orders!$D518,[1]products!$A$1:$A$49,0),MATCH([1]orders!L$1,[1]products!$A$1:$G$1,0))</f>
        <v>20.584999999999997</v>
      </c>
      <c r="H518">
        <f t="shared" si="8"/>
        <v>102.92499999999998</v>
      </c>
    </row>
    <row r="519" spans="1:8" x14ac:dyDescent="0.25">
      <c r="A519" t="s">
        <v>1018</v>
      </c>
      <c r="B519">
        <v>44678</v>
      </c>
      <c r="C519" t="s">
        <v>1019</v>
      </c>
      <c r="D519" t="s">
        <v>38</v>
      </c>
      <c r="E519">
        <v>2</v>
      </c>
      <c r="F519">
        <f>INDEX([1]products!$A$1:$G$49,MATCH([1]orders!$D519,[1]products!$A$1:$A$49,0),MATCH([1]orders!K$1,[1]products!$A$1:$G$1,0))</f>
        <v>0.2</v>
      </c>
      <c r="G519">
        <f>INDEX([1]products!$A$1:$G$49,MATCH([1]orders!$D519,[1]products!$A$1:$A$49,0),MATCH([1]orders!L$1,[1]products!$A$1:$G$1,0))</f>
        <v>3.8849999999999998</v>
      </c>
      <c r="H519">
        <f t="shared" si="8"/>
        <v>7.77</v>
      </c>
    </row>
    <row r="520" spans="1:8" x14ac:dyDescent="0.25">
      <c r="A520" t="s">
        <v>1020</v>
      </c>
      <c r="B520">
        <v>44194</v>
      </c>
      <c r="C520" t="s">
        <v>1021</v>
      </c>
      <c r="D520" t="s">
        <v>530</v>
      </c>
      <c r="E520">
        <v>5</v>
      </c>
      <c r="F520">
        <f>INDEX([1]products!$A$1:$G$49,MATCH([1]orders!$D520,[1]products!$A$1:$A$49,0),MATCH([1]orders!K$1,[1]products!$A$1:$G$1,0))</f>
        <v>2.5</v>
      </c>
      <c r="G520">
        <f>INDEX([1]products!$A$1:$G$49,MATCH([1]orders!$D520,[1]products!$A$1:$A$49,0),MATCH([1]orders!L$1,[1]products!$A$1:$G$1,0))</f>
        <v>27.945</v>
      </c>
      <c r="H520">
        <f t="shared" si="8"/>
        <v>139.72499999999999</v>
      </c>
    </row>
    <row r="521" spans="1:8" x14ac:dyDescent="0.25">
      <c r="A521" t="s">
        <v>1022</v>
      </c>
      <c r="B521">
        <v>44026</v>
      </c>
      <c r="C521" t="s">
        <v>988</v>
      </c>
      <c r="D521" t="s">
        <v>72</v>
      </c>
      <c r="E521">
        <v>2</v>
      </c>
      <c r="F521">
        <f>INDEX([1]products!$A$1:$G$49,MATCH([1]orders!$D521,[1]products!$A$1:$A$49,0),MATCH([1]orders!K$1,[1]products!$A$1:$G$1,0))</f>
        <v>0.5</v>
      </c>
      <c r="G521">
        <f>INDEX([1]products!$A$1:$G$49,MATCH([1]orders!$D521,[1]products!$A$1:$A$49,0),MATCH([1]orders!L$1,[1]products!$A$1:$G$1,0))</f>
        <v>5.97</v>
      </c>
      <c r="H521">
        <f t="shared" si="8"/>
        <v>11.94</v>
      </c>
    </row>
    <row r="522" spans="1:8" x14ac:dyDescent="0.25">
      <c r="A522" t="s">
        <v>1023</v>
      </c>
      <c r="B522">
        <v>44446</v>
      </c>
      <c r="C522" t="s">
        <v>1024</v>
      </c>
      <c r="D522" t="s">
        <v>38</v>
      </c>
      <c r="E522">
        <v>1</v>
      </c>
      <c r="F522">
        <f>INDEX([1]products!$A$1:$G$49,MATCH([1]orders!$D522,[1]products!$A$1:$A$49,0),MATCH([1]orders!K$1,[1]products!$A$1:$G$1,0))</f>
        <v>0.2</v>
      </c>
      <c r="G522">
        <f>INDEX([1]products!$A$1:$G$49,MATCH([1]orders!$D522,[1]products!$A$1:$A$49,0),MATCH([1]orders!L$1,[1]products!$A$1:$G$1,0))</f>
        <v>3.8849999999999998</v>
      </c>
      <c r="H522">
        <f t="shared" si="8"/>
        <v>3.8849999999999998</v>
      </c>
    </row>
    <row r="523" spans="1:8" x14ac:dyDescent="0.25">
      <c r="A523" t="s">
        <v>1023</v>
      </c>
      <c r="B523">
        <v>44446</v>
      </c>
      <c r="C523" t="s">
        <v>1024</v>
      </c>
      <c r="D523" t="s">
        <v>2</v>
      </c>
      <c r="E523">
        <v>4</v>
      </c>
      <c r="F523">
        <f>INDEX([1]products!$A$1:$G$49,MATCH([1]orders!$D523,[1]products!$A$1:$A$49,0),MATCH([1]orders!K$1,[1]products!$A$1:$G$1,0))</f>
        <v>1</v>
      </c>
      <c r="G523">
        <f>INDEX([1]products!$A$1:$G$49,MATCH([1]orders!$D523,[1]products!$A$1:$A$49,0),MATCH([1]orders!L$1,[1]products!$A$1:$G$1,0))</f>
        <v>9.9499999999999993</v>
      </c>
      <c r="H523">
        <f t="shared" si="8"/>
        <v>39.799999999999997</v>
      </c>
    </row>
    <row r="524" spans="1:8" x14ac:dyDescent="0.25">
      <c r="A524" t="s">
        <v>1025</v>
      </c>
      <c r="B524">
        <v>43625</v>
      </c>
      <c r="C524" t="s">
        <v>1026</v>
      </c>
      <c r="D524" t="s">
        <v>22</v>
      </c>
      <c r="E524">
        <v>5</v>
      </c>
      <c r="F524">
        <f>INDEX([1]products!$A$1:$G$49,MATCH([1]orders!$D524,[1]products!$A$1:$A$49,0),MATCH([1]orders!K$1,[1]products!$A$1:$G$1,0))</f>
        <v>0.5</v>
      </c>
      <c r="G524">
        <f>INDEX([1]products!$A$1:$G$49,MATCH([1]orders!$D524,[1]products!$A$1:$A$49,0),MATCH([1]orders!L$1,[1]products!$A$1:$G$1,0))</f>
        <v>5.97</v>
      </c>
      <c r="H524">
        <f t="shared" si="8"/>
        <v>29.849999999999998</v>
      </c>
    </row>
    <row r="525" spans="1:8" x14ac:dyDescent="0.25">
      <c r="A525" t="s">
        <v>1027</v>
      </c>
      <c r="B525">
        <v>44129</v>
      </c>
      <c r="C525" t="s">
        <v>1028</v>
      </c>
      <c r="D525" t="s">
        <v>109</v>
      </c>
      <c r="E525">
        <v>1</v>
      </c>
      <c r="F525">
        <f>INDEX([1]products!$A$1:$G$49,MATCH([1]orders!$D525,[1]products!$A$1:$A$49,0),MATCH([1]orders!K$1,[1]products!$A$1:$G$1,0))</f>
        <v>2.5</v>
      </c>
      <c r="G525">
        <f>INDEX([1]products!$A$1:$G$49,MATCH([1]orders!$D525,[1]products!$A$1:$A$49,0),MATCH([1]orders!L$1,[1]products!$A$1:$G$1,0))</f>
        <v>29.784999999999997</v>
      </c>
      <c r="H525">
        <f t="shared" si="8"/>
        <v>29.784999999999997</v>
      </c>
    </row>
    <row r="526" spans="1:8" x14ac:dyDescent="0.25">
      <c r="A526" t="s">
        <v>1029</v>
      </c>
      <c r="B526">
        <v>44255</v>
      </c>
      <c r="C526" t="s">
        <v>1030</v>
      </c>
      <c r="D526" t="s">
        <v>104</v>
      </c>
      <c r="E526">
        <v>2</v>
      </c>
      <c r="F526">
        <f>INDEX([1]products!$A$1:$G$49,MATCH([1]orders!$D526,[1]products!$A$1:$A$49,0),MATCH([1]orders!K$1,[1]products!$A$1:$G$1,0))</f>
        <v>2.5</v>
      </c>
      <c r="G526">
        <f>INDEX([1]products!$A$1:$G$49,MATCH([1]orders!$D526,[1]products!$A$1:$A$49,0),MATCH([1]orders!L$1,[1]products!$A$1:$G$1,0))</f>
        <v>36.454999999999998</v>
      </c>
      <c r="H526">
        <f t="shared" si="8"/>
        <v>72.91</v>
      </c>
    </row>
    <row r="527" spans="1:8" x14ac:dyDescent="0.25">
      <c r="A527" t="s">
        <v>1031</v>
      </c>
      <c r="B527">
        <v>44038</v>
      </c>
      <c r="C527" t="s">
        <v>1032</v>
      </c>
      <c r="D527" t="s">
        <v>101</v>
      </c>
      <c r="E527">
        <v>5</v>
      </c>
      <c r="F527">
        <f>INDEX([1]products!$A$1:$G$49,MATCH([1]orders!$D527,[1]products!$A$1:$A$49,0),MATCH([1]orders!K$1,[1]products!$A$1:$G$1,0))</f>
        <v>0.2</v>
      </c>
      <c r="G527">
        <f>INDEX([1]products!$A$1:$G$49,MATCH([1]orders!$D527,[1]products!$A$1:$A$49,0),MATCH([1]orders!L$1,[1]products!$A$1:$G$1,0))</f>
        <v>2.6849999999999996</v>
      </c>
      <c r="H527">
        <f t="shared" si="8"/>
        <v>13.424999999999997</v>
      </c>
    </row>
    <row r="528" spans="1:8" x14ac:dyDescent="0.25">
      <c r="A528" t="s">
        <v>1033</v>
      </c>
      <c r="B528">
        <v>44717</v>
      </c>
      <c r="C528" t="s">
        <v>1034</v>
      </c>
      <c r="D528" t="s">
        <v>112</v>
      </c>
      <c r="E528">
        <v>4</v>
      </c>
      <c r="F528">
        <f>INDEX([1]products!$A$1:$G$49,MATCH([1]orders!$D528,[1]products!$A$1:$A$49,0),MATCH([1]orders!K$1,[1]products!$A$1:$G$1,0))</f>
        <v>2.5</v>
      </c>
      <c r="G528">
        <f>INDEX([1]products!$A$1:$G$49,MATCH([1]orders!$D528,[1]products!$A$1:$A$49,0),MATCH([1]orders!L$1,[1]products!$A$1:$G$1,0))</f>
        <v>31.624999999999996</v>
      </c>
      <c r="H528">
        <f t="shared" si="8"/>
        <v>126.49999999999999</v>
      </c>
    </row>
    <row r="529" spans="1:8" x14ac:dyDescent="0.25">
      <c r="A529" t="s">
        <v>1035</v>
      </c>
      <c r="B529">
        <v>43517</v>
      </c>
      <c r="C529" t="s">
        <v>1036</v>
      </c>
      <c r="D529" t="s">
        <v>3</v>
      </c>
      <c r="E529">
        <v>5</v>
      </c>
      <c r="F529">
        <f>INDEX([1]products!$A$1:$G$49,MATCH([1]orders!$D529,[1]products!$A$1:$A$49,0),MATCH([1]orders!K$1,[1]products!$A$1:$G$1,0))</f>
        <v>0.5</v>
      </c>
      <c r="G529">
        <f>INDEX([1]products!$A$1:$G$49,MATCH([1]orders!$D529,[1]products!$A$1:$A$49,0),MATCH([1]orders!L$1,[1]products!$A$1:$G$1,0))</f>
        <v>8.25</v>
      </c>
      <c r="H529">
        <f t="shared" si="8"/>
        <v>41.25</v>
      </c>
    </row>
    <row r="530" spans="1:8" x14ac:dyDescent="0.25">
      <c r="A530" t="s">
        <v>1037</v>
      </c>
      <c r="B530">
        <v>43926</v>
      </c>
      <c r="C530" t="s">
        <v>1038</v>
      </c>
      <c r="D530" t="s">
        <v>176</v>
      </c>
      <c r="E530">
        <v>6</v>
      </c>
      <c r="F530">
        <f>INDEX([1]products!$A$1:$G$49,MATCH([1]orders!$D530,[1]products!$A$1:$A$49,0),MATCH([1]orders!K$1,[1]products!$A$1:$G$1,0))</f>
        <v>0.5</v>
      </c>
      <c r="G530">
        <f>INDEX([1]products!$A$1:$G$49,MATCH([1]orders!$D530,[1]products!$A$1:$A$49,0),MATCH([1]orders!L$1,[1]products!$A$1:$G$1,0))</f>
        <v>8.91</v>
      </c>
      <c r="H530">
        <f t="shared" si="8"/>
        <v>53.46</v>
      </c>
    </row>
    <row r="531" spans="1:8" x14ac:dyDescent="0.25">
      <c r="A531" t="s">
        <v>1039</v>
      </c>
      <c r="B531">
        <v>43475</v>
      </c>
      <c r="C531" t="s">
        <v>1040</v>
      </c>
      <c r="D531" t="s">
        <v>2</v>
      </c>
      <c r="E531">
        <v>6</v>
      </c>
      <c r="F531">
        <f>INDEX([1]products!$A$1:$G$49,MATCH([1]orders!$D531,[1]products!$A$1:$A$49,0),MATCH([1]orders!K$1,[1]products!$A$1:$G$1,0))</f>
        <v>1</v>
      </c>
      <c r="G531">
        <f>INDEX([1]products!$A$1:$G$49,MATCH([1]orders!$D531,[1]products!$A$1:$A$49,0),MATCH([1]orders!L$1,[1]products!$A$1:$G$1,0))</f>
        <v>9.9499999999999993</v>
      </c>
      <c r="H531">
        <f t="shared" si="8"/>
        <v>59.699999999999996</v>
      </c>
    </row>
    <row r="532" spans="1:8" x14ac:dyDescent="0.25">
      <c r="A532" t="s">
        <v>1041</v>
      </c>
      <c r="B532">
        <v>44663</v>
      </c>
      <c r="C532" t="s">
        <v>1042</v>
      </c>
      <c r="D532" t="s">
        <v>2</v>
      </c>
      <c r="E532">
        <v>6</v>
      </c>
      <c r="F532">
        <f>INDEX([1]products!$A$1:$G$49,MATCH([1]orders!$D532,[1]products!$A$1:$A$49,0),MATCH([1]orders!K$1,[1]products!$A$1:$G$1,0))</f>
        <v>1</v>
      </c>
      <c r="G532">
        <f>INDEX([1]products!$A$1:$G$49,MATCH([1]orders!$D532,[1]products!$A$1:$A$49,0),MATCH([1]orders!L$1,[1]products!$A$1:$G$1,0))</f>
        <v>9.9499999999999993</v>
      </c>
      <c r="H532">
        <f t="shared" si="8"/>
        <v>59.699999999999996</v>
      </c>
    </row>
    <row r="533" spans="1:8" x14ac:dyDescent="0.25">
      <c r="A533" t="s">
        <v>1043</v>
      </c>
      <c r="B533">
        <v>44591</v>
      </c>
      <c r="C533" t="s">
        <v>1044</v>
      </c>
      <c r="D533" t="s">
        <v>179</v>
      </c>
      <c r="E533">
        <v>5</v>
      </c>
      <c r="F533">
        <f>INDEX([1]products!$A$1:$G$49,MATCH([1]orders!$D533,[1]products!$A$1:$A$49,0),MATCH([1]orders!K$1,[1]products!$A$1:$G$1,0))</f>
        <v>1</v>
      </c>
      <c r="G533">
        <f>INDEX([1]products!$A$1:$G$49,MATCH([1]orders!$D533,[1]products!$A$1:$A$49,0),MATCH([1]orders!L$1,[1]products!$A$1:$G$1,0))</f>
        <v>8.9499999999999993</v>
      </c>
      <c r="H533">
        <f t="shared" si="8"/>
        <v>44.75</v>
      </c>
    </row>
    <row r="534" spans="1:8" x14ac:dyDescent="0.25">
      <c r="A534" t="s">
        <v>1045</v>
      </c>
      <c r="B534">
        <v>44330</v>
      </c>
      <c r="C534" t="s">
        <v>1046</v>
      </c>
      <c r="D534" t="s">
        <v>3</v>
      </c>
      <c r="E534">
        <v>2</v>
      </c>
      <c r="F534">
        <f>INDEX([1]products!$A$1:$G$49,MATCH([1]orders!$D534,[1]products!$A$1:$A$49,0),MATCH([1]orders!K$1,[1]products!$A$1:$G$1,0))</f>
        <v>0.5</v>
      </c>
      <c r="G534">
        <f>INDEX([1]products!$A$1:$G$49,MATCH([1]orders!$D534,[1]products!$A$1:$A$49,0),MATCH([1]orders!L$1,[1]products!$A$1:$G$1,0))</f>
        <v>8.25</v>
      </c>
      <c r="H534">
        <f t="shared" si="8"/>
        <v>16.5</v>
      </c>
    </row>
    <row r="535" spans="1:8" x14ac:dyDescent="0.25">
      <c r="A535" t="s">
        <v>1047</v>
      </c>
      <c r="B535">
        <v>44724</v>
      </c>
      <c r="C535" t="s">
        <v>1048</v>
      </c>
      <c r="D535" t="s">
        <v>146</v>
      </c>
      <c r="E535">
        <v>4</v>
      </c>
      <c r="F535">
        <f>INDEX([1]products!$A$1:$G$49,MATCH([1]orders!$D535,[1]products!$A$1:$A$49,0),MATCH([1]orders!K$1,[1]products!$A$1:$G$1,0))</f>
        <v>0.5</v>
      </c>
      <c r="G535">
        <f>INDEX([1]products!$A$1:$G$49,MATCH([1]orders!$D535,[1]products!$A$1:$A$49,0),MATCH([1]orders!L$1,[1]products!$A$1:$G$1,0))</f>
        <v>5.3699999999999992</v>
      </c>
      <c r="H535">
        <f t="shared" si="8"/>
        <v>21.479999999999997</v>
      </c>
    </row>
    <row r="536" spans="1:8" x14ac:dyDescent="0.25">
      <c r="A536" t="s">
        <v>1049</v>
      </c>
      <c r="B536">
        <v>44563</v>
      </c>
      <c r="C536" t="s">
        <v>1050</v>
      </c>
      <c r="D536" t="s">
        <v>41</v>
      </c>
      <c r="E536">
        <v>2</v>
      </c>
      <c r="F536">
        <f>INDEX([1]products!$A$1:$G$49,MATCH([1]orders!$D536,[1]products!$A$1:$A$49,0),MATCH([1]orders!K$1,[1]products!$A$1:$G$1,0))</f>
        <v>2.5</v>
      </c>
      <c r="G536">
        <f>INDEX([1]products!$A$1:$G$49,MATCH([1]orders!$D536,[1]products!$A$1:$A$49,0),MATCH([1]orders!L$1,[1]products!$A$1:$G$1,0))</f>
        <v>22.884999999999998</v>
      </c>
      <c r="H536">
        <f t="shared" si="8"/>
        <v>45.769999999999996</v>
      </c>
    </row>
    <row r="537" spans="1:8" x14ac:dyDescent="0.25">
      <c r="A537" t="s">
        <v>1051</v>
      </c>
      <c r="B537">
        <v>44585</v>
      </c>
      <c r="C537" t="s">
        <v>1052</v>
      </c>
      <c r="D537" t="s">
        <v>19</v>
      </c>
      <c r="E537">
        <v>2</v>
      </c>
      <c r="F537">
        <f>INDEX([1]products!$A$1:$G$49,MATCH([1]orders!$D537,[1]products!$A$1:$A$49,0),MATCH([1]orders!K$1,[1]products!$A$1:$G$1,0))</f>
        <v>0.2</v>
      </c>
      <c r="G537">
        <f>INDEX([1]products!$A$1:$G$49,MATCH([1]orders!$D537,[1]products!$A$1:$A$49,0),MATCH([1]orders!L$1,[1]products!$A$1:$G$1,0))</f>
        <v>4.7549999999999999</v>
      </c>
      <c r="H537">
        <f t="shared" si="8"/>
        <v>9.51</v>
      </c>
    </row>
    <row r="538" spans="1:8" x14ac:dyDescent="0.25">
      <c r="A538" t="s">
        <v>1053</v>
      </c>
      <c r="B538">
        <v>43544</v>
      </c>
      <c r="C538" t="s">
        <v>988</v>
      </c>
      <c r="D538" t="s">
        <v>101</v>
      </c>
      <c r="E538">
        <v>3</v>
      </c>
      <c r="F538">
        <f>INDEX([1]products!$A$1:$G$49,MATCH([1]orders!$D538,[1]products!$A$1:$A$49,0),MATCH([1]orders!K$1,[1]products!$A$1:$G$1,0))</f>
        <v>0.2</v>
      </c>
      <c r="G538">
        <f>INDEX([1]products!$A$1:$G$49,MATCH([1]orders!$D538,[1]products!$A$1:$A$49,0),MATCH([1]orders!L$1,[1]products!$A$1:$G$1,0))</f>
        <v>2.6849999999999996</v>
      </c>
      <c r="H538">
        <f t="shared" si="8"/>
        <v>8.0549999999999997</v>
      </c>
    </row>
    <row r="539" spans="1:8" x14ac:dyDescent="0.25">
      <c r="A539" t="s">
        <v>1054</v>
      </c>
      <c r="B539">
        <v>44156</v>
      </c>
      <c r="C539" t="s">
        <v>1055</v>
      </c>
      <c r="D539" t="s">
        <v>530</v>
      </c>
      <c r="E539">
        <v>4</v>
      </c>
      <c r="F539">
        <f>INDEX([1]products!$A$1:$G$49,MATCH([1]orders!$D539,[1]products!$A$1:$A$49,0),MATCH([1]orders!K$1,[1]products!$A$1:$G$1,0))</f>
        <v>2.5</v>
      </c>
      <c r="G539">
        <f>INDEX([1]products!$A$1:$G$49,MATCH([1]orders!$D539,[1]products!$A$1:$A$49,0),MATCH([1]orders!L$1,[1]products!$A$1:$G$1,0))</f>
        <v>27.945</v>
      </c>
      <c r="H539">
        <f t="shared" si="8"/>
        <v>111.78</v>
      </c>
    </row>
    <row r="540" spans="1:8" x14ac:dyDescent="0.25">
      <c r="A540" t="s">
        <v>1056</v>
      </c>
      <c r="B540">
        <v>44482</v>
      </c>
      <c r="C540" t="s">
        <v>1057</v>
      </c>
      <c r="D540" t="s">
        <v>101</v>
      </c>
      <c r="E540">
        <v>4</v>
      </c>
      <c r="F540">
        <f>INDEX([1]products!$A$1:$G$49,MATCH([1]orders!$D540,[1]products!$A$1:$A$49,0),MATCH([1]orders!K$1,[1]products!$A$1:$G$1,0))</f>
        <v>0.2</v>
      </c>
      <c r="G540">
        <f>INDEX([1]products!$A$1:$G$49,MATCH([1]orders!$D540,[1]products!$A$1:$A$49,0),MATCH([1]orders!L$1,[1]products!$A$1:$G$1,0))</f>
        <v>2.6849999999999996</v>
      </c>
      <c r="H540">
        <f t="shared" si="8"/>
        <v>10.739999999999998</v>
      </c>
    </row>
    <row r="541" spans="1:8" x14ac:dyDescent="0.25">
      <c r="A541" t="s">
        <v>1058</v>
      </c>
      <c r="B541">
        <v>44488</v>
      </c>
      <c r="C541" t="s">
        <v>1059</v>
      </c>
      <c r="D541" t="s">
        <v>146</v>
      </c>
      <c r="E541">
        <v>5</v>
      </c>
      <c r="F541">
        <f>INDEX([1]products!$A$1:$G$49,MATCH([1]orders!$D541,[1]products!$A$1:$A$49,0),MATCH([1]orders!K$1,[1]products!$A$1:$G$1,0))</f>
        <v>0.5</v>
      </c>
      <c r="G541">
        <f>INDEX([1]products!$A$1:$G$49,MATCH([1]orders!$D541,[1]products!$A$1:$A$49,0),MATCH([1]orders!L$1,[1]products!$A$1:$G$1,0))</f>
        <v>5.3699999999999992</v>
      </c>
      <c r="H541">
        <f t="shared" si="8"/>
        <v>26.849999999999994</v>
      </c>
    </row>
    <row r="542" spans="1:8" x14ac:dyDescent="0.25">
      <c r="A542" t="s">
        <v>1060</v>
      </c>
      <c r="B542">
        <v>43584</v>
      </c>
      <c r="C542" t="s">
        <v>1061</v>
      </c>
      <c r="D542" t="s">
        <v>132</v>
      </c>
      <c r="E542">
        <v>4</v>
      </c>
      <c r="F542">
        <f>INDEX([1]products!$A$1:$G$49,MATCH([1]orders!$D542,[1]products!$A$1:$A$49,0),MATCH([1]orders!K$1,[1]products!$A$1:$G$1,0))</f>
        <v>1</v>
      </c>
      <c r="G542">
        <f>INDEX([1]products!$A$1:$G$49,MATCH([1]orders!$D542,[1]products!$A$1:$A$49,0),MATCH([1]orders!L$1,[1]products!$A$1:$G$1,0))</f>
        <v>15.85</v>
      </c>
      <c r="H542">
        <f t="shared" si="8"/>
        <v>63.4</v>
      </c>
    </row>
    <row r="543" spans="1:8" x14ac:dyDescent="0.25">
      <c r="A543" t="s">
        <v>1062</v>
      </c>
      <c r="B543">
        <v>43750</v>
      </c>
      <c r="C543" t="s">
        <v>1063</v>
      </c>
      <c r="D543" t="s">
        <v>118</v>
      </c>
      <c r="E543">
        <v>1</v>
      </c>
      <c r="F543">
        <f>INDEX([1]products!$A$1:$G$49,MATCH([1]orders!$D543,[1]products!$A$1:$A$49,0),MATCH([1]orders!K$1,[1]products!$A$1:$G$1,0))</f>
        <v>2.5</v>
      </c>
      <c r="G543">
        <f>INDEX([1]products!$A$1:$G$49,MATCH([1]orders!$D543,[1]products!$A$1:$A$49,0),MATCH([1]orders!L$1,[1]products!$A$1:$G$1,0))</f>
        <v>22.884999999999998</v>
      </c>
      <c r="H543">
        <f t="shared" si="8"/>
        <v>22.884999999999998</v>
      </c>
    </row>
    <row r="544" spans="1:8" x14ac:dyDescent="0.25">
      <c r="A544" t="s">
        <v>1064</v>
      </c>
      <c r="B544">
        <v>44335</v>
      </c>
      <c r="C544" t="s">
        <v>1065</v>
      </c>
      <c r="D544" t="s">
        <v>171</v>
      </c>
      <c r="E544">
        <v>4</v>
      </c>
      <c r="F544">
        <f>INDEX([1]products!$A$1:$G$49,MATCH([1]orders!$D544,[1]products!$A$1:$A$49,0),MATCH([1]orders!K$1,[1]products!$A$1:$G$1,0))</f>
        <v>2.5</v>
      </c>
      <c r="G544">
        <f>INDEX([1]products!$A$1:$G$49,MATCH([1]orders!$D544,[1]products!$A$1:$A$49,0),MATCH([1]orders!L$1,[1]products!$A$1:$G$1,0))</f>
        <v>25.874999999999996</v>
      </c>
      <c r="H544">
        <f t="shared" si="8"/>
        <v>103.49999999999999</v>
      </c>
    </row>
    <row r="545" spans="1:8" x14ac:dyDescent="0.25">
      <c r="A545" t="s">
        <v>1066</v>
      </c>
      <c r="B545">
        <v>44380</v>
      </c>
      <c r="C545" t="s">
        <v>1067</v>
      </c>
      <c r="D545" t="s">
        <v>10</v>
      </c>
      <c r="E545">
        <v>2</v>
      </c>
      <c r="F545">
        <f>INDEX([1]products!$A$1:$G$49,MATCH([1]orders!$D545,[1]products!$A$1:$A$49,0),MATCH([1]orders!K$1,[1]products!$A$1:$G$1,0))</f>
        <v>2.5</v>
      </c>
      <c r="G545">
        <f>INDEX([1]products!$A$1:$G$49,MATCH([1]orders!$D545,[1]products!$A$1:$A$49,0),MATCH([1]orders!L$1,[1]products!$A$1:$G$1,0))</f>
        <v>27.484999999999996</v>
      </c>
      <c r="H545">
        <f t="shared" si="8"/>
        <v>54.969999999999992</v>
      </c>
    </row>
    <row r="546" spans="1:8" x14ac:dyDescent="0.25">
      <c r="A546" t="s">
        <v>1068</v>
      </c>
      <c r="B546">
        <v>43869</v>
      </c>
      <c r="C546" t="s">
        <v>1069</v>
      </c>
      <c r="D546" t="s">
        <v>192</v>
      </c>
      <c r="E546">
        <v>2</v>
      </c>
      <c r="F546">
        <f>INDEX([1]products!$A$1:$G$49,MATCH([1]orders!$D546,[1]products!$A$1:$A$49,0),MATCH([1]orders!K$1,[1]products!$A$1:$G$1,0))</f>
        <v>0.5</v>
      </c>
      <c r="G546">
        <f>INDEX([1]products!$A$1:$G$49,MATCH([1]orders!$D546,[1]products!$A$1:$A$49,0),MATCH([1]orders!L$1,[1]products!$A$1:$G$1,0))</f>
        <v>7.77</v>
      </c>
      <c r="H546">
        <f t="shared" si="8"/>
        <v>15.54</v>
      </c>
    </row>
    <row r="547" spans="1:8" x14ac:dyDescent="0.25">
      <c r="A547" t="s">
        <v>1070</v>
      </c>
      <c r="B547">
        <v>44120</v>
      </c>
      <c r="C547" t="s">
        <v>1071</v>
      </c>
      <c r="D547" t="s">
        <v>38</v>
      </c>
      <c r="E547">
        <v>4</v>
      </c>
      <c r="F547">
        <f>INDEX([1]products!$A$1:$G$49,MATCH([1]orders!$D547,[1]products!$A$1:$A$49,0),MATCH([1]orders!K$1,[1]products!$A$1:$G$1,0))</f>
        <v>0.2</v>
      </c>
      <c r="G547">
        <f>INDEX([1]products!$A$1:$G$49,MATCH([1]orders!$D547,[1]products!$A$1:$A$49,0),MATCH([1]orders!L$1,[1]products!$A$1:$G$1,0))</f>
        <v>3.8849999999999998</v>
      </c>
      <c r="H547">
        <f t="shared" si="8"/>
        <v>15.54</v>
      </c>
    </row>
    <row r="548" spans="1:8" x14ac:dyDescent="0.25">
      <c r="A548" t="s">
        <v>1072</v>
      </c>
      <c r="B548">
        <v>44127</v>
      </c>
      <c r="C548" t="s">
        <v>1073</v>
      </c>
      <c r="D548" t="s">
        <v>530</v>
      </c>
      <c r="E548">
        <v>3</v>
      </c>
      <c r="F548">
        <f>INDEX([1]products!$A$1:$G$49,MATCH([1]orders!$D548,[1]products!$A$1:$A$49,0),MATCH([1]orders!K$1,[1]products!$A$1:$G$1,0))</f>
        <v>2.5</v>
      </c>
      <c r="G548">
        <f>INDEX([1]products!$A$1:$G$49,MATCH([1]orders!$D548,[1]products!$A$1:$A$49,0),MATCH([1]orders!L$1,[1]products!$A$1:$G$1,0))</f>
        <v>27.945</v>
      </c>
      <c r="H548">
        <f t="shared" si="8"/>
        <v>83.835000000000008</v>
      </c>
    </row>
    <row r="549" spans="1:8" x14ac:dyDescent="0.25">
      <c r="A549" t="s">
        <v>1074</v>
      </c>
      <c r="B549">
        <v>44265</v>
      </c>
      <c r="C549" t="s">
        <v>1075</v>
      </c>
      <c r="D549" t="s">
        <v>182</v>
      </c>
      <c r="E549">
        <v>3</v>
      </c>
      <c r="F549">
        <f>INDEX([1]products!$A$1:$G$49,MATCH([1]orders!$D549,[1]products!$A$1:$A$49,0),MATCH([1]orders!K$1,[1]products!$A$1:$G$1,0))</f>
        <v>0.2</v>
      </c>
      <c r="G549">
        <f>INDEX([1]products!$A$1:$G$49,MATCH([1]orders!$D549,[1]products!$A$1:$A$49,0),MATCH([1]orders!L$1,[1]products!$A$1:$G$1,0))</f>
        <v>3.5849999999999995</v>
      </c>
      <c r="H549">
        <f t="shared" si="8"/>
        <v>10.754999999999999</v>
      </c>
    </row>
    <row r="550" spans="1:8" x14ac:dyDescent="0.25">
      <c r="A550" t="s">
        <v>1076</v>
      </c>
      <c r="B550">
        <v>44384</v>
      </c>
      <c r="C550" t="s">
        <v>1077</v>
      </c>
      <c r="D550" t="s">
        <v>254</v>
      </c>
      <c r="E550">
        <v>3</v>
      </c>
      <c r="F550">
        <f>INDEX([1]products!$A$1:$G$49,MATCH([1]orders!$D550,[1]products!$A$1:$A$49,0),MATCH([1]orders!K$1,[1]products!$A$1:$G$1,0))</f>
        <v>0.2</v>
      </c>
      <c r="G550">
        <f>INDEX([1]products!$A$1:$G$49,MATCH([1]orders!$D550,[1]products!$A$1:$A$49,0),MATCH([1]orders!L$1,[1]products!$A$1:$G$1,0))</f>
        <v>4.4550000000000001</v>
      </c>
      <c r="H550">
        <f t="shared" si="8"/>
        <v>13.365</v>
      </c>
    </row>
    <row r="551" spans="1:8" x14ac:dyDescent="0.25">
      <c r="A551" t="s">
        <v>1078</v>
      </c>
      <c r="B551">
        <v>44232</v>
      </c>
      <c r="C551" t="s">
        <v>1075</v>
      </c>
      <c r="D551" t="s">
        <v>254</v>
      </c>
      <c r="E551">
        <v>4</v>
      </c>
      <c r="F551">
        <f>INDEX([1]products!$A$1:$G$49,MATCH([1]orders!$D551,[1]products!$A$1:$A$49,0),MATCH([1]orders!K$1,[1]products!$A$1:$G$1,0))</f>
        <v>0.2</v>
      </c>
      <c r="G551">
        <f>INDEX([1]products!$A$1:$G$49,MATCH([1]orders!$D551,[1]products!$A$1:$A$49,0),MATCH([1]orders!L$1,[1]products!$A$1:$G$1,0))</f>
        <v>4.4550000000000001</v>
      </c>
      <c r="H551">
        <f t="shared" si="8"/>
        <v>17.82</v>
      </c>
    </row>
    <row r="552" spans="1:8" x14ac:dyDescent="0.25">
      <c r="A552" t="s">
        <v>1079</v>
      </c>
      <c r="B552">
        <v>44176</v>
      </c>
      <c r="C552" t="s">
        <v>1080</v>
      </c>
      <c r="D552" t="s">
        <v>38</v>
      </c>
      <c r="E552">
        <v>6</v>
      </c>
      <c r="F552">
        <f>INDEX([1]products!$A$1:$G$49,MATCH([1]orders!$D552,[1]products!$A$1:$A$49,0),MATCH([1]orders!K$1,[1]products!$A$1:$G$1,0))</f>
        <v>0.2</v>
      </c>
      <c r="G552">
        <f>INDEX([1]products!$A$1:$G$49,MATCH([1]orders!$D552,[1]products!$A$1:$A$49,0),MATCH([1]orders!L$1,[1]products!$A$1:$G$1,0))</f>
        <v>3.8849999999999998</v>
      </c>
      <c r="H552">
        <f t="shared" si="8"/>
        <v>23.31</v>
      </c>
    </row>
    <row r="553" spans="1:8" x14ac:dyDescent="0.25">
      <c r="A553" t="s">
        <v>1081</v>
      </c>
      <c r="B553">
        <v>44694</v>
      </c>
      <c r="C553" t="s">
        <v>1082</v>
      </c>
      <c r="D553" t="s">
        <v>51</v>
      </c>
      <c r="E553">
        <v>2</v>
      </c>
      <c r="F553">
        <f>INDEX([1]products!$A$1:$G$49,MATCH([1]orders!$D553,[1]products!$A$1:$A$49,0),MATCH([1]orders!K$1,[1]products!$A$1:$G$1,0))</f>
        <v>0.2</v>
      </c>
      <c r="G553">
        <f>INDEX([1]products!$A$1:$G$49,MATCH([1]orders!$D553,[1]products!$A$1:$A$49,0),MATCH([1]orders!L$1,[1]products!$A$1:$G$1,0))</f>
        <v>3.645</v>
      </c>
      <c r="H553">
        <f t="shared" si="8"/>
        <v>7.29</v>
      </c>
    </row>
    <row r="554" spans="1:8" x14ac:dyDescent="0.25">
      <c r="A554" t="s">
        <v>1083</v>
      </c>
      <c r="B554">
        <v>43761</v>
      </c>
      <c r="C554" t="s">
        <v>1084</v>
      </c>
      <c r="D554" t="s">
        <v>254</v>
      </c>
      <c r="E554">
        <v>4</v>
      </c>
      <c r="F554">
        <f>INDEX([1]products!$A$1:$G$49,MATCH([1]orders!$D554,[1]products!$A$1:$A$49,0),MATCH([1]orders!K$1,[1]products!$A$1:$G$1,0))</f>
        <v>0.2</v>
      </c>
      <c r="G554">
        <f>INDEX([1]products!$A$1:$G$49,MATCH([1]orders!$D554,[1]products!$A$1:$A$49,0),MATCH([1]orders!L$1,[1]products!$A$1:$G$1,0))</f>
        <v>4.4550000000000001</v>
      </c>
      <c r="H554">
        <f t="shared" si="8"/>
        <v>17.82</v>
      </c>
    </row>
    <row r="555" spans="1:8" x14ac:dyDescent="0.25">
      <c r="A555" t="s">
        <v>1085</v>
      </c>
      <c r="B555">
        <v>44085</v>
      </c>
      <c r="C555" t="s">
        <v>1086</v>
      </c>
      <c r="D555" t="s">
        <v>9</v>
      </c>
      <c r="E555">
        <v>5</v>
      </c>
      <c r="F555">
        <f>INDEX([1]products!$A$1:$G$49,MATCH([1]orders!$D555,[1]products!$A$1:$A$49,0),MATCH([1]orders!K$1,[1]products!$A$1:$G$1,0))</f>
        <v>1</v>
      </c>
      <c r="G555">
        <f>INDEX([1]products!$A$1:$G$49,MATCH([1]orders!$D555,[1]products!$A$1:$A$49,0),MATCH([1]orders!L$1,[1]products!$A$1:$G$1,0))</f>
        <v>13.75</v>
      </c>
      <c r="H555">
        <f t="shared" si="8"/>
        <v>68.75</v>
      </c>
    </row>
    <row r="556" spans="1:8" x14ac:dyDescent="0.25">
      <c r="A556" t="s">
        <v>1087</v>
      </c>
      <c r="B556">
        <v>43737</v>
      </c>
      <c r="C556" t="s">
        <v>1088</v>
      </c>
      <c r="D556" t="s">
        <v>10</v>
      </c>
      <c r="E556">
        <v>2</v>
      </c>
      <c r="F556">
        <f>INDEX([1]products!$A$1:$G$49,MATCH([1]orders!$D556,[1]products!$A$1:$A$49,0),MATCH([1]orders!K$1,[1]products!$A$1:$G$1,0))</f>
        <v>2.5</v>
      </c>
      <c r="G556">
        <f>INDEX([1]products!$A$1:$G$49,MATCH([1]orders!$D556,[1]products!$A$1:$A$49,0),MATCH([1]orders!L$1,[1]products!$A$1:$G$1,0))</f>
        <v>27.484999999999996</v>
      </c>
      <c r="H556">
        <f t="shared" si="8"/>
        <v>54.969999999999992</v>
      </c>
    </row>
    <row r="557" spans="1:8" x14ac:dyDescent="0.25">
      <c r="A557" t="s">
        <v>1089</v>
      </c>
      <c r="B557">
        <v>44258</v>
      </c>
      <c r="C557" t="s">
        <v>1090</v>
      </c>
      <c r="D557" t="s">
        <v>9</v>
      </c>
      <c r="E557">
        <v>6</v>
      </c>
      <c r="F557">
        <f>INDEX([1]products!$A$1:$G$49,MATCH([1]orders!$D557,[1]products!$A$1:$A$49,0),MATCH([1]orders!K$1,[1]products!$A$1:$G$1,0))</f>
        <v>1</v>
      </c>
      <c r="G557">
        <f>INDEX([1]products!$A$1:$G$49,MATCH([1]orders!$D557,[1]products!$A$1:$A$49,0),MATCH([1]orders!L$1,[1]products!$A$1:$G$1,0))</f>
        <v>13.75</v>
      </c>
      <c r="H557">
        <f t="shared" si="8"/>
        <v>82.5</v>
      </c>
    </row>
    <row r="558" spans="1:8" x14ac:dyDescent="0.25">
      <c r="A558" t="s">
        <v>1091</v>
      </c>
      <c r="B558">
        <v>44523</v>
      </c>
      <c r="C558" t="s">
        <v>1092</v>
      </c>
      <c r="D558" t="s">
        <v>77</v>
      </c>
      <c r="E558">
        <v>2</v>
      </c>
      <c r="F558">
        <f>INDEX([1]products!$A$1:$G$49,MATCH([1]orders!$D558,[1]products!$A$1:$A$49,0),MATCH([1]orders!K$1,[1]products!$A$1:$G$1,0))</f>
        <v>0.2</v>
      </c>
      <c r="G558">
        <f>INDEX([1]products!$A$1:$G$49,MATCH([1]orders!$D558,[1]products!$A$1:$A$49,0),MATCH([1]orders!L$1,[1]products!$A$1:$G$1,0))</f>
        <v>4.3650000000000002</v>
      </c>
      <c r="H558">
        <f t="shared" si="8"/>
        <v>8.73</v>
      </c>
    </row>
    <row r="559" spans="1:8" x14ac:dyDescent="0.25">
      <c r="A559" t="s">
        <v>1093</v>
      </c>
      <c r="B559">
        <v>44506</v>
      </c>
      <c r="C559" t="s">
        <v>988</v>
      </c>
      <c r="D559" t="s">
        <v>137</v>
      </c>
      <c r="E559">
        <v>4</v>
      </c>
      <c r="F559">
        <f>INDEX([1]products!$A$1:$G$49,MATCH([1]orders!$D559,[1]products!$A$1:$A$49,0),MATCH([1]orders!K$1,[1]products!$A$1:$G$1,0))</f>
        <v>1</v>
      </c>
      <c r="G559">
        <f>INDEX([1]products!$A$1:$G$49,MATCH([1]orders!$D559,[1]products!$A$1:$A$49,0),MATCH([1]orders!L$1,[1]products!$A$1:$G$1,0))</f>
        <v>14.85</v>
      </c>
      <c r="H559">
        <f t="shared" si="8"/>
        <v>59.4</v>
      </c>
    </row>
    <row r="560" spans="1:8" x14ac:dyDescent="0.25">
      <c r="A560" t="s">
        <v>1094</v>
      </c>
      <c r="B560">
        <v>44225</v>
      </c>
      <c r="C560" t="s">
        <v>1095</v>
      </c>
      <c r="D560" t="s">
        <v>38</v>
      </c>
      <c r="E560">
        <v>4</v>
      </c>
      <c r="F560">
        <f>INDEX([1]products!$A$1:$G$49,MATCH([1]orders!$D560,[1]products!$A$1:$A$49,0),MATCH([1]orders!K$1,[1]products!$A$1:$G$1,0))</f>
        <v>0.2</v>
      </c>
      <c r="G560">
        <f>INDEX([1]products!$A$1:$G$49,MATCH([1]orders!$D560,[1]products!$A$1:$A$49,0),MATCH([1]orders!L$1,[1]products!$A$1:$G$1,0))</f>
        <v>3.8849999999999998</v>
      </c>
      <c r="H560">
        <f t="shared" si="8"/>
        <v>15.54</v>
      </c>
    </row>
    <row r="561" spans="1:8" x14ac:dyDescent="0.25">
      <c r="A561" t="s">
        <v>1096</v>
      </c>
      <c r="B561">
        <v>44667</v>
      </c>
      <c r="C561" t="s">
        <v>1097</v>
      </c>
      <c r="D561" t="s">
        <v>6</v>
      </c>
      <c r="E561">
        <v>3</v>
      </c>
      <c r="F561">
        <f>INDEX([1]products!$A$1:$G$49,MATCH([1]orders!$D561,[1]products!$A$1:$A$49,0),MATCH([1]orders!K$1,[1]products!$A$1:$G$1,0))</f>
        <v>1</v>
      </c>
      <c r="G561">
        <f>INDEX([1]products!$A$1:$G$49,MATCH([1]orders!$D561,[1]products!$A$1:$A$49,0),MATCH([1]orders!L$1,[1]products!$A$1:$G$1,0))</f>
        <v>12.95</v>
      </c>
      <c r="H561">
        <f t="shared" si="8"/>
        <v>38.849999999999994</v>
      </c>
    </row>
    <row r="562" spans="1:8" x14ac:dyDescent="0.25">
      <c r="A562" t="s">
        <v>1098</v>
      </c>
      <c r="B562">
        <v>44401</v>
      </c>
      <c r="C562" t="s">
        <v>1099</v>
      </c>
      <c r="D562" t="s">
        <v>112</v>
      </c>
      <c r="E562">
        <v>6</v>
      </c>
      <c r="F562">
        <f>INDEX([1]products!$A$1:$G$49,MATCH([1]orders!$D562,[1]products!$A$1:$A$49,0),MATCH([1]orders!K$1,[1]products!$A$1:$G$1,0))</f>
        <v>2.5</v>
      </c>
      <c r="G562">
        <f>INDEX([1]products!$A$1:$G$49,MATCH([1]orders!$D562,[1]products!$A$1:$A$49,0),MATCH([1]orders!L$1,[1]products!$A$1:$G$1,0))</f>
        <v>31.624999999999996</v>
      </c>
      <c r="H562">
        <f t="shared" si="8"/>
        <v>189.74999999999997</v>
      </c>
    </row>
    <row r="563" spans="1:8" x14ac:dyDescent="0.25">
      <c r="A563" t="s">
        <v>1100</v>
      </c>
      <c r="B563">
        <v>43688</v>
      </c>
      <c r="C563" t="s">
        <v>1101</v>
      </c>
      <c r="D563" t="s">
        <v>54</v>
      </c>
      <c r="E563">
        <v>6</v>
      </c>
      <c r="F563">
        <f>INDEX([1]products!$A$1:$G$49,MATCH([1]orders!$D563,[1]products!$A$1:$A$49,0),MATCH([1]orders!K$1,[1]products!$A$1:$G$1,0))</f>
        <v>0.2</v>
      </c>
      <c r="G563">
        <f>INDEX([1]products!$A$1:$G$49,MATCH([1]orders!$D563,[1]products!$A$1:$A$49,0),MATCH([1]orders!L$1,[1]products!$A$1:$G$1,0))</f>
        <v>2.9849999999999999</v>
      </c>
      <c r="H563">
        <f t="shared" si="8"/>
        <v>17.91</v>
      </c>
    </row>
    <row r="564" spans="1:8" x14ac:dyDescent="0.25">
      <c r="A564" t="s">
        <v>1102</v>
      </c>
      <c r="B564">
        <v>43669</v>
      </c>
      <c r="C564" t="s">
        <v>1103</v>
      </c>
      <c r="D564" t="s">
        <v>19</v>
      </c>
      <c r="E564">
        <v>6</v>
      </c>
      <c r="F564">
        <f>INDEX([1]products!$A$1:$G$49,MATCH([1]orders!$D564,[1]products!$A$1:$A$49,0),MATCH([1]orders!K$1,[1]products!$A$1:$G$1,0))</f>
        <v>0.2</v>
      </c>
      <c r="G564">
        <f>INDEX([1]products!$A$1:$G$49,MATCH([1]orders!$D564,[1]products!$A$1:$A$49,0),MATCH([1]orders!L$1,[1]products!$A$1:$G$1,0))</f>
        <v>4.7549999999999999</v>
      </c>
      <c r="H564">
        <f t="shared" si="8"/>
        <v>28.53</v>
      </c>
    </row>
    <row r="565" spans="1:8" x14ac:dyDescent="0.25">
      <c r="A565" t="s">
        <v>1104</v>
      </c>
      <c r="B565">
        <v>43991</v>
      </c>
      <c r="C565" t="s">
        <v>1105</v>
      </c>
      <c r="D565" t="s">
        <v>9</v>
      </c>
      <c r="E565">
        <v>6</v>
      </c>
      <c r="F565">
        <f>INDEX([1]products!$A$1:$G$49,MATCH([1]orders!$D565,[1]products!$A$1:$A$49,0),MATCH([1]orders!K$1,[1]products!$A$1:$G$1,0))</f>
        <v>1</v>
      </c>
      <c r="G565">
        <f>INDEX([1]products!$A$1:$G$49,MATCH([1]orders!$D565,[1]products!$A$1:$A$49,0),MATCH([1]orders!L$1,[1]products!$A$1:$G$1,0))</f>
        <v>13.75</v>
      </c>
      <c r="H565">
        <f t="shared" si="8"/>
        <v>82.5</v>
      </c>
    </row>
    <row r="566" spans="1:8" x14ac:dyDescent="0.25">
      <c r="A566" t="s">
        <v>1106</v>
      </c>
      <c r="B566">
        <v>43883</v>
      </c>
      <c r="C566" t="s">
        <v>1107</v>
      </c>
      <c r="D566" t="s">
        <v>157</v>
      </c>
      <c r="E566">
        <v>2</v>
      </c>
      <c r="F566">
        <f>INDEX([1]products!$A$1:$G$49,MATCH([1]orders!$D566,[1]products!$A$1:$A$49,0),MATCH([1]orders!K$1,[1]products!$A$1:$G$1,0))</f>
        <v>0.5</v>
      </c>
      <c r="G566">
        <f>INDEX([1]products!$A$1:$G$49,MATCH([1]orders!$D566,[1]products!$A$1:$A$49,0),MATCH([1]orders!L$1,[1]products!$A$1:$G$1,0))</f>
        <v>7.169999999999999</v>
      </c>
      <c r="H566">
        <f t="shared" si="8"/>
        <v>14.339999999999998</v>
      </c>
    </row>
    <row r="567" spans="1:8" x14ac:dyDescent="0.25">
      <c r="A567" t="s">
        <v>1108</v>
      </c>
      <c r="B567">
        <v>44031</v>
      </c>
      <c r="C567" t="s">
        <v>1109</v>
      </c>
      <c r="D567" t="s">
        <v>35</v>
      </c>
      <c r="E567">
        <v>4</v>
      </c>
      <c r="F567">
        <f>INDEX([1]products!$A$1:$G$49,MATCH([1]orders!$D567,[1]products!$A$1:$A$49,0),MATCH([1]orders!K$1,[1]products!$A$1:$G$1,0))</f>
        <v>2.5</v>
      </c>
      <c r="G567">
        <f>INDEX([1]products!$A$1:$G$49,MATCH([1]orders!$D567,[1]products!$A$1:$A$49,0),MATCH([1]orders!L$1,[1]products!$A$1:$G$1,0))</f>
        <v>20.584999999999997</v>
      </c>
      <c r="H567">
        <f t="shared" si="8"/>
        <v>82.339999999999989</v>
      </c>
    </row>
    <row r="568" spans="1:8" x14ac:dyDescent="0.25">
      <c r="A568" t="s">
        <v>1110</v>
      </c>
      <c r="B568">
        <v>44459</v>
      </c>
      <c r="C568" t="s">
        <v>1111</v>
      </c>
      <c r="D568" t="s">
        <v>44</v>
      </c>
      <c r="E568">
        <v>6</v>
      </c>
      <c r="F568">
        <f>INDEX([1]products!$A$1:$G$49,MATCH([1]orders!$D568,[1]products!$A$1:$A$49,0),MATCH([1]orders!K$1,[1]products!$A$1:$G$1,0))</f>
        <v>0.2</v>
      </c>
      <c r="G568">
        <f>INDEX([1]products!$A$1:$G$49,MATCH([1]orders!$D568,[1]products!$A$1:$A$49,0),MATCH([1]orders!L$1,[1]products!$A$1:$G$1,0))</f>
        <v>3.375</v>
      </c>
      <c r="H568">
        <f t="shared" si="8"/>
        <v>20.25</v>
      </c>
    </row>
    <row r="569" spans="1:8" x14ac:dyDescent="0.25">
      <c r="A569" t="s">
        <v>1112</v>
      </c>
      <c r="B569">
        <v>44318</v>
      </c>
      <c r="C569" t="s">
        <v>1113</v>
      </c>
      <c r="D569" t="s">
        <v>10</v>
      </c>
      <c r="E569">
        <v>6</v>
      </c>
      <c r="F569">
        <f>INDEX([1]products!$A$1:$G$49,MATCH([1]orders!$D569,[1]products!$A$1:$A$49,0),MATCH([1]orders!K$1,[1]products!$A$1:$G$1,0))</f>
        <v>2.5</v>
      </c>
      <c r="G569">
        <f>INDEX([1]products!$A$1:$G$49,MATCH([1]orders!$D569,[1]products!$A$1:$A$49,0),MATCH([1]orders!L$1,[1]products!$A$1:$G$1,0))</f>
        <v>27.484999999999996</v>
      </c>
      <c r="H569">
        <f t="shared" si="8"/>
        <v>164.90999999999997</v>
      </c>
    </row>
    <row r="570" spans="1:8" x14ac:dyDescent="0.25">
      <c r="A570" t="s">
        <v>1114</v>
      </c>
      <c r="B570">
        <v>44526</v>
      </c>
      <c r="C570" t="s">
        <v>1115</v>
      </c>
      <c r="D570" t="s">
        <v>19</v>
      </c>
      <c r="E570">
        <v>4</v>
      </c>
      <c r="F570">
        <f>INDEX([1]products!$A$1:$G$49,MATCH([1]orders!$D570,[1]products!$A$1:$A$49,0),MATCH([1]orders!K$1,[1]products!$A$1:$G$1,0))</f>
        <v>0.2</v>
      </c>
      <c r="G570">
        <f>INDEX([1]products!$A$1:$G$49,MATCH([1]orders!$D570,[1]products!$A$1:$A$49,0),MATCH([1]orders!L$1,[1]products!$A$1:$G$1,0))</f>
        <v>4.7549999999999999</v>
      </c>
      <c r="H570">
        <f t="shared" si="8"/>
        <v>19.02</v>
      </c>
    </row>
    <row r="571" spans="1:8" x14ac:dyDescent="0.25">
      <c r="A571" t="s">
        <v>1116</v>
      </c>
      <c r="B571">
        <v>43879</v>
      </c>
      <c r="C571" t="s">
        <v>1105</v>
      </c>
      <c r="D571" t="s">
        <v>118</v>
      </c>
      <c r="E571">
        <v>6</v>
      </c>
      <c r="F571">
        <f>INDEX([1]products!$A$1:$G$49,MATCH([1]orders!$D571,[1]products!$A$1:$A$49,0),MATCH([1]orders!K$1,[1]products!$A$1:$G$1,0))</f>
        <v>2.5</v>
      </c>
      <c r="G571">
        <f>INDEX([1]products!$A$1:$G$49,MATCH([1]orders!$D571,[1]products!$A$1:$A$49,0),MATCH([1]orders!L$1,[1]products!$A$1:$G$1,0))</f>
        <v>22.884999999999998</v>
      </c>
      <c r="H571">
        <f t="shared" si="8"/>
        <v>137.31</v>
      </c>
    </row>
    <row r="572" spans="1:8" x14ac:dyDescent="0.25">
      <c r="A572" t="s">
        <v>1117</v>
      </c>
      <c r="B572">
        <v>43928</v>
      </c>
      <c r="C572" t="s">
        <v>1118</v>
      </c>
      <c r="D572" t="s">
        <v>67</v>
      </c>
      <c r="E572">
        <v>4</v>
      </c>
      <c r="F572">
        <f>INDEX([1]products!$A$1:$G$49,MATCH([1]orders!$D572,[1]products!$A$1:$A$49,0),MATCH([1]orders!K$1,[1]products!$A$1:$G$1,0))</f>
        <v>0.5</v>
      </c>
      <c r="G572">
        <f>INDEX([1]products!$A$1:$G$49,MATCH([1]orders!$D572,[1]products!$A$1:$A$49,0),MATCH([1]orders!L$1,[1]products!$A$1:$G$1,0))</f>
        <v>6.75</v>
      </c>
      <c r="H572">
        <f t="shared" si="8"/>
        <v>27</v>
      </c>
    </row>
    <row r="573" spans="1:8" x14ac:dyDescent="0.25">
      <c r="A573" t="s">
        <v>1119</v>
      </c>
      <c r="B573">
        <v>44592</v>
      </c>
      <c r="C573" t="s">
        <v>1120</v>
      </c>
      <c r="D573" t="s">
        <v>176</v>
      </c>
      <c r="E573">
        <v>4</v>
      </c>
      <c r="F573">
        <f>INDEX([1]products!$A$1:$G$49,MATCH([1]orders!$D573,[1]products!$A$1:$A$49,0),MATCH([1]orders!K$1,[1]products!$A$1:$G$1,0))</f>
        <v>0.5</v>
      </c>
      <c r="G573">
        <f>INDEX([1]products!$A$1:$G$49,MATCH([1]orders!$D573,[1]products!$A$1:$A$49,0),MATCH([1]orders!L$1,[1]products!$A$1:$G$1,0))</f>
        <v>8.91</v>
      </c>
      <c r="H573">
        <f t="shared" si="8"/>
        <v>35.64</v>
      </c>
    </row>
    <row r="574" spans="1:8" x14ac:dyDescent="0.25">
      <c r="A574" t="s">
        <v>1121</v>
      </c>
      <c r="B574">
        <v>43515</v>
      </c>
      <c r="C574" t="s">
        <v>1122</v>
      </c>
      <c r="D574" t="s">
        <v>54</v>
      </c>
      <c r="E574">
        <v>2</v>
      </c>
      <c r="F574">
        <f>INDEX([1]products!$A$1:$G$49,MATCH([1]orders!$D574,[1]products!$A$1:$A$49,0),MATCH([1]orders!K$1,[1]products!$A$1:$G$1,0))</f>
        <v>0.2</v>
      </c>
      <c r="G574">
        <f>INDEX([1]products!$A$1:$G$49,MATCH([1]orders!$D574,[1]products!$A$1:$A$49,0),MATCH([1]orders!L$1,[1]products!$A$1:$G$1,0))</f>
        <v>2.9849999999999999</v>
      </c>
      <c r="H574">
        <f t="shared" si="8"/>
        <v>5.97</v>
      </c>
    </row>
    <row r="575" spans="1:8" x14ac:dyDescent="0.25">
      <c r="A575" t="s">
        <v>1123</v>
      </c>
      <c r="B575">
        <v>43781</v>
      </c>
      <c r="C575" t="s">
        <v>1124</v>
      </c>
      <c r="D575" t="s">
        <v>61</v>
      </c>
      <c r="E575">
        <v>6</v>
      </c>
      <c r="F575">
        <f>INDEX([1]products!$A$1:$G$49,MATCH([1]orders!$D575,[1]products!$A$1:$A$49,0),MATCH([1]orders!K$1,[1]products!$A$1:$G$1,0))</f>
        <v>1</v>
      </c>
      <c r="G575">
        <f>INDEX([1]products!$A$1:$G$49,MATCH([1]orders!$D575,[1]products!$A$1:$A$49,0),MATCH([1]orders!L$1,[1]products!$A$1:$G$1,0))</f>
        <v>11.25</v>
      </c>
      <c r="H575">
        <f t="shared" si="8"/>
        <v>67.5</v>
      </c>
    </row>
    <row r="576" spans="1:8" x14ac:dyDescent="0.25">
      <c r="A576" t="s">
        <v>1125</v>
      </c>
      <c r="B576">
        <v>44697</v>
      </c>
      <c r="C576" t="s">
        <v>1126</v>
      </c>
      <c r="D576" t="s">
        <v>182</v>
      </c>
      <c r="E576">
        <v>6</v>
      </c>
      <c r="F576">
        <f>INDEX([1]products!$A$1:$G$49,MATCH([1]orders!$D576,[1]products!$A$1:$A$49,0),MATCH([1]orders!K$1,[1]products!$A$1:$G$1,0))</f>
        <v>0.2</v>
      </c>
      <c r="G576">
        <f>INDEX([1]products!$A$1:$G$49,MATCH([1]orders!$D576,[1]products!$A$1:$A$49,0),MATCH([1]orders!L$1,[1]products!$A$1:$G$1,0))</f>
        <v>3.5849999999999995</v>
      </c>
      <c r="H576">
        <f t="shared" si="8"/>
        <v>21.509999999999998</v>
      </c>
    </row>
    <row r="577" spans="1:8" x14ac:dyDescent="0.25">
      <c r="A577" t="s">
        <v>1127</v>
      </c>
      <c r="B577">
        <v>44239</v>
      </c>
      <c r="C577" t="s">
        <v>1128</v>
      </c>
      <c r="D577" t="s">
        <v>197</v>
      </c>
      <c r="E577">
        <v>2</v>
      </c>
      <c r="F577">
        <f>INDEX([1]products!$A$1:$G$49,MATCH([1]orders!$D577,[1]products!$A$1:$A$49,0),MATCH([1]orders!K$1,[1]products!$A$1:$G$1,0))</f>
        <v>2.5</v>
      </c>
      <c r="G577">
        <f>INDEX([1]products!$A$1:$G$49,MATCH([1]orders!$D577,[1]products!$A$1:$A$49,0),MATCH([1]orders!L$1,[1]products!$A$1:$G$1,0))</f>
        <v>33.464999999999996</v>
      </c>
      <c r="H577">
        <f t="shared" si="8"/>
        <v>66.929999999999993</v>
      </c>
    </row>
    <row r="578" spans="1:8" x14ac:dyDescent="0.25">
      <c r="A578" t="s">
        <v>1129</v>
      </c>
      <c r="B578">
        <v>44290</v>
      </c>
      <c r="C578" t="s">
        <v>1130</v>
      </c>
      <c r="D578" t="s">
        <v>54</v>
      </c>
      <c r="E578">
        <v>6</v>
      </c>
      <c r="F578">
        <f>INDEX([1]products!$A$1:$G$49,MATCH([1]orders!$D578,[1]products!$A$1:$A$49,0),MATCH([1]orders!K$1,[1]products!$A$1:$G$1,0))</f>
        <v>0.2</v>
      </c>
      <c r="G578">
        <f>INDEX([1]products!$A$1:$G$49,MATCH([1]orders!$D578,[1]products!$A$1:$A$49,0),MATCH([1]orders!L$1,[1]products!$A$1:$G$1,0))</f>
        <v>2.9849999999999999</v>
      </c>
      <c r="H578">
        <f t="shared" ref="H578:H641" si="9">E578*G578</f>
        <v>17.91</v>
      </c>
    </row>
    <row r="579" spans="1:8" x14ac:dyDescent="0.25">
      <c r="A579" t="s">
        <v>1131</v>
      </c>
      <c r="B579">
        <v>44410</v>
      </c>
      <c r="C579" t="s">
        <v>1105</v>
      </c>
      <c r="D579" t="s">
        <v>96</v>
      </c>
      <c r="E579">
        <v>4</v>
      </c>
      <c r="F579">
        <f>INDEX([1]products!$A$1:$G$49,MATCH([1]orders!$D579,[1]products!$A$1:$A$49,0),MATCH([1]orders!K$1,[1]products!$A$1:$G$1,0))</f>
        <v>1</v>
      </c>
      <c r="G579">
        <f>INDEX([1]products!$A$1:$G$49,MATCH([1]orders!$D579,[1]products!$A$1:$A$49,0),MATCH([1]orders!L$1,[1]products!$A$1:$G$1,0))</f>
        <v>14.55</v>
      </c>
      <c r="H579">
        <f t="shared" si="9"/>
        <v>58.2</v>
      </c>
    </row>
    <row r="580" spans="1:8" x14ac:dyDescent="0.25">
      <c r="A580" t="s">
        <v>1132</v>
      </c>
      <c r="B580">
        <v>44720</v>
      </c>
      <c r="C580" t="s">
        <v>1133</v>
      </c>
      <c r="D580" t="s">
        <v>254</v>
      </c>
      <c r="E580">
        <v>3</v>
      </c>
      <c r="F580">
        <f>INDEX([1]products!$A$1:$G$49,MATCH([1]orders!$D580,[1]products!$A$1:$A$49,0),MATCH([1]orders!K$1,[1]products!$A$1:$G$1,0))</f>
        <v>0.2</v>
      </c>
      <c r="G580">
        <f>INDEX([1]products!$A$1:$G$49,MATCH([1]orders!$D580,[1]products!$A$1:$A$49,0),MATCH([1]orders!L$1,[1]products!$A$1:$G$1,0))</f>
        <v>4.4550000000000001</v>
      </c>
      <c r="H580">
        <f t="shared" si="9"/>
        <v>13.365</v>
      </c>
    </row>
    <row r="581" spans="1:8" x14ac:dyDescent="0.25">
      <c r="A581" t="s">
        <v>1132</v>
      </c>
      <c r="B581">
        <v>44720</v>
      </c>
      <c r="C581" t="s">
        <v>1133</v>
      </c>
      <c r="D581" t="s">
        <v>67</v>
      </c>
      <c r="E581">
        <v>5</v>
      </c>
      <c r="F581">
        <f>INDEX([1]products!$A$1:$G$49,MATCH([1]orders!$D581,[1]products!$A$1:$A$49,0),MATCH([1]orders!K$1,[1]products!$A$1:$G$1,0))</f>
        <v>0.5</v>
      </c>
      <c r="G581">
        <f>INDEX([1]products!$A$1:$G$49,MATCH([1]orders!$D581,[1]products!$A$1:$A$49,0),MATCH([1]orders!L$1,[1]products!$A$1:$G$1,0))</f>
        <v>6.75</v>
      </c>
      <c r="H581">
        <f t="shared" si="9"/>
        <v>33.75</v>
      </c>
    </row>
    <row r="582" spans="1:8" x14ac:dyDescent="0.25">
      <c r="A582" t="s">
        <v>1134</v>
      </c>
      <c r="B582">
        <v>43965</v>
      </c>
      <c r="C582" t="s">
        <v>1135</v>
      </c>
      <c r="D582" t="s">
        <v>137</v>
      </c>
      <c r="E582">
        <v>3</v>
      </c>
      <c r="F582">
        <f>INDEX([1]products!$A$1:$G$49,MATCH([1]orders!$D582,[1]products!$A$1:$A$49,0),MATCH([1]orders!K$1,[1]products!$A$1:$G$1,0))</f>
        <v>1</v>
      </c>
      <c r="G582">
        <f>INDEX([1]products!$A$1:$G$49,MATCH([1]orders!$D582,[1]products!$A$1:$A$49,0),MATCH([1]orders!L$1,[1]products!$A$1:$G$1,0))</f>
        <v>14.85</v>
      </c>
      <c r="H582">
        <f t="shared" si="9"/>
        <v>44.55</v>
      </c>
    </row>
    <row r="583" spans="1:8" x14ac:dyDescent="0.25">
      <c r="A583" t="s">
        <v>1136</v>
      </c>
      <c r="B583">
        <v>44190</v>
      </c>
      <c r="C583" t="s">
        <v>1137</v>
      </c>
      <c r="D583" t="s">
        <v>176</v>
      </c>
      <c r="E583">
        <v>5</v>
      </c>
      <c r="F583">
        <f>INDEX([1]products!$A$1:$G$49,MATCH([1]orders!$D583,[1]products!$A$1:$A$49,0),MATCH([1]orders!K$1,[1]products!$A$1:$G$1,0))</f>
        <v>0.5</v>
      </c>
      <c r="G583">
        <f>INDEX([1]products!$A$1:$G$49,MATCH([1]orders!$D583,[1]products!$A$1:$A$49,0),MATCH([1]orders!L$1,[1]products!$A$1:$G$1,0))</f>
        <v>8.91</v>
      </c>
      <c r="H583">
        <f t="shared" si="9"/>
        <v>44.55</v>
      </c>
    </row>
    <row r="584" spans="1:8" x14ac:dyDescent="0.25">
      <c r="A584" t="s">
        <v>1138</v>
      </c>
      <c r="B584">
        <v>44382</v>
      </c>
      <c r="C584" t="s">
        <v>1139</v>
      </c>
      <c r="D584" t="s">
        <v>245</v>
      </c>
      <c r="E584">
        <v>5</v>
      </c>
      <c r="F584">
        <f>INDEX([1]products!$A$1:$G$49,MATCH([1]orders!$D584,[1]products!$A$1:$A$49,0),MATCH([1]orders!K$1,[1]products!$A$1:$G$1,0))</f>
        <v>1</v>
      </c>
      <c r="G584">
        <f>INDEX([1]products!$A$1:$G$49,MATCH([1]orders!$D584,[1]products!$A$1:$A$49,0),MATCH([1]orders!L$1,[1]products!$A$1:$G$1,0))</f>
        <v>12.15</v>
      </c>
      <c r="H584">
        <f t="shared" si="9"/>
        <v>60.75</v>
      </c>
    </row>
    <row r="585" spans="1:8" x14ac:dyDescent="0.25">
      <c r="A585" t="s">
        <v>1140</v>
      </c>
      <c r="B585">
        <v>43538</v>
      </c>
      <c r="C585" t="s">
        <v>1141</v>
      </c>
      <c r="D585" t="s">
        <v>182</v>
      </c>
      <c r="E585">
        <v>1</v>
      </c>
      <c r="F585">
        <f>INDEX([1]products!$A$1:$G$49,MATCH([1]orders!$D585,[1]products!$A$1:$A$49,0),MATCH([1]orders!K$1,[1]products!$A$1:$G$1,0))</f>
        <v>0.2</v>
      </c>
      <c r="G585">
        <f>INDEX([1]products!$A$1:$G$49,MATCH([1]orders!$D585,[1]products!$A$1:$A$49,0),MATCH([1]orders!L$1,[1]products!$A$1:$G$1,0))</f>
        <v>3.5849999999999995</v>
      </c>
      <c r="H585">
        <f t="shared" si="9"/>
        <v>3.5849999999999995</v>
      </c>
    </row>
    <row r="586" spans="1:8" x14ac:dyDescent="0.25">
      <c r="A586" t="s">
        <v>1142</v>
      </c>
      <c r="B586">
        <v>44262</v>
      </c>
      <c r="C586" t="s">
        <v>1143</v>
      </c>
      <c r="D586" t="s">
        <v>182</v>
      </c>
      <c r="E586">
        <v>6</v>
      </c>
      <c r="F586">
        <f>INDEX([1]products!$A$1:$G$49,MATCH([1]orders!$D586,[1]products!$A$1:$A$49,0),MATCH([1]orders!K$1,[1]products!$A$1:$G$1,0))</f>
        <v>0.2</v>
      </c>
      <c r="G586">
        <f>INDEX([1]products!$A$1:$G$49,MATCH([1]orders!$D586,[1]products!$A$1:$A$49,0),MATCH([1]orders!L$1,[1]products!$A$1:$G$1,0))</f>
        <v>3.5849999999999995</v>
      </c>
      <c r="H586">
        <f t="shared" si="9"/>
        <v>21.509999999999998</v>
      </c>
    </row>
    <row r="587" spans="1:8" x14ac:dyDescent="0.25">
      <c r="A587" t="s">
        <v>1144</v>
      </c>
      <c r="B587">
        <v>44505</v>
      </c>
      <c r="C587" t="s">
        <v>1145</v>
      </c>
      <c r="D587" t="s">
        <v>3</v>
      </c>
      <c r="E587">
        <v>2</v>
      </c>
      <c r="F587">
        <f>INDEX([1]products!$A$1:$G$49,MATCH([1]orders!$D587,[1]products!$A$1:$A$49,0),MATCH([1]orders!K$1,[1]products!$A$1:$G$1,0))</f>
        <v>0.5</v>
      </c>
      <c r="G587">
        <f>INDEX([1]products!$A$1:$G$49,MATCH([1]orders!$D587,[1]products!$A$1:$A$49,0),MATCH([1]orders!L$1,[1]products!$A$1:$G$1,0))</f>
        <v>8.25</v>
      </c>
      <c r="H587">
        <f t="shared" si="9"/>
        <v>16.5</v>
      </c>
    </row>
    <row r="588" spans="1:8" x14ac:dyDescent="0.25">
      <c r="A588" t="s">
        <v>1146</v>
      </c>
      <c r="B588">
        <v>43867</v>
      </c>
      <c r="C588" t="s">
        <v>1147</v>
      </c>
      <c r="D588" t="s">
        <v>10</v>
      </c>
      <c r="E588">
        <v>3</v>
      </c>
      <c r="F588">
        <f>INDEX([1]products!$A$1:$G$49,MATCH([1]orders!$D588,[1]products!$A$1:$A$49,0),MATCH([1]orders!K$1,[1]products!$A$1:$G$1,0))</f>
        <v>2.5</v>
      </c>
      <c r="G588">
        <f>INDEX([1]products!$A$1:$G$49,MATCH([1]orders!$D588,[1]products!$A$1:$A$49,0),MATCH([1]orders!L$1,[1]products!$A$1:$G$1,0))</f>
        <v>27.484999999999996</v>
      </c>
      <c r="H588">
        <f t="shared" si="9"/>
        <v>82.454999999999984</v>
      </c>
    </row>
    <row r="589" spans="1:8" x14ac:dyDescent="0.25">
      <c r="A589" t="s">
        <v>1148</v>
      </c>
      <c r="B589">
        <v>44267</v>
      </c>
      <c r="C589" t="s">
        <v>1149</v>
      </c>
      <c r="D589" t="s">
        <v>123</v>
      </c>
      <c r="E589">
        <v>1</v>
      </c>
      <c r="F589">
        <f>INDEX([1]products!$A$1:$G$49,MATCH([1]orders!$D589,[1]products!$A$1:$A$49,0),MATCH([1]orders!K$1,[1]products!$A$1:$G$1,0))</f>
        <v>0.5</v>
      </c>
      <c r="G589">
        <f>INDEX([1]products!$A$1:$G$49,MATCH([1]orders!$D589,[1]products!$A$1:$A$49,0),MATCH([1]orders!L$1,[1]products!$A$1:$G$1,0))</f>
        <v>7.77</v>
      </c>
      <c r="H589">
        <f t="shared" si="9"/>
        <v>7.77</v>
      </c>
    </row>
    <row r="590" spans="1:8" x14ac:dyDescent="0.25">
      <c r="A590" t="s">
        <v>1150</v>
      </c>
      <c r="B590">
        <v>44046</v>
      </c>
      <c r="C590" t="s">
        <v>1151</v>
      </c>
      <c r="D590" t="s">
        <v>22</v>
      </c>
      <c r="E590">
        <v>2</v>
      </c>
      <c r="F590">
        <f>INDEX([1]products!$A$1:$G$49,MATCH([1]orders!$D590,[1]products!$A$1:$A$49,0),MATCH([1]orders!K$1,[1]products!$A$1:$G$1,0))</f>
        <v>0.5</v>
      </c>
      <c r="G590">
        <f>INDEX([1]products!$A$1:$G$49,MATCH([1]orders!$D590,[1]products!$A$1:$A$49,0),MATCH([1]orders!L$1,[1]products!$A$1:$G$1,0))</f>
        <v>5.97</v>
      </c>
      <c r="H590">
        <f t="shared" si="9"/>
        <v>11.94</v>
      </c>
    </row>
    <row r="591" spans="1:8" x14ac:dyDescent="0.25">
      <c r="A591" t="s">
        <v>1152</v>
      </c>
      <c r="B591">
        <v>43671</v>
      </c>
      <c r="C591" t="s">
        <v>1153</v>
      </c>
      <c r="D591" t="s">
        <v>30</v>
      </c>
      <c r="E591">
        <v>6</v>
      </c>
      <c r="F591">
        <f>INDEX([1]products!$A$1:$G$49,MATCH([1]orders!$D591,[1]products!$A$1:$A$49,0),MATCH([1]orders!K$1,[1]products!$A$1:$G$1,0))</f>
        <v>2.5</v>
      </c>
      <c r="G591">
        <f>INDEX([1]products!$A$1:$G$49,MATCH([1]orders!$D591,[1]products!$A$1:$A$49,0),MATCH([1]orders!L$1,[1]products!$A$1:$G$1,0))</f>
        <v>34.154999999999994</v>
      </c>
      <c r="H591">
        <f t="shared" si="9"/>
        <v>204.92999999999995</v>
      </c>
    </row>
    <row r="592" spans="1:8" x14ac:dyDescent="0.25">
      <c r="A592" t="s">
        <v>1154</v>
      </c>
      <c r="B592">
        <v>43950</v>
      </c>
      <c r="C592" t="s">
        <v>1155</v>
      </c>
      <c r="D592" t="s">
        <v>112</v>
      </c>
      <c r="E592">
        <v>2</v>
      </c>
      <c r="F592">
        <f>INDEX([1]products!$A$1:$G$49,MATCH([1]orders!$D592,[1]products!$A$1:$A$49,0),MATCH([1]orders!K$1,[1]products!$A$1:$G$1,0))</f>
        <v>2.5</v>
      </c>
      <c r="G592">
        <f>INDEX([1]products!$A$1:$G$49,MATCH([1]orders!$D592,[1]products!$A$1:$A$49,0),MATCH([1]orders!L$1,[1]products!$A$1:$G$1,0))</f>
        <v>31.624999999999996</v>
      </c>
      <c r="H592">
        <f t="shared" si="9"/>
        <v>63.249999999999993</v>
      </c>
    </row>
    <row r="593" spans="1:8" x14ac:dyDescent="0.25">
      <c r="A593" t="s">
        <v>1156</v>
      </c>
      <c r="B593">
        <v>43587</v>
      </c>
      <c r="C593" t="s">
        <v>1157</v>
      </c>
      <c r="D593" t="s">
        <v>101</v>
      </c>
      <c r="E593">
        <v>3</v>
      </c>
      <c r="F593">
        <f>INDEX([1]products!$A$1:$G$49,MATCH([1]orders!$D593,[1]products!$A$1:$A$49,0),MATCH([1]orders!K$1,[1]products!$A$1:$G$1,0))</f>
        <v>0.2</v>
      </c>
      <c r="G593">
        <f>INDEX([1]products!$A$1:$G$49,MATCH([1]orders!$D593,[1]products!$A$1:$A$49,0),MATCH([1]orders!L$1,[1]products!$A$1:$G$1,0))</f>
        <v>2.6849999999999996</v>
      </c>
      <c r="H593">
        <f t="shared" si="9"/>
        <v>8.0549999999999997</v>
      </c>
    </row>
    <row r="594" spans="1:8" x14ac:dyDescent="0.25">
      <c r="A594" t="s">
        <v>1158</v>
      </c>
      <c r="B594">
        <v>44437</v>
      </c>
      <c r="C594" t="s">
        <v>1159</v>
      </c>
      <c r="D594" t="s">
        <v>171</v>
      </c>
      <c r="E594">
        <v>2</v>
      </c>
      <c r="F594">
        <f>INDEX([1]products!$A$1:$G$49,MATCH([1]orders!$D594,[1]products!$A$1:$A$49,0),MATCH([1]orders!K$1,[1]products!$A$1:$G$1,0))</f>
        <v>2.5</v>
      </c>
      <c r="G594">
        <f>INDEX([1]products!$A$1:$G$49,MATCH([1]orders!$D594,[1]products!$A$1:$A$49,0),MATCH([1]orders!L$1,[1]products!$A$1:$G$1,0))</f>
        <v>25.874999999999996</v>
      </c>
      <c r="H594">
        <f t="shared" si="9"/>
        <v>51.749999999999993</v>
      </c>
    </row>
    <row r="595" spans="1:8" x14ac:dyDescent="0.25">
      <c r="A595" t="s">
        <v>1160</v>
      </c>
      <c r="B595">
        <v>43903</v>
      </c>
      <c r="C595" t="s">
        <v>1145</v>
      </c>
      <c r="D595" t="s">
        <v>530</v>
      </c>
      <c r="E595">
        <v>1</v>
      </c>
      <c r="F595">
        <f>INDEX([1]products!$A$1:$G$49,MATCH([1]orders!$D595,[1]products!$A$1:$A$49,0),MATCH([1]orders!K$1,[1]products!$A$1:$G$1,0))</f>
        <v>2.5</v>
      </c>
      <c r="G595">
        <f>INDEX([1]products!$A$1:$G$49,MATCH([1]orders!$D595,[1]products!$A$1:$A$49,0),MATCH([1]orders!L$1,[1]products!$A$1:$G$1,0))</f>
        <v>27.945</v>
      </c>
      <c r="H595">
        <f t="shared" si="9"/>
        <v>27.945</v>
      </c>
    </row>
    <row r="596" spans="1:8" x14ac:dyDescent="0.25">
      <c r="A596" t="s">
        <v>1161</v>
      </c>
      <c r="B596">
        <v>43512</v>
      </c>
      <c r="C596" t="s">
        <v>1162</v>
      </c>
      <c r="D596" t="s">
        <v>204</v>
      </c>
      <c r="E596">
        <v>2</v>
      </c>
      <c r="F596">
        <f>INDEX([1]products!$A$1:$G$49,MATCH([1]orders!$D596,[1]products!$A$1:$A$49,0),MATCH([1]orders!K$1,[1]products!$A$1:$G$1,0))</f>
        <v>2.5</v>
      </c>
      <c r="G596">
        <f>INDEX([1]products!$A$1:$G$49,MATCH([1]orders!$D596,[1]products!$A$1:$A$49,0),MATCH([1]orders!L$1,[1]products!$A$1:$G$1,0))</f>
        <v>29.784999999999997</v>
      </c>
      <c r="H596">
        <f t="shared" si="9"/>
        <v>59.569999999999993</v>
      </c>
    </row>
    <row r="597" spans="1:8" x14ac:dyDescent="0.25">
      <c r="A597" t="s">
        <v>1163</v>
      </c>
      <c r="B597">
        <v>44527</v>
      </c>
      <c r="C597" t="s">
        <v>1164</v>
      </c>
      <c r="D597" t="s">
        <v>137</v>
      </c>
      <c r="E597">
        <v>1</v>
      </c>
      <c r="F597">
        <f>INDEX([1]products!$A$1:$G$49,MATCH([1]orders!$D597,[1]products!$A$1:$A$49,0),MATCH([1]orders!K$1,[1]products!$A$1:$G$1,0))</f>
        <v>1</v>
      </c>
      <c r="G597">
        <f>INDEX([1]products!$A$1:$G$49,MATCH([1]orders!$D597,[1]products!$A$1:$A$49,0),MATCH([1]orders!L$1,[1]products!$A$1:$G$1,0))</f>
        <v>14.85</v>
      </c>
      <c r="H597">
        <f t="shared" si="9"/>
        <v>14.85</v>
      </c>
    </row>
    <row r="598" spans="1:8" x14ac:dyDescent="0.25">
      <c r="A598" t="s">
        <v>1165</v>
      </c>
      <c r="B598">
        <v>44523</v>
      </c>
      <c r="C598" t="s">
        <v>1166</v>
      </c>
      <c r="D598" t="s">
        <v>67</v>
      </c>
      <c r="E598">
        <v>5</v>
      </c>
      <c r="F598">
        <f>INDEX([1]products!$A$1:$G$49,MATCH([1]orders!$D598,[1]products!$A$1:$A$49,0),MATCH([1]orders!K$1,[1]products!$A$1:$G$1,0))</f>
        <v>0.5</v>
      </c>
      <c r="G598">
        <f>INDEX([1]products!$A$1:$G$49,MATCH([1]orders!$D598,[1]products!$A$1:$A$49,0),MATCH([1]orders!L$1,[1]products!$A$1:$G$1,0))</f>
        <v>6.75</v>
      </c>
      <c r="H598">
        <f t="shared" si="9"/>
        <v>33.75</v>
      </c>
    </row>
    <row r="599" spans="1:8" x14ac:dyDescent="0.25">
      <c r="A599" t="s">
        <v>1167</v>
      </c>
      <c r="B599">
        <v>44532</v>
      </c>
      <c r="C599" t="s">
        <v>1168</v>
      </c>
      <c r="D599" t="s">
        <v>104</v>
      </c>
      <c r="E599">
        <v>4</v>
      </c>
      <c r="F599">
        <f>INDEX([1]products!$A$1:$G$49,MATCH([1]orders!$D599,[1]products!$A$1:$A$49,0),MATCH([1]orders!K$1,[1]products!$A$1:$G$1,0))</f>
        <v>2.5</v>
      </c>
      <c r="G599">
        <f>INDEX([1]products!$A$1:$G$49,MATCH([1]orders!$D599,[1]products!$A$1:$A$49,0),MATCH([1]orders!L$1,[1]products!$A$1:$G$1,0))</f>
        <v>36.454999999999998</v>
      </c>
      <c r="H599">
        <f t="shared" si="9"/>
        <v>145.82</v>
      </c>
    </row>
    <row r="600" spans="1:8" x14ac:dyDescent="0.25">
      <c r="A600" t="s">
        <v>1169</v>
      </c>
      <c r="B600">
        <v>43471</v>
      </c>
      <c r="C600" t="s">
        <v>1170</v>
      </c>
      <c r="D600" t="s">
        <v>162</v>
      </c>
      <c r="E600">
        <v>4</v>
      </c>
      <c r="F600">
        <f>INDEX([1]products!$A$1:$G$49,MATCH([1]orders!$D600,[1]products!$A$1:$A$49,0),MATCH([1]orders!K$1,[1]products!$A$1:$G$1,0))</f>
        <v>0.2</v>
      </c>
      <c r="G600">
        <f>INDEX([1]products!$A$1:$G$49,MATCH([1]orders!$D600,[1]products!$A$1:$A$49,0),MATCH([1]orders!L$1,[1]products!$A$1:$G$1,0))</f>
        <v>2.9849999999999999</v>
      </c>
      <c r="H600">
        <f t="shared" si="9"/>
        <v>11.94</v>
      </c>
    </row>
    <row r="601" spans="1:8" x14ac:dyDescent="0.25">
      <c r="A601" t="s">
        <v>1171</v>
      </c>
      <c r="B601">
        <v>44321</v>
      </c>
      <c r="C601" t="s">
        <v>1172</v>
      </c>
      <c r="D601" t="s">
        <v>54</v>
      </c>
      <c r="E601">
        <v>4</v>
      </c>
      <c r="F601">
        <f>INDEX([1]products!$A$1:$G$49,MATCH([1]orders!$D601,[1]products!$A$1:$A$49,0),MATCH([1]orders!K$1,[1]products!$A$1:$G$1,0))</f>
        <v>0.2</v>
      </c>
      <c r="G601">
        <f>INDEX([1]products!$A$1:$G$49,MATCH([1]orders!$D601,[1]products!$A$1:$A$49,0),MATCH([1]orders!L$1,[1]products!$A$1:$G$1,0))</f>
        <v>2.9849999999999999</v>
      </c>
      <c r="H601">
        <f t="shared" si="9"/>
        <v>11.94</v>
      </c>
    </row>
    <row r="602" spans="1:8" x14ac:dyDescent="0.25">
      <c r="A602" t="s">
        <v>1173</v>
      </c>
      <c r="B602">
        <v>44492</v>
      </c>
      <c r="C602" t="s">
        <v>1174</v>
      </c>
      <c r="D602" t="s">
        <v>123</v>
      </c>
      <c r="E602">
        <v>1</v>
      </c>
      <c r="F602">
        <f>INDEX([1]products!$A$1:$G$49,MATCH([1]orders!$D602,[1]products!$A$1:$A$49,0),MATCH([1]orders!K$1,[1]products!$A$1:$G$1,0))</f>
        <v>0.5</v>
      </c>
      <c r="G602">
        <f>INDEX([1]products!$A$1:$G$49,MATCH([1]orders!$D602,[1]products!$A$1:$A$49,0),MATCH([1]orders!L$1,[1]products!$A$1:$G$1,0))</f>
        <v>7.77</v>
      </c>
      <c r="H602">
        <f t="shared" si="9"/>
        <v>7.77</v>
      </c>
    </row>
    <row r="603" spans="1:8" x14ac:dyDescent="0.25">
      <c r="A603" t="s">
        <v>1175</v>
      </c>
      <c r="B603">
        <v>43815</v>
      </c>
      <c r="C603" t="s">
        <v>1176</v>
      </c>
      <c r="D603" t="s">
        <v>10</v>
      </c>
      <c r="E603">
        <v>4</v>
      </c>
      <c r="F603">
        <f>INDEX([1]products!$A$1:$G$49,MATCH([1]orders!$D603,[1]products!$A$1:$A$49,0),MATCH([1]orders!K$1,[1]products!$A$1:$G$1,0))</f>
        <v>2.5</v>
      </c>
      <c r="G603">
        <f>INDEX([1]products!$A$1:$G$49,MATCH([1]orders!$D603,[1]products!$A$1:$A$49,0),MATCH([1]orders!L$1,[1]products!$A$1:$G$1,0))</f>
        <v>27.484999999999996</v>
      </c>
      <c r="H603">
        <f t="shared" si="9"/>
        <v>109.93999999999998</v>
      </c>
    </row>
    <row r="604" spans="1:8" x14ac:dyDescent="0.25">
      <c r="A604" t="s">
        <v>1177</v>
      </c>
      <c r="B604">
        <v>43603</v>
      </c>
      <c r="C604" t="s">
        <v>1178</v>
      </c>
      <c r="D604" t="s">
        <v>254</v>
      </c>
      <c r="E604">
        <v>5</v>
      </c>
      <c r="F604">
        <f>INDEX([1]products!$A$1:$G$49,MATCH([1]orders!$D604,[1]products!$A$1:$A$49,0),MATCH([1]orders!K$1,[1]products!$A$1:$G$1,0))</f>
        <v>0.2</v>
      </c>
      <c r="G604">
        <f>INDEX([1]products!$A$1:$G$49,MATCH([1]orders!$D604,[1]products!$A$1:$A$49,0),MATCH([1]orders!L$1,[1]products!$A$1:$G$1,0))</f>
        <v>4.4550000000000001</v>
      </c>
      <c r="H604">
        <f t="shared" si="9"/>
        <v>22.274999999999999</v>
      </c>
    </row>
    <row r="605" spans="1:8" x14ac:dyDescent="0.25">
      <c r="A605" t="s">
        <v>1179</v>
      </c>
      <c r="B605">
        <v>43660</v>
      </c>
      <c r="C605" t="s">
        <v>1180</v>
      </c>
      <c r="D605" t="s">
        <v>162</v>
      </c>
      <c r="E605">
        <v>3</v>
      </c>
      <c r="F605">
        <f>INDEX([1]products!$A$1:$G$49,MATCH([1]orders!$D605,[1]products!$A$1:$A$49,0),MATCH([1]orders!K$1,[1]products!$A$1:$G$1,0))</f>
        <v>0.2</v>
      </c>
      <c r="G605">
        <f>INDEX([1]products!$A$1:$G$49,MATCH([1]orders!$D605,[1]products!$A$1:$A$49,0),MATCH([1]orders!L$1,[1]products!$A$1:$G$1,0))</f>
        <v>2.9849999999999999</v>
      </c>
      <c r="H605">
        <f t="shared" si="9"/>
        <v>8.9550000000000001</v>
      </c>
    </row>
    <row r="606" spans="1:8" x14ac:dyDescent="0.25">
      <c r="A606" t="s">
        <v>1181</v>
      </c>
      <c r="B606">
        <v>44148</v>
      </c>
      <c r="C606" t="s">
        <v>1182</v>
      </c>
      <c r="D606" t="s">
        <v>109</v>
      </c>
      <c r="E606">
        <v>4</v>
      </c>
      <c r="F606">
        <f>INDEX([1]products!$A$1:$G$49,MATCH([1]orders!$D606,[1]products!$A$1:$A$49,0),MATCH([1]orders!K$1,[1]products!$A$1:$G$1,0))</f>
        <v>2.5</v>
      </c>
      <c r="G606">
        <f>INDEX([1]products!$A$1:$G$49,MATCH([1]orders!$D606,[1]products!$A$1:$A$49,0),MATCH([1]orders!L$1,[1]products!$A$1:$G$1,0))</f>
        <v>29.784999999999997</v>
      </c>
      <c r="H606">
        <f t="shared" si="9"/>
        <v>119.13999999999999</v>
      </c>
    </row>
    <row r="607" spans="1:8" x14ac:dyDescent="0.25">
      <c r="A607" t="s">
        <v>1183</v>
      </c>
      <c r="B607">
        <v>44028</v>
      </c>
      <c r="C607" t="s">
        <v>1184</v>
      </c>
      <c r="D607" t="s">
        <v>204</v>
      </c>
      <c r="E607">
        <v>5</v>
      </c>
      <c r="F607">
        <f>INDEX([1]products!$A$1:$G$49,MATCH([1]orders!$D607,[1]products!$A$1:$A$49,0),MATCH([1]orders!K$1,[1]products!$A$1:$G$1,0))</f>
        <v>2.5</v>
      </c>
      <c r="G607">
        <f>INDEX([1]products!$A$1:$G$49,MATCH([1]orders!$D607,[1]products!$A$1:$A$49,0),MATCH([1]orders!L$1,[1]products!$A$1:$G$1,0))</f>
        <v>29.784999999999997</v>
      </c>
      <c r="H607">
        <f t="shared" si="9"/>
        <v>148.92499999999998</v>
      </c>
    </row>
    <row r="608" spans="1:8" x14ac:dyDescent="0.25">
      <c r="A608" t="s">
        <v>1185</v>
      </c>
      <c r="B608">
        <v>44138</v>
      </c>
      <c r="C608" t="s">
        <v>1145</v>
      </c>
      <c r="D608" t="s">
        <v>104</v>
      </c>
      <c r="E608">
        <v>3</v>
      </c>
      <c r="F608">
        <f>INDEX([1]products!$A$1:$G$49,MATCH([1]orders!$D608,[1]products!$A$1:$A$49,0),MATCH([1]orders!K$1,[1]products!$A$1:$G$1,0))</f>
        <v>2.5</v>
      </c>
      <c r="G608">
        <f>INDEX([1]products!$A$1:$G$49,MATCH([1]orders!$D608,[1]products!$A$1:$A$49,0),MATCH([1]orders!L$1,[1]products!$A$1:$G$1,0))</f>
        <v>36.454999999999998</v>
      </c>
      <c r="H608">
        <f t="shared" si="9"/>
        <v>109.36499999999999</v>
      </c>
    </row>
    <row r="609" spans="1:8" x14ac:dyDescent="0.25">
      <c r="A609" t="s">
        <v>1186</v>
      </c>
      <c r="B609">
        <v>44640</v>
      </c>
      <c r="C609" t="s">
        <v>1187</v>
      </c>
      <c r="D609" t="s">
        <v>51</v>
      </c>
      <c r="E609">
        <v>1</v>
      </c>
      <c r="F609">
        <f>INDEX([1]products!$A$1:$G$49,MATCH([1]orders!$D609,[1]products!$A$1:$A$49,0),MATCH([1]orders!K$1,[1]products!$A$1:$G$1,0))</f>
        <v>0.2</v>
      </c>
      <c r="G609">
        <f>INDEX([1]products!$A$1:$G$49,MATCH([1]orders!$D609,[1]products!$A$1:$A$49,0),MATCH([1]orders!L$1,[1]products!$A$1:$G$1,0))</f>
        <v>3.645</v>
      </c>
      <c r="H609">
        <f t="shared" si="9"/>
        <v>3.645</v>
      </c>
    </row>
    <row r="610" spans="1:8" x14ac:dyDescent="0.25">
      <c r="A610" t="s">
        <v>1188</v>
      </c>
      <c r="B610">
        <v>44608</v>
      </c>
      <c r="C610" t="s">
        <v>1189</v>
      </c>
      <c r="D610" t="s">
        <v>530</v>
      </c>
      <c r="E610">
        <v>2</v>
      </c>
      <c r="F610">
        <f>INDEX([1]products!$A$1:$G$49,MATCH([1]orders!$D610,[1]products!$A$1:$A$49,0),MATCH([1]orders!K$1,[1]products!$A$1:$G$1,0))</f>
        <v>2.5</v>
      </c>
      <c r="G610">
        <f>INDEX([1]products!$A$1:$G$49,MATCH([1]orders!$D610,[1]products!$A$1:$A$49,0),MATCH([1]orders!L$1,[1]products!$A$1:$G$1,0))</f>
        <v>27.945</v>
      </c>
      <c r="H610">
        <f t="shared" si="9"/>
        <v>55.89</v>
      </c>
    </row>
    <row r="611" spans="1:8" x14ac:dyDescent="0.25">
      <c r="A611" t="s">
        <v>1190</v>
      </c>
      <c r="B611">
        <v>44147</v>
      </c>
      <c r="C611" t="s">
        <v>1191</v>
      </c>
      <c r="D611" t="s">
        <v>77</v>
      </c>
      <c r="E611">
        <v>6</v>
      </c>
      <c r="F611">
        <f>INDEX([1]products!$A$1:$G$49,MATCH([1]orders!$D611,[1]products!$A$1:$A$49,0),MATCH([1]orders!K$1,[1]products!$A$1:$G$1,0))</f>
        <v>0.2</v>
      </c>
      <c r="G611">
        <f>INDEX([1]products!$A$1:$G$49,MATCH([1]orders!$D611,[1]products!$A$1:$A$49,0),MATCH([1]orders!L$1,[1]products!$A$1:$G$1,0))</f>
        <v>4.3650000000000002</v>
      </c>
      <c r="H611">
        <f t="shared" si="9"/>
        <v>26.19</v>
      </c>
    </row>
    <row r="612" spans="1:8" x14ac:dyDescent="0.25">
      <c r="A612" t="s">
        <v>1192</v>
      </c>
      <c r="B612">
        <v>43743</v>
      </c>
      <c r="C612" t="s">
        <v>1193</v>
      </c>
      <c r="D612" t="s">
        <v>2</v>
      </c>
      <c r="E612">
        <v>4</v>
      </c>
      <c r="F612">
        <f>INDEX([1]products!$A$1:$G$49,MATCH([1]orders!$D612,[1]products!$A$1:$A$49,0),MATCH([1]orders!K$1,[1]products!$A$1:$G$1,0))</f>
        <v>1</v>
      </c>
      <c r="G612">
        <f>INDEX([1]products!$A$1:$G$49,MATCH([1]orders!$D612,[1]products!$A$1:$A$49,0),MATCH([1]orders!L$1,[1]products!$A$1:$G$1,0))</f>
        <v>9.9499999999999993</v>
      </c>
      <c r="H612">
        <f t="shared" si="9"/>
        <v>39.799999999999997</v>
      </c>
    </row>
    <row r="613" spans="1:8" x14ac:dyDescent="0.25">
      <c r="A613" t="s">
        <v>1194</v>
      </c>
      <c r="B613">
        <v>43739</v>
      </c>
      <c r="C613" t="s">
        <v>1195</v>
      </c>
      <c r="D613" t="s">
        <v>30</v>
      </c>
      <c r="E613">
        <v>2</v>
      </c>
      <c r="F613">
        <f>INDEX([1]products!$A$1:$G$49,MATCH([1]orders!$D613,[1]products!$A$1:$A$49,0),MATCH([1]orders!K$1,[1]products!$A$1:$G$1,0))</f>
        <v>2.5</v>
      </c>
      <c r="G613">
        <f>INDEX([1]products!$A$1:$G$49,MATCH([1]orders!$D613,[1]products!$A$1:$A$49,0),MATCH([1]orders!L$1,[1]products!$A$1:$G$1,0))</f>
        <v>34.154999999999994</v>
      </c>
      <c r="H613">
        <f t="shared" si="9"/>
        <v>68.309999999999988</v>
      </c>
    </row>
    <row r="614" spans="1:8" x14ac:dyDescent="0.25">
      <c r="A614" t="s">
        <v>1196</v>
      </c>
      <c r="B614">
        <v>43896</v>
      </c>
      <c r="C614" t="s">
        <v>1197</v>
      </c>
      <c r="D614" t="s">
        <v>44</v>
      </c>
      <c r="E614">
        <v>4</v>
      </c>
      <c r="F614">
        <f>INDEX([1]products!$A$1:$G$49,MATCH([1]orders!$D614,[1]products!$A$1:$A$49,0),MATCH([1]orders!K$1,[1]products!$A$1:$G$1,0))</f>
        <v>0.2</v>
      </c>
      <c r="G614">
        <f>INDEX([1]products!$A$1:$G$49,MATCH([1]orders!$D614,[1]products!$A$1:$A$49,0),MATCH([1]orders!L$1,[1]products!$A$1:$G$1,0))</f>
        <v>3.375</v>
      </c>
      <c r="H614">
        <f t="shared" si="9"/>
        <v>13.5</v>
      </c>
    </row>
    <row r="615" spans="1:8" x14ac:dyDescent="0.25">
      <c r="A615" t="s">
        <v>1198</v>
      </c>
      <c r="B615">
        <v>43761</v>
      </c>
      <c r="C615" t="s">
        <v>1199</v>
      </c>
      <c r="D615" t="s">
        <v>22</v>
      </c>
      <c r="E615">
        <v>1</v>
      </c>
      <c r="F615">
        <f>INDEX([1]products!$A$1:$G$49,MATCH([1]orders!$D615,[1]products!$A$1:$A$49,0),MATCH([1]orders!K$1,[1]products!$A$1:$G$1,0))</f>
        <v>0.5</v>
      </c>
      <c r="G615">
        <f>INDEX([1]products!$A$1:$G$49,MATCH([1]orders!$D615,[1]products!$A$1:$A$49,0),MATCH([1]orders!L$1,[1]products!$A$1:$G$1,0))</f>
        <v>5.97</v>
      </c>
      <c r="H615">
        <f t="shared" si="9"/>
        <v>5.97</v>
      </c>
    </row>
    <row r="616" spans="1:8" x14ac:dyDescent="0.25">
      <c r="A616" t="s">
        <v>1200</v>
      </c>
      <c r="B616">
        <v>43944</v>
      </c>
      <c r="C616" t="s">
        <v>1145</v>
      </c>
      <c r="D616" t="s">
        <v>22</v>
      </c>
      <c r="E616">
        <v>5</v>
      </c>
      <c r="F616">
        <f>INDEX([1]products!$A$1:$G$49,MATCH([1]orders!$D616,[1]products!$A$1:$A$49,0),MATCH([1]orders!K$1,[1]products!$A$1:$G$1,0))</f>
        <v>0.5</v>
      </c>
      <c r="G616">
        <f>INDEX([1]products!$A$1:$G$49,MATCH([1]orders!$D616,[1]products!$A$1:$A$49,0),MATCH([1]orders!L$1,[1]products!$A$1:$G$1,0))</f>
        <v>5.97</v>
      </c>
      <c r="H616">
        <f t="shared" si="9"/>
        <v>29.849999999999998</v>
      </c>
    </row>
    <row r="617" spans="1:8" x14ac:dyDescent="0.25">
      <c r="A617" t="s">
        <v>1201</v>
      </c>
      <c r="B617">
        <v>44006</v>
      </c>
      <c r="C617" t="s">
        <v>1202</v>
      </c>
      <c r="D617" t="s">
        <v>104</v>
      </c>
      <c r="E617">
        <v>2</v>
      </c>
      <c r="F617">
        <f>INDEX([1]products!$A$1:$G$49,MATCH([1]orders!$D617,[1]products!$A$1:$A$49,0),MATCH([1]orders!K$1,[1]products!$A$1:$G$1,0))</f>
        <v>2.5</v>
      </c>
      <c r="G617">
        <f>INDEX([1]products!$A$1:$G$49,MATCH([1]orders!$D617,[1]products!$A$1:$A$49,0),MATCH([1]orders!L$1,[1]products!$A$1:$G$1,0))</f>
        <v>36.454999999999998</v>
      </c>
      <c r="H617">
        <f t="shared" si="9"/>
        <v>72.91</v>
      </c>
    </row>
    <row r="618" spans="1:8" x14ac:dyDescent="0.25">
      <c r="A618" t="s">
        <v>1203</v>
      </c>
      <c r="B618">
        <v>44271</v>
      </c>
      <c r="C618" t="s">
        <v>1204</v>
      </c>
      <c r="D618" t="s">
        <v>112</v>
      </c>
      <c r="E618">
        <v>4</v>
      </c>
      <c r="F618">
        <f>INDEX([1]products!$A$1:$G$49,MATCH([1]orders!$D618,[1]products!$A$1:$A$49,0),MATCH([1]orders!K$1,[1]products!$A$1:$G$1,0))</f>
        <v>2.5</v>
      </c>
      <c r="G618">
        <f>INDEX([1]products!$A$1:$G$49,MATCH([1]orders!$D618,[1]products!$A$1:$A$49,0),MATCH([1]orders!L$1,[1]products!$A$1:$G$1,0))</f>
        <v>31.624999999999996</v>
      </c>
      <c r="H618">
        <f t="shared" si="9"/>
        <v>126.49999999999999</v>
      </c>
    </row>
    <row r="619" spans="1:8" x14ac:dyDescent="0.25">
      <c r="A619" t="s">
        <v>1205</v>
      </c>
      <c r="B619">
        <v>43928</v>
      </c>
      <c r="C619" t="s">
        <v>1206</v>
      </c>
      <c r="D619" t="s">
        <v>197</v>
      </c>
      <c r="E619">
        <v>1</v>
      </c>
      <c r="F619">
        <f>INDEX([1]products!$A$1:$G$49,MATCH([1]orders!$D619,[1]products!$A$1:$A$49,0),MATCH([1]orders!K$1,[1]products!$A$1:$G$1,0))</f>
        <v>2.5</v>
      </c>
      <c r="G619">
        <f>INDEX([1]products!$A$1:$G$49,MATCH([1]orders!$D619,[1]products!$A$1:$A$49,0),MATCH([1]orders!L$1,[1]products!$A$1:$G$1,0))</f>
        <v>33.464999999999996</v>
      </c>
      <c r="H619">
        <f t="shared" si="9"/>
        <v>33.464999999999996</v>
      </c>
    </row>
    <row r="620" spans="1:8" x14ac:dyDescent="0.25">
      <c r="A620" t="s">
        <v>1207</v>
      </c>
      <c r="B620">
        <v>44469</v>
      </c>
      <c r="C620" t="s">
        <v>1208</v>
      </c>
      <c r="D620" t="s">
        <v>245</v>
      </c>
      <c r="E620">
        <v>6</v>
      </c>
      <c r="F620">
        <f>INDEX([1]products!$A$1:$G$49,MATCH([1]orders!$D620,[1]products!$A$1:$A$49,0),MATCH([1]orders!K$1,[1]products!$A$1:$G$1,0))</f>
        <v>1</v>
      </c>
      <c r="G620">
        <f>INDEX([1]products!$A$1:$G$49,MATCH([1]orders!$D620,[1]products!$A$1:$A$49,0),MATCH([1]orders!L$1,[1]products!$A$1:$G$1,0))</f>
        <v>12.15</v>
      </c>
      <c r="H620">
        <f t="shared" si="9"/>
        <v>72.900000000000006</v>
      </c>
    </row>
    <row r="621" spans="1:8" x14ac:dyDescent="0.25">
      <c r="A621" t="s">
        <v>1209</v>
      </c>
      <c r="B621">
        <v>44682</v>
      </c>
      <c r="C621" t="s">
        <v>1210</v>
      </c>
      <c r="D621" t="s">
        <v>123</v>
      </c>
      <c r="E621">
        <v>2</v>
      </c>
      <c r="F621">
        <f>INDEX([1]products!$A$1:$G$49,MATCH([1]orders!$D621,[1]products!$A$1:$A$49,0),MATCH([1]orders!K$1,[1]products!$A$1:$G$1,0))</f>
        <v>0.5</v>
      </c>
      <c r="G621">
        <f>INDEX([1]products!$A$1:$G$49,MATCH([1]orders!$D621,[1]products!$A$1:$A$49,0),MATCH([1]orders!L$1,[1]products!$A$1:$G$1,0))</f>
        <v>7.77</v>
      </c>
      <c r="H621">
        <f t="shared" si="9"/>
        <v>15.54</v>
      </c>
    </row>
    <row r="622" spans="1:8" x14ac:dyDescent="0.25">
      <c r="A622" t="s">
        <v>1211</v>
      </c>
      <c r="B622">
        <v>44217</v>
      </c>
      <c r="C622" t="s">
        <v>1212</v>
      </c>
      <c r="D622" t="s">
        <v>44</v>
      </c>
      <c r="E622">
        <v>6</v>
      </c>
      <c r="F622">
        <f>INDEX([1]products!$A$1:$G$49,MATCH([1]orders!$D622,[1]products!$A$1:$A$49,0),MATCH([1]orders!K$1,[1]products!$A$1:$G$1,0))</f>
        <v>0.2</v>
      </c>
      <c r="G622">
        <f>INDEX([1]products!$A$1:$G$49,MATCH([1]orders!$D622,[1]products!$A$1:$A$49,0),MATCH([1]orders!L$1,[1]products!$A$1:$G$1,0))</f>
        <v>3.375</v>
      </c>
      <c r="H622">
        <f t="shared" si="9"/>
        <v>20.25</v>
      </c>
    </row>
    <row r="623" spans="1:8" x14ac:dyDescent="0.25">
      <c r="A623" t="s">
        <v>1213</v>
      </c>
      <c r="B623">
        <v>44006</v>
      </c>
      <c r="C623" t="s">
        <v>1214</v>
      </c>
      <c r="D623" t="s">
        <v>6</v>
      </c>
      <c r="E623">
        <v>6</v>
      </c>
      <c r="F623">
        <f>INDEX([1]products!$A$1:$G$49,MATCH([1]orders!$D623,[1]products!$A$1:$A$49,0),MATCH([1]orders!K$1,[1]products!$A$1:$G$1,0))</f>
        <v>1</v>
      </c>
      <c r="G623">
        <f>INDEX([1]products!$A$1:$G$49,MATCH([1]orders!$D623,[1]products!$A$1:$A$49,0),MATCH([1]orders!L$1,[1]products!$A$1:$G$1,0))</f>
        <v>12.95</v>
      </c>
      <c r="H623">
        <f t="shared" si="9"/>
        <v>77.699999999999989</v>
      </c>
    </row>
    <row r="624" spans="1:8" x14ac:dyDescent="0.25">
      <c r="A624" t="s">
        <v>1215</v>
      </c>
      <c r="B624">
        <v>43527</v>
      </c>
      <c r="C624" t="s">
        <v>1216</v>
      </c>
      <c r="D624" t="s">
        <v>197</v>
      </c>
      <c r="E624">
        <v>4</v>
      </c>
      <c r="F624">
        <f>INDEX([1]products!$A$1:$G$49,MATCH([1]orders!$D624,[1]products!$A$1:$A$49,0),MATCH([1]orders!K$1,[1]products!$A$1:$G$1,0))</f>
        <v>2.5</v>
      </c>
      <c r="G624">
        <f>INDEX([1]products!$A$1:$G$49,MATCH([1]orders!$D624,[1]products!$A$1:$A$49,0),MATCH([1]orders!L$1,[1]products!$A$1:$G$1,0))</f>
        <v>33.464999999999996</v>
      </c>
      <c r="H624">
        <f t="shared" si="9"/>
        <v>133.85999999999999</v>
      </c>
    </row>
    <row r="625" spans="1:8" x14ac:dyDescent="0.25">
      <c r="A625" t="s">
        <v>1217</v>
      </c>
      <c r="B625">
        <v>44224</v>
      </c>
      <c r="C625" t="s">
        <v>1218</v>
      </c>
      <c r="D625" t="s">
        <v>245</v>
      </c>
      <c r="E625">
        <v>1</v>
      </c>
      <c r="F625">
        <f>INDEX([1]products!$A$1:$G$49,MATCH([1]orders!$D625,[1]products!$A$1:$A$49,0),MATCH([1]orders!K$1,[1]products!$A$1:$G$1,0))</f>
        <v>1</v>
      </c>
      <c r="G625">
        <f>INDEX([1]products!$A$1:$G$49,MATCH([1]orders!$D625,[1]products!$A$1:$A$49,0),MATCH([1]orders!L$1,[1]products!$A$1:$G$1,0))</f>
        <v>12.15</v>
      </c>
      <c r="H625">
        <f t="shared" si="9"/>
        <v>12.15</v>
      </c>
    </row>
    <row r="626" spans="1:8" x14ac:dyDescent="0.25">
      <c r="A626" t="s">
        <v>1219</v>
      </c>
      <c r="B626">
        <v>44010</v>
      </c>
      <c r="C626" t="s">
        <v>1220</v>
      </c>
      <c r="D626" t="s">
        <v>112</v>
      </c>
      <c r="E626">
        <v>2</v>
      </c>
      <c r="F626">
        <f>INDEX([1]products!$A$1:$G$49,MATCH([1]orders!$D626,[1]products!$A$1:$A$49,0),MATCH([1]orders!K$1,[1]products!$A$1:$G$1,0))</f>
        <v>2.5</v>
      </c>
      <c r="G626">
        <f>INDEX([1]products!$A$1:$G$49,MATCH([1]orders!$D626,[1]products!$A$1:$A$49,0),MATCH([1]orders!L$1,[1]products!$A$1:$G$1,0))</f>
        <v>31.624999999999996</v>
      </c>
      <c r="H626">
        <f t="shared" si="9"/>
        <v>63.249999999999993</v>
      </c>
    </row>
    <row r="627" spans="1:8" x14ac:dyDescent="0.25">
      <c r="A627" t="s">
        <v>1221</v>
      </c>
      <c r="B627">
        <v>44017</v>
      </c>
      <c r="C627" t="s">
        <v>1222</v>
      </c>
      <c r="D627" t="s">
        <v>157</v>
      </c>
      <c r="E627">
        <v>5</v>
      </c>
      <c r="F627">
        <f>INDEX([1]products!$A$1:$G$49,MATCH([1]orders!$D627,[1]products!$A$1:$A$49,0),MATCH([1]orders!K$1,[1]products!$A$1:$G$1,0))</f>
        <v>0.5</v>
      </c>
      <c r="G627">
        <f>INDEX([1]products!$A$1:$G$49,MATCH([1]orders!$D627,[1]products!$A$1:$A$49,0),MATCH([1]orders!L$1,[1]products!$A$1:$G$1,0))</f>
        <v>7.169999999999999</v>
      </c>
      <c r="H627">
        <f t="shared" si="9"/>
        <v>35.849999999999994</v>
      </c>
    </row>
    <row r="628" spans="1:8" x14ac:dyDescent="0.25">
      <c r="A628" t="s">
        <v>1223</v>
      </c>
      <c r="B628">
        <v>43526</v>
      </c>
      <c r="C628" t="s">
        <v>1224</v>
      </c>
      <c r="D628" t="s">
        <v>171</v>
      </c>
      <c r="E628">
        <v>3</v>
      </c>
      <c r="F628">
        <f>INDEX([1]products!$A$1:$G$49,MATCH([1]orders!$D628,[1]products!$A$1:$A$49,0),MATCH([1]orders!K$1,[1]products!$A$1:$G$1,0))</f>
        <v>2.5</v>
      </c>
      <c r="G628">
        <f>INDEX([1]products!$A$1:$G$49,MATCH([1]orders!$D628,[1]products!$A$1:$A$49,0),MATCH([1]orders!L$1,[1]products!$A$1:$G$1,0))</f>
        <v>25.874999999999996</v>
      </c>
      <c r="H628">
        <f t="shared" si="9"/>
        <v>77.624999999999986</v>
      </c>
    </row>
    <row r="629" spans="1:8" x14ac:dyDescent="0.25">
      <c r="A629" t="s">
        <v>1225</v>
      </c>
      <c r="B629">
        <v>44682</v>
      </c>
      <c r="C629" t="s">
        <v>1226</v>
      </c>
      <c r="D629" t="s">
        <v>112</v>
      </c>
      <c r="E629">
        <v>2</v>
      </c>
      <c r="F629">
        <f>INDEX([1]products!$A$1:$G$49,MATCH([1]orders!$D629,[1]products!$A$1:$A$49,0),MATCH([1]orders!K$1,[1]products!$A$1:$G$1,0))</f>
        <v>2.5</v>
      </c>
      <c r="G629">
        <f>INDEX([1]products!$A$1:$G$49,MATCH([1]orders!$D629,[1]products!$A$1:$A$49,0),MATCH([1]orders!L$1,[1]products!$A$1:$G$1,0))</f>
        <v>31.624999999999996</v>
      </c>
      <c r="H629">
        <f t="shared" si="9"/>
        <v>63.249999999999993</v>
      </c>
    </row>
    <row r="630" spans="1:8" x14ac:dyDescent="0.25">
      <c r="A630" t="s">
        <v>1227</v>
      </c>
      <c r="B630">
        <v>44680</v>
      </c>
      <c r="C630" t="s">
        <v>1228</v>
      </c>
      <c r="D630" t="s">
        <v>254</v>
      </c>
      <c r="E630">
        <v>6</v>
      </c>
      <c r="F630">
        <f>INDEX([1]products!$A$1:$G$49,MATCH([1]orders!$D630,[1]products!$A$1:$A$49,0),MATCH([1]orders!K$1,[1]products!$A$1:$G$1,0))</f>
        <v>0.2</v>
      </c>
      <c r="G630">
        <f>INDEX([1]products!$A$1:$G$49,MATCH([1]orders!$D630,[1]products!$A$1:$A$49,0),MATCH([1]orders!L$1,[1]products!$A$1:$G$1,0))</f>
        <v>4.4550000000000001</v>
      </c>
      <c r="H630">
        <f t="shared" si="9"/>
        <v>26.73</v>
      </c>
    </row>
    <row r="631" spans="1:8" x14ac:dyDescent="0.25">
      <c r="A631" t="s">
        <v>1227</v>
      </c>
      <c r="B631">
        <v>44680</v>
      </c>
      <c r="C631" t="s">
        <v>1228</v>
      </c>
      <c r="D631" t="s">
        <v>123</v>
      </c>
      <c r="E631">
        <v>4</v>
      </c>
      <c r="F631">
        <f>INDEX([1]products!$A$1:$G$49,MATCH([1]orders!$D631,[1]products!$A$1:$A$49,0),MATCH([1]orders!K$1,[1]products!$A$1:$G$1,0))</f>
        <v>0.5</v>
      </c>
      <c r="G631">
        <f>INDEX([1]products!$A$1:$G$49,MATCH([1]orders!$D631,[1]products!$A$1:$A$49,0),MATCH([1]orders!L$1,[1]products!$A$1:$G$1,0))</f>
        <v>7.77</v>
      </c>
      <c r="H631">
        <f t="shared" si="9"/>
        <v>31.08</v>
      </c>
    </row>
    <row r="632" spans="1:8" x14ac:dyDescent="0.25">
      <c r="A632" t="s">
        <v>1227</v>
      </c>
      <c r="B632">
        <v>44680</v>
      </c>
      <c r="C632" t="s">
        <v>1228</v>
      </c>
      <c r="D632" t="s">
        <v>54</v>
      </c>
      <c r="E632">
        <v>1</v>
      </c>
      <c r="F632">
        <f>INDEX([1]products!$A$1:$G$49,MATCH([1]orders!$D632,[1]products!$A$1:$A$49,0),MATCH([1]orders!K$1,[1]products!$A$1:$G$1,0))</f>
        <v>0.2</v>
      </c>
      <c r="G632">
        <f>INDEX([1]products!$A$1:$G$49,MATCH([1]orders!$D632,[1]products!$A$1:$A$49,0),MATCH([1]orders!L$1,[1]products!$A$1:$G$1,0))</f>
        <v>2.9849999999999999</v>
      </c>
      <c r="H632">
        <f t="shared" si="9"/>
        <v>2.9849999999999999</v>
      </c>
    </row>
    <row r="633" spans="1:8" x14ac:dyDescent="0.25">
      <c r="A633" t="s">
        <v>1227</v>
      </c>
      <c r="B633">
        <v>44680</v>
      </c>
      <c r="C633" t="s">
        <v>1228</v>
      </c>
      <c r="D633" t="s">
        <v>35</v>
      </c>
      <c r="E633">
        <v>5</v>
      </c>
      <c r="F633">
        <f>INDEX([1]products!$A$1:$G$49,MATCH([1]orders!$D633,[1]products!$A$1:$A$49,0),MATCH([1]orders!K$1,[1]products!$A$1:$G$1,0))</f>
        <v>2.5</v>
      </c>
      <c r="G633">
        <f>INDEX([1]products!$A$1:$G$49,MATCH([1]orders!$D633,[1]products!$A$1:$A$49,0),MATCH([1]orders!L$1,[1]products!$A$1:$G$1,0))</f>
        <v>20.584999999999997</v>
      </c>
      <c r="H633">
        <f t="shared" si="9"/>
        <v>102.92499999999998</v>
      </c>
    </row>
    <row r="634" spans="1:8" x14ac:dyDescent="0.25">
      <c r="A634" t="s">
        <v>1229</v>
      </c>
      <c r="B634">
        <v>44049</v>
      </c>
      <c r="C634" t="s">
        <v>1230</v>
      </c>
      <c r="D634" t="s">
        <v>176</v>
      </c>
      <c r="E634">
        <v>4</v>
      </c>
      <c r="F634">
        <f>INDEX([1]products!$A$1:$G$49,MATCH([1]orders!$D634,[1]products!$A$1:$A$49,0),MATCH([1]orders!K$1,[1]products!$A$1:$G$1,0))</f>
        <v>0.5</v>
      </c>
      <c r="G634">
        <f>INDEX([1]products!$A$1:$G$49,MATCH([1]orders!$D634,[1]products!$A$1:$A$49,0),MATCH([1]orders!L$1,[1]products!$A$1:$G$1,0))</f>
        <v>8.91</v>
      </c>
      <c r="H634">
        <f t="shared" si="9"/>
        <v>35.64</v>
      </c>
    </row>
    <row r="635" spans="1:8" x14ac:dyDescent="0.25">
      <c r="A635" t="s">
        <v>1231</v>
      </c>
      <c r="B635">
        <v>43820</v>
      </c>
      <c r="C635" t="s">
        <v>1232</v>
      </c>
      <c r="D635" t="s">
        <v>189</v>
      </c>
      <c r="E635">
        <v>4</v>
      </c>
      <c r="F635">
        <f>INDEX([1]products!$A$1:$G$49,MATCH([1]orders!$D635,[1]products!$A$1:$A$49,0),MATCH([1]orders!K$1,[1]products!$A$1:$G$1,0))</f>
        <v>1</v>
      </c>
      <c r="G635">
        <f>INDEX([1]products!$A$1:$G$49,MATCH([1]orders!$D635,[1]products!$A$1:$A$49,0),MATCH([1]orders!L$1,[1]products!$A$1:$G$1,0))</f>
        <v>11.95</v>
      </c>
      <c r="H635">
        <f t="shared" si="9"/>
        <v>47.8</v>
      </c>
    </row>
    <row r="636" spans="1:8" x14ac:dyDescent="0.25">
      <c r="A636" t="s">
        <v>1233</v>
      </c>
      <c r="B636">
        <v>43940</v>
      </c>
      <c r="C636" t="s">
        <v>1234</v>
      </c>
      <c r="D636" t="s">
        <v>96</v>
      </c>
      <c r="E636">
        <v>3</v>
      </c>
      <c r="F636">
        <f>INDEX([1]products!$A$1:$G$49,MATCH([1]orders!$D636,[1]products!$A$1:$A$49,0),MATCH([1]orders!K$1,[1]products!$A$1:$G$1,0))</f>
        <v>1</v>
      </c>
      <c r="G636">
        <f>INDEX([1]products!$A$1:$G$49,MATCH([1]orders!$D636,[1]products!$A$1:$A$49,0),MATCH([1]orders!L$1,[1]products!$A$1:$G$1,0))</f>
        <v>14.55</v>
      </c>
      <c r="H636">
        <f t="shared" si="9"/>
        <v>43.650000000000006</v>
      </c>
    </row>
    <row r="637" spans="1:8" x14ac:dyDescent="0.25">
      <c r="A637" t="s">
        <v>1235</v>
      </c>
      <c r="B637">
        <v>44578</v>
      </c>
      <c r="C637" t="s">
        <v>1236</v>
      </c>
      <c r="D637" t="s">
        <v>176</v>
      </c>
      <c r="E637">
        <v>4</v>
      </c>
      <c r="F637">
        <f>INDEX([1]products!$A$1:$G$49,MATCH([1]orders!$D637,[1]products!$A$1:$A$49,0),MATCH([1]orders!K$1,[1]products!$A$1:$G$1,0))</f>
        <v>0.5</v>
      </c>
      <c r="G637">
        <f>INDEX([1]products!$A$1:$G$49,MATCH([1]orders!$D637,[1]products!$A$1:$A$49,0),MATCH([1]orders!L$1,[1]products!$A$1:$G$1,0))</f>
        <v>8.91</v>
      </c>
      <c r="H637">
        <f t="shared" si="9"/>
        <v>35.64</v>
      </c>
    </row>
    <row r="638" spans="1:8" x14ac:dyDescent="0.25">
      <c r="A638" t="s">
        <v>1237</v>
      </c>
      <c r="B638">
        <v>43487</v>
      </c>
      <c r="C638" t="s">
        <v>1238</v>
      </c>
      <c r="D638" t="s">
        <v>132</v>
      </c>
      <c r="E638">
        <v>6</v>
      </c>
      <c r="F638">
        <f>INDEX([1]products!$A$1:$G$49,MATCH([1]orders!$D638,[1]products!$A$1:$A$49,0),MATCH([1]orders!K$1,[1]products!$A$1:$G$1,0))</f>
        <v>1</v>
      </c>
      <c r="G638">
        <f>INDEX([1]products!$A$1:$G$49,MATCH([1]orders!$D638,[1]products!$A$1:$A$49,0),MATCH([1]orders!L$1,[1]products!$A$1:$G$1,0))</f>
        <v>15.85</v>
      </c>
      <c r="H638">
        <f t="shared" si="9"/>
        <v>95.1</v>
      </c>
    </row>
    <row r="639" spans="1:8" x14ac:dyDescent="0.25">
      <c r="A639" t="s">
        <v>1239</v>
      </c>
      <c r="B639">
        <v>43889</v>
      </c>
      <c r="C639" t="s">
        <v>1240</v>
      </c>
      <c r="D639" t="s">
        <v>112</v>
      </c>
      <c r="E639">
        <v>1</v>
      </c>
      <c r="F639">
        <f>INDEX([1]products!$A$1:$G$49,MATCH([1]orders!$D639,[1]products!$A$1:$A$49,0),MATCH([1]orders!K$1,[1]products!$A$1:$G$1,0))</f>
        <v>2.5</v>
      </c>
      <c r="G639">
        <f>INDEX([1]products!$A$1:$G$49,MATCH([1]orders!$D639,[1]products!$A$1:$A$49,0),MATCH([1]orders!L$1,[1]products!$A$1:$G$1,0))</f>
        <v>31.624999999999996</v>
      </c>
      <c r="H639">
        <f t="shared" si="9"/>
        <v>31.624999999999996</v>
      </c>
    </row>
    <row r="640" spans="1:8" x14ac:dyDescent="0.25">
      <c r="A640" t="s">
        <v>1241</v>
      </c>
      <c r="B640">
        <v>43684</v>
      </c>
      <c r="C640" t="s">
        <v>1242</v>
      </c>
      <c r="D640" t="s">
        <v>171</v>
      </c>
      <c r="E640">
        <v>3</v>
      </c>
      <c r="F640">
        <f>INDEX([1]products!$A$1:$G$49,MATCH([1]orders!$D640,[1]products!$A$1:$A$49,0),MATCH([1]orders!K$1,[1]products!$A$1:$G$1,0))</f>
        <v>2.5</v>
      </c>
      <c r="G640">
        <f>INDEX([1]products!$A$1:$G$49,MATCH([1]orders!$D640,[1]products!$A$1:$A$49,0),MATCH([1]orders!L$1,[1]products!$A$1:$G$1,0))</f>
        <v>25.874999999999996</v>
      </c>
      <c r="H640">
        <f t="shared" si="9"/>
        <v>77.624999999999986</v>
      </c>
    </row>
    <row r="641" spans="1:8" x14ac:dyDescent="0.25">
      <c r="A641" t="s">
        <v>1243</v>
      </c>
      <c r="B641">
        <v>44331</v>
      </c>
      <c r="C641" t="s">
        <v>1244</v>
      </c>
      <c r="D641" t="s">
        <v>38</v>
      </c>
      <c r="E641">
        <v>1</v>
      </c>
      <c r="F641">
        <f>INDEX([1]products!$A$1:$G$49,MATCH([1]orders!$D641,[1]products!$A$1:$A$49,0),MATCH([1]orders!K$1,[1]products!$A$1:$G$1,0))</f>
        <v>0.2</v>
      </c>
      <c r="G641">
        <f>INDEX([1]products!$A$1:$G$49,MATCH([1]orders!$D641,[1]products!$A$1:$A$49,0),MATCH([1]orders!L$1,[1]products!$A$1:$G$1,0))</f>
        <v>3.8849999999999998</v>
      </c>
      <c r="H641">
        <f t="shared" si="9"/>
        <v>3.8849999999999998</v>
      </c>
    </row>
    <row r="642" spans="1:8" x14ac:dyDescent="0.25">
      <c r="A642" t="s">
        <v>1245</v>
      </c>
      <c r="B642">
        <v>44547</v>
      </c>
      <c r="C642" t="s">
        <v>1246</v>
      </c>
      <c r="D642" t="s">
        <v>10</v>
      </c>
      <c r="E642">
        <v>5</v>
      </c>
      <c r="F642">
        <f>INDEX([1]products!$A$1:$G$49,MATCH([1]orders!$D642,[1]products!$A$1:$A$49,0),MATCH([1]orders!K$1,[1]products!$A$1:$G$1,0))</f>
        <v>2.5</v>
      </c>
      <c r="G642">
        <f>INDEX([1]products!$A$1:$G$49,MATCH([1]orders!$D642,[1]products!$A$1:$A$49,0),MATCH([1]orders!L$1,[1]products!$A$1:$G$1,0))</f>
        <v>27.484999999999996</v>
      </c>
      <c r="H642">
        <f t="shared" ref="H642:H705" si="10">E642*G642</f>
        <v>137.42499999999998</v>
      </c>
    </row>
    <row r="643" spans="1:8" x14ac:dyDescent="0.25">
      <c r="A643" t="s">
        <v>1247</v>
      </c>
      <c r="B643">
        <v>44448</v>
      </c>
      <c r="C643" t="s">
        <v>1248</v>
      </c>
      <c r="D643" t="s">
        <v>189</v>
      </c>
      <c r="E643">
        <v>3</v>
      </c>
      <c r="F643">
        <f>INDEX([1]products!$A$1:$G$49,MATCH([1]orders!$D643,[1]products!$A$1:$A$49,0),MATCH([1]orders!K$1,[1]products!$A$1:$G$1,0))</f>
        <v>1</v>
      </c>
      <c r="G643">
        <f>INDEX([1]products!$A$1:$G$49,MATCH([1]orders!$D643,[1]products!$A$1:$A$49,0),MATCH([1]orders!L$1,[1]products!$A$1:$G$1,0))</f>
        <v>11.95</v>
      </c>
      <c r="H643">
        <f t="shared" si="10"/>
        <v>35.849999999999994</v>
      </c>
    </row>
    <row r="644" spans="1:8" x14ac:dyDescent="0.25">
      <c r="A644" t="s">
        <v>1249</v>
      </c>
      <c r="B644">
        <v>43880</v>
      </c>
      <c r="C644" t="s">
        <v>1250</v>
      </c>
      <c r="D644" t="s">
        <v>64</v>
      </c>
      <c r="E644">
        <v>2</v>
      </c>
      <c r="F644">
        <f>INDEX([1]products!$A$1:$G$49,MATCH([1]orders!$D644,[1]products!$A$1:$A$49,0),MATCH([1]orders!K$1,[1]products!$A$1:$G$1,0))</f>
        <v>0.2</v>
      </c>
      <c r="G644">
        <f>INDEX([1]products!$A$1:$G$49,MATCH([1]orders!$D644,[1]products!$A$1:$A$49,0),MATCH([1]orders!L$1,[1]products!$A$1:$G$1,0))</f>
        <v>4.125</v>
      </c>
      <c r="H644">
        <f t="shared" si="10"/>
        <v>8.25</v>
      </c>
    </row>
    <row r="645" spans="1:8" x14ac:dyDescent="0.25">
      <c r="A645" t="s">
        <v>1251</v>
      </c>
      <c r="B645">
        <v>44011</v>
      </c>
      <c r="C645" t="s">
        <v>1252</v>
      </c>
      <c r="D645" t="s">
        <v>30</v>
      </c>
      <c r="E645">
        <v>3</v>
      </c>
      <c r="F645">
        <f>INDEX([1]products!$A$1:$G$49,MATCH([1]orders!$D645,[1]products!$A$1:$A$49,0),MATCH([1]orders!K$1,[1]products!$A$1:$G$1,0))</f>
        <v>2.5</v>
      </c>
      <c r="G645">
        <f>INDEX([1]products!$A$1:$G$49,MATCH([1]orders!$D645,[1]products!$A$1:$A$49,0),MATCH([1]orders!L$1,[1]products!$A$1:$G$1,0))</f>
        <v>34.154999999999994</v>
      </c>
      <c r="H645">
        <f t="shared" si="10"/>
        <v>102.46499999999997</v>
      </c>
    </row>
    <row r="646" spans="1:8" x14ac:dyDescent="0.25">
      <c r="A646" t="s">
        <v>1253</v>
      </c>
      <c r="B646">
        <v>44694</v>
      </c>
      <c r="C646" t="s">
        <v>1254</v>
      </c>
      <c r="D646" t="s">
        <v>35</v>
      </c>
      <c r="E646">
        <v>2</v>
      </c>
      <c r="F646">
        <f>INDEX([1]products!$A$1:$G$49,MATCH([1]orders!$D646,[1]products!$A$1:$A$49,0),MATCH([1]orders!K$1,[1]products!$A$1:$G$1,0))</f>
        <v>2.5</v>
      </c>
      <c r="G646">
        <f>INDEX([1]products!$A$1:$G$49,MATCH([1]orders!$D646,[1]products!$A$1:$A$49,0),MATCH([1]orders!L$1,[1]products!$A$1:$G$1,0))</f>
        <v>20.584999999999997</v>
      </c>
      <c r="H646">
        <f t="shared" si="10"/>
        <v>41.169999999999995</v>
      </c>
    </row>
    <row r="647" spans="1:8" x14ac:dyDescent="0.25">
      <c r="A647" t="s">
        <v>1255</v>
      </c>
      <c r="B647">
        <v>44106</v>
      </c>
      <c r="C647" t="s">
        <v>1256</v>
      </c>
      <c r="D647" t="s">
        <v>118</v>
      </c>
      <c r="E647">
        <v>3</v>
      </c>
      <c r="F647">
        <f>INDEX([1]products!$A$1:$G$49,MATCH([1]orders!$D647,[1]products!$A$1:$A$49,0),MATCH([1]orders!K$1,[1]products!$A$1:$G$1,0))</f>
        <v>2.5</v>
      </c>
      <c r="G647">
        <f>INDEX([1]products!$A$1:$G$49,MATCH([1]orders!$D647,[1]products!$A$1:$A$49,0),MATCH([1]orders!L$1,[1]products!$A$1:$G$1,0))</f>
        <v>22.884999999999998</v>
      </c>
      <c r="H647">
        <f t="shared" si="10"/>
        <v>68.655000000000001</v>
      </c>
    </row>
    <row r="648" spans="1:8" x14ac:dyDescent="0.25">
      <c r="A648" t="s">
        <v>1257</v>
      </c>
      <c r="B648">
        <v>44532</v>
      </c>
      <c r="C648" t="s">
        <v>1258</v>
      </c>
      <c r="D648" t="s">
        <v>27</v>
      </c>
      <c r="E648">
        <v>1</v>
      </c>
      <c r="F648">
        <f>INDEX([1]products!$A$1:$G$49,MATCH([1]orders!$D648,[1]products!$A$1:$A$49,0),MATCH([1]orders!K$1,[1]products!$A$1:$G$1,0))</f>
        <v>1</v>
      </c>
      <c r="G648">
        <f>INDEX([1]products!$A$1:$G$49,MATCH([1]orders!$D648,[1]products!$A$1:$A$49,0),MATCH([1]orders!L$1,[1]products!$A$1:$G$1,0))</f>
        <v>9.9499999999999993</v>
      </c>
      <c r="H648">
        <f t="shared" si="10"/>
        <v>9.9499999999999993</v>
      </c>
    </row>
    <row r="649" spans="1:8" x14ac:dyDescent="0.25">
      <c r="A649" t="s">
        <v>1259</v>
      </c>
      <c r="B649">
        <v>44502</v>
      </c>
      <c r="C649" t="s">
        <v>1260</v>
      </c>
      <c r="D649" t="s">
        <v>83</v>
      </c>
      <c r="E649">
        <v>3</v>
      </c>
      <c r="F649">
        <f>INDEX([1]products!$A$1:$G$49,MATCH([1]orders!$D649,[1]products!$A$1:$A$49,0),MATCH([1]orders!K$1,[1]products!$A$1:$G$1,0))</f>
        <v>0.5</v>
      </c>
      <c r="G649">
        <f>INDEX([1]products!$A$1:$G$49,MATCH([1]orders!$D649,[1]products!$A$1:$A$49,0),MATCH([1]orders!L$1,[1]products!$A$1:$G$1,0))</f>
        <v>9.51</v>
      </c>
      <c r="H649">
        <f t="shared" si="10"/>
        <v>28.53</v>
      </c>
    </row>
    <row r="650" spans="1:8" x14ac:dyDescent="0.25">
      <c r="A650" t="s">
        <v>1261</v>
      </c>
      <c r="B650">
        <v>43884</v>
      </c>
      <c r="C650" t="s">
        <v>1246</v>
      </c>
      <c r="D650" t="s">
        <v>101</v>
      </c>
      <c r="E650">
        <v>6</v>
      </c>
      <c r="F650">
        <f>INDEX([1]products!$A$1:$G$49,MATCH([1]orders!$D650,[1]products!$A$1:$A$49,0),MATCH([1]orders!K$1,[1]products!$A$1:$G$1,0))</f>
        <v>0.2</v>
      </c>
      <c r="G650">
        <f>INDEX([1]products!$A$1:$G$49,MATCH([1]orders!$D650,[1]products!$A$1:$A$49,0),MATCH([1]orders!L$1,[1]products!$A$1:$G$1,0))</f>
        <v>2.6849999999999996</v>
      </c>
      <c r="H650">
        <f t="shared" si="10"/>
        <v>16.11</v>
      </c>
    </row>
    <row r="651" spans="1:8" x14ac:dyDescent="0.25">
      <c r="A651" t="s">
        <v>1262</v>
      </c>
      <c r="B651">
        <v>44015</v>
      </c>
      <c r="C651" t="s">
        <v>1263</v>
      </c>
      <c r="D651" t="s">
        <v>132</v>
      </c>
      <c r="E651">
        <v>6</v>
      </c>
      <c r="F651">
        <f>INDEX([1]products!$A$1:$G$49,MATCH([1]orders!$D651,[1]products!$A$1:$A$49,0),MATCH([1]orders!K$1,[1]products!$A$1:$G$1,0))</f>
        <v>1</v>
      </c>
      <c r="G651">
        <f>INDEX([1]products!$A$1:$G$49,MATCH([1]orders!$D651,[1]products!$A$1:$A$49,0),MATCH([1]orders!L$1,[1]products!$A$1:$G$1,0))</f>
        <v>15.85</v>
      </c>
      <c r="H651">
        <f t="shared" si="10"/>
        <v>95.1</v>
      </c>
    </row>
    <row r="652" spans="1:8" x14ac:dyDescent="0.25">
      <c r="A652" t="s">
        <v>1264</v>
      </c>
      <c r="B652">
        <v>43507</v>
      </c>
      <c r="C652" t="s">
        <v>1265</v>
      </c>
      <c r="D652" t="s">
        <v>146</v>
      </c>
      <c r="E652">
        <v>1</v>
      </c>
      <c r="F652">
        <f>INDEX([1]products!$A$1:$G$49,MATCH([1]orders!$D652,[1]products!$A$1:$A$49,0),MATCH([1]orders!K$1,[1]products!$A$1:$G$1,0))</f>
        <v>0.5</v>
      </c>
      <c r="G652">
        <f>INDEX([1]products!$A$1:$G$49,MATCH([1]orders!$D652,[1]products!$A$1:$A$49,0),MATCH([1]orders!L$1,[1]products!$A$1:$G$1,0))</f>
        <v>5.3699999999999992</v>
      </c>
      <c r="H652">
        <f t="shared" si="10"/>
        <v>5.3699999999999992</v>
      </c>
    </row>
    <row r="653" spans="1:8" x14ac:dyDescent="0.25">
      <c r="A653" t="s">
        <v>1266</v>
      </c>
      <c r="B653">
        <v>44084</v>
      </c>
      <c r="C653" t="s">
        <v>1267</v>
      </c>
      <c r="D653" t="s">
        <v>189</v>
      </c>
      <c r="E653">
        <v>4</v>
      </c>
      <c r="F653">
        <f>INDEX([1]products!$A$1:$G$49,MATCH([1]orders!$D653,[1]products!$A$1:$A$49,0),MATCH([1]orders!K$1,[1]products!$A$1:$G$1,0))</f>
        <v>1</v>
      </c>
      <c r="G653">
        <f>INDEX([1]products!$A$1:$G$49,MATCH([1]orders!$D653,[1]products!$A$1:$A$49,0),MATCH([1]orders!L$1,[1]products!$A$1:$G$1,0))</f>
        <v>11.95</v>
      </c>
      <c r="H653">
        <f t="shared" si="10"/>
        <v>47.8</v>
      </c>
    </row>
    <row r="654" spans="1:8" x14ac:dyDescent="0.25">
      <c r="A654" t="s">
        <v>1268</v>
      </c>
      <c r="B654">
        <v>43892</v>
      </c>
      <c r="C654" t="s">
        <v>1269</v>
      </c>
      <c r="D654" t="s">
        <v>132</v>
      </c>
      <c r="E654">
        <v>4</v>
      </c>
      <c r="F654">
        <f>INDEX([1]products!$A$1:$G$49,MATCH([1]orders!$D654,[1]products!$A$1:$A$49,0),MATCH([1]orders!K$1,[1]products!$A$1:$G$1,0))</f>
        <v>1</v>
      </c>
      <c r="G654">
        <f>INDEX([1]products!$A$1:$G$49,MATCH([1]orders!$D654,[1]products!$A$1:$A$49,0),MATCH([1]orders!L$1,[1]products!$A$1:$G$1,0))</f>
        <v>15.85</v>
      </c>
      <c r="H654">
        <f t="shared" si="10"/>
        <v>63.4</v>
      </c>
    </row>
    <row r="655" spans="1:8" x14ac:dyDescent="0.25">
      <c r="A655" t="s">
        <v>1270</v>
      </c>
      <c r="B655">
        <v>44375</v>
      </c>
      <c r="C655" t="s">
        <v>1271</v>
      </c>
      <c r="D655" t="s">
        <v>171</v>
      </c>
      <c r="E655">
        <v>4</v>
      </c>
      <c r="F655">
        <f>INDEX([1]products!$A$1:$G$49,MATCH([1]orders!$D655,[1]products!$A$1:$A$49,0),MATCH([1]orders!K$1,[1]products!$A$1:$G$1,0))</f>
        <v>2.5</v>
      </c>
      <c r="G655">
        <f>INDEX([1]products!$A$1:$G$49,MATCH([1]orders!$D655,[1]products!$A$1:$A$49,0),MATCH([1]orders!L$1,[1]products!$A$1:$G$1,0))</f>
        <v>25.874999999999996</v>
      </c>
      <c r="H655">
        <f t="shared" si="10"/>
        <v>103.49999999999999</v>
      </c>
    </row>
    <row r="656" spans="1:8" x14ac:dyDescent="0.25">
      <c r="A656" t="s">
        <v>1272</v>
      </c>
      <c r="B656">
        <v>43476</v>
      </c>
      <c r="C656" t="s">
        <v>1273</v>
      </c>
      <c r="D656" t="s">
        <v>118</v>
      </c>
      <c r="E656">
        <v>3</v>
      </c>
      <c r="F656">
        <f>INDEX([1]products!$A$1:$G$49,MATCH([1]orders!$D656,[1]products!$A$1:$A$49,0),MATCH([1]orders!K$1,[1]products!$A$1:$G$1,0))</f>
        <v>2.5</v>
      </c>
      <c r="G656">
        <f>INDEX([1]products!$A$1:$G$49,MATCH([1]orders!$D656,[1]products!$A$1:$A$49,0),MATCH([1]orders!L$1,[1]products!$A$1:$G$1,0))</f>
        <v>22.884999999999998</v>
      </c>
      <c r="H656">
        <f t="shared" si="10"/>
        <v>68.655000000000001</v>
      </c>
    </row>
    <row r="657" spans="1:8" x14ac:dyDescent="0.25">
      <c r="A657" t="s">
        <v>1274</v>
      </c>
      <c r="B657">
        <v>43728</v>
      </c>
      <c r="C657" t="s">
        <v>1275</v>
      </c>
      <c r="D657" t="s">
        <v>41</v>
      </c>
      <c r="E657">
        <v>2</v>
      </c>
      <c r="F657">
        <f>INDEX([1]products!$A$1:$G$49,MATCH([1]orders!$D657,[1]products!$A$1:$A$49,0),MATCH([1]orders!K$1,[1]products!$A$1:$G$1,0))</f>
        <v>2.5</v>
      </c>
      <c r="G657">
        <f>INDEX([1]products!$A$1:$G$49,MATCH([1]orders!$D657,[1]products!$A$1:$A$49,0),MATCH([1]orders!L$1,[1]products!$A$1:$G$1,0))</f>
        <v>22.884999999999998</v>
      </c>
      <c r="H657">
        <f t="shared" si="10"/>
        <v>45.769999999999996</v>
      </c>
    </row>
    <row r="658" spans="1:8" x14ac:dyDescent="0.25">
      <c r="A658" t="s">
        <v>1276</v>
      </c>
      <c r="B658">
        <v>44485</v>
      </c>
      <c r="C658" t="s">
        <v>1277</v>
      </c>
      <c r="D658" t="s">
        <v>13</v>
      </c>
      <c r="E658">
        <v>4</v>
      </c>
      <c r="F658">
        <f>INDEX([1]products!$A$1:$G$49,MATCH([1]orders!$D658,[1]products!$A$1:$A$49,0),MATCH([1]orders!K$1,[1]products!$A$1:$G$1,0))</f>
        <v>1</v>
      </c>
      <c r="G658">
        <f>INDEX([1]products!$A$1:$G$49,MATCH([1]orders!$D658,[1]products!$A$1:$A$49,0),MATCH([1]orders!L$1,[1]products!$A$1:$G$1,0))</f>
        <v>12.95</v>
      </c>
      <c r="H658">
        <f t="shared" si="10"/>
        <v>51.8</v>
      </c>
    </row>
    <row r="659" spans="1:8" x14ac:dyDescent="0.25">
      <c r="A659" t="s">
        <v>1278</v>
      </c>
      <c r="B659">
        <v>43831</v>
      </c>
      <c r="C659" t="s">
        <v>1279</v>
      </c>
      <c r="D659" t="s">
        <v>67</v>
      </c>
      <c r="E659">
        <v>2</v>
      </c>
      <c r="F659">
        <f>INDEX([1]products!$A$1:$G$49,MATCH([1]orders!$D659,[1]products!$A$1:$A$49,0),MATCH([1]orders!K$1,[1]products!$A$1:$G$1,0))</f>
        <v>0.5</v>
      </c>
      <c r="G659">
        <f>INDEX([1]products!$A$1:$G$49,MATCH([1]orders!$D659,[1]products!$A$1:$A$49,0),MATCH([1]orders!L$1,[1]products!$A$1:$G$1,0))</f>
        <v>6.75</v>
      </c>
      <c r="H659">
        <f t="shared" si="10"/>
        <v>13.5</v>
      </c>
    </row>
    <row r="660" spans="1:8" x14ac:dyDescent="0.25">
      <c r="A660" t="s">
        <v>1280</v>
      </c>
      <c r="B660">
        <v>44630</v>
      </c>
      <c r="C660" t="s">
        <v>1281</v>
      </c>
      <c r="D660" t="s">
        <v>3</v>
      </c>
      <c r="E660">
        <v>3</v>
      </c>
      <c r="F660">
        <f>INDEX([1]products!$A$1:$G$49,MATCH([1]orders!$D660,[1]products!$A$1:$A$49,0),MATCH([1]orders!K$1,[1]products!$A$1:$G$1,0))</f>
        <v>0.5</v>
      </c>
      <c r="G660">
        <f>INDEX([1]products!$A$1:$G$49,MATCH([1]orders!$D660,[1]products!$A$1:$A$49,0),MATCH([1]orders!L$1,[1]products!$A$1:$G$1,0))</f>
        <v>8.25</v>
      </c>
      <c r="H660">
        <f t="shared" si="10"/>
        <v>24.75</v>
      </c>
    </row>
    <row r="661" spans="1:8" x14ac:dyDescent="0.25">
      <c r="A661" t="s">
        <v>1282</v>
      </c>
      <c r="B661">
        <v>44693</v>
      </c>
      <c r="C661" t="s">
        <v>1283</v>
      </c>
      <c r="D661" t="s">
        <v>118</v>
      </c>
      <c r="E661">
        <v>2</v>
      </c>
      <c r="F661">
        <f>INDEX([1]products!$A$1:$G$49,MATCH([1]orders!$D661,[1]products!$A$1:$A$49,0),MATCH([1]orders!K$1,[1]products!$A$1:$G$1,0))</f>
        <v>2.5</v>
      </c>
      <c r="G661">
        <f>INDEX([1]products!$A$1:$G$49,MATCH([1]orders!$D661,[1]products!$A$1:$A$49,0),MATCH([1]orders!L$1,[1]products!$A$1:$G$1,0))</f>
        <v>22.884999999999998</v>
      </c>
      <c r="H661">
        <f t="shared" si="10"/>
        <v>45.769999999999996</v>
      </c>
    </row>
    <row r="662" spans="1:8" x14ac:dyDescent="0.25">
      <c r="A662" t="s">
        <v>1284</v>
      </c>
      <c r="B662">
        <v>44084</v>
      </c>
      <c r="C662" t="s">
        <v>1285</v>
      </c>
      <c r="D662" t="s">
        <v>176</v>
      </c>
      <c r="E662">
        <v>6</v>
      </c>
      <c r="F662">
        <f>INDEX([1]products!$A$1:$G$49,MATCH([1]orders!$D662,[1]products!$A$1:$A$49,0),MATCH([1]orders!K$1,[1]products!$A$1:$G$1,0))</f>
        <v>0.5</v>
      </c>
      <c r="G662">
        <f>INDEX([1]products!$A$1:$G$49,MATCH([1]orders!$D662,[1]products!$A$1:$A$49,0),MATCH([1]orders!L$1,[1]products!$A$1:$G$1,0))</f>
        <v>8.91</v>
      </c>
      <c r="H662">
        <f t="shared" si="10"/>
        <v>53.46</v>
      </c>
    </row>
    <row r="663" spans="1:8" x14ac:dyDescent="0.25">
      <c r="A663" t="s">
        <v>1286</v>
      </c>
      <c r="B663">
        <v>44485</v>
      </c>
      <c r="C663" t="s">
        <v>1287</v>
      </c>
      <c r="D663" t="s">
        <v>44</v>
      </c>
      <c r="E663">
        <v>6</v>
      </c>
      <c r="F663">
        <f>INDEX([1]products!$A$1:$G$49,MATCH([1]orders!$D663,[1]products!$A$1:$A$49,0),MATCH([1]orders!K$1,[1]products!$A$1:$G$1,0))</f>
        <v>0.2</v>
      </c>
      <c r="G663">
        <f>INDEX([1]products!$A$1:$G$49,MATCH([1]orders!$D663,[1]products!$A$1:$A$49,0),MATCH([1]orders!L$1,[1]products!$A$1:$G$1,0))</f>
        <v>3.375</v>
      </c>
      <c r="H663">
        <f t="shared" si="10"/>
        <v>20.25</v>
      </c>
    </row>
    <row r="664" spans="1:8" x14ac:dyDescent="0.25">
      <c r="A664" t="s">
        <v>1288</v>
      </c>
      <c r="B664">
        <v>44364</v>
      </c>
      <c r="C664" t="s">
        <v>1289</v>
      </c>
      <c r="D664" t="s">
        <v>109</v>
      </c>
      <c r="E664">
        <v>5</v>
      </c>
      <c r="F664">
        <f>INDEX([1]products!$A$1:$G$49,MATCH([1]orders!$D664,[1]products!$A$1:$A$49,0),MATCH([1]orders!K$1,[1]products!$A$1:$G$1,0))</f>
        <v>2.5</v>
      </c>
      <c r="G664">
        <f>INDEX([1]products!$A$1:$G$49,MATCH([1]orders!$D664,[1]products!$A$1:$A$49,0),MATCH([1]orders!L$1,[1]products!$A$1:$G$1,0))</f>
        <v>29.784999999999997</v>
      </c>
      <c r="H664">
        <f t="shared" si="10"/>
        <v>148.92499999999998</v>
      </c>
    </row>
    <row r="665" spans="1:8" x14ac:dyDescent="0.25">
      <c r="A665" t="s">
        <v>1290</v>
      </c>
      <c r="B665">
        <v>43554</v>
      </c>
      <c r="C665" t="s">
        <v>1291</v>
      </c>
      <c r="D665" t="s">
        <v>61</v>
      </c>
      <c r="E665">
        <v>6</v>
      </c>
      <c r="F665">
        <f>INDEX([1]products!$A$1:$G$49,MATCH([1]orders!$D665,[1]products!$A$1:$A$49,0),MATCH([1]orders!K$1,[1]products!$A$1:$G$1,0))</f>
        <v>1</v>
      </c>
      <c r="G665">
        <f>INDEX([1]products!$A$1:$G$49,MATCH([1]orders!$D665,[1]products!$A$1:$A$49,0),MATCH([1]orders!L$1,[1]products!$A$1:$G$1,0))</f>
        <v>11.25</v>
      </c>
      <c r="H665">
        <f t="shared" si="10"/>
        <v>67.5</v>
      </c>
    </row>
    <row r="666" spans="1:8" x14ac:dyDescent="0.25">
      <c r="A666" t="s">
        <v>1292</v>
      </c>
      <c r="B666">
        <v>44549</v>
      </c>
      <c r="C666" t="s">
        <v>1293</v>
      </c>
      <c r="D666" t="s">
        <v>245</v>
      </c>
      <c r="E666">
        <v>6</v>
      </c>
      <c r="F666">
        <f>INDEX([1]products!$A$1:$G$49,MATCH([1]orders!$D666,[1]products!$A$1:$A$49,0),MATCH([1]orders!K$1,[1]products!$A$1:$G$1,0))</f>
        <v>1</v>
      </c>
      <c r="G666">
        <f>INDEX([1]products!$A$1:$G$49,MATCH([1]orders!$D666,[1]products!$A$1:$A$49,0),MATCH([1]orders!L$1,[1]products!$A$1:$G$1,0))</f>
        <v>12.15</v>
      </c>
      <c r="H666">
        <f t="shared" si="10"/>
        <v>72.900000000000006</v>
      </c>
    </row>
    <row r="667" spans="1:8" x14ac:dyDescent="0.25">
      <c r="A667" t="s">
        <v>1292</v>
      </c>
      <c r="B667">
        <v>44549</v>
      </c>
      <c r="C667" t="s">
        <v>1293</v>
      </c>
      <c r="D667" t="s">
        <v>38</v>
      </c>
      <c r="E667">
        <v>2</v>
      </c>
      <c r="F667">
        <f>INDEX([1]products!$A$1:$G$49,MATCH([1]orders!$D667,[1]products!$A$1:$A$49,0),MATCH([1]orders!K$1,[1]products!$A$1:$G$1,0))</f>
        <v>0.2</v>
      </c>
      <c r="G667">
        <f>INDEX([1]products!$A$1:$G$49,MATCH([1]orders!$D667,[1]products!$A$1:$A$49,0),MATCH([1]orders!L$1,[1]products!$A$1:$G$1,0))</f>
        <v>3.8849999999999998</v>
      </c>
      <c r="H667">
        <f t="shared" si="10"/>
        <v>7.77</v>
      </c>
    </row>
    <row r="668" spans="1:8" x14ac:dyDescent="0.25">
      <c r="A668" t="s">
        <v>1294</v>
      </c>
      <c r="B668">
        <v>43987</v>
      </c>
      <c r="C668" t="s">
        <v>1295</v>
      </c>
      <c r="D668" t="s">
        <v>118</v>
      </c>
      <c r="E668">
        <v>4</v>
      </c>
      <c r="F668">
        <f>INDEX([1]products!$A$1:$G$49,MATCH([1]orders!$D668,[1]products!$A$1:$A$49,0),MATCH([1]orders!K$1,[1]products!$A$1:$G$1,0))</f>
        <v>2.5</v>
      </c>
      <c r="G668">
        <f>INDEX([1]products!$A$1:$G$49,MATCH([1]orders!$D668,[1]products!$A$1:$A$49,0),MATCH([1]orders!L$1,[1]products!$A$1:$G$1,0))</f>
        <v>22.884999999999998</v>
      </c>
      <c r="H668">
        <f t="shared" si="10"/>
        <v>91.539999999999992</v>
      </c>
    </row>
    <row r="669" spans="1:8" x14ac:dyDescent="0.25">
      <c r="A669" t="s">
        <v>1296</v>
      </c>
      <c r="B669">
        <v>44451</v>
      </c>
      <c r="C669" t="s">
        <v>1297</v>
      </c>
      <c r="D669" t="s">
        <v>27</v>
      </c>
      <c r="E669">
        <v>6</v>
      </c>
      <c r="F669">
        <f>INDEX([1]products!$A$1:$G$49,MATCH([1]orders!$D669,[1]products!$A$1:$A$49,0),MATCH([1]orders!K$1,[1]products!$A$1:$G$1,0))</f>
        <v>1</v>
      </c>
      <c r="G669">
        <f>INDEX([1]products!$A$1:$G$49,MATCH([1]orders!$D669,[1]products!$A$1:$A$49,0),MATCH([1]orders!L$1,[1]products!$A$1:$G$1,0))</f>
        <v>9.9499999999999993</v>
      </c>
      <c r="H669">
        <f t="shared" si="10"/>
        <v>59.699999999999996</v>
      </c>
    </row>
    <row r="670" spans="1:8" x14ac:dyDescent="0.25">
      <c r="A670" t="s">
        <v>1298</v>
      </c>
      <c r="B670">
        <v>44636</v>
      </c>
      <c r="C670" t="s">
        <v>1281</v>
      </c>
      <c r="D670" t="s">
        <v>10</v>
      </c>
      <c r="E670">
        <v>5</v>
      </c>
      <c r="F670">
        <f>INDEX([1]products!$A$1:$G$49,MATCH([1]orders!$D670,[1]products!$A$1:$A$49,0),MATCH([1]orders!K$1,[1]products!$A$1:$G$1,0))</f>
        <v>2.5</v>
      </c>
      <c r="G670">
        <f>INDEX([1]products!$A$1:$G$49,MATCH([1]orders!$D670,[1]products!$A$1:$A$49,0),MATCH([1]orders!L$1,[1]products!$A$1:$G$1,0))</f>
        <v>27.484999999999996</v>
      </c>
      <c r="H670">
        <f t="shared" si="10"/>
        <v>137.42499999999998</v>
      </c>
    </row>
    <row r="671" spans="1:8" x14ac:dyDescent="0.25">
      <c r="A671" t="s">
        <v>1299</v>
      </c>
      <c r="B671">
        <v>44551</v>
      </c>
      <c r="C671" t="s">
        <v>1300</v>
      </c>
      <c r="D671" t="s">
        <v>197</v>
      </c>
      <c r="E671">
        <v>2</v>
      </c>
      <c r="F671">
        <f>INDEX([1]products!$A$1:$G$49,MATCH([1]orders!$D671,[1]products!$A$1:$A$49,0),MATCH([1]orders!K$1,[1]products!$A$1:$G$1,0))</f>
        <v>2.5</v>
      </c>
      <c r="G671">
        <f>INDEX([1]products!$A$1:$G$49,MATCH([1]orders!$D671,[1]products!$A$1:$A$49,0),MATCH([1]orders!L$1,[1]products!$A$1:$G$1,0))</f>
        <v>33.464999999999996</v>
      </c>
      <c r="H671">
        <f t="shared" si="10"/>
        <v>66.929999999999993</v>
      </c>
    </row>
    <row r="672" spans="1:8" x14ac:dyDescent="0.25">
      <c r="A672" t="s">
        <v>1301</v>
      </c>
      <c r="B672">
        <v>43606</v>
      </c>
      <c r="C672" t="s">
        <v>1302</v>
      </c>
      <c r="D672" t="s">
        <v>77</v>
      </c>
      <c r="E672">
        <v>3</v>
      </c>
      <c r="F672">
        <f>INDEX([1]products!$A$1:$G$49,MATCH([1]orders!$D672,[1]products!$A$1:$A$49,0),MATCH([1]orders!K$1,[1]products!$A$1:$G$1,0))</f>
        <v>0.2</v>
      </c>
      <c r="G672">
        <f>INDEX([1]products!$A$1:$G$49,MATCH([1]orders!$D672,[1]products!$A$1:$A$49,0),MATCH([1]orders!L$1,[1]products!$A$1:$G$1,0))</f>
        <v>4.3650000000000002</v>
      </c>
      <c r="H672">
        <f t="shared" si="10"/>
        <v>13.095000000000001</v>
      </c>
    </row>
    <row r="673" spans="1:8" x14ac:dyDescent="0.25">
      <c r="A673" t="s">
        <v>1303</v>
      </c>
      <c r="B673">
        <v>44495</v>
      </c>
      <c r="C673" t="s">
        <v>1304</v>
      </c>
      <c r="D673" t="s">
        <v>189</v>
      </c>
      <c r="E673">
        <v>5</v>
      </c>
      <c r="F673">
        <f>INDEX([1]products!$A$1:$G$49,MATCH([1]orders!$D673,[1]products!$A$1:$A$49,0),MATCH([1]orders!K$1,[1]products!$A$1:$G$1,0))</f>
        <v>1</v>
      </c>
      <c r="G673">
        <f>INDEX([1]products!$A$1:$G$49,MATCH([1]orders!$D673,[1]products!$A$1:$A$49,0),MATCH([1]orders!L$1,[1]products!$A$1:$G$1,0))</f>
        <v>11.95</v>
      </c>
      <c r="H673">
        <f t="shared" si="10"/>
        <v>59.75</v>
      </c>
    </row>
    <row r="674" spans="1:8" x14ac:dyDescent="0.25">
      <c r="A674" t="s">
        <v>1305</v>
      </c>
      <c r="B674">
        <v>43916</v>
      </c>
      <c r="C674" t="s">
        <v>1306</v>
      </c>
      <c r="D674" t="s">
        <v>78</v>
      </c>
      <c r="E674">
        <v>5</v>
      </c>
      <c r="F674">
        <f>INDEX([1]products!$A$1:$G$49,MATCH([1]orders!$D674,[1]products!$A$1:$A$49,0),MATCH([1]orders!K$1,[1]products!$A$1:$G$1,0))</f>
        <v>0.5</v>
      </c>
      <c r="G674">
        <f>INDEX([1]products!$A$1:$G$49,MATCH([1]orders!$D674,[1]products!$A$1:$A$49,0),MATCH([1]orders!L$1,[1]products!$A$1:$G$1,0))</f>
        <v>8.73</v>
      </c>
      <c r="H674">
        <f t="shared" si="10"/>
        <v>43.650000000000006</v>
      </c>
    </row>
    <row r="675" spans="1:8" x14ac:dyDescent="0.25">
      <c r="A675" t="s">
        <v>1307</v>
      </c>
      <c r="B675">
        <v>44118</v>
      </c>
      <c r="C675" t="s">
        <v>1308</v>
      </c>
      <c r="D675" t="s">
        <v>9</v>
      </c>
      <c r="E675">
        <v>6</v>
      </c>
      <c r="F675">
        <f>INDEX([1]products!$A$1:$G$49,MATCH([1]orders!$D675,[1]products!$A$1:$A$49,0),MATCH([1]orders!K$1,[1]products!$A$1:$G$1,0))</f>
        <v>1</v>
      </c>
      <c r="G675">
        <f>INDEX([1]products!$A$1:$G$49,MATCH([1]orders!$D675,[1]products!$A$1:$A$49,0),MATCH([1]orders!L$1,[1]products!$A$1:$G$1,0))</f>
        <v>13.75</v>
      </c>
      <c r="H675">
        <f t="shared" si="10"/>
        <v>82.5</v>
      </c>
    </row>
    <row r="676" spans="1:8" x14ac:dyDescent="0.25">
      <c r="A676" t="s">
        <v>1309</v>
      </c>
      <c r="B676">
        <v>44543</v>
      </c>
      <c r="C676" t="s">
        <v>1310</v>
      </c>
      <c r="D676" t="s">
        <v>204</v>
      </c>
      <c r="E676">
        <v>6</v>
      </c>
      <c r="F676">
        <f>INDEX([1]products!$A$1:$G$49,MATCH([1]orders!$D676,[1]products!$A$1:$A$49,0),MATCH([1]orders!K$1,[1]products!$A$1:$G$1,0))</f>
        <v>2.5</v>
      </c>
      <c r="G676">
        <f>INDEX([1]products!$A$1:$G$49,MATCH([1]orders!$D676,[1]products!$A$1:$A$49,0),MATCH([1]orders!L$1,[1]products!$A$1:$G$1,0))</f>
        <v>29.784999999999997</v>
      </c>
      <c r="H676">
        <f t="shared" si="10"/>
        <v>178.70999999999998</v>
      </c>
    </row>
    <row r="677" spans="1:8" x14ac:dyDescent="0.25">
      <c r="A677" t="s">
        <v>1311</v>
      </c>
      <c r="B677">
        <v>44263</v>
      </c>
      <c r="C677" t="s">
        <v>1312</v>
      </c>
      <c r="D677" t="s">
        <v>109</v>
      </c>
      <c r="E677">
        <v>4</v>
      </c>
      <c r="F677">
        <f>INDEX([1]products!$A$1:$G$49,MATCH([1]orders!$D677,[1]products!$A$1:$A$49,0),MATCH([1]orders!K$1,[1]products!$A$1:$G$1,0))</f>
        <v>2.5</v>
      </c>
      <c r="G677">
        <f>INDEX([1]products!$A$1:$G$49,MATCH([1]orders!$D677,[1]products!$A$1:$A$49,0),MATCH([1]orders!L$1,[1]products!$A$1:$G$1,0))</f>
        <v>29.784999999999997</v>
      </c>
      <c r="H677">
        <f t="shared" si="10"/>
        <v>119.13999999999999</v>
      </c>
    </row>
    <row r="678" spans="1:8" x14ac:dyDescent="0.25">
      <c r="A678" t="s">
        <v>1313</v>
      </c>
      <c r="B678">
        <v>44217</v>
      </c>
      <c r="C678" t="s">
        <v>1314</v>
      </c>
      <c r="D678" t="s">
        <v>83</v>
      </c>
      <c r="E678">
        <v>5</v>
      </c>
      <c r="F678">
        <f>INDEX([1]products!$A$1:$G$49,MATCH([1]orders!$D678,[1]products!$A$1:$A$49,0),MATCH([1]orders!K$1,[1]products!$A$1:$G$1,0))</f>
        <v>0.5</v>
      </c>
      <c r="G678">
        <f>INDEX([1]products!$A$1:$G$49,MATCH([1]orders!$D678,[1]products!$A$1:$A$49,0),MATCH([1]orders!L$1,[1]products!$A$1:$G$1,0))</f>
        <v>9.51</v>
      </c>
      <c r="H678">
        <f t="shared" si="10"/>
        <v>47.55</v>
      </c>
    </row>
    <row r="679" spans="1:8" x14ac:dyDescent="0.25">
      <c r="A679" t="s">
        <v>1315</v>
      </c>
      <c r="B679">
        <v>44206</v>
      </c>
      <c r="C679" t="s">
        <v>1316</v>
      </c>
      <c r="D679" t="s">
        <v>78</v>
      </c>
      <c r="E679">
        <v>5</v>
      </c>
      <c r="F679">
        <f>INDEX([1]products!$A$1:$G$49,MATCH([1]orders!$D679,[1]products!$A$1:$A$49,0),MATCH([1]orders!K$1,[1]products!$A$1:$G$1,0))</f>
        <v>0.5</v>
      </c>
      <c r="G679">
        <f>INDEX([1]products!$A$1:$G$49,MATCH([1]orders!$D679,[1]products!$A$1:$A$49,0),MATCH([1]orders!L$1,[1]products!$A$1:$G$1,0))</f>
        <v>8.73</v>
      </c>
      <c r="H679">
        <f t="shared" si="10"/>
        <v>43.650000000000006</v>
      </c>
    </row>
    <row r="680" spans="1:8" x14ac:dyDescent="0.25">
      <c r="A680" t="s">
        <v>1317</v>
      </c>
      <c r="B680">
        <v>44281</v>
      </c>
      <c r="C680" t="s">
        <v>1318</v>
      </c>
      <c r="D680" t="s">
        <v>204</v>
      </c>
      <c r="E680">
        <v>6</v>
      </c>
      <c r="F680">
        <f>INDEX([1]products!$A$1:$G$49,MATCH([1]orders!$D680,[1]products!$A$1:$A$49,0),MATCH([1]orders!K$1,[1]products!$A$1:$G$1,0))</f>
        <v>2.5</v>
      </c>
      <c r="G680">
        <f>INDEX([1]products!$A$1:$G$49,MATCH([1]orders!$D680,[1]products!$A$1:$A$49,0),MATCH([1]orders!L$1,[1]products!$A$1:$G$1,0))</f>
        <v>29.784999999999997</v>
      </c>
      <c r="H680">
        <f t="shared" si="10"/>
        <v>178.70999999999998</v>
      </c>
    </row>
    <row r="681" spans="1:8" x14ac:dyDescent="0.25">
      <c r="A681" t="s">
        <v>1319</v>
      </c>
      <c r="B681">
        <v>44645</v>
      </c>
      <c r="C681" t="s">
        <v>1320</v>
      </c>
      <c r="D681" t="s">
        <v>10</v>
      </c>
      <c r="E681">
        <v>1</v>
      </c>
      <c r="F681">
        <f>INDEX([1]products!$A$1:$G$49,MATCH([1]orders!$D681,[1]products!$A$1:$A$49,0),MATCH([1]orders!K$1,[1]products!$A$1:$G$1,0))</f>
        <v>2.5</v>
      </c>
      <c r="G681">
        <f>INDEX([1]products!$A$1:$G$49,MATCH([1]orders!$D681,[1]products!$A$1:$A$49,0),MATCH([1]orders!L$1,[1]products!$A$1:$G$1,0))</f>
        <v>27.484999999999996</v>
      </c>
      <c r="H681">
        <f t="shared" si="10"/>
        <v>27.484999999999996</v>
      </c>
    </row>
    <row r="682" spans="1:8" x14ac:dyDescent="0.25">
      <c r="A682" t="s">
        <v>1321</v>
      </c>
      <c r="B682">
        <v>44399</v>
      </c>
      <c r="C682" t="s">
        <v>1322</v>
      </c>
      <c r="D682" t="s">
        <v>61</v>
      </c>
      <c r="E682">
        <v>5</v>
      </c>
      <c r="F682">
        <f>INDEX([1]products!$A$1:$G$49,MATCH([1]orders!$D682,[1]products!$A$1:$A$49,0),MATCH([1]orders!K$1,[1]products!$A$1:$G$1,0))</f>
        <v>1</v>
      </c>
      <c r="G682">
        <f>INDEX([1]products!$A$1:$G$49,MATCH([1]orders!$D682,[1]products!$A$1:$A$49,0),MATCH([1]orders!L$1,[1]products!$A$1:$G$1,0))</f>
        <v>11.25</v>
      </c>
      <c r="H682">
        <f t="shared" si="10"/>
        <v>56.25</v>
      </c>
    </row>
    <row r="683" spans="1:8" x14ac:dyDescent="0.25">
      <c r="A683" t="s">
        <v>1323</v>
      </c>
      <c r="B683">
        <v>44080</v>
      </c>
      <c r="C683" t="s">
        <v>1324</v>
      </c>
      <c r="D683" t="s">
        <v>19</v>
      </c>
      <c r="E683">
        <v>2</v>
      </c>
      <c r="F683">
        <f>INDEX([1]products!$A$1:$G$49,MATCH([1]orders!$D683,[1]products!$A$1:$A$49,0),MATCH([1]orders!K$1,[1]products!$A$1:$G$1,0))</f>
        <v>0.2</v>
      </c>
      <c r="G683">
        <f>INDEX([1]products!$A$1:$G$49,MATCH([1]orders!$D683,[1]products!$A$1:$A$49,0),MATCH([1]orders!L$1,[1]products!$A$1:$G$1,0))</f>
        <v>4.7549999999999999</v>
      </c>
      <c r="H683">
        <f t="shared" si="10"/>
        <v>9.51</v>
      </c>
    </row>
    <row r="684" spans="1:8" x14ac:dyDescent="0.25">
      <c r="A684" t="s">
        <v>1325</v>
      </c>
      <c r="B684">
        <v>43827</v>
      </c>
      <c r="C684" t="s">
        <v>1326</v>
      </c>
      <c r="D684" t="s">
        <v>64</v>
      </c>
      <c r="E684">
        <v>2</v>
      </c>
      <c r="F684">
        <f>INDEX([1]products!$A$1:$G$49,MATCH([1]orders!$D684,[1]products!$A$1:$A$49,0),MATCH([1]orders!K$1,[1]products!$A$1:$G$1,0))</f>
        <v>0.2</v>
      </c>
      <c r="G684">
        <f>INDEX([1]products!$A$1:$G$49,MATCH([1]orders!$D684,[1]products!$A$1:$A$49,0),MATCH([1]orders!L$1,[1]products!$A$1:$G$1,0))</f>
        <v>4.125</v>
      </c>
      <c r="H684">
        <f t="shared" si="10"/>
        <v>8.25</v>
      </c>
    </row>
    <row r="685" spans="1:8" x14ac:dyDescent="0.25">
      <c r="A685" t="s">
        <v>1327</v>
      </c>
      <c r="B685">
        <v>43941</v>
      </c>
      <c r="C685" t="s">
        <v>1328</v>
      </c>
      <c r="D685" t="s">
        <v>123</v>
      </c>
      <c r="E685">
        <v>6</v>
      </c>
      <c r="F685">
        <f>INDEX([1]products!$A$1:$G$49,MATCH([1]orders!$D685,[1]products!$A$1:$A$49,0),MATCH([1]orders!K$1,[1]products!$A$1:$G$1,0))</f>
        <v>0.5</v>
      </c>
      <c r="G685">
        <f>INDEX([1]products!$A$1:$G$49,MATCH([1]orders!$D685,[1]products!$A$1:$A$49,0),MATCH([1]orders!L$1,[1]products!$A$1:$G$1,0))</f>
        <v>7.77</v>
      </c>
      <c r="H685">
        <f t="shared" si="10"/>
        <v>46.62</v>
      </c>
    </row>
    <row r="686" spans="1:8" x14ac:dyDescent="0.25">
      <c r="A686" t="s">
        <v>1329</v>
      </c>
      <c r="B686">
        <v>43517</v>
      </c>
      <c r="C686" t="s">
        <v>1330</v>
      </c>
      <c r="D686" t="s">
        <v>189</v>
      </c>
      <c r="E686">
        <v>6</v>
      </c>
      <c r="F686">
        <f>INDEX([1]products!$A$1:$G$49,MATCH([1]orders!$D686,[1]products!$A$1:$A$49,0),MATCH([1]orders!K$1,[1]products!$A$1:$G$1,0))</f>
        <v>1</v>
      </c>
      <c r="G686">
        <f>INDEX([1]products!$A$1:$G$49,MATCH([1]orders!$D686,[1]products!$A$1:$A$49,0),MATCH([1]orders!L$1,[1]products!$A$1:$G$1,0))</f>
        <v>11.95</v>
      </c>
      <c r="H686">
        <f t="shared" si="10"/>
        <v>71.699999999999989</v>
      </c>
    </row>
    <row r="687" spans="1:8" x14ac:dyDescent="0.25">
      <c r="A687" t="s">
        <v>1331</v>
      </c>
      <c r="B687">
        <v>44637</v>
      </c>
      <c r="C687" t="s">
        <v>1332</v>
      </c>
      <c r="D687" t="s">
        <v>104</v>
      </c>
      <c r="E687">
        <v>2</v>
      </c>
      <c r="F687">
        <f>INDEX([1]products!$A$1:$G$49,MATCH([1]orders!$D687,[1]products!$A$1:$A$49,0),MATCH([1]orders!K$1,[1]products!$A$1:$G$1,0))</f>
        <v>2.5</v>
      </c>
      <c r="G687">
        <f>INDEX([1]products!$A$1:$G$49,MATCH([1]orders!$D687,[1]products!$A$1:$A$49,0),MATCH([1]orders!L$1,[1]products!$A$1:$G$1,0))</f>
        <v>36.454999999999998</v>
      </c>
      <c r="H687">
        <f t="shared" si="10"/>
        <v>72.91</v>
      </c>
    </row>
    <row r="688" spans="1:8" x14ac:dyDescent="0.25">
      <c r="A688" t="s">
        <v>1333</v>
      </c>
      <c r="B688">
        <v>44330</v>
      </c>
      <c r="C688" t="s">
        <v>1334</v>
      </c>
      <c r="D688" t="s">
        <v>101</v>
      </c>
      <c r="E688">
        <v>3</v>
      </c>
      <c r="F688">
        <f>INDEX([1]products!$A$1:$G$49,MATCH([1]orders!$D688,[1]products!$A$1:$A$49,0),MATCH([1]orders!K$1,[1]products!$A$1:$G$1,0))</f>
        <v>0.2</v>
      </c>
      <c r="G688">
        <f>INDEX([1]products!$A$1:$G$49,MATCH([1]orders!$D688,[1]products!$A$1:$A$49,0),MATCH([1]orders!L$1,[1]products!$A$1:$G$1,0))</f>
        <v>2.6849999999999996</v>
      </c>
      <c r="H688">
        <f t="shared" si="10"/>
        <v>8.0549999999999997</v>
      </c>
    </row>
    <row r="689" spans="1:8" x14ac:dyDescent="0.25">
      <c r="A689" t="s">
        <v>1335</v>
      </c>
      <c r="B689">
        <v>43471</v>
      </c>
      <c r="C689" t="s">
        <v>1336</v>
      </c>
      <c r="D689" t="s">
        <v>3</v>
      </c>
      <c r="E689">
        <v>2</v>
      </c>
      <c r="F689">
        <f>INDEX([1]products!$A$1:$G$49,MATCH([1]orders!$D689,[1]products!$A$1:$A$49,0),MATCH([1]orders!K$1,[1]products!$A$1:$G$1,0))</f>
        <v>0.5</v>
      </c>
      <c r="G689">
        <f>INDEX([1]products!$A$1:$G$49,MATCH([1]orders!$D689,[1]products!$A$1:$A$49,0),MATCH([1]orders!L$1,[1]products!$A$1:$G$1,0))</f>
        <v>8.25</v>
      </c>
      <c r="H689">
        <f t="shared" si="10"/>
        <v>16.5</v>
      </c>
    </row>
    <row r="690" spans="1:8" x14ac:dyDescent="0.25">
      <c r="A690" t="s">
        <v>1337</v>
      </c>
      <c r="B690">
        <v>43579</v>
      </c>
      <c r="C690" t="s">
        <v>1338</v>
      </c>
      <c r="D690" t="s">
        <v>6</v>
      </c>
      <c r="E690">
        <v>5</v>
      </c>
      <c r="F690">
        <f>INDEX([1]products!$A$1:$G$49,MATCH([1]orders!$D690,[1]products!$A$1:$A$49,0),MATCH([1]orders!K$1,[1]products!$A$1:$G$1,0))</f>
        <v>1</v>
      </c>
      <c r="G690">
        <f>INDEX([1]products!$A$1:$G$49,MATCH([1]orders!$D690,[1]products!$A$1:$A$49,0),MATCH([1]orders!L$1,[1]products!$A$1:$G$1,0))</f>
        <v>12.95</v>
      </c>
      <c r="H690">
        <f t="shared" si="10"/>
        <v>64.75</v>
      </c>
    </row>
    <row r="691" spans="1:8" x14ac:dyDescent="0.25">
      <c r="A691" t="s">
        <v>1339</v>
      </c>
      <c r="B691">
        <v>44346</v>
      </c>
      <c r="C691" t="s">
        <v>1340</v>
      </c>
      <c r="D691" t="s">
        <v>67</v>
      </c>
      <c r="E691">
        <v>5</v>
      </c>
      <c r="F691">
        <f>INDEX([1]products!$A$1:$G$49,MATCH([1]orders!$D691,[1]products!$A$1:$A$49,0),MATCH([1]orders!K$1,[1]products!$A$1:$G$1,0))</f>
        <v>0.5</v>
      </c>
      <c r="G691">
        <f>INDEX([1]products!$A$1:$G$49,MATCH([1]orders!$D691,[1]products!$A$1:$A$49,0),MATCH([1]orders!L$1,[1]products!$A$1:$G$1,0))</f>
        <v>6.75</v>
      </c>
      <c r="H691">
        <f t="shared" si="10"/>
        <v>33.75</v>
      </c>
    </row>
    <row r="692" spans="1:8" x14ac:dyDescent="0.25">
      <c r="A692" t="s">
        <v>1341</v>
      </c>
      <c r="B692">
        <v>44754</v>
      </c>
      <c r="C692" t="s">
        <v>1342</v>
      </c>
      <c r="D692" t="s">
        <v>109</v>
      </c>
      <c r="E692">
        <v>6</v>
      </c>
      <c r="F692">
        <f>INDEX([1]products!$A$1:$G$49,MATCH([1]orders!$D692,[1]products!$A$1:$A$49,0),MATCH([1]orders!K$1,[1]products!$A$1:$G$1,0))</f>
        <v>2.5</v>
      </c>
      <c r="G692">
        <f>INDEX([1]products!$A$1:$G$49,MATCH([1]orders!$D692,[1]products!$A$1:$A$49,0),MATCH([1]orders!L$1,[1]products!$A$1:$G$1,0))</f>
        <v>29.784999999999997</v>
      </c>
      <c r="H692">
        <f t="shared" si="10"/>
        <v>178.70999999999998</v>
      </c>
    </row>
    <row r="693" spans="1:8" x14ac:dyDescent="0.25">
      <c r="A693" t="s">
        <v>1343</v>
      </c>
      <c r="B693">
        <v>44227</v>
      </c>
      <c r="C693" t="s">
        <v>1344</v>
      </c>
      <c r="D693" t="s">
        <v>61</v>
      </c>
      <c r="E693">
        <v>2</v>
      </c>
      <c r="F693">
        <f>INDEX([1]products!$A$1:$G$49,MATCH([1]orders!$D693,[1]products!$A$1:$A$49,0),MATCH([1]orders!K$1,[1]products!$A$1:$G$1,0))</f>
        <v>1</v>
      </c>
      <c r="G693">
        <f>INDEX([1]products!$A$1:$G$49,MATCH([1]orders!$D693,[1]products!$A$1:$A$49,0),MATCH([1]orders!L$1,[1]products!$A$1:$G$1,0))</f>
        <v>11.25</v>
      </c>
      <c r="H693">
        <f t="shared" si="10"/>
        <v>22.5</v>
      </c>
    </row>
    <row r="694" spans="1:8" x14ac:dyDescent="0.25">
      <c r="A694" t="s">
        <v>1345</v>
      </c>
      <c r="B694">
        <v>43720</v>
      </c>
      <c r="C694" t="s">
        <v>1346</v>
      </c>
      <c r="D694" t="s">
        <v>13</v>
      </c>
      <c r="E694">
        <v>1</v>
      </c>
      <c r="F694">
        <f>INDEX([1]products!$A$1:$G$49,MATCH([1]orders!$D694,[1]products!$A$1:$A$49,0),MATCH([1]orders!K$1,[1]products!$A$1:$G$1,0))</f>
        <v>1</v>
      </c>
      <c r="G694">
        <f>INDEX([1]products!$A$1:$G$49,MATCH([1]orders!$D694,[1]products!$A$1:$A$49,0),MATCH([1]orders!L$1,[1]products!$A$1:$G$1,0))</f>
        <v>12.95</v>
      </c>
      <c r="H694">
        <f t="shared" si="10"/>
        <v>12.95</v>
      </c>
    </row>
    <row r="695" spans="1:8" x14ac:dyDescent="0.25">
      <c r="A695" t="s">
        <v>1347</v>
      </c>
      <c r="B695">
        <v>44012</v>
      </c>
      <c r="C695" t="s">
        <v>1348</v>
      </c>
      <c r="D695" t="s">
        <v>171</v>
      </c>
      <c r="E695">
        <v>2</v>
      </c>
      <c r="F695">
        <f>INDEX([1]products!$A$1:$G$49,MATCH([1]orders!$D695,[1]products!$A$1:$A$49,0),MATCH([1]orders!K$1,[1]products!$A$1:$G$1,0))</f>
        <v>2.5</v>
      </c>
      <c r="G695">
        <f>INDEX([1]products!$A$1:$G$49,MATCH([1]orders!$D695,[1]products!$A$1:$A$49,0),MATCH([1]orders!L$1,[1]products!$A$1:$G$1,0))</f>
        <v>25.874999999999996</v>
      </c>
      <c r="H695">
        <f t="shared" si="10"/>
        <v>51.749999999999993</v>
      </c>
    </row>
    <row r="696" spans="1:8" x14ac:dyDescent="0.25">
      <c r="A696" t="s">
        <v>1349</v>
      </c>
      <c r="B696">
        <v>43915</v>
      </c>
      <c r="C696" t="s">
        <v>1350</v>
      </c>
      <c r="D696" t="s">
        <v>16</v>
      </c>
      <c r="E696">
        <v>5</v>
      </c>
      <c r="F696">
        <f>INDEX([1]products!$A$1:$G$49,MATCH([1]orders!$D696,[1]products!$A$1:$A$49,0),MATCH([1]orders!K$1,[1]products!$A$1:$G$1,0))</f>
        <v>0.5</v>
      </c>
      <c r="G696">
        <f>INDEX([1]products!$A$1:$G$49,MATCH([1]orders!$D696,[1]products!$A$1:$A$49,0),MATCH([1]orders!L$1,[1]products!$A$1:$G$1,0))</f>
        <v>7.29</v>
      </c>
      <c r="H696">
        <f t="shared" si="10"/>
        <v>36.450000000000003</v>
      </c>
    </row>
    <row r="697" spans="1:8" x14ac:dyDescent="0.25">
      <c r="A697" t="s">
        <v>1351</v>
      </c>
      <c r="B697">
        <v>44300</v>
      </c>
      <c r="C697" t="s">
        <v>1352</v>
      </c>
      <c r="D697" t="s">
        <v>104</v>
      </c>
      <c r="E697">
        <v>5</v>
      </c>
      <c r="F697">
        <f>INDEX([1]products!$A$1:$G$49,MATCH([1]orders!$D697,[1]products!$A$1:$A$49,0),MATCH([1]orders!K$1,[1]products!$A$1:$G$1,0))</f>
        <v>2.5</v>
      </c>
      <c r="G697">
        <f>INDEX([1]products!$A$1:$G$49,MATCH([1]orders!$D697,[1]products!$A$1:$A$49,0),MATCH([1]orders!L$1,[1]products!$A$1:$G$1,0))</f>
        <v>36.454999999999998</v>
      </c>
      <c r="H697">
        <f t="shared" si="10"/>
        <v>182.27499999999998</v>
      </c>
    </row>
    <row r="698" spans="1:8" x14ac:dyDescent="0.25">
      <c r="A698" t="s">
        <v>1353</v>
      </c>
      <c r="B698">
        <v>43693</v>
      </c>
      <c r="C698" t="s">
        <v>1354</v>
      </c>
      <c r="D698" t="s">
        <v>123</v>
      </c>
      <c r="E698">
        <v>4</v>
      </c>
      <c r="F698">
        <f>INDEX([1]products!$A$1:$G$49,MATCH([1]orders!$D698,[1]products!$A$1:$A$49,0),MATCH([1]orders!K$1,[1]products!$A$1:$G$1,0))</f>
        <v>0.5</v>
      </c>
      <c r="G698">
        <f>INDEX([1]products!$A$1:$G$49,MATCH([1]orders!$D698,[1]products!$A$1:$A$49,0),MATCH([1]orders!L$1,[1]products!$A$1:$G$1,0))</f>
        <v>7.77</v>
      </c>
      <c r="H698">
        <f t="shared" si="10"/>
        <v>31.08</v>
      </c>
    </row>
    <row r="699" spans="1:8" x14ac:dyDescent="0.25">
      <c r="A699" t="s">
        <v>1355</v>
      </c>
      <c r="B699">
        <v>44547</v>
      </c>
      <c r="C699" t="s">
        <v>1356</v>
      </c>
      <c r="D699" t="s">
        <v>67</v>
      </c>
      <c r="E699">
        <v>3</v>
      </c>
      <c r="F699">
        <f>INDEX([1]products!$A$1:$G$49,MATCH([1]orders!$D699,[1]products!$A$1:$A$49,0),MATCH([1]orders!K$1,[1]products!$A$1:$G$1,0))</f>
        <v>0.5</v>
      </c>
      <c r="G699">
        <f>INDEX([1]products!$A$1:$G$49,MATCH([1]orders!$D699,[1]products!$A$1:$A$49,0),MATCH([1]orders!L$1,[1]products!$A$1:$G$1,0))</f>
        <v>6.75</v>
      </c>
      <c r="H699">
        <f t="shared" si="10"/>
        <v>20.25</v>
      </c>
    </row>
    <row r="700" spans="1:8" x14ac:dyDescent="0.25">
      <c r="A700" t="s">
        <v>1357</v>
      </c>
      <c r="B700">
        <v>43830</v>
      </c>
      <c r="C700" t="s">
        <v>1344</v>
      </c>
      <c r="D700" t="s">
        <v>13</v>
      </c>
      <c r="E700">
        <v>2</v>
      </c>
      <c r="F700">
        <f>INDEX([1]products!$A$1:$G$49,MATCH([1]orders!$D700,[1]products!$A$1:$A$49,0),MATCH([1]orders!K$1,[1]products!$A$1:$G$1,0))</f>
        <v>1</v>
      </c>
      <c r="G700">
        <f>INDEX([1]products!$A$1:$G$49,MATCH([1]orders!$D700,[1]products!$A$1:$A$49,0),MATCH([1]orders!L$1,[1]products!$A$1:$G$1,0))</f>
        <v>12.95</v>
      </c>
      <c r="H700">
        <f t="shared" si="10"/>
        <v>25.9</v>
      </c>
    </row>
    <row r="701" spans="1:8" x14ac:dyDescent="0.25">
      <c r="A701" t="s">
        <v>1358</v>
      </c>
      <c r="B701">
        <v>44298</v>
      </c>
      <c r="C701" t="s">
        <v>1359</v>
      </c>
      <c r="D701" t="s">
        <v>72</v>
      </c>
      <c r="E701">
        <v>4</v>
      </c>
      <c r="F701">
        <f>INDEX([1]products!$A$1:$G$49,MATCH([1]orders!$D701,[1]products!$A$1:$A$49,0),MATCH([1]orders!K$1,[1]products!$A$1:$G$1,0))</f>
        <v>0.5</v>
      </c>
      <c r="G701">
        <f>INDEX([1]products!$A$1:$G$49,MATCH([1]orders!$D701,[1]products!$A$1:$A$49,0),MATCH([1]orders!L$1,[1]products!$A$1:$G$1,0))</f>
        <v>5.97</v>
      </c>
      <c r="H701">
        <f t="shared" si="10"/>
        <v>23.88</v>
      </c>
    </row>
    <row r="702" spans="1:8" x14ac:dyDescent="0.25">
      <c r="A702" t="s">
        <v>1360</v>
      </c>
      <c r="B702">
        <v>43736</v>
      </c>
      <c r="C702" t="s">
        <v>1361</v>
      </c>
      <c r="D702" t="s">
        <v>83</v>
      </c>
      <c r="E702">
        <v>2</v>
      </c>
      <c r="F702">
        <f>INDEX([1]products!$A$1:$G$49,MATCH([1]orders!$D702,[1]products!$A$1:$A$49,0),MATCH([1]orders!K$1,[1]products!$A$1:$G$1,0))</f>
        <v>0.5</v>
      </c>
      <c r="G702">
        <f>INDEX([1]products!$A$1:$G$49,MATCH([1]orders!$D702,[1]products!$A$1:$A$49,0),MATCH([1]orders!L$1,[1]products!$A$1:$G$1,0))</f>
        <v>9.51</v>
      </c>
      <c r="H702">
        <f t="shared" si="10"/>
        <v>19.02</v>
      </c>
    </row>
    <row r="703" spans="1:8" x14ac:dyDescent="0.25">
      <c r="A703" t="s">
        <v>1362</v>
      </c>
      <c r="B703">
        <v>44727</v>
      </c>
      <c r="C703" t="s">
        <v>1363</v>
      </c>
      <c r="D703" t="s">
        <v>72</v>
      </c>
      <c r="E703">
        <v>5</v>
      </c>
      <c r="F703">
        <f>INDEX([1]products!$A$1:$G$49,MATCH([1]orders!$D703,[1]products!$A$1:$A$49,0),MATCH([1]orders!K$1,[1]products!$A$1:$G$1,0))</f>
        <v>0.5</v>
      </c>
      <c r="G703">
        <f>INDEX([1]products!$A$1:$G$49,MATCH([1]orders!$D703,[1]products!$A$1:$A$49,0),MATCH([1]orders!L$1,[1]products!$A$1:$G$1,0))</f>
        <v>5.97</v>
      </c>
      <c r="H703">
        <f t="shared" si="10"/>
        <v>29.849999999999998</v>
      </c>
    </row>
    <row r="704" spans="1:8" x14ac:dyDescent="0.25">
      <c r="A704" t="s">
        <v>1364</v>
      </c>
      <c r="B704">
        <v>43661</v>
      </c>
      <c r="C704" t="s">
        <v>1365</v>
      </c>
      <c r="D704" t="s">
        <v>192</v>
      </c>
      <c r="E704">
        <v>1</v>
      </c>
      <c r="F704">
        <f>INDEX([1]products!$A$1:$G$49,MATCH([1]orders!$D704,[1]products!$A$1:$A$49,0),MATCH([1]orders!K$1,[1]products!$A$1:$G$1,0))</f>
        <v>0.5</v>
      </c>
      <c r="G704">
        <f>INDEX([1]products!$A$1:$G$49,MATCH([1]orders!$D704,[1]products!$A$1:$A$49,0),MATCH([1]orders!L$1,[1]products!$A$1:$G$1,0))</f>
        <v>7.77</v>
      </c>
      <c r="H704">
        <f t="shared" si="10"/>
        <v>7.77</v>
      </c>
    </row>
    <row r="705" spans="1:8" x14ac:dyDescent="0.25">
      <c r="A705" t="s">
        <v>1366</v>
      </c>
      <c r="B705">
        <v>43506</v>
      </c>
      <c r="C705" t="s">
        <v>1367</v>
      </c>
      <c r="D705" t="s">
        <v>109</v>
      </c>
      <c r="E705">
        <v>4</v>
      </c>
      <c r="F705">
        <f>INDEX([1]products!$A$1:$G$49,MATCH([1]orders!$D705,[1]products!$A$1:$A$49,0),MATCH([1]orders!K$1,[1]products!$A$1:$G$1,0))</f>
        <v>2.5</v>
      </c>
      <c r="G705">
        <f>INDEX([1]products!$A$1:$G$49,MATCH([1]orders!$D705,[1]products!$A$1:$A$49,0),MATCH([1]orders!L$1,[1]products!$A$1:$G$1,0))</f>
        <v>29.784999999999997</v>
      </c>
      <c r="H705">
        <f t="shared" si="10"/>
        <v>119.13999999999999</v>
      </c>
    </row>
    <row r="706" spans="1:8" x14ac:dyDescent="0.25">
      <c r="A706" t="s">
        <v>1368</v>
      </c>
      <c r="B706">
        <v>44716</v>
      </c>
      <c r="C706" t="s">
        <v>1369</v>
      </c>
      <c r="D706" t="s">
        <v>51</v>
      </c>
      <c r="E706">
        <v>6</v>
      </c>
      <c r="F706">
        <f>INDEX([1]products!$A$1:$G$49,MATCH([1]orders!$D706,[1]products!$A$1:$A$49,0),MATCH([1]orders!K$1,[1]products!$A$1:$G$1,0))</f>
        <v>0.2</v>
      </c>
      <c r="G706">
        <f>INDEX([1]products!$A$1:$G$49,MATCH([1]orders!$D706,[1]products!$A$1:$A$49,0),MATCH([1]orders!L$1,[1]products!$A$1:$G$1,0))</f>
        <v>3.645</v>
      </c>
      <c r="H706">
        <f t="shared" ref="H706:H769" si="11">E706*G706</f>
        <v>21.87</v>
      </c>
    </row>
    <row r="707" spans="1:8" x14ac:dyDescent="0.25">
      <c r="A707" t="s">
        <v>1370</v>
      </c>
      <c r="B707">
        <v>44114</v>
      </c>
      <c r="C707" t="s">
        <v>1371</v>
      </c>
      <c r="D707" t="s">
        <v>176</v>
      </c>
      <c r="E707">
        <v>2</v>
      </c>
      <c r="F707">
        <f>INDEX([1]products!$A$1:$G$49,MATCH([1]orders!$D707,[1]products!$A$1:$A$49,0),MATCH([1]orders!K$1,[1]products!$A$1:$G$1,0))</f>
        <v>0.5</v>
      </c>
      <c r="G707">
        <f>INDEX([1]products!$A$1:$G$49,MATCH([1]orders!$D707,[1]products!$A$1:$A$49,0),MATCH([1]orders!L$1,[1]products!$A$1:$G$1,0))</f>
        <v>8.91</v>
      </c>
      <c r="H707">
        <f t="shared" si="11"/>
        <v>17.82</v>
      </c>
    </row>
    <row r="708" spans="1:8" x14ac:dyDescent="0.25">
      <c r="A708" t="s">
        <v>1372</v>
      </c>
      <c r="B708">
        <v>44353</v>
      </c>
      <c r="C708" t="s">
        <v>1373</v>
      </c>
      <c r="D708" t="s">
        <v>64</v>
      </c>
      <c r="E708">
        <v>3</v>
      </c>
      <c r="F708">
        <f>INDEX([1]products!$A$1:$G$49,MATCH([1]orders!$D708,[1]products!$A$1:$A$49,0),MATCH([1]orders!K$1,[1]products!$A$1:$G$1,0))</f>
        <v>0.2</v>
      </c>
      <c r="G708">
        <f>INDEX([1]products!$A$1:$G$49,MATCH([1]orders!$D708,[1]products!$A$1:$A$49,0),MATCH([1]orders!L$1,[1]products!$A$1:$G$1,0))</f>
        <v>4.125</v>
      </c>
      <c r="H708">
        <f t="shared" si="11"/>
        <v>12.375</v>
      </c>
    </row>
    <row r="709" spans="1:8" x14ac:dyDescent="0.25">
      <c r="A709" t="s">
        <v>1374</v>
      </c>
      <c r="B709">
        <v>43540</v>
      </c>
      <c r="C709" t="s">
        <v>1375</v>
      </c>
      <c r="D709" t="s">
        <v>13</v>
      </c>
      <c r="E709">
        <v>2</v>
      </c>
      <c r="F709">
        <f>INDEX([1]products!$A$1:$G$49,MATCH([1]orders!$D709,[1]products!$A$1:$A$49,0),MATCH([1]orders!K$1,[1]products!$A$1:$G$1,0))</f>
        <v>1</v>
      </c>
      <c r="G709">
        <f>INDEX([1]products!$A$1:$G$49,MATCH([1]orders!$D709,[1]products!$A$1:$A$49,0),MATCH([1]orders!L$1,[1]products!$A$1:$G$1,0))</f>
        <v>12.95</v>
      </c>
      <c r="H709">
        <f t="shared" si="11"/>
        <v>25.9</v>
      </c>
    </row>
    <row r="710" spans="1:8" x14ac:dyDescent="0.25">
      <c r="A710" t="s">
        <v>1376</v>
      </c>
      <c r="B710">
        <v>43804</v>
      </c>
      <c r="C710" t="s">
        <v>1377</v>
      </c>
      <c r="D710" t="s">
        <v>67</v>
      </c>
      <c r="E710">
        <v>2</v>
      </c>
      <c r="F710">
        <f>INDEX([1]products!$A$1:$G$49,MATCH([1]orders!$D710,[1]products!$A$1:$A$49,0),MATCH([1]orders!K$1,[1]products!$A$1:$G$1,0))</f>
        <v>0.5</v>
      </c>
      <c r="G710">
        <f>INDEX([1]products!$A$1:$G$49,MATCH([1]orders!$D710,[1]products!$A$1:$A$49,0),MATCH([1]orders!L$1,[1]products!$A$1:$G$1,0))</f>
        <v>6.75</v>
      </c>
      <c r="H710">
        <f t="shared" si="11"/>
        <v>13.5</v>
      </c>
    </row>
    <row r="711" spans="1:8" x14ac:dyDescent="0.25">
      <c r="A711" t="s">
        <v>1378</v>
      </c>
      <c r="B711">
        <v>43485</v>
      </c>
      <c r="C711" t="s">
        <v>1379</v>
      </c>
      <c r="D711" t="s">
        <v>176</v>
      </c>
      <c r="E711">
        <v>2</v>
      </c>
      <c r="F711">
        <f>INDEX([1]products!$A$1:$G$49,MATCH([1]orders!$D711,[1]products!$A$1:$A$49,0),MATCH([1]orders!K$1,[1]products!$A$1:$G$1,0))</f>
        <v>0.5</v>
      </c>
      <c r="G711">
        <f>INDEX([1]products!$A$1:$G$49,MATCH([1]orders!$D711,[1]products!$A$1:$A$49,0),MATCH([1]orders!L$1,[1]products!$A$1:$G$1,0))</f>
        <v>8.91</v>
      </c>
      <c r="H711">
        <f t="shared" si="11"/>
        <v>17.82</v>
      </c>
    </row>
    <row r="712" spans="1:8" x14ac:dyDescent="0.25">
      <c r="A712" t="s">
        <v>1380</v>
      </c>
      <c r="B712">
        <v>44655</v>
      </c>
      <c r="C712" t="s">
        <v>1381</v>
      </c>
      <c r="D712" t="s">
        <v>3</v>
      </c>
      <c r="E712">
        <v>3</v>
      </c>
      <c r="F712">
        <f>INDEX([1]products!$A$1:$G$49,MATCH([1]orders!$D712,[1]products!$A$1:$A$49,0),MATCH([1]orders!K$1,[1]products!$A$1:$G$1,0))</f>
        <v>0.5</v>
      </c>
      <c r="G712">
        <f>INDEX([1]products!$A$1:$G$49,MATCH([1]orders!$D712,[1]products!$A$1:$A$49,0),MATCH([1]orders!L$1,[1]products!$A$1:$G$1,0))</f>
        <v>8.25</v>
      </c>
      <c r="H712">
        <f t="shared" si="11"/>
        <v>24.75</v>
      </c>
    </row>
    <row r="713" spans="1:8" x14ac:dyDescent="0.25">
      <c r="A713" t="s">
        <v>1382</v>
      </c>
      <c r="B713">
        <v>44600</v>
      </c>
      <c r="C713" t="s">
        <v>1383</v>
      </c>
      <c r="D713" t="s">
        <v>162</v>
      </c>
      <c r="E713">
        <v>6</v>
      </c>
      <c r="F713">
        <f>INDEX([1]products!$A$1:$G$49,MATCH([1]orders!$D713,[1]products!$A$1:$A$49,0),MATCH([1]orders!K$1,[1]products!$A$1:$G$1,0))</f>
        <v>0.2</v>
      </c>
      <c r="G713">
        <f>INDEX([1]products!$A$1:$G$49,MATCH([1]orders!$D713,[1]products!$A$1:$A$49,0),MATCH([1]orders!L$1,[1]products!$A$1:$G$1,0))</f>
        <v>2.9849999999999999</v>
      </c>
      <c r="H713">
        <f t="shared" si="11"/>
        <v>17.91</v>
      </c>
    </row>
    <row r="714" spans="1:8" x14ac:dyDescent="0.25">
      <c r="A714" t="s">
        <v>1384</v>
      </c>
      <c r="B714">
        <v>43646</v>
      </c>
      <c r="C714" t="s">
        <v>1385</v>
      </c>
      <c r="D714" t="s">
        <v>3</v>
      </c>
      <c r="E714">
        <v>2</v>
      </c>
      <c r="F714">
        <f>INDEX([1]products!$A$1:$G$49,MATCH([1]orders!$D714,[1]products!$A$1:$A$49,0),MATCH([1]orders!K$1,[1]products!$A$1:$G$1,0))</f>
        <v>0.5</v>
      </c>
      <c r="G714">
        <f>INDEX([1]products!$A$1:$G$49,MATCH([1]orders!$D714,[1]products!$A$1:$A$49,0),MATCH([1]orders!L$1,[1]products!$A$1:$G$1,0))</f>
        <v>8.25</v>
      </c>
      <c r="H714">
        <f t="shared" si="11"/>
        <v>16.5</v>
      </c>
    </row>
    <row r="715" spans="1:8" x14ac:dyDescent="0.25">
      <c r="A715" t="s">
        <v>1386</v>
      </c>
      <c r="B715">
        <v>43960</v>
      </c>
      <c r="C715" t="s">
        <v>1387</v>
      </c>
      <c r="D715" t="s">
        <v>162</v>
      </c>
      <c r="E715">
        <v>1</v>
      </c>
      <c r="F715">
        <f>INDEX([1]products!$A$1:$G$49,MATCH([1]orders!$D715,[1]products!$A$1:$A$49,0),MATCH([1]orders!K$1,[1]products!$A$1:$G$1,0))</f>
        <v>0.2</v>
      </c>
      <c r="G715">
        <f>INDEX([1]products!$A$1:$G$49,MATCH([1]orders!$D715,[1]products!$A$1:$A$49,0),MATCH([1]orders!L$1,[1]products!$A$1:$G$1,0))</f>
        <v>2.9849999999999999</v>
      </c>
      <c r="H715">
        <f t="shared" si="11"/>
        <v>2.9849999999999999</v>
      </c>
    </row>
    <row r="716" spans="1:8" x14ac:dyDescent="0.25">
      <c r="A716" t="s">
        <v>1388</v>
      </c>
      <c r="B716">
        <v>44358</v>
      </c>
      <c r="C716" t="s">
        <v>1389</v>
      </c>
      <c r="D716" t="s">
        <v>51</v>
      </c>
      <c r="E716">
        <v>4</v>
      </c>
      <c r="F716">
        <f>INDEX([1]products!$A$1:$G$49,MATCH([1]orders!$D716,[1]products!$A$1:$A$49,0),MATCH([1]orders!K$1,[1]products!$A$1:$G$1,0))</f>
        <v>0.2</v>
      </c>
      <c r="G716">
        <f>INDEX([1]products!$A$1:$G$49,MATCH([1]orders!$D716,[1]products!$A$1:$A$49,0),MATCH([1]orders!L$1,[1]products!$A$1:$G$1,0))</f>
        <v>3.645</v>
      </c>
      <c r="H716">
        <f t="shared" si="11"/>
        <v>14.58</v>
      </c>
    </row>
    <row r="717" spans="1:8" x14ac:dyDescent="0.25">
      <c r="A717" t="s">
        <v>1390</v>
      </c>
      <c r="B717">
        <v>44504</v>
      </c>
      <c r="C717" t="s">
        <v>1391</v>
      </c>
      <c r="D717" t="s">
        <v>137</v>
      </c>
      <c r="E717">
        <v>6</v>
      </c>
      <c r="F717">
        <f>INDEX([1]products!$A$1:$G$49,MATCH([1]orders!$D717,[1]products!$A$1:$A$49,0),MATCH([1]orders!K$1,[1]products!$A$1:$G$1,0))</f>
        <v>1</v>
      </c>
      <c r="G717">
        <f>INDEX([1]products!$A$1:$G$49,MATCH([1]orders!$D717,[1]products!$A$1:$A$49,0),MATCH([1]orders!L$1,[1]products!$A$1:$G$1,0))</f>
        <v>14.85</v>
      </c>
      <c r="H717">
        <f t="shared" si="11"/>
        <v>89.1</v>
      </c>
    </row>
    <row r="718" spans="1:8" x14ac:dyDescent="0.25">
      <c r="A718" t="s">
        <v>1392</v>
      </c>
      <c r="B718">
        <v>44612</v>
      </c>
      <c r="C718" t="s">
        <v>1344</v>
      </c>
      <c r="D718" t="s">
        <v>189</v>
      </c>
      <c r="E718">
        <v>3</v>
      </c>
      <c r="F718">
        <f>INDEX([1]products!$A$1:$G$49,MATCH([1]orders!$D718,[1]products!$A$1:$A$49,0),MATCH([1]orders!K$1,[1]products!$A$1:$G$1,0))</f>
        <v>1</v>
      </c>
      <c r="G718">
        <f>INDEX([1]products!$A$1:$G$49,MATCH([1]orders!$D718,[1]products!$A$1:$A$49,0),MATCH([1]orders!L$1,[1]products!$A$1:$G$1,0))</f>
        <v>11.95</v>
      </c>
      <c r="H718">
        <f t="shared" si="11"/>
        <v>35.849999999999994</v>
      </c>
    </row>
    <row r="719" spans="1:8" x14ac:dyDescent="0.25">
      <c r="A719" t="s">
        <v>1393</v>
      </c>
      <c r="B719">
        <v>43649</v>
      </c>
      <c r="C719" t="s">
        <v>1394</v>
      </c>
      <c r="D719" t="s">
        <v>118</v>
      </c>
      <c r="E719">
        <v>3</v>
      </c>
      <c r="F719">
        <f>INDEX([1]products!$A$1:$G$49,MATCH([1]orders!$D719,[1]products!$A$1:$A$49,0),MATCH([1]orders!K$1,[1]products!$A$1:$G$1,0))</f>
        <v>2.5</v>
      </c>
      <c r="G719">
        <f>INDEX([1]products!$A$1:$G$49,MATCH([1]orders!$D719,[1]products!$A$1:$A$49,0),MATCH([1]orders!L$1,[1]products!$A$1:$G$1,0))</f>
        <v>22.884999999999998</v>
      </c>
      <c r="H719">
        <f t="shared" si="11"/>
        <v>68.655000000000001</v>
      </c>
    </row>
    <row r="720" spans="1:8" x14ac:dyDescent="0.25">
      <c r="A720" t="s">
        <v>1395</v>
      </c>
      <c r="B720">
        <v>44348</v>
      </c>
      <c r="C720" t="s">
        <v>1396</v>
      </c>
      <c r="D720" t="s">
        <v>13</v>
      </c>
      <c r="E720">
        <v>3</v>
      </c>
      <c r="F720">
        <f>INDEX([1]products!$A$1:$G$49,MATCH([1]orders!$D720,[1]products!$A$1:$A$49,0),MATCH([1]orders!K$1,[1]products!$A$1:$G$1,0))</f>
        <v>1</v>
      </c>
      <c r="G720">
        <f>INDEX([1]products!$A$1:$G$49,MATCH([1]orders!$D720,[1]products!$A$1:$A$49,0),MATCH([1]orders!L$1,[1]products!$A$1:$G$1,0))</f>
        <v>12.95</v>
      </c>
      <c r="H720">
        <f t="shared" si="11"/>
        <v>38.849999999999994</v>
      </c>
    </row>
    <row r="721" spans="1:8" x14ac:dyDescent="0.25">
      <c r="A721" t="s">
        <v>1397</v>
      </c>
      <c r="B721">
        <v>44150</v>
      </c>
      <c r="C721" t="s">
        <v>1398</v>
      </c>
      <c r="D721" t="s">
        <v>132</v>
      </c>
      <c r="E721">
        <v>5</v>
      </c>
      <c r="F721">
        <f>INDEX([1]products!$A$1:$G$49,MATCH([1]orders!$D721,[1]products!$A$1:$A$49,0),MATCH([1]orders!K$1,[1]products!$A$1:$G$1,0))</f>
        <v>1</v>
      </c>
      <c r="G721">
        <f>INDEX([1]products!$A$1:$G$49,MATCH([1]orders!$D721,[1]products!$A$1:$A$49,0),MATCH([1]orders!L$1,[1]products!$A$1:$G$1,0))</f>
        <v>15.85</v>
      </c>
      <c r="H721">
        <f t="shared" si="11"/>
        <v>79.25</v>
      </c>
    </row>
    <row r="722" spans="1:8" x14ac:dyDescent="0.25">
      <c r="A722" t="s">
        <v>1399</v>
      </c>
      <c r="B722">
        <v>44215</v>
      </c>
      <c r="C722" t="s">
        <v>1400</v>
      </c>
      <c r="D722" t="s">
        <v>16</v>
      </c>
      <c r="E722">
        <v>5</v>
      </c>
      <c r="F722">
        <f>INDEX([1]products!$A$1:$G$49,MATCH([1]orders!$D722,[1]products!$A$1:$A$49,0),MATCH([1]orders!K$1,[1]products!$A$1:$G$1,0))</f>
        <v>0.5</v>
      </c>
      <c r="G722">
        <f>INDEX([1]products!$A$1:$G$49,MATCH([1]orders!$D722,[1]products!$A$1:$A$49,0),MATCH([1]orders!L$1,[1]products!$A$1:$G$1,0))</f>
        <v>7.29</v>
      </c>
      <c r="H722">
        <f t="shared" si="11"/>
        <v>36.450000000000003</v>
      </c>
    </row>
    <row r="723" spans="1:8" x14ac:dyDescent="0.25">
      <c r="A723" t="s">
        <v>1401</v>
      </c>
      <c r="B723">
        <v>44479</v>
      </c>
      <c r="C723" t="s">
        <v>1402</v>
      </c>
      <c r="D723" t="s">
        <v>162</v>
      </c>
      <c r="E723">
        <v>3</v>
      </c>
      <c r="F723">
        <f>INDEX([1]products!$A$1:$G$49,MATCH([1]orders!$D723,[1]products!$A$1:$A$49,0),MATCH([1]orders!K$1,[1]products!$A$1:$G$1,0))</f>
        <v>0.2</v>
      </c>
      <c r="G723">
        <f>INDEX([1]products!$A$1:$G$49,MATCH([1]orders!$D723,[1]products!$A$1:$A$49,0),MATCH([1]orders!L$1,[1]products!$A$1:$G$1,0))</f>
        <v>2.9849999999999999</v>
      </c>
      <c r="H723">
        <f t="shared" si="11"/>
        <v>8.9550000000000001</v>
      </c>
    </row>
    <row r="724" spans="1:8" x14ac:dyDescent="0.25">
      <c r="A724" t="s">
        <v>1403</v>
      </c>
      <c r="B724">
        <v>44620</v>
      </c>
      <c r="C724" t="s">
        <v>1404</v>
      </c>
      <c r="D724" t="s">
        <v>245</v>
      </c>
      <c r="E724">
        <v>2</v>
      </c>
      <c r="F724">
        <f>INDEX([1]products!$A$1:$G$49,MATCH([1]orders!$D724,[1]products!$A$1:$A$49,0),MATCH([1]orders!K$1,[1]products!$A$1:$G$1,0))</f>
        <v>1</v>
      </c>
      <c r="G724">
        <f>INDEX([1]products!$A$1:$G$49,MATCH([1]orders!$D724,[1]products!$A$1:$A$49,0),MATCH([1]orders!L$1,[1]products!$A$1:$G$1,0))</f>
        <v>12.15</v>
      </c>
      <c r="H724">
        <f t="shared" si="11"/>
        <v>24.3</v>
      </c>
    </row>
    <row r="725" spans="1:8" x14ac:dyDescent="0.25">
      <c r="A725" t="s">
        <v>1405</v>
      </c>
      <c r="B725">
        <v>44470</v>
      </c>
      <c r="C725" t="s">
        <v>1406</v>
      </c>
      <c r="D725" t="s">
        <v>112</v>
      </c>
      <c r="E725">
        <v>2</v>
      </c>
      <c r="F725">
        <f>INDEX([1]products!$A$1:$G$49,MATCH([1]orders!$D725,[1]products!$A$1:$A$49,0),MATCH([1]orders!K$1,[1]products!$A$1:$G$1,0))</f>
        <v>2.5</v>
      </c>
      <c r="G725">
        <f>INDEX([1]products!$A$1:$G$49,MATCH([1]orders!$D725,[1]products!$A$1:$A$49,0),MATCH([1]orders!L$1,[1]products!$A$1:$G$1,0))</f>
        <v>31.624999999999996</v>
      </c>
      <c r="H725">
        <f t="shared" si="11"/>
        <v>63.249999999999993</v>
      </c>
    </row>
    <row r="726" spans="1:8" x14ac:dyDescent="0.25">
      <c r="A726" t="s">
        <v>1407</v>
      </c>
      <c r="B726">
        <v>44076</v>
      </c>
      <c r="C726" t="s">
        <v>1408</v>
      </c>
      <c r="D726" t="s">
        <v>44</v>
      </c>
      <c r="E726">
        <v>2</v>
      </c>
      <c r="F726">
        <f>INDEX([1]products!$A$1:$G$49,MATCH([1]orders!$D726,[1]products!$A$1:$A$49,0),MATCH([1]orders!K$1,[1]products!$A$1:$G$1,0))</f>
        <v>0.2</v>
      </c>
      <c r="G726">
        <f>INDEX([1]products!$A$1:$G$49,MATCH([1]orders!$D726,[1]products!$A$1:$A$49,0),MATCH([1]orders!L$1,[1]products!$A$1:$G$1,0))</f>
        <v>3.375</v>
      </c>
      <c r="H726">
        <f t="shared" si="11"/>
        <v>6.75</v>
      </c>
    </row>
    <row r="727" spans="1:8" x14ac:dyDescent="0.25">
      <c r="A727" t="s">
        <v>1409</v>
      </c>
      <c r="B727">
        <v>44043</v>
      </c>
      <c r="C727" t="s">
        <v>1410</v>
      </c>
      <c r="D727" t="s">
        <v>115</v>
      </c>
      <c r="E727">
        <v>6</v>
      </c>
      <c r="F727">
        <f>INDEX([1]products!$A$1:$G$49,MATCH([1]orders!$D727,[1]products!$A$1:$A$49,0),MATCH([1]orders!K$1,[1]products!$A$1:$G$1,0))</f>
        <v>0.2</v>
      </c>
      <c r="G727">
        <f>INDEX([1]products!$A$1:$G$49,MATCH([1]orders!$D727,[1]products!$A$1:$A$49,0),MATCH([1]orders!L$1,[1]products!$A$1:$G$1,0))</f>
        <v>3.8849999999999998</v>
      </c>
      <c r="H727">
        <f t="shared" si="11"/>
        <v>23.31</v>
      </c>
    </row>
    <row r="728" spans="1:8" x14ac:dyDescent="0.25">
      <c r="A728" t="s">
        <v>1411</v>
      </c>
      <c r="B728">
        <v>44571</v>
      </c>
      <c r="C728" t="s">
        <v>1412</v>
      </c>
      <c r="D728" t="s">
        <v>104</v>
      </c>
      <c r="E728">
        <v>4</v>
      </c>
      <c r="F728">
        <f>INDEX([1]products!$A$1:$G$49,MATCH([1]orders!$D728,[1]products!$A$1:$A$49,0),MATCH([1]orders!K$1,[1]products!$A$1:$G$1,0))</f>
        <v>2.5</v>
      </c>
      <c r="G728">
        <f>INDEX([1]products!$A$1:$G$49,MATCH([1]orders!$D728,[1]products!$A$1:$A$49,0),MATCH([1]orders!L$1,[1]products!$A$1:$G$1,0))</f>
        <v>36.454999999999998</v>
      </c>
      <c r="H728">
        <f t="shared" si="11"/>
        <v>145.82</v>
      </c>
    </row>
    <row r="729" spans="1:8" x14ac:dyDescent="0.25">
      <c r="A729" t="s">
        <v>1413</v>
      </c>
      <c r="B729">
        <v>44264</v>
      </c>
      <c r="C729" t="s">
        <v>1414</v>
      </c>
      <c r="D729" t="s">
        <v>22</v>
      </c>
      <c r="E729">
        <v>5</v>
      </c>
      <c r="F729">
        <f>INDEX([1]products!$A$1:$G$49,MATCH([1]orders!$D729,[1]products!$A$1:$A$49,0),MATCH([1]orders!K$1,[1]products!$A$1:$G$1,0))</f>
        <v>0.5</v>
      </c>
      <c r="G729">
        <f>INDEX([1]products!$A$1:$G$49,MATCH([1]orders!$D729,[1]products!$A$1:$A$49,0),MATCH([1]orders!L$1,[1]products!$A$1:$G$1,0))</f>
        <v>5.97</v>
      </c>
      <c r="H729">
        <f t="shared" si="11"/>
        <v>29.849999999999998</v>
      </c>
    </row>
    <row r="730" spans="1:8" x14ac:dyDescent="0.25">
      <c r="A730" t="s">
        <v>1415</v>
      </c>
      <c r="B730">
        <v>44155</v>
      </c>
      <c r="C730" t="s">
        <v>1416</v>
      </c>
      <c r="D730" t="s">
        <v>16</v>
      </c>
      <c r="E730">
        <v>3</v>
      </c>
      <c r="F730">
        <f>INDEX([1]products!$A$1:$G$49,MATCH([1]orders!$D730,[1]products!$A$1:$A$49,0),MATCH([1]orders!K$1,[1]products!$A$1:$G$1,0))</f>
        <v>0.5</v>
      </c>
      <c r="G730">
        <f>INDEX([1]products!$A$1:$G$49,MATCH([1]orders!$D730,[1]products!$A$1:$A$49,0),MATCH([1]orders!L$1,[1]products!$A$1:$G$1,0))</f>
        <v>7.29</v>
      </c>
      <c r="H730">
        <f t="shared" si="11"/>
        <v>21.87</v>
      </c>
    </row>
    <row r="731" spans="1:8" x14ac:dyDescent="0.25">
      <c r="A731" t="s">
        <v>1417</v>
      </c>
      <c r="B731">
        <v>44634</v>
      </c>
      <c r="C731" t="s">
        <v>1418</v>
      </c>
      <c r="D731" t="s">
        <v>77</v>
      </c>
      <c r="E731">
        <v>1</v>
      </c>
      <c r="F731">
        <f>INDEX([1]products!$A$1:$G$49,MATCH([1]orders!$D731,[1]products!$A$1:$A$49,0),MATCH([1]orders!K$1,[1]products!$A$1:$G$1,0))</f>
        <v>0.2</v>
      </c>
      <c r="G731">
        <f>INDEX([1]products!$A$1:$G$49,MATCH([1]orders!$D731,[1]products!$A$1:$A$49,0),MATCH([1]orders!L$1,[1]products!$A$1:$G$1,0))</f>
        <v>4.3650000000000002</v>
      </c>
      <c r="H731">
        <f t="shared" si="11"/>
        <v>4.3650000000000002</v>
      </c>
    </row>
    <row r="732" spans="1:8" x14ac:dyDescent="0.25">
      <c r="A732" t="s">
        <v>1419</v>
      </c>
      <c r="B732">
        <v>43475</v>
      </c>
      <c r="C732" t="s">
        <v>1420</v>
      </c>
      <c r="D732" t="s">
        <v>104</v>
      </c>
      <c r="E732">
        <v>1</v>
      </c>
      <c r="F732">
        <f>INDEX([1]products!$A$1:$G$49,MATCH([1]orders!$D732,[1]products!$A$1:$A$49,0),MATCH([1]orders!K$1,[1]products!$A$1:$G$1,0))</f>
        <v>2.5</v>
      </c>
      <c r="G732">
        <f>INDEX([1]products!$A$1:$G$49,MATCH([1]orders!$D732,[1]products!$A$1:$A$49,0),MATCH([1]orders!L$1,[1]products!$A$1:$G$1,0))</f>
        <v>36.454999999999998</v>
      </c>
      <c r="H732">
        <f t="shared" si="11"/>
        <v>36.454999999999998</v>
      </c>
    </row>
    <row r="733" spans="1:8" x14ac:dyDescent="0.25">
      <c r="A733" t="s">
        <v>1421</v>
      </c>
      <c r="B733">
        <v>44222</v>
      </c>
      <c r="C733" t="s">
        <v>1422</v>
      </c>
      <c r="D733" t="s">
        <v>38</v>
      </c>
      <c r="E733">
        <v>4</v>
      </c>
      <c r="F733">
        <f>INDEX([1]products!$A$1:$G$49,MATCH([1]orders!$D733,[1]products!$A$1:$A$49,0),MATCH([1]orders!K$1,[1]products!$A$1:$G$1,0))</f>
        <v>0.2</v>
      </c>
      <c r="G733">
        <f>INDEX([1]products!$A$1:$G$49,MATCH([1]orders!$D733,[1]products!$A$1:$A$49,0),MATCH([1]orders!L$1,[1]products!$A$1:$G$1,0))</f>
        <v>3.8849999999999998</v>
      </c>
      <c r="H733">
        <f t="shared" si="11"/>
        <v>15.54</v>
      </c>
    </row>
    <row r="734" spans="1:8" x14ac:dyDescent="0.25">
      <c r="A734" t="s">
        <v>1423</v>
      </c>
      <c r="B734">
        <v>44312</v>
      </c>
      <c r="C734" t="s">
        <v>1424</v>
      </c>
      <c r="D734" t="s">
        <v>254</v>
      </c>
      <c r="E734">
        <v>2</v>
      </c>
      <c r="F734">
        <f>INDEX([1]products!$A$1:$G$49,MATCH([1]orders!$D734,[1]products!$A$1:$A$49,0),MATCH([1]orders!K$1,[1]products!$A$1:$G$1,0))</f>
        <v>0.2</v>
      </c>
      <c r="G734">
        <f>INDEX([1]products!$A$1:$G$49,MATCH([1]orders!$D734,[1]products!$A$1:$A$49,0),MATCH([1]orders!L$1,[1]products!$A$1:$G$1,0))</f>
        <v>4.4550000000000001</v>
      </c>
      <c r="H734">
        <f t="shared" si="11"/>
        <v>8.91</v>
      </c>
    </row>
    <row r="735" spans="1:8" x14ac:dyDescent="0.25">
      <c r="A735" t="s">
        <v>1425</v>
      </c>
      <c r="B735">
        <v>44565</v>
      </c>
      <c r="C735" t="s">
        <v>1426</v>
      </c>
      <c r="D735" t="s">
        <v>197</v>
      </c>
      <c r="E735">
        <v>3</v>
      </c>
      <c r="F735">
        <f>INDEX([1]products!$A$1:$G$49,MATCH([1]orders!$D735,[1]products!$A$1:$A$49,0),MATCH([1]orders!K$1,[1]products!$A$1:$G$1,0))</f>
        <v>2.5</v>
      </c>
      <c r="G735">
        <f>INDEX([1]products!$A$1:$G$49,MATCH([1]orders!$D735,[1]products!$A$1:$A$49,0),MATCH([1]orders!L$1,[1]products!$A$1:$G$1,0))</f>
        <v>33.464999999999996</v>
      </c>
      <c r="H735">
        <f t="shared" si="11"/>
        <v>100.39499999999998</v>
      </c>
    </row>
    <row r="736" spans="1:8" x14ac:dyDescent="0.25">
      <c r="A736" t="s">
        <v>1427</v>
      </c>
      <c r="B736">
        <v>43697</v>
      </c>
      <c r="C736" t="s">
        <v>1428</v>
      </c>
      <c r="D736" t="s">
        <v>101</v>
      </c>
      <c r="E736">
        <v>5</v>
      </c>
      <c r="F736">
        <f>INDEX([1]products!$A$1:$G$49,MATCH([1]orders!$D736,[1]products!$A$1:$A$49,0),MATCH([1]orders!K$1,[1]products!$A$1:$G$1,0))</f>
        <v>0.2</v>
      </c>
      <c r="G736">
        <f>INDEX([1]products!$A$1:$G$49,MATCH([1]orders!$D736,[1]products!$A$1:$A$49,0),MATCH([1]orders!L$1,[1]products!$A$1:$G$1,0))</f>
        <v>2.6849999999999996</v>
      </c>
      <c r="H736">
        <f t="shared" si="11"/>
        <v>13.424999999999997</v>
      </c>
    </row>
    <row r="737" spans="1:8" x14ac:dyDescent="0.25">
      <c r="A737" t="s">
        <v>1429</v>
      </c>
      <c r="B737">
        <v>44757</v>
      </c>
      <c r="C737" t="s">
        <v>1430</v>
      </c>
      <c r="D737" t="s">
        <v>51</v>
      </c>
      <c r="E737">
        <v>6</v>
      </c>
      <c r="F737">
        <f>INDEX([1]products!$A$1:$G$49,MATCH([1]orders!$D737,[1]products!$A$1:$A$49,0),MATCH([1]orders!K$1,[1]products!$A$1:$G$1,0))</f>
        <v>0.2</v>
      </c>
      <c r="G737">
        <f>INDEX([1]products!$A$1:$G$49,MATCH([1]orders!$D737,[1]products!$A$1:$A$49,0),MATCH([1]orders!L$1,[1]products!$A$1:$G$1,0))</f>
        <v>3.645</v>
      </c>
      <c r="H737">
        <f t="shared" si="11"/>
        <v>21.87</v>
      </c>
    </row>
    <row r="738" spans="1:8" x14ac:dyDescent="0.25">
      <c r="A738" t="s">
        <v>1431</v>
      </c>
      <c r="B738">
        <v>43508</v>
      </c>
      <c r="C738" t="s">
        <v>1432</v>
      </c>
      <c r="D738" t="s">
        <v>13</v>
      </c>
      <c r="E738">
        <v>2</v>
      </c>
      <c r="F738">
        <f>INDEX([1]products!$A$1:$G$49,MATCH([1]orders!$D738,[1]products!$A$1:$A$49,0),MATCH([1]orders!K$1,[1]products!$A$1:$G$1,0))</f>
        <v>1</v>
      </c>
      <c r="G738">
        <f>INDEX([1]products!$A$1:$G$49,MATCH([1]orders!$D738,[1]products!$A$1:$A$49,0),MATCH([1]orders!L$1,[1]products!$A$1:$G$1,0))</f>
        <v>12.95</v>
      </c>
      <c r="H738">
        <f t="shared" si="11"/>
        <v>25.9</v>
      </c>
    </row>
    <row r="739" spans="1:8" x14ac:dyDescent="0.25">
      <c r="A739" t="s">
        <v>1433</v>
      </c>
      <c r="B739">
        <v>44447</v>
      </c>
      <c r="C739" t="s">
        <v>1434</v>
      </c>
      <c r="D739" t="s">
        <v>61</v>
      </c>
      <c r="E739">
        <v>5</v>
      </c>
      <c r="F739">
        <f>INDEX([1]products!$A$1:$G$49,MATCH([1]orders!$D739,[1]products!$A$1:$A$49,0),MATCH([1]orders!K$1,[1]products!$A$1:$G$1,0))</f>
        <v>1</v>
      </c>
      <c r="G739">
        <f>INDEX([1]products!$A$1:$G$49,MATCH([1]orders!$D739,[1]products!$A$1:$A$49,0),MATCH([1]orders!L$1,[1]products!$A$1:$G$1,0))</f>
        <v>11.25</v>
      </c>
      <c r="H739">
        <f t="shared" si="11"/>
        <v>56.25</v>
      </c>
    </row>
    <row r="740" spans="1:8" x14ac:dyDescent="0.25">
      <c r="A740" t="s">
        <v>1435</v>
      </c>
      <c r="B740">
        <v>43812</v>
      </c>
      <c r="C740" t="s">
        <v>1436</v>
      </c>
      <c r="D740" t="s">
        <v>182</v>
      </c>
      <c r="E740">
        <v>3</v>
      </c>
      <c r="F740">
        <f>INDEX([1]products!$A$1:$G$49,MATCH([1]orders!$D740,[1]products!$A$1:$A$49,0),MATCH([1]orders!K$1,[1]products!$A$1:$G$1,0))</f>
        <v>0.2</v>
      </c>
      <c r="G740">
        <f>INDEX([1]products!$A$1:$G$49,MATCH([1]orders!$D740,[1]products!$A$1:$A$49,0),MATCH([1]orders!L$1,[1]products!$A$1:$G$1,0))</f>
        <v>3.5849999999999995</v>
      </c>
      <c r="H740">
        <f t="shared" si="11"/>
        <v>10.754999999999999</v>
      </c>
    </row>
    <row r="741" spans="1:8" x14ac:dyDescent="0.25">
      <c r="A741" t="s">
        <v>1437</v>
      </c>
      <c r="B741">
        <v>44433</v>
      </c>
      <c r="C741" t="s">
        <v>1344</v>
      </c>
      <c r="D741" t="s">
        <v>51</v>
      </c>
      <c r="E741">
        <v>5</v>
      </c>
      <c r="F741">
        <f>INDEX([1]products!$A$1:$G$49,MATCH([1]orders!$D741,[1]products!$A$1:$A$49,0),MATCH([1]orders!K$1,[1]products!$A$1:$G$1,0))</f>
        <v>0.2</v>
      </c>
      <c r="G741">
        <f>INDEX([1]products!$A$1:$G$49,MATCH([1]orders!$D741,[1]products!$A$1:$A$49,0),MATCH([1]orders!L$1,[1]products!$A$1:$G$1,0))</f>
        <v>3.645</v>
      </c>
      <c r="H741">
        <f t="shared" si="11"/>
        <v>18.225000000000001</v>
      </c>
    </row>
    <row r="742" spans="1:8" x14ac:dyDescent="0.25">
      <c r="A742" t="s">
        <v>1438</v>
      </c>
      <c r="B742">
        <v>44643</v>
      </c>
      <c r="C742" t="s">
        <v>1439</v>
      </c>
      <c r="D742" t="s">
        <v>157</v>
      </c>
      <c r="E742">
        <v>4</v>
      </c>
      <c r="F742">
        <f>INDEX([1]products!$A$1:$G$49,MATCH([1]orders!$D742,[1]products!$A$1:$A$49,0),MATCH([1]orders!K$1,[1]products!$A$1:$G$1,0))</f>
        <v>0.5</v>
      </c>
      <c r="G742">
        <f>INDEX([1]products!$A$1:$G$49,MATCH([1]orders!$D742,[1]products!$A$1:$A$49,0),MATCH([1]orders!L$1,[1]products!$A$1:$G$1,0))</f>
        <v>7.169999999999999</v>
      </c>
      <c r="H742">
        <f t="shared" si="11"/>
        <v>28.679999999999996</v>
      </c>
    </row>
    <row r="743" spans="1:8" x14ac:dyDescent="0.25">
      <c r="A743" t="s">
        <v>1440</v>
      </c>
      <c r="B743">
        <v>43566</v>
      </c>
      <c r="C743" t="s">
        <v>1441</v>
      </c>
      <c r="D743" t="s">
        <v>77</v>
      </c>
      <c r="E743">
        <v>2</v>
      </c>
      <c r="F743">
        <f>INDEX([1]products!$A$1:$G$49,MATCH([1]orders!$D743,[1]products!$A$1:$A$49,0),MATCH([1]orders!K$1,[1]products!$A$1:$G$1,0))</f>
        <v>0.2</v>
      </c>
      <c r="G743">
        <f>INDEX([1]products!$A$1:$G$49,MATCH([1]orders!$D743,[1]products!$A$1:$A$49,0),MATCH([1]orders!L$1,[1]products!$A$1:$G$1,0))</f>
        <v>4.3650000000000002</v>
      </c>
      <c r="H743">
        <f t="shared" si="11"/>
        <v>8.73</v>
      </c>
    </row>
    <row r="744" spans="1:8" x14ac:dyDescent="0.25">
      <c r="A744" t="s">
        <v>1442</v>
      </c>
      <c r="B744">
        <v>44133</v>
      </c>
      <c r="C744" t="s">
        <v>1443</v>
      </c>
      <c r="D744" t="s">
        <v>96</v>
      </c>
      <c r="E744">
        <v>4</v>
      </c>
      <c r="F744">
        <f>INDEX([1]products!$A$1:$G$49,MATCH([1]orders!$D744,[1]products!$A$1:$A$49,0),MATCH([1]orders!K$1,[1]products!$A$1:$G$1,0))</f>
        <v>1</v>
      </c>
      <c r="G744">
        <f>INDEX([1]products!$A$1:$G$49,MATCH([1]orders!$D744,[1]products!$A$1:$A$49,0),MATCH([1]orders!L$1,[1]products!$A$1:$G$1,0))</f>
        <v>14.55</v>
      </c>
      <c r="H744">
        <f t="shared" si="11"/>
        <v>58.2</v>
      </c>
    </row>
    <row r="745" spans="1:8" x14ac:dyDescent="0.25">
      <c r="A745" t="s">
        <v>1444</v>
      </c>
      <c r="B745">
        <v>44042</v>
      </c>
      <c r="C745" t="s">
        <v>1445</v>
      </c>
      <c r="D745" t="s">
        <v>72</v>
      </c>
      <c r="E745">
        <v>3</v>
      </c>
      <c r="F745">
        <f>INDEX([1]products!$A$1:$G$49,MATCH([1]orders!$D745,[1]products!$A$1:$A$49,0),MATCH([1]orders!K$1,[1]products!$A$1:$G$1,0))</f>
        <v>0.5</v>
      </c>
      <c r="G745">
        <f>INDEX([1]products!$A$1:$G$49,MATCH([1]orders!$D745,[1]products!$A$1:$A$49,0),MATCH([1]orders!L$1,[1]products!$A$1:$G$1,0))</f>
        <v>5.97</v>
      </c>
      <c r="H745">
        <f t="shared" si="11"/>
        <v>17.91</v>
      </c>
    </row>
    <row r="746" spans="1:8" x14ac:dyDescent="0.25">
      <c r="A746" t="s">
        <v>1446</v>
      </c>
      <c r="B746">
        <v>43539</v>
      </c>
      <c r="C746" t="s">
        <v>1447</v>
      </c>
      <c r="D746" t="s">
        <v>162</v>
      </c>
      <c r="E746">
        <v>6</v>
      </c>
      <c r="F746">
        <f>INDEX([1]products!$A$1:$G$49,MATCH([1]orders!$D746,[1]products!$A$1:$A$49,0),MATCH([1]orders!K$1,[1]products!$A$1:$G$1,0))</f>
        <v>0.2</v>
      </c>
      <c r="G746">
        <f>INDEX([1]products!$A$1:$G$49,MATCH([1]orders!$D746,[1]products!$A$1:$A$49,0),MATCH([1]orders!L$1,[1]products!$A$1:$G$1,0))</f>
        <v>2.9849999999999999</v>
      </c>
      <c r="H746">
        <f t="shared" si="11"/>
        <v>17.91</v>
      </c>
    </row>
    <row r="747" spans="1:8" x14ac:dyDescent="0.25">
      <c r="A747" t="s">
        <v>1448</v>
      </c>
      <c r="B747">
        <v>44557</v>
      </c>
      <c r="C747" t="s">
        <v>1449</v>
      </c>
      <c r="D747" t="s">
        <v>16</v>
      </c>
      <c r="E747">
        <v>2</v>
      </c>
      <c r="F747">
        <f>INDEX([1]products!$A$1:$G$49,MATCH([1]orders!$D747,[1]products!$A$1:$A$49,0),MATCH([1]orders!K$1,[1]products!$A$1:$G$1,0))</f>
        <v>0.5</v>
      </c>
      <c r="G747">
        <f>INDEX([1]products!$A$1:$G$49,MATCH([1]orders!$D747,[1]products!$A$1:$A$49,0),MATCH([1]orders!L$1,[1]products!$A$1:$G$1,0))</f>
        <v>7.29</v>
      </c>
      <c r="H747">
        <f t="shared" si="11"/>
        <v>14.58</v>
      </c>
    </row>
    <row r="748" spans="1:8" x14ac:dyDescent="0.25">
      <c r="A748" t="s">
        <v>1450</v>
      </c>
      <c r="B748">
        <v>43741</v>
      </c>
      <c r="C748" t="s">
        <v>1451</v>
      </c>
      <c r="D748" t="s">
        <v>61</v>
      </c>
      <c r="E748">
        <v>3</v>
      </c>
      <c r="F748">
        <f>INDEX([1]products!$A$1:$G$49,MATCH([1]orders!$D748,[1]products!$A$1:$A$49,0),MATCH([1]orders!K$1,[1]products!$A$1:$G$1,0))</f>
        <v>1</v>
      </c>
      <c r="G748">
        <f>INDEX([1]products!$A$1:$G$49,MATCH([1]orders!$D748,[1]products!$A$1:$A$49,0),MATCH([1]orders!L$1,[1]products!$A$1:$G$1,0))</f>
        <v>11.25</v>
      </c>
      <c r="H748">
        <f t="shared" si="11"/>
        <v>33.75</v>
      </c>
    </row>
    <row r="749" spans="1:8" x14ac:dyDescent="0.25">
      <c r="A749" t="s">
        <v>1452</v>
      </c>
      <c r="B749">
        <v>43501</v>
      </c>
      <c r="C749" t="s">
        <v>1453</v>
      </c>
      <c r="D749" t="s">
        <v>78</v>
      </c>
      <c r="E749">
        <v>4</v>
      </c>
      <c r="F749">
        <f>INDEX([1]products!$A$1:$G$49,MATCH([1]orders!$D749,[1]products!$A$1:$A$49,0),MATCH([1]orders!K$1,[1]products!$A$1:$G$1,0))</f>
        <v>0.5</v>
      </c>
      <c r="G749">
        <f>INDEX([1]products!$A$1:$G$49,MATCH([1]orders!$D749,[1]products!$A$1:$A$49,0),MATCH([1]orders!L$1,[1]products!$A$1:$G$1,0))</f>
        <v>8.73</v>
      </c>
      <c r="H749">
        <f t="shared" si="11"/>
        <v>34.92</v>
      </c>
    </row>
    <row r="750" spans="1:8" x14ac:dyDescent="0.25">
      <c r="A750" t="s">
        <v>1454</v>
      </c>
      <c r="B750">
        <v>44074</v>
      </c>
      <c r="C750" t="s">
        <v>1455</v>
      </c>
      <c r="D750" t="s">
        <v>16</v>
      </c>
      <c r="E750">
        <v>2</v>
      </c>
      <c r="F750">
        <f>INDEX([1]products!$A$1:$G$49,MATCH([1]orders!$D750,[1]products!$A$1:$A$49,0),MATCH([1]orders!K$1,[1]products!$A$1:$G$1,0))</f>
        <v>0.5</v>
      </c>
      <c r="G750">
        <f>INDEX([1]products!$A$1:$G$49,MATCH([1]orders!$D750,[1]products!$A$1:$A$49,0),MATCH([1]orders!L$1,[1]products!$A$1:$G$1,0))</f>
        <v>7.29</v>
      </c>
      <c r="H750">
        <f t="shared" si="11"/>
        <v>14.58</v>
      </c>
    </row>
    <row r="751" spans="1:8" x14ac:dyDescent="0.25">
      <c r="A751" t="s">
        <v>1456</v>
      </c>
      <c r="B751">
        <v>44209</v>
      </c>
      <c r="C751" t="s">
        <v>1457</v>
      </c>
      <c r="D751" t="s">
        <v>101</v>
      </c>
      <c r="E751">
        <v>2</v>
      </c>
      <c r="F751">
        <f>INDEX([1]products!$A$1:$G$49,MATCH([1]orders!$D751,[1]products!$A$1:$A$49,0),MATCH([1]orders!K$1,[1]products!$A$1:$G$1,0))</f>
        <v>0.2</v>
      </c>
      <c r="G751">
        <f>INDEX([1]products!$A$1:$G$49,MATCH([1]orders!$D751,[1]products!$A$1:$A$49,0),MATCH([1]orders!L$1,[1]products!$A$1:$G$1,0))</f>
        <v>2.6849999999999996</v>
      </c>
      <c r="H751">
        <f t="shared" si="11"/>
        <v>5.3699999999999992</v>
      </c>
    </row>
    <row r="752" spans="1:8" x14ac:dyDescent="0.25">
      <c r="A752" t="s">
        <v>1458</v>
      </c>
      <c r="B752">
        <v>44277</v>
      </c>
      <c r="C752" t="s">
        <v>1459</v>
      </c>
      <c r="D752" t="s">
        <v>22</v>
      </c>
      <c r="E752">
        <v>1</v>
      </c>
      <c r="F752">
        <f>INDEX([1]products!$A$1:$G$49,MATCH([1]orders!$D752,[1]products!$A$1:$A$49,0),MATCH([1]orders!K$1,[1]products!$A$1:$G$1,0))</f>
        <v>0.5</v>
      </c>
      <c r="G752">
        <f>INDEX([1]products!$A$1:$G$49,MATCH([1]orders!$D752,[1]products!$A$1:$A$49,0),MATCH([1]orders!L$1,[1]products!$A$1:$G$1,0))</f>
        <v>5.97</v>
      </c>
      <c r="H752">
        <f t="shared" si="11"/>
        <v>5.97</v>
      </c>
    </row>
    <row r="753" spans="1:8" x14ac:dyDescent="0.25">
      <c r="A753" t="s">
        <v>1460</v>
      </c>
      <c r="B753">
        <v>43847</v>
      </c>
      <c r="C753" t="s">
        <v>1461</v>
      </c>
      <c r="D753" t="s">
        <v>83</v>
      </c>
      <c r="E753">
        <v>2</v>
      </c>
      <c r="F753">
        <f>INDEX([1]products!$A$1:$G$49,MATCH([1]orders!$D753,[1]products!$A$1:$A$49,0),MATCH([1]orders!K$1,[1]products!$A$1:$G$1,0))</f>
        <v>0.5</v>
      </c>
      <c r="G753">
        <f>INDEX([1]products!$A$1:$G$49,MATCH([1]orders!$D753,[1]products!$A$1:$A$49,0),MATCH([1]orders!L$1,[1]products!$A$1:$G$1,0))</f>
        <v>9.51</v>
      </c>
      <c r="H753">
        <f t="shared" si="11"/>
        <v>19.02</v>
      </c>
    </row>
    <row r="754" spans="1:8" x14ac:dyDescent="0.25">
      <c r="A754" t="s">
        <v>1462</v>
      </c>
      <c r="B754">
        <v>43648</v>
      </c>
      <c r="C754" t="s">
        <v>1463</v>
      </c>
      <c r="D754" t="s">
        <v>9</v>
      </c>
      <c r="E754">
        <v>2</v>
      </c>
      <c r="F754">
        <f>INDEX([1]products!$A$1:$G$49,MATCH([1]orders!$D754,[1]products!$A$1:$A$49,0),MATCH([1]orders!K$1,[1]products!$A$1:$G$1,0))</f>
        <v>1</v>
      </c>
      <c r="G754">
        <f>INDEX([1]products!$A$1:$G$49,MATCH([1]orders!$D754,[1]products!$A$1:$A$49,0),MATCH([1]orders!L$1,[1]products!$A$1:$G$1,0))</f>
        <v>13.75</v>
      </c>
      <c r="H754">
        <f t="shared" si="11"/>
        <v>27.5</v>
      </c>
    </row>
    <row r="755" spans="1:8" x14ac:dyDescent="0.25">
      <c r="A755" t="s">
        <v>1464</v>
      </c>
      <c r="B755">
        <v>44704</v>
      </c>
      <c r="C755" t="s">
        <v>1465</v>
      </c>
      <c r="D755" t="s">
        <v>72</v>
      </c>
      <c r="E755">
        <v>5</v>
      </c>
      <c r="F755">
        <f>INDEX([1]products!$A$1:$G$49,MATCH([1]orders!$D755,[1]products!$A$1:$A$49,0),MATCH([1]orders!K$1,[1]products!$A$1:$G$1,0))</f>
        <v>0.5</v>
      </c>
      <c r="G755">
        <f>INDEX([1]products!$A$1:$G$49,MATCH([1]orders!$D755,[1]products!$A$1:$A$49,0),MATCH([1]orders!L$1,[1]products!$A$1:$G$1,0))</f>
        <v>5.97</v>
      </c>
      <c r="H755">
        <f t="shared" si="11"/>
        <v>29.849999999999998</v>
      </c>
    </row>
    <row r="756" spans="1:8" x14ac:dyDescent="0.25">
      <c r="A756" t="s">
        <v>1466</v>
      </c>
      <c r="B756">
        <v>44726</v>
      </c>
      <c r="C756" t="s">
        <v>1344</v>
      </c>
      <c r="D756" t="s">
        <v>54</v>
      </c>
      <c r="E756">
        <v>6</v>
      </c>
      <c r="F756">
        <f>INDEX([1]products!$A$1:$G$49,MATCH([1]orders!$D756,[1]products!$A$1:$A$49,0),MATCH([1]orders!K$1,[1]products!$A$1:$G$1,0))</f>
        <v>0.2</v>
      </c>
      <c r="G756">
        <f>INDEX([1]products!$A$1:$G$49,MATCH([1]orders!$D756,[1]products!$A$1:$A$49,0),MATCH([1]orders!L$1,[1]products!$A$1:$G$1,0))</f>
        <v>2.9849999999999999</v>
      </c>
      <c r="H756">
        <f t="shared" si="11"/>
        <v>17.91</v>
      </c>
    </row>
    <row r="757" spans="1:8" x14ac:dyDescent="0.25">
      <c r="A757" t="s">
        <v>1467</v>
      </c>
      <c r="B757">
        <v>44397</v>
      </c>
      <c r="C757" t="s">
        <v>1468</v>
      </c>
      <c r="D757" t="s">
        <v>19</v>
      </c>
      <c r="E757">
        <v>6</v>
      </c>
      <c r="F757">
        <f>INDEX([1]products!$A$1:$G$49,MATCH([1]orders!$D757,[1]products!$A$1:$A$49,0),MATCH([1]orders!K$1,[1]products!$A$1:$G$1,0))</f>
        <v>0.2</v>
      </c>
      <c r="G757">
        <f>INDEX([1]products!$A$1:$G$49,MATCH([1]orders!$D757,[1]products!$A$1:$A$49,0),MATCH([1]orders!L$1,[1]products!$A$1:$G$1,0))</f>
        <v>4.7549999999999999</v>
      </c>
      <c r="H757">
        <f t="shared" si="11"/>
        <v>28.53</v>
      </c>
    </row>
    <row r="758" spans="1:8" x14ac:dyDescent="0.25">
      <c r="A758" t="s">
        <v>1469</v>
      </c>
      <c r="B758">
        <v>44715</v>
      </c>
      <c r="C758" t="s">
        <v>1470</v>
      </c>
      <c r="D758" t="s">
        <v>179</v>
      </c>
      <c r="E758">
        <v>4</v>
      </c>
      <c r="F758">
        <f>INDEX([1]products!$A$1:$G$49,MATCH([1]orders!$D758,[1]products!$A$1:$A$49,0),MATCH([1]orders!K$1,[1]products!$A$1:$G$1,0))</f>
        <v>1</v>
      </c>
      <c r="G758">
        <f>INDEX([1]products!$A$1:$G$49,MATCH([1]orders!$D758,[1]products!$A$1:$A$49,0),MATCH([1]orders!L$1,[1]products!$A$1:$G$1,0))</f>
        <v>8.9499999999999993</v>
      </c>
      <c r="H758">
        <f t="shared" si="11"/>
        <v>35.799999999999997</v>
      </c>
    </row>
    <row r="759" spans="1:8" x14ac:dyDescent="0.25">
      <c r="A759" t="s">
        <v>1471</v>
      </c>
      <c r="B759">
        <v>43977</v>
      </c>
      <c r="C759" t="s">
        <v>1472</v>
      </c>
      <c r="D759" t="s">
        <v>72</v>
      </c>
      <c r="E759">
        <v>3</v>
      </c>
      <c r="F759">
        <f>INDEX([1]products!$A$1:$G$49,MATCH([1]orders!$D759,[1]products!$A$1:$A$49,0),MATCH([1]orders!K$1,[1]products!$A$1:$G$1,0))</f>
        <v>0.5</v>
      </c>
      <c r="G759">
        <f>INDEX([1]products!$A$1:$G$49,MATCH([1]orders!$D759,[1]products!$A$1:$A$49,0),MATCH([1]orders!L$1,[1]products!$A$1:$G$1,0))</f>
        <v>5.97</v>
      </c>
      <c r="H759">
        <f t="shared" si="11"/>
        <v>17.91</v>
      </c>
    </row>
    <row r="760" spans="1:8" x14ac:dyDescent="0.25">
      <c r="A760" t="s">
        <v>1473</v>
      </c>
      <c r="B760">
        <v>43672</v>
      </c>
      <c r="C760" t="s">
        <v>1474</v>
      </c>
      <c r="D760" t="s">
        <v>179</v>
      </c>
      <c r="E760">
        <v>1</v>
      </c>
      <c r="F760">
        <f>INDEX([1]products!$A$1:$G$49,MATCH([1]orders!$D760,[1]products!$A$1:$A$49,0),MATCH([1]orders!K$1,[1]products!$A$1:$G$1,0))</f>
        <v>1</v>
      </c>
      <c r="G760">
        <f>INDEX([1]products!$A$1:$G$49,MATCH([1]orders!$D760,[1]products!$A$1:$A$49,0),MATCH([1]orders!L$1,[1]products!$A$1:$G$1,0))</f>
        <v>8.9499999999999993</v>
      </c>
      <c r="H760">
        <f t="shared" si="11"/>
        <v>8.9499999999999993</v>
      </c>
    </row>
    <row r="761" spans="1:8" x14ac:dyDescent="0.25">
      <c r="A761" t="s">
        <v>1475</v>
      </c>
      <c r="B761">
        <v>44126</v>
      </c>
      <c r="C761" t="s">
        <v>1476</v>
      </c>
      <c r="D761" t="s">
        <v>109</v>
      </c>
      <c r="E761">
        <v>1</v>
      </c>
      <c r="F761">
        <f>INDEX([1]products!$A$1:$G$49,MATCH([1]orders!$D761,[1]products!$A$1:$A$49,0),MATCH([1]orders!K$1,[1]products!$A$1:$G$1,0))</f>
        <v>2.5</v>
      </c>
      <c r="G761">
        <f>INDEX([1]products!$A$1:$G$49,MATCH([1]orders!$D761,[1]products!$A$1:$A$49,0),MATCH([1]orders!L$1,[1]products!$A$1:$G$1,0))</f>
        <v>29.784999999999997</v>
      </c>
      <c r="H761">
        <f t="shared" si="11"/>
        <v>29.784999999999997</v>
      </c>
    </row>
    <row r="762" spans="1:8" x14ac:dyDescent="0.25">
      <c r="A762" t="s">
        <v>1477</v>
      </c>
      <c r="B762">
        <v>44189</v>
      </c>
      <c r="C762" t="s">
        <v>1478</v>
      </c>
      <c r="D762" t="s">
        <v>176</v>
      </c>
      <c r="E762">
        <v>5</v>
      </c>
      <c r="F762">
        <f>INDEX([1]products!$A$1:$G$49,MATCH([1]orders!$D762,[1]products!$A$1:$A$49,0),MATCH([1]orders!K$1,[1]products!$A$1:$G$1,0))</f>
        <v>0.5</v>
      </c>
      <c r="G762">
        <f>INDEX([1]products!$A$1:$G$49,MATCH([1]orders!$D762,[1]products!$A$1:$A$49,0),MATCH([1]orders!L$1,[1]products!$A$1:$G$1,0))</f>
        <v>8.91</v>
      </c>
      <c r="H762">
        <f t="shared" si="11"/>
        <v>44.55</v>
      </c>
    </row>
    <row r="763" spans="1:8" x14ac:dyDescent="0.25">
      <c r="A763" t="s">
        <v>1479</v>
      </c>
      <c r="B763">
        <v>43714</v>
      </c>
      <c r="C763" t="s">
        <v>1480</v>
      </c>
      <c r="D763" t="s">
        <v>137</v>
      </c>
      <c r="E763">
        <v>6</v>
      </c>
      <c r="F763">
        <f>INDEX([1]products!$A$1:$G$49,MATCH([1]orders!$D763,[1]products!$A$1:$A$49,0),MATCH([1]orders!K$1,[1]products!$A$1:$G$1,0))</f>
        <v>1</v>
      </c>
      <c r="G763">
        <f>INDEX([1]products!$A$1:$G$49,MATCH([1]orders!$D763,[1]products!$A$1:$A$49,0),MATCH([1]orders!L$1,[1]products!$A$1:$G$1,0))</f>
        <v>14.85</v>
      </c>
      <c r="H763">
        <f t="shared" si="11"/>
        <v>89.1</v>
      </c>
    </row>
    <row r="764" spans="1:8" x14ac:dyDescent="0.25">
      <c r="A764" t="s">
        <v>1481</v>
      </c>
      <c r="B764">
        <v>43563</v>
      </c>
      <c r="C764" t="s">
        <v>1482</v>
      </c>
      <c r="D764" t="s">
        <v>78</v>
      </c>
      <c r="E764">
        <v>5</v>
      </c>
      <c r="F764">
        <f>INDEX([1]products!$A$1:$G$49,MATCH([1]orders!$D764,[1]products!$A$1:$A$49,0),MATCH([1]orders!K$1,[1]products!$A$1:$G$1,0))</f>
        <v>0.5</v>
      </c>
      <c r="G764">
        <f>INDEX([1]products!$A$1:$G$49,MATCH([1]orders!$D764,[1]products!$A$1:$A$49,0),MATCH([1]orders!L$1,[1]products!$A$1:$G$1,0))</f>
        <v>8.73</v>
      </c>
      <c r="H764">
        <f t="shared" si="11"/>
        <v>43.650000000000006</v>
      </c>
    </row>
    <row r="765" spans="1:8" x14ac:dyDescent="0.25">
      <c r="A765" t="s">
        <v>1483</v>
      </c>
      <c r="B765">
        <v>44587</v>
      </c>
      <c r="C765" t="s">
        <v>1484</v>
      </c>
      <c r="D765" t="s">
        <v>192</v>
      </c>
      <c r="E765">
        <v>3</v>
      </c>
      <c r="F765">
        <f>INDEX([1]products!$A$1:$G$49,MATCH([1]orders!$D765,[1]products!$A$1:$A$49,0),MATCH([1]orders!K$1,[1]products!$A$1:$G$1,0))</f>
        <v>0.5</v>
      </c>
      <c r="G765">
        <f>INDEX([1]products!$A$1:$G$49,MATCH([1]orders!$D765,[1]products!$A$1:$A$49,0),MATCH([1]orders!L$1,[1]products!$A$1:$G$1,0))</f>
        <v>7.77</v>
      </c>
      <c r="H765">
        <f t="shared" si="11"/>
        <v>23.31</v>
      </c>
    </row>
    <row r="766" spans="1:8" x14ac:dyDescent="0.25">
      <c r="A766" t="s">
        <v>1485</v>
      </c>
      <c r="B766">
        <v>43797</v>
      </c>
      <c r="C766" t="s">
        <v>1486</v>
      </c>
      <c r="D766" t="s">
        <v>204</v>
      </c>
      <c r="E766">
        <v>6</v>
      </c>
      <c r="F766">
        <f>INDEX([1]products!$A$1:$G$49,MATCH([1]orders!$D766,[1]products!$A$1:$A$49,0),MATCH([1]orders!K$1,[1]products!$A$1:$G$1,0))</f>
        <v>2.5</v>
      </c>
      <c r="G766">
        <f>INDEX([1]products!$A$1:$G$49,MATCH([1]orders!$D766,[1]products!$A$1:$A$49,0),MATCH([1]orders!L$1,[1]products!$A$1:$G$1,0))</f>
        <v>29.784999999999997</v>
      </c>
      <c r="H766">
        <f t="shared" si="11"/>
        <v>178.70999999999998</v>
      </c>
    </row>
    <row r="767" spans="1:8" x14ac:dyDescent="0.25">
      <c r="A767" t="s">
        <v>1487</v>
      </c>
      <c r="B767">
        <v>43667</v>
      </c>
      <c r="C767" t="s">
        <v>1488</v>
      </c>
      <c r="D767" t="s">
        <v>2</v>
      </c>
      <c r="E767">
        <v>6</v>
      </c>
      <c r="F767">
        <f>INDEX([1]products!$A$1:$G$49,MATCH([1]orders!$D767,[1]products!$A$1:$A$49,0),MATCH([1]orders!K$1,[1]products!$A$1:$G$1,0))</f>
        <v>1</v>
      </c>
      <c r="G767">
        <f>INDEX([1]products!$A$1:$G$49,MATCH([1]orders!$D767,[1]products!$A$1:$A$49,0),MATCH([1]orders!L$1,[1]products!$A$1:$G$1,0))</f>
        <v>9.9499999999999993</v>
      </c>
      <c r="H767">
        <f t="shared" si="11"/>
        <v>59.699999999999996</v>
      </c>
    </row>
    <row r="768" spans="1:8" x14ac:dyDescent="0.25">
      <c r="A768" t="s">
        <v>1487</v>
      </c>
      <c r="B768">
        <v>43667</v>
      </c>
      <c r="C768" t="s">
        <v>1488</v>
      </c>
      <c r="D768" t="s">
        <v>192</v>
      </c>
      <c r="E768">
        <v>2</v>
      </c>
      <c r="F768">
        <f>INDEX([1]products!$A$1:$G$49,MATCH([1]orders!$D768,[1]products!$A$1:$A$49,0),MATCH([1]orders!K$1,[1]products!$A$1:$G$1,0))</f>
        <v>0.5</v>
      </c>
      <c r="G768">
        <f>INDEX([1]products!$A$1:$G$49,MATCH([1]orders!$D768,[1]products!$A$1:$A$49,0),MATCH([1]orders!L$1,[1]products!$A$1:$G$1,0))</f>
        <v>7.77</v>
      </c>
      <c r="H768">
        <f t="shared" si="11"/>
        <v>15.54</v>
      </c>
    </row>
    <row r="769" spans="1:8" x14ac:dyDescent="0.25">
      <c r="A769" t="s">
        <v>1489</v>
      </c>
      <c r="B769">
        <v>44267</v>
      </c>
      <c r="C769" t="s">
        <v>1468</v>
      </c>
      <c r="D769" t="s">
        <v>204</v>
      </c>
      <c r="E769">
        <v>3</v>
      </c>
      <c r="F769">
        <f>INDEX([1]products!$A$1:$G$49,MATCH([1]orders!$D769,[1]products!$A$1:$A$49,0),MATCH([1]orders!K$1,[1]products!$A$1:$G$1,0))</f>
        <v>2.5</v>
      </c>
      <c r="G769">
        <f>INDEX([1]products!$A$1:$G$49,MATCH([1]orders!$D769,[1]products!$A$1:$A$49,0),MATCH([1]orders!L$1,[1]products!$A$1:$G$1,0))</f>
        <v>29.784999999999997</v>
      </c>
      <c r="H769">
        <f t="shared" si="11"/>
        <v>89.35499999999999</v>
      </c>
    </row>
    <row r="770" spans="1:8" x14ac:dyDescent="0.25">
      <c r="A770" t="s">
        <v>1490</v>
      </c>
      <c r="B770">
        <v>44562</v>
      </c>
      <c r="C770" t="s">
        <v>1468</v>
      </c>
      <c r="D770" t="s">
        <v>189</v>
      </c>
      <c r="E770">
        <v>2</v>
      </c>
      <c r="F770">
        <f>INDEX([1]products!$A$1:$G$49,MATCH([1]orders!$D770,[1]products!$A$1:$A$49,0),MATCH([1]orders!K$1,[1]products!$A$1:$G$1,0))</f>
        <v>1</v>
      </c>
      <c r="G770">
        <f>INDEX([1]products!$A$1:$G$49,MATCH([1]orders!$D770,[1]products!$A$1:$A$49,0),MATCH([1]orders!L$1,[1]products!$A$1:$G$1,0))</f>
        <v>11.95</v>
      </c>
      <c r="H770">
        <f t="shared" ref="H770:H833" si="12">E770*G770</f>
        <v>23.9</v>
      </c>
    </row>
    <row r="771" spans="1:8" x14ac:dyDescent="0.25">
      <c r="A771" t="s">
        <v>1491</v>
      </c>
      <c r="B771">
        <v>43912</v>
      </c>
      <c r="C771" t="s">
        <v>1492</v>
      </c>
      <c r="D771" t="s">
        <v>41</v>
      </c>
      <c r="E771">
        <v>6</v>
      </c>
      <c r="F771">
        <f>INDEX([1]products!$A$1:$G$49,MATCH([1]orders!$D771,[1]products!$A$1:$A$49,0),MATCH([1]orders!K$1,[1]products!$A$1:$G$1,0))</f>
        <v>2.5</v>
      </c>
      <c r="G771">
        <f>INDEX([1]products!$A$1:$G$49,MATCH([1]orders!$D771,[1]products!$A$1:$A$49,0),MATCH([1]orders!L$1,[1]products!$A$1:$G$1,0))</f>
        <v>22.884999999999998</v>
      </c>
      <c r="H771">
        <f t="shared" si="12"/>
        <v>137.31</v>
      </c>
    </row>
    <row r="772" spans="1:8" x14ac:dyDescent="0.25">
      <c r="A772" t="s">
        <v>1493</v>
      </c>
      <c r="B772">
        <v>44092</v>
      </c>
      <c r="C772" t="s">
        <v>1494</v>
      </c>
      <c r="D772" t="s">
        <v>27</v>
      </c>
      <c r="E772">
        <v>1</v>
      </c>
      <c r="F772">
        <f>INDEX([1]products!$A$1:$G$49,MATCH([1]orders!$D772,[1]products!$A$1:$A$49,0),MATCH([1]orders!K$1,[1]products!$A$1:$G$1,0))</f>
        <v>1</v>
      </c>
      <c r="G772">
        <f>INDEX([1]products!$A$1:$G$49,MATCH([1]orders!$D772,[1]products!$A$1:$A$49,0),MATCH([1]orders!L$1,[1]products!$A$1:$G$1,0))</f>
        <v>9.9499999999999993</v>
      </c>
      <c r="H772">
        <f t="shared" si="12"/>
        <v>9.9499999999999993</v>
      </c>
    </row>
    <row r="773" spans="1:8" x14ac:dyDescent="0.25">
      <c r="A773" t="s">
        <v>1495</v>
      </c>
      <c r="B773">
        <v>43468</v>
      </c>
      <c r="C773" t="s">
        <v>1496</v>
      </c>
      <c r="D773" t="s">
        <v>157</v>
      </c>
      <c r="E773">
        <v>3</v>
      </c>
      <c r="F773">
        <f>INDEX([1]products!$A$1:$G$49,MATCH([1]orders!$D773,[1]products!$A$1:$A$49,0),MATCH([1]orders!K$1,[1]products!$A$1:$G$1,0))</f>
        <v>0.5</v>
      </c>
      <c r="G773">
        <f>INDEX([1]products!$A$1:$G$49,MATCH([1]orders!$D773,[1]products!$A$1:$A$49,0),MATCH([1]orders!L$1,[1]products!$A$1:$G$1,0))</f>
        <v>7.169999999999999</v>
      </c>
      <c r="H773">
        <f t="shared" si="12"/>
        <v>21.509999999999998</v>
      </c>
    </row>
    <row r="774" spans="1:8" x14ac:dyDescent="0.25">
      <c r="A774" t="s">
        <v>1497</v>
      </c>
      <c r="B774">
        <v>44468</v>
      </c>
      <c r="C774" t="s">
        <v>1498</v>
      </c>
      <c r="D774" t="s">
        <v>9</v>
      </c>
      <c r="E774">
        <v>6</v>
      </c>
      <c r="F774">
        <f>INDEX([1]products!$A$1:$G$49,MATCH([1]orders!$D774,[1]products!$A$1:$A$49,0),MATCH([1]orders!K$1,[1]products!$A$1:$G$1,0))</f>
        <v>1</v>
      </c>
      <c r="G774">
        <f>INDEX([1]products!$A$1:$G$49,MATCH([1]orders!$D774,[1]products!$A$1:$A$49,0),MATCH([1]orders!L$1,[1]products!$A$1:$G$1,0))</f>
        <v>13.75</v>
      </c>
      <c r="H774">
        <f t="shared" si="12"/>
        <v>82.5</v>
      </c>
    </row>
    <row r="775" spans="1:8" x14ac:dyDescent="0.25">
      <c r="A775" t="s">
        <v>1499</v>
      </c>
      <c r="B775">
        <v>44488</v>
      </c>
      <c r="C775" t="s">
        <v>1500</v>
      </c>
      <c r="D775" t="s">
        <v>77</v>
      </c>
      <c r="E775">
        <v>2</v>
      </c>
      <c r="F775">
        <f>INDEX([1]products!$A$1:$G$49,MATCH([1]orders!$D775,[1]products!$A$1:$A$49,0),MATCH([1]orders!K$1,[1]products!$A$1:$G$1,0))</f>
        <v>0.2</v>
      </c>
      <c r="G775">
        <f>INDEX([1]products!$A$1:$G$49,MATCH([1]orders!$D775,[1]products!$A$1:$A$49,0),MATCH([1]orders!L$1,[1]products!$A$1:$G$1,0))</f>
        <v>4.3650000000000002</v>
      </c>
      <c r="H775">
        <f t="shared" si="12"/>
        <v>8.73</v>
      </c>
    </row>
    <row r="776" spans="1:8" x14ac:dyDescent="0.25">
      <c r="A776" t="s">
        <v>1501</v>
      </c>
      <c r="B776">
        <v>44756</v>
      </c>
      <c r="C776" t="s">
        <v>1502</v>
      </c>
      <c r="D776" t="s">
        <v>2</v>
      </c>
      <c r="E776">
        <v>2</v>
      </c>
      <c r="F776">
        <f>INDEX([1]products!$A$1:$G$49,MATCH([1]orders!$D776,[1]products!$A$1:$A$49,0),MATCH([1]orders!K$1,[1]products!$A$1:$G$1,0))</f>
        <v>1</v>
      </c>
      <c r="G776">
        <f>INDEX([1]products!$A$1:$G$49,MATCH([1]orders!$D776,[1]products!$A$1:$A$49,0),MATCH([1]orders!L$1,[1]products!$A$1:$G$1,0))</f>
        <v>9.9499999999999993</v>
      </c>
      <c r="H776">
        <f t="shared" si="12"/>
        <v>19.899999999999999</v>
      </c>
    </row>
    <row r="777" spans="1:8" x14ac:dyDescent="0.25">
      <c r="A777" t="s">
        <v>1503</v>
      </c>
      <c r="B777">
        <v>44396</v>
      </c>
      <c r="C777" t="s">
        <v>1504</v>
      </c>
      <c r="D777" t="s">
        <v>176</v>
      </c>
      <c r="E777">
        <v>2</v>
      </c>
      <c r="F777">
        <f>INDEX([1]products!$A$1:$G$49,MATCH([1]orders!$D777,[1]products!$A$1:$A$49,0),MATCH([1]orders!K$1,[1]products!$A$1:$G$1,0))</f>
        <v>0.5</v>
      </c>
      <c r="G777">
        <f>INDEX([1]products!$A$1:$G$49,MATCH([1]orders!$D777,[1]products!$A$1:$A$49,0),MATCH([1]orders!L$1,[1]products!$A$1:$G$1,0))</f>
        <v>8.91</v>
      </c>
      <c r="H777">
        <f t="shared" si="12"/>
        <v>17.82</v>
      </c>
    </row>
    <row r="778" spans="1:8" x14ac:dyDescent="0.25">
      <c r="A778" t="s">
        <v>1505</v>
      </c>
      <c r="B778">
        <v>44540</v>
      </c>
      <c r="C778" t="s">
        <v>1506</v>
      </c>
      <c r="D778" t="s">
        <v>67</v>
      </c>
      <c r="E778">
        <v>3</v>
      </c>
      <c r="F778">
        <f>INDEX([1]products!$A$1:$G$49,MATCH([1]orders!$D778,[1]products!$A$1:$A$49,0),MATCH([1]orders!K$1,[1]products!$A$1:$G$1,0))</f>
        <v>0.5</v>
      </c>
      <c r="G778">
        <f>INDEX([1]products!$A$1:$G$49,MATCH([1]orders!$D778,[1]products!$A$1:$A$49,0),MATCH([1]orders!L$1,[1]products!$A$1:$G$1,0))</f>
        <v>6.75</v>
      </c>
      <c r="H778">
        <f t="shared" si="12"/>
        <v>20.25</v>
      </c>
    </row>
    <row r="779" spans="1:8" x14ac:dyDescent="0.25">
      <c r="A779" t="s">
        <v>1507</v>
      </c>
      <c r="B779">
        <v>43541</v>
      </c>
      <c r="C779" t="s">
        <v>1508</v>
      </c>
      <c r="D779" t="s">
        <v>204</v>
      </c>
      <c r="E779">
        <v>2</v>
      </c>
      <c r="F779">
        <f>INDEX([1]products!$A$1:$G$49,MATCH([1]orders!$D779,[1]products!$A$1:$A$49,0),MATCH([1]orders!K$1,[1]products!$A$1:$G$1,0))</f>
        <v>2.5</v>
      </c>
      <c r="G779">
        <f>INDEX([1]products!$A$1:$G$49,MATCH([1]orders!$D779,[1]products!$A$1:$A$49,0),MATCH([1]orders!L$1,[1]products!$A$1:$G$1,0))</f>
        <v>29.784999999999997</v>
      </c>
      <c r="H779">
        <f t="shared" si="12"/>
        <v>59.569999999999993</v>
      </c>
    </row>
    <row r="780" spans="1:8" x14ac:dyDescent="0.25">
      <c r="A780" t="s">
        <v>1509</v>
      </c>
      <c r="B780">
        <v>43889</v>
      </c>
      <c r="C780" t="s">
        <v>1510</v>
      </c>
      <c r="D780" t="s">
        <v>83</v>
      </c>
      <c r="E780">
        <v>2</v>
      </c>
      <c r="F780">
        <f>INDEX([1]products!$A$1:$G$49,MATCH([1]orders!$D780,[1]products!$A$1:$A$49,0),MATCH([1]orders!K$1,[1]products!$A$1:$G$1,0))</f>
        <v>0.5</v>
      </c>
      <c r="G780">
        <f>INDEX([1]products!$A$1:$G$49,MATCH([1]orders!$D780,[1]products!$A$1:$A$49,0),MATCH([1]orders!L$1,[1]products!$A$1:$G$1,0))</f>
        <v>9.51</v>
      </c>
      <c r="H780">
        <f t="shared" si="12"/>
        <v>19.02</v>
      </c>
    </row>
    <row r="781" spans="1:8" x14ac:dyDescent="0.25">
      <c r="A781" t="s">
        <v>1511</v>
      </c>
      <c r="B781">
        <v>43985</v>
      </c>
      <c r="C781" t="s">
        <v>1512</v>
      </c>
      <c r="D781" t="s">
        <v>13</v>
      </c>
      <c r="E781">
        <v>6</v>
      </c>
      <c r="F781">
        <f>INDEX([1]products!$A$1:$G$49,MATCH([1]orders!$D781,[1]products!$A$1:$A$49,0),MATCH([1]orders!K$1,[1]products!$A$1:$G$1,0))</f>
        <v>1</v>
      </c>
      <c r="G781">
        <f>INDEX([1]products!$A$1:$G$49,MATCH([1]orders!$D781,[1]products!$A$1:$A$49,0),MATCH([1]orders!L$1,[1]products!$A$1:$G$1,0))</f>
        <v>12.95</v>
      </c>
      <c r="H781">
        <f t="shared" si="12"/>
        <v>77.699999999999989</v>
      </c>
    </row>
    <row r="782" spans="1:8" x14ac:dyDescent="0.25">
      <c r="A782" t="s">
        <v>1513</v>
      </c>
      <c r="B782">
        <v>43883</v>
      </c>
      <c r="C782" t="s">
        <v>1514</v>
      </c>
      <c r="D782" t="s">
        <v>9</v>
      </c>
      <c r="E782">
        <v>3</v>
      </c>
      <c r="F782">
        <f>INDEX([1]products!$A$1:$G$49,MATCH([1]orders!$D782,[1]products!$A$1:$A$49,0),MATCH([1]orders!K$1,[1]products!$A$1:$G$1,0))</f>
        <v>1</v>
      </c>
      <c r="G782">
        <f>INDEX([1]products!$A$1:$G$49,MATCH([1]orders!$D782,[1]products!$A$1:$A$49,0),MATCH([1]orders!L$1,[1]products!$A$1:$G$1,0))</f>
        <v>13.75</v>
      </c>
      <c r="H782">
        <f t="shared" si="12"/>
        <v>41.25</v>
      </c>
    </row>
    <row r="783" spans="1:8" x14ac:dyDescent="0.25">
      <c r="A783" t="s">
        <v>1515</v>
      </c>
      <c r="B783">
        <v>43778</v>
      </c>
      <c r="C783" t="s">
        <v>1516</v>
      </c>
      <c r="D783" t="s">
        <v>104</v>
      </c>
      <c r="E783">
        <v>4</v>
      </c>
      <c r="F783">
        <f>INDEX([1]products!$A$1:$G$49,MATCH([1]orders!$D783,[1]products!$A$1:$A$49,0),MATCH([1]orders!K$1,[1]products!$A$1:$G$1,0))</f>
        <v>2.5</v>
      </c>
      <c r="G783">
        <f>INDEX([1]products!$A$1:$G$49,MATCH([1]orders!$D783,[1]products!$A$1:$A$49,0),MATCH([1]orders!L$1,[1]products!$A$1:$G$1,0))</f>
        <v>36.454999999999998</v>
      </c>
      <c r="H783">
        <f t="shared" si="12"/>
        <v>145.82</v>
      </c>
    </row>
    <row r="784" spans="1:8" x14ac:dyDescent="0.25">
      <c r="A784" t="s">
        <v>1517</v>
      </c>
      <c r="B784">
        <v>43897</v>
      </c>
      <c r="C784" t="s">
        <v>1518</v>
      </c>
      <c r="D784" t="s">
        <v>254</v>
      </c>
      <c r="E784">
        <v>6</v>
      </c>
      <c r="F784">
        <f>INDEX([1]products!$A$1:$G$49,MATCH([1]orders!$D784,[1]products!$A$1:$A$49,0),MATCH([1]orders!K$1,[1]products!$A$1:$G$1,0))</f>
        <v>0.2</v>
      </c>
      <c r="G784">
        <f>INDEX([1]products!$A$1:$G$49,MATCH([1]orders!$D784,[1]products!$A$1:$A$49,0),MATCH([1]orders!L$1,[1]products!$A$1:$G$1,0))</f>
        <v>4.4550000000000001</v>
      </c>
      <c r="H784">
        <f t="shared" si="12"/>
        <v>26.73</v>
      </c>
    </row>
    <row r="785" spans="1:8" x14ac:dyDescent="0.25">
      <c r="A785" t="s">
        <v>1519</v>
      </c>
      <c r="B785">
        <v>44312</v>
      </c>
      <c r="C785" t="s">
        <v>1520</v>
      </c>
      <c r="D785" t="s">
        <v>78</v>
      </c>
      <c r="E785">
        <v>5</v>
      </c>
      <c r="F785">
        <f>INDEX([1]products!$A$1:$G$49,MATCH([1]orders!$D785,[1]products!$A$1:$A$49,0),MATCH([1]orders!K$1,[1]products!$A$1:$G$1,0))</f>
        <v>0.5</v>
      </c>
      <c r="G785">
        <f>INDEX([1]products!$A$1:$G$49,MATCH([1]orders!$D785,[1]products!$A$1:$A$49,0),MATCH([1]orders!L$1,[1]products!$A$1:$G$1,0))</f>
        <v>8.73</v>
      </c>
      <c r="H785">
        <f t="shared" si="12"/>
        <v>43.650000000000006</v>
      </c>
    </row>
    <row r="786" spans="1:8" x14ac:dyDescent="0.25">
      <c r="A786" t="s">
        <v>1521</v>
      </c>
      <c r="B786">
        <v>44511</v>
      </c>
      <c r="C786" t="s">
        <v>1522</v>
      </c>
      <c r="D786" t="s">
        <v>132</v>
      </c>
      <c r="E786">
        <v>2</v>
      </c>
      <c r="F786">
        <f>INDEX([1]products!$A$1:$G$49,MATCH([1]orders!$D786,[1]products!$A$1:$A$49,0),MATCH([1]orders!K$1,[1]products!$A$1:$G$1,0))</f>
        <v>1</v>
      </c>
      <c r="G786">
        <f>INDEX([1]products!$A$1:$G$49,MATCH([1]orders!$D786,[1]products!$A$1:$A$49,0),MATCH([1]orders!L$1,[1]products!$A$1:$G$1,0))</f>
        <v>15.85</v>
      </c>
      <c r="H786">
        <f t="shared" si="12"/>
        <v>31.7</v>
      </c>
    </row>
    <row r="787" spans="1:8" x14ac:dyDescent="0.25">
      <c r="A787" t="s">
        <v>1523</v>
      </c>
      <c r="B787">
        <v>44362</v>
      </c>
      <c r="C787" t="s">
        <v>1524</v>
      </c>
      <c r="D787" t="s">
        <v>118</v>
      </c>
      <c r="E787">
        <v>1</v>
      </c>
      <c r="F787">
        <f>INDEX([1]products!$A$1:$G$49,MATCH([1]orders!$D787,[1]products!$A$1:$A$49,0),MATCH([1]orders!K$1,[1]products!$A$1:$G$1,0))</f>
        <v>2.5</v>
      </c>
      <c r="G787">
        <f>INDEX([1]products!$A$1:$G$49,MATCH([1]orders!$D787,[1]products!$A$1:$A$49,0),MATCH([1]orders!L$1,[1]products!$A$1:$G$1,0))</f>
        <v>22.884999999999998</v>
      </c>
      <c r="H787">
        <f t="shared" si="12"/>
        <v>22.884999999999998</v>
      </c>
    </row>
    <row r="788" spans="1:8" x14ac:dyDescent="0.25">
      <c r="A788" t="s">
        <v>1525</v>
      </c>
      <c r="B788">
        <v>43888</v>
      </c>
      <c r="C788" t="s">
        <v>1510</v>
      </c>
      <c r="D788" t="s">
        <v>530</v>
      </c>
      <c r="E788">
        <v>1</v>
      </c>
      <c r="F788">
        <f>INDEX([1]products!$A$1:$G$49,MATCH([1]orders!$D788,[1]products!$A$1:$A$49,0),MATCH([1]orders!K$1,[1]products!$A$1:$G$1,0))</f>
        <v>2.5</v>
      </c>
      <c r="G788">
        <f>INDEX([1]products!$A$1:$G$49,MATCH([1]orders!$D788,[1]products!$A$1:$A$49,0),MATCH([1]orders!L$1,[1]products!$A$1:$G$1,0))</f>
        <v>27.945</v>
      </c>
      <c r="H788">
        <f t="shared" si="12"/>
        <v>27.945</v>
      </c>
    </row>
    <row r="789" spans="1:8" x14ac:dyDescent="0.25">
      <c r="A789" t="s">
        <v>1526</v>
      </c>
      <c r="B789">
        <v>44305</v>
      </c>
      <c r="C789" t="s">
        <v>1527</v>
      </c>
      <c r="D789" t="s">
        <v>9</v>
      </c>
      <c r="E789">
        <v>6</v>
      </c>
      <c r="F789">
        <f>INDEX([1]products!$A$1:$G$49,MATCH([1]orders!$D789,[1]products!$A$1:$A$49,0),MATCH([1]orders!K$1,[1]products!$A$1:$G$1,0))</f>
        <v>1</v>
      </c>
      <c r="G789">
        <f>INDEX([1]products!$A$1:$G$49,MATCH([1]orders!$D789,[1]products!$A$1:$A$49,0),MATCH([1]orders!L$1,[1]products!$A$1:$G$1,0))</f>
        <v>13.75</v>
      </c>
      <c r="H789">
        <f t="shared" si="12"/>
        <v>82.5</v>
      </c>
    </row>
    <row r="790" spans="1:8" x14ac:dyDescent="0.25">
      <c r="A790" t="s">
        <v>1528</v>
      </c>
      <c r="B790">
        <v>44771</v>
      </c>
      <c r="C790" t="s">
        <v>1529</v>
      </c>
      <c r="D790" t="s">
        <v>41</v>
      </c>
      <c r="E790">
        <v>2</v>
      </c>
      <c r="F790">
        <f>INDEX([1]products!$A$1:$G$49,MATCH([1]orders!$D790,[1]products!$A$1:$A$49,0),MATCH([1]orders!K$1,[1]products!$A$1:$G$1,0))</f>
        <v>2.5</v>
      </c>
      <c r="G790">
        <f>INDEX([1]products!$A$1:$G$49,MATCH([1]orders!$D790,[1]products!$A$1:$A$49,0),MATCH([1]orders!L$1,[1]products!$A$1:$G$1,0))</f>
        <v>22.884999999999998</v>
      </c>
      <c r="H790">
        <f t="shared" si="12"/>
        <v>45.769999999999996</v>
      </c>
    </row>
    <row r="791" spans="1:8" x14ac:dyDescent="0.25">
      <c r="A791" t="s">
        <v>1530</v>
      </c>
      <c r="B791">
        <v>43485</v>
      </c>
      <c r="C791" t="s">
        <v>1531</v>
      </c>
      <c r="D791" t="s">
        <v>6</v>
      </c>
      <c r="E791">
        <v>6</v>
      </c>
      <c r="F791">
        <f>INDEX([1]products!$A$1:$G$49,MATCH([1]orders!$D791,[1]products!$A$1:$A$49,0),MATCH([1]orders!K$1,[1]products!$A$1:$G$1,0))</f>
        <v>1</v>
      </c>
      <c r="G791">
        <f>INDEX([1]products!$A$1:$G$49,MATCH([1]orders!$D791,[1]products!$A$1:$A$49,0),MATCH([1]orders!L$1,[1]products!$A$1:$G$1,0))</f>
        <v>12.95</v>
      </c>
      <c r="H791">
        <f t="shared" si="12"/>
        <v>77.699999999999989</v>
      </c>
    </row>
    <row r="792" spans="1:8" x14ac:dyDescent="0.25">
      <c r="A792" t="s">
        <v>1532</v>
      </c>
      <c r="B792">
        <v>44613</v>
      </c>
      <c r="C792" t="s">
        <v>1533</v>
      </c>
      <c r="D792" t="s">
        <v>192</v>
      </c>
      <c r="E792">
        <v>3</v>
      </c>
      <c r="F792">
        <f>INDEX([1]products!$A$1:$G$49,MATCH([1]orders!$D792,[1]products!$A$1:$A$49,0),MATCH([1]orders!K$1,[1]products!$A$1:$G$1,0))</f>
        <v>0.5</v>
      </c>
      <c r="G792">
        <f>INDEX([1]products!$A$1:$G$49,MATCH([1]orders!$D792,[1]products!$A$1:$A$49,0),MATCH([1]orders!L$1,[1]products!$A$1:$G$1,0))</f>
        <v>7.77</v>
      </c>
      <c r="H792">
        <f t="shared" si="12"/>
        <v>23.31</v>
      </c>
    </row>
    <row r="793" spans="1:8" x14ac:dyDescent="0.25">
      <c r="A793" t="s">
        <v>1534</v>
      </c>
      <c r="B793">
        <v>43954</v>
      </c>
      <c r="C793" t="s">
        <v>1535</v>
      </c>
      <c r="D793" t="s">
        <v>19</v>
      </c>
      <c r="E793">
        <v>5</v>
      </c>
      <c r="F793">
        <f>INDEX([1]products!$A$1:$G$49,MATCH([1]orders!$D793,[1]products!$A$1:$A$49,0),MATCH([1]orders!K$1,[1]products!$A$1:$G$1,0))</f>
        <v>0.2</v>
      </c>
      <c r="G793">
        <f>INDEX([1]products!$A$1:$G$49,MATCH([1]orders!$D793,[1]products!$A$1:$A$49,0),MATCH([1]orders!L$1,[1]products!$A$1:$G$1,0))</f>
        <v>4.7549999999999999</v>
      </c>
      <c r="H793">
        <f t="shared" si="12"/>
        <v>23.774999999999999</v>
      </c>
    </row>
    <row r="794" spans="1:8" x14ac:dyDescent="0.25">
      <c r="A794" t="s">
        <v>1536</v>
      </c>
      <c r="B794">
        <v>43545</v>
      </c>
      <c r="C794" t="s">
        <v>1537</v>
      </c>
      <c r="D794" t="s">
        <v>78</v>
      </c>
      <c r="E794">
        <v>6</v>
      </c>
      <c r="F794">
        <f>INDEX([1]products!$A$1:$G$49,MATCH([1]orders!$D794,[1]products!$A$1:$A$49,0),MATCH([1]orders!K$1,[1]products!$A$1:$G$1,0))</f>
        <v>0.5</v>
      </c>
      <c r="G794">
        <f>INDEX([1]products!$A$1:$G$49,MATCH([1]orders!$D794,[1]products!$A$1:$A$49,0),MATCH([1]orders!L$1,[1]products!$A$1:$G$1,0))</f>
        <v>8.73</v>
      </c>
      <c r="H794">
        <f t="shared" si="12"/>
        <v>52.38</v>
      </c>
    </row>
    <row r="795" spans="1:8" x14ac:dyDescent="0.25">
      <c r="A795" t="s">
        <v>1538</v>
      </c>
      <c r="B795">
        <v>43629</v>
      </c>
      <c r="C795" t="s">
        <v>1539</v>
      </c>
      <c r="D795" t="s">
        <v>182</v>
      </c>
      <c r="E795">
        <v>5</v>
      </c>
      <c r="F795">
        <f>INDEX([1]products!$A$1:$G$49,MATCH([1]orders!$D795,[1]products!$A$1:$A$49,0),MATCH([1]orders!K$1,[1]products!$A$1:$G$1,0))</f>
        <v>0.2</v>
      </c>
      <c r="G795">
        <f>INDEX([1]products!$A$1:$G$49,MATCH([1]orders!$D795,[1]products!$A$1:$A$49,0),MATCH([1]orders!L$1,[1]products!$A$1:$G$1,0))</f>
        <v>3.5849999999999995</v>
      </c>
      <c r="H795">
        <f t="shared" si="12"/>
        <v>17.924999999999997</v>
      </c>
    </row>
    <row r="796" spans="1:8" x14ac:dyDescent="0.25">
      <c r="A796" t="s">
        <v>1540</v>
      </c>
      <c r="B796">
        <v>43987</v>
      </c>
      <c r="C796" t="s">
        <v>1541</v>
      </c>
      <c r="D796" t="s">
        <v>204</v>
      </c>
      <c r="E796">
        <v>5</v>
      </c>
      <c r="F796">
        <f>INDEX([1]products!$A$1:$G$49,MATCH([1]orders!$D796,[1]products!$A$1:$A$49,0),MATCH([1]orders!K$1,[1]products!$A$1:$G$1,0))</f>
        <v>2.5</v>
      </c>
      <c r="G796">
        <f>INDEX([1]products!$A$1:$G$49,MATCH([1]orders!$D796,[1]products!$A$1:$A$49,0),MATCH([1]orders!L$1,[1]products!$A$1:$G$1,0))</f>
        <v>29.784999999999997</v>
      </c>
      <c r="H796">
        <f t="shared" si="12"/>
        <v>148.92499999999998</v>
      </c>
    </row>
    <row r="797" spans="1:8" x14ac:dyDescent="0.25">
      <c r="A797" t="s">
        <v>1542</v>
      </c>
      <c r="B797">
        <v>43540</v>
      </c>
      <c r="C797" t="s">
        <v>1543</v>
      </c>
      <c r="D797" t="s">
        <v>157</v>
      </c>
      <c r="E797">
        <v>4</v>
      </c>
      <c r="F797">
        <f>INDEX([1]products!$A$1:$G$49,MATCH([1]orders!$D797,[1]products!$A$1:$A$49,0),MATCH([1]orders!K$1,[1]products!$A$1:$G$1,0))</f>
        <v>0.5</v>
      </c>
      <c r="G797">
        <f>INDEX([1]products!$A$1:$G$49,MATCH([1]orders!$D797,[1]products!$A$1:$A$49,0),MATCH([1]orders!L$1,[1]products!$A$1:$G$1,0))</f>
        <v>7.169999999999999</v>
      </c>
      <c r="H797">
        <f t="shared" si="12"/>
        <v>28.679999999999996</v>
      </c>
    </row>
    <row r="798" spans="1:8" x14ac:dyDescent="0.25">
      <c r="A798" t="s">
        <v>1544</v>
      </c>
      <c r="B798">
        <v>44533</v>
      </c>
      <c r="C798" t="s">
        <v>1545</v>
      </c>
      <c r="D798" t="s">
        <v>83</v>
      </c>
      <c r="E798">
        <v>1</v>
      </c>
      <c r="F798">
        <f>INDEX([1]products!$A$1:$G$49,MATCH([1]orders!$D798,[1]products!$A$1:$A$49,0),MATCH([1]orders!K$1,[1]products!$A$1:$G$1,0))</f>
        <v>0.5</v>
      </c>
      <c r="G798">
        <f>INDEX([1]products!$A$1:$G$49,MATCH([1]orders!$D798,[1]products!$A$1:$A$49,0),MATCH([1]orders!L$1,[1]products!$A$1:$G$1,0))</f>
        <v>9.51</v>
      </c>
      <c r="H798">
        <f t="shared" si="12"/>
        <v>9.51</v>
      </c>
    </row>
    <row r="799" spans="1:8" x14ac:dyDescent="0.25">
      <c r="A799" t="s">
        <v>1546</v>
      </c>
      <c r="B799">
        <v>44751</v>
      </c>
      <c r="C799" t="s">
        <v>1547</v>
      </c>
      <c r="D799" t="s">
        <v>192</v>
      </c>
      <c r="E799">
        <v>4</v>
      </c>
      <c r="F799">
        <f>INDEX([1]products!$A$1:$G$49,MATCH([1]orders!$D799,[1]products!$A$1:$A$49,0),MATCH([1]orders!K$1,[1]products!$A$1:$G$1,0))</f>
        <v>0.5</v>
      </c>
      <c r="G799">
        <f>INDEX([1]products!$A$1:$G$49,MATCH([1]orders!$D799,[1]products!$A$1:$A$49,0),MATCH([1]orders!L$1,[1]products!$A$1:$G$1,0))</f>
        <v>7.77</v>
      </c>
      <c r="H799">
        <f t="shared" si="12"/>
        <v>31.08</v>
      </c>
    </row>
    <row r="800" spans="1:8" x14ac:dyDescent="0.25">
      <c r="A800" t="s">
        <v>1548</v>
      </c>
      <c r="B800">
        <v>43950</v>
      </c>
      <c r="C800" t="s">
        <v>1549</v>
      </c>
      <c r="D800" t="s">
        <v>101</v>
      </c>
      <c r="E800">
        <v>3</v>
      </c>
      <c r="F800">
        <f>INDEX([1]products!$A$1:$G$49,MATCH([1]orders!$D800,[1]products!$A$1:$A$49,0),MATCH([1]orders!K$1,[1]products!$A$1:$G$1,0))</f>
        <v>0.2</v>
      </c>
      <c r="G800">
        <f>INDEX([1]products!$A$1:$G$49,MATCH([1]orders!$D800,[1]products!$A$1:$A$49,0),MATCH([1]orders!L$1,[1]products!$A$1:$G$1,0))</f>
        <v>2.6849999999999996</v>
      </c>
      <c r="H800">
        <f t="shared" si="12"/>
        <v>8.0549999999999997</v>
      </c>
    </row>
    <row r="801" spans="1:8" x14ac:dyDescent="0.25">
      <c r="A801" t="s">
        <v>1550</v>
      </c>
      <c r="B801">
        <v>44588</v>
      </c>
      <c r="C801" t="s">
        <v>1551</v>
      </c>
      <c r="D801" t="s">
        <v>245</v>
      </c>
      <c r="E801">
        <v>3</v>
      </c>
      <c r="F801">
        <f>INDEX([1]products!$A$1:$G$49,MATCH([1]orders!$D801,[1]products!$A$1:$A$49,0),MATCH([1]orders!K$1,[1]products!$A$1:$G$1,0))</f>
        <v>1</v>
      </c>
      <c r="G801">
        <f>INDEX([1]products!$A$1:$G$49,MATCH([1]orders!$D801,[1]products!$A$1:$A$49,0),MATCH([1]orders!L$1,[1]products!$A$1:$G$1,0))</f>
        <v>12.15</v>
      </c>
      <c r="H801">
        <f t="shared" si="12"/>
        <v>36.450000000000003</v>
      </c>
    </row>
    <row r="802" spans="1:8" x14ac:dyDescent="0.25">
      <c r="A802" t="s">
        <v>1552</v>
      </c>
      <c r="B802">
        <v>44240</v>
      </c>
      <c r="C802" t="s">
        <v>1553</v>
      </c>
      <c r="D802" t="s">
        <v>101</v>
      </c>
      <c r="E802">
        <v>6</v>
      </c>
      <c r="F802">
        <f>INDEX([1]products!$A$1:$G$49,MATCH([1]orders!$D802,[1]products!$A$1:$A$49,0),MATCH([1]orders!K$1,[1]products!$A$1:$G$1,0))</f>
        <v>0.2</v>
      </c>
      <c r="G802">
        <f>INDEX([1]products!$A$1:$G$49,MATCH([1]orders!$D802,[1]products!$A$1:$A$49,0),MATCH([1]orders!L$1,[1]products!$A$1:$G$1,0))</f>
        <v>2.6849999999999996</v>
      </c>
      <c r="H802">
        <f t="shared" si="12"/>
        <v>16.11</v>
      </c>
    </row>
    <row r="803" spans="1:8" x14ac:dyDescent="0.25">
      <c r="A803" t="s">
        <v>1554</v>
      </c>
      <c r="B803">
        <v>44025</v>
      </c>
      <c r="C803" t="s">
        <v>1555</v>
      </c>
      <c r="D803" t="s">
        <v>35</v>
      </c>
      <c r="E803">
        <v>2</v>
      </c>
      <c r="F803">
        <f>INDEX([1]products!$A$1:$G$49,MATCH([1]orders!$D803,[1]products!$A$1:$A$49,0),MATCH([1]orders!K$1,[1]products!$A$1:$G$1,0))</f>
        <v>2.5</v>
      </c>
      <c r="G803">
        <f>INDEX([1]products!$A$1:$G$49,MATCH([1]orders!$D803,[1]products!$A$1:$A$49,0),MATCH([1]orders!L$1,[1]products!$A$1:$G$1,0))</f>
        <v>20.584999999999997</v>
      </c>
      <c r="H803">
        <f t="shared" si="12"/>
        <v>41.169999999999995</v>
      </c>
    </row>
    <row r="804" spans="1:8" x14ac:dyDescent="0.25">
      <c r="A804" t="s">
        <v>1556</v>
      </c>
      <c r="B804">
        <v>43902</v>
      </c>
      <c r="C804" t="s">
        <v>1557</v>
      </c>
      <c r="D804" t="s">
        <v>101</v>
      </c>
      <c r="E804">
        <v>4</v>
      </c>
      <c r="F804">
        <f>INDEX([1]products!$A$1:$G$49,MATCH([1]orders!$D804,[1]products!$A$1:$A$49,0),MATCH([1]orders!K$1,[1]products!$A$1:$G$1,0))</f>
        <v>0.2</v>
      </c>
      <c r="G804">
        <f>INDEX([1]products!$A$1:$G$49,MATCH([1]orders!$D804,[1]products!$A$1:$A$49,0),MATCH([1]orders!L$1,[1]products!$A$1:$G$1,0))</f>
        <v>2.6849999999999996</v>
      </c>
      <c r="H804">
        <f t="shared" si="12"/>
        <v>10.739999999999998</v>
      </c>
    </row>
    <row r="805" spans="1:8" x14ac:dyDescent="0.25">
      <c r="A805" t="s">
        <v>1558</v>
      </c>
      <c r="B805">
        <v>43955</v>
      </c>
      <c r="C805" t="s">
        <v>1559</v>
      </c>
      <c r="D805" t="s">
        <v>112</v>
      </c>
      <c r="E805">
        <v>4</v>
      </c>
      <c r="F805">
        <f>INDEX([1]products!$A$1:$G$49,MATCH([1]orders!$D805,[1]products!$A$1:$A$49,0),MATCH([1]orders!K$1,[1]products!$A$1:$G$1,0))</f>
        <v>2.5</v>
      </c>
      <c r="G805">
        <f>INDEX([1]products!$A$1:$G$49,MATCH([1]orders!$D805,[1]products!$A$1:$A$49,0),MATCH([1]orders!L$1,[1]products!$A$1:$G$1,0))</f>
        <v>31.624999999999996</v>
      </c>
      <c r="H805">
        <f t="shared" si="12"/>
        <v>126.49999999999999</v>
      </c>
    </row>
    <row r="806" spans="1:8" x14ac:dyDescent="0.25">
      <c r="A806" t="s">
        <v>1560</v>
      </c>
      <c r="B806">
        <v>44289</v>
      </c>
      <c r="C806" t="s">
        <v>1561</v>
      </c>
      <c r="D806" t="s">
        <v>189</v>
      </c>
      <c r="E806">
        <v>2</v>
      </c>
      <c r="F806">
        <f>INDEX([1]products!$A$1:$G$49,MATCH([1]orders!$D806,[1]products!$A$1:$A$49,0),MATCH([1]orders!K$1,[1]products!$A$1:$G$1,0))</f>
        <v>1</v>
      </c>
      <c r="G806">
        <f>INDEX([1]products!$A$1:$G$49,MATCH([1]orders!$D806,[1]products!$A$1:$A$49,0),MATCH([1]orders!L$1,[1]products!$A$1:$G$1,0))</f>
        <v>11.95</v>
      </c>
      <c r="H806">
        <f t="shared" si="12"/>
        <v>23.9</v>
      </c>
    </row>
    <row r="807" spans="1:8" x14ac:dyDescent="0.25">
      <c r="A807" t="s">
        <v>1562</v>
      </c>
      <c r="B807">
        <v>44713</v>
      </c>
      <c r="C807" t="s">
        <v>1563</v>
      </c>
      <c r="D807" t="s">
        <v>22</v>
      </c>
      <c r="E807">
        <v>1</v>
      </c>
      <c r="F807">
        <f>INDEX([1]products!$A$1:$G$49,MATCH([1]orders!$D807,[1]products!$A$1:$A$49,0),MATCH([1]orders!K$1,[1]products!$A$1:$G$1,0))</f>
        <v>0.5</v>
      </c>
      <c r="G807">
        <f>INDEX([1]products!$A$1:$G$49,MATCH([1]orders!$D807,[1]products!$A$1:$A$49,0),MATCH([1]orders!L$1,[1]products!$A$1:$G$1,0))</f>
        <v>5.97</v>
      </c>
      <c r="H807">
        <f t="shared" si="12"/>
        <v>5.97</v>
      </c>
    </row>
    <row r="808" spans="1:8" x14ac:dyDescent="0.25">
      <c r="A808" t="s">
        <v>1564</v>
      </c>
      <c r="B808">
        <v>44241</v>
      </c>
      <c r="C808" t="s">
        <v>1565</v>
      </c>
      <c r="D808" t="s">
        <v>38</v>
      </c>
      <c r="E808">
        <v>2</v>
      </c>
      <c r="F808">
        <f>INDEX([1]products!$A$1:$G$49,MATCH([1]orders!$D808,[1]products!$A$1:$A$49,0),MATCH([1]orders!K$1,[1]products!$A$1:$G$1,0))</f>
        <v>0.2</v>
      </c>
      <c r="G808">
        <f>INDEX([1]products!$A$1:$G$49,MATCH([1]orders!$D808,[1]products!$A$1:$A$49,0),MATCH([1]orders!L$1,[1]products!$A$1:$G$1,0))</f>
        <v>3.8849999999999998</v>
      </c>
      <c r="H808">
        <f t="shared" si="12"/>
        <v>7.77</v>
      </c>
    </row>
    <row r="809" spans="1:8" x14ac:dyDescent="0.25">
      <c r="A809" t="s">
        <v>1566</v>
      </c>
      <c r="B809">
        <v>44543</v>
      </c>
      <c r="C809" t="s">
        <v>1567</v>
      </c>
      <c r="D809" t="s">
        <v>123</v>
      </c>
      <c r="E809">
        <v>3</v>
      </c>
      <c r="F809">
        <f>INDEX([1]products!$A$1:$G$49,MATCH([1]orders!$D809,[1]products!$A$1:$A$49,0),MATCH([1]orders!K$1,[1]products!$A$1:$G$1,0))</f>
        <v>0.5</v>
      </c>
      <c r="G809">
        <f>INDEX([1]products!$A$1:$G$49,MATCH([1]orders!$D809,[1]products!$A$1:$A$49,0),MATCH([1]orders!L$1,[1]products!$A$1:$G$1,0))</f>
        <v>7.77</v>
      </c>
      <c r="H809">
        <f t="shared" si="12"/>
        <v>23.31</v>
      </c>
    </row>
    <row r="810" spans="1:8" x14ac:dyDescent="0.25">
      <c r="A810" t="s">
        <v>1568</v>
      </c>
      <c r="B810">
        <v>43868</v>
      </c>
      <c r="C810" t="s">
        <v>1569</v>
      </c>
      <c r="D810" t="s">
        <v>10</v>
      </c>
      <c r="E810">
        <v>5</v>
      </c>
      <c r="F810">
        <f>INDEX([1]products!$A$1:$G$49,MATCH([1]orders!$D810,[1]products!$A$1:$A$49,0),MATCH([1]orders!K$1,[1]products!$A$1:$G$1,0))</f>
        <v>2.5</v>
      </c>
      <c r="G810">
        <f>INDEX([1]products!$A$1:$G$49,MATCH([1]orders!$D810,[1]products!$A$1:$A$49,0),MATCH([1]orders!L$1,[1]products!$A$1:$G$1,0))</f>
        <v>27.484999999999996</v>
      </c>
      <c r="H810">
        <f t="shared" si="12"/>
        <v>137.42499999999998</v>
      </c>
    </row>
    <row r="811" spans="1:8" x14ac:dyDescent="0.25">
      <c r="A811" t="s">
        <v>1570</v>
      </c>
      <c r="B811">
        <v>44235</v>
      </c>
      <c r="C811" t="s">
        <v>1571</v>
      </c>
      <c r="D811" t="s">
        <v>101</v>
      </c>
      <c r="E811">
        <v>3</v>
      </c>
      <c r="F811">
        <f>INDEX([1]products!$A$1:$G$49,MATCH([1]orders!$D811,[1]products!$A$1:$A$49,0),MATCH([1]orders!K$1,[1]products!$A$1:$G$1,0))</f>
        <v>0.2</v>
      </c>
      <c r="G811">
        <f>INDEX([1]products!$A$1:$G$49,MATCH([1]orders!$D811,[1]products!$A$1:$A$49,0),MATCH([1]orders!L$1,[1]products!$A$1:$G$1,0))</f>
        <v>2.6849999999999996</v>
      </c>
      <c r="H811">
        <f t="shared" si="12"/>
        <v>8.0549999999999997</v>
      </c>
    </row>
    <row r="812" spans="1:8" x14ac:dyDescent="0.25">
      <c r="A812" t="s">
        <v>1572</v>
      </c>
      <c r="B812">
        <v>44054</v>
      </c>
      <c r="C812" t="s">
        <v>1573</v>
      </c>
      <c r="D812" t="s">
        <v>83</v>
      </c>
      <c r="E812">
        <v>3</v>
      </c>
      <c r="F812">
        <f>INDEX([1]products!$A$1:$G$49,MATCH([1]orders!$D812,[1]products!$A$1:$A$49,0),MATCH([1]orders!K$1,[1]products!$A$1:$G$1,0))</f>
        <v>0.5</v>
      </c>
      <c r="G812">
        <f>INDEX([1]products!$A$1:$G$49,MATCH([1]orders!$D812,[1]products!$A$1:$A$49,0),MATCH([1]orders!L$1,[1]products!$A$1:$G$1,0))</f>
        <v>9.51</v>
      </c>
      <c r="H812">
        <f t="shared" si="12"/>
        <v>28.53</v>
      </c>
    </row>
    <row r="813" spans="1:8" x14ac:dyDescent="0.25">
      <c r="A813" t="s">
        <v>1574</v>
      </c>
      <c r="B813">
        <v>44114</v>
      </c>
      <c r="C813" t="s">
        <v>1575</v>
      </c>
      <c r="D813" t="s">
        <v>61</v>
      </c>
      <c r="E813">
        <v>6</v>
      </c>
      <c r="F813">
        <f>INDEX([1]products!$A$1:$G$49,MATCH([1]orders!$D813,[1]products!$A$1:$A$49,0),MATCH([1]orders!K$1,[1]products!$A$1:$G$1,0))</f>
        <v>1</v>
      </c>
      <c r="G813">
        <f>INDEX([1]products!$A$1:$G$49,MATCH([1]orders!$D813,[1]products!$A$1:$A$49,0),MATCH([1]orders!L$1,[1]products!$A$1:$G$1,0))</f>
        <v>11.25</v>
      </c>
      <c r="H813">
        <f t="shared" si="12"/>
        <v>67.5</v>
      </c>
    </row>
    <row r="814" spans="1:8" x14ac:dyDescent="0.25">
      <c r="A814" t="s">
        <v>1574</v>
      </c>
      <c r="B814">
        <v>44114</v>
      </c>
      <c r="C814" t="s">
        <v>1575</v>
      </c>
      <c r="D814" t="s">
        <v>109</v>
      </c>
      <c r="E814">
        <v>6</v>
      </c>
      <c r="F814">
        <f>INDEX([1]products!$A$1:$G$49,MATCH([1]orders!$D814,[1]products!$A$1:$A$49,0),MATCH([1]orders!K$1,[1]products!$A$1:$G$1,0))</f>
        <v>2.5</v>
      </c>
      <c r="G814">
        <f>INDEX([1]products!$A$1:$G$49,MATCH([1]orders!$D814,[1]products!$A$1:$A$49,0),MATCH([1]orders!L$1,[1]products!$A$1:$G$1,0))</f>
        <v>29.784999999999997</v>
      </c>
      <c r="H814">
        <f t="shared" si="12"/>
        <v>178.70999999999998</v>
      </c>
    </row>
    <row r="815" spans="1:8" x14ac:dyDescent="0.25">
      <c r="A815" t="s">
        <v>1576</v>
      </c>
      <c r="B815">
        <v>44173</v>
      </c>
      <c r="C815" t="s">
        <v>1577</v>
      </c>
      <c r="D815" t="s">
        <v>112</v>
      </c>
      <c r="E815">
        <v>1</v>
      </c>
      <c r="F815">
        <f>INDEX([1]products!$A$1:$G$49,MATCH([1]orders!$D815,[1]products!$A$1:$A$49,0),MATCH([1]orders!K$1,[1]products!$A$1:$G$1,0))</f>
        <v>2.5</v>
      </c>
      <c r="G815">
        <f>INDEX([1]products!$A$1:$G$49,MATCH([1]orders!$D815,[1]products!$A$1:$A$49,0),MATCH([1]orders!L$1,[1]products!$A$1:$G$1,0))</f>
        <v>31.624999999999996</v>
      </c>
      <c r="H815">
        <f t="shared" si="12"/>
        <v>31.624999999999996</v>
      </c>
    </row>
    <row r="816" spans="1:8" x14ac:dyDescent="0.25">
      <c r="A816" t="s">
        <v>1578</v>
      </c>
      <c r="B816">
        <v>43573</v>
      </c>
      <c r="C816" t="s">
        <v>1579</v>
      </c>
      <c r="D816" t="s">
        <v>254</v>
      </c>
      <c r="E816">
        <v>2</v>
      </c>
      <c r="F816">
        <f>INDEX([1]products!$A$1:$G$49,MATCH([1]orders!$D816,[1]products!$A$1:$A$49,0),MATCH([1]orders!K$1,[1]products!$A$1:$G$1,0))</f>
        <v>0.2</v>
      </c>
      <c r="G816">
        <f>INDEX([1]products!$A$1:$G$49,MATCH([1]orders!$D816,[1]products!$A$1:$A$49,0),MATCH([1]orders!L$1,[1]products!$A$1:$G$1,0))</f>
        <v>4.4550000000000001</v>
      </c>
      <c r="H816">
        <f t="shared" si="12"/>
        <v>8.91</v>
      </c>
    </row>
    <row r="817" spans="1:8" x14ac:dyDescent="0.25">
      <c r="A817" t="s">
        <v>1580</v>
      </c>
      <c r="B817">
        <v>44200</v>
      </c>
      <c r="C817" t="s">
        <v>1581</v>
      </c>
      <c r="D817" t="s">
        <v>22</v>
      </c>
      <c r="E817">
        <v>6</v>
      </c>
      <c r="F817">
        <f>INDEX([1]products!$A$1:$G$49,MATCH([1]orders!$D817,[1]products!$A$1:$A$49,0),MATCH([1]orders!K$1,[1]products!$A$1:$G$1,0))</f>
        <v>0.5</v>
      </c>
      <c r="G817">
        <f>INDEX([1]products!$A$1:$G$49,MATCH([1]orders!$D817,[1]products!$A$1:$A$49,0),MATCH([1]orders!L$1,[1]products!$A$1:$G$1,0))</f>
        <v>5.97</v>
      </c>
      <c r="H817">
        <f t="shared" si="12"/>
        <v>35.82</v>
      </c>
    </row>
    <row r="818" spans="1:8" x14ac:dyDescent="0.25">
      <c r="A818" t="s">
        <v>1582</v>
      </c>
      <c r="B818">
        <v>43534</v>
      </c>
      <c r="C818" t="s">
        <v>1583</v>
      </c>
      <c r="D818" t="s">
        <v>83</v>
      </c>
      <c r="E818">
        <v>4</v>
      </c>
      <c r="F818">
        <f>INDEX([1]products!$A$1:$G$49,MATCH([1]orders!$D818,[1]products!$A$1:$A$49,0),MATCH([1]orders!K$1,[1]products!$A$1:$G$1,0))</f>
        <v>0.5</v>
      </c>
      <c r="G818">
        <f>INDEX([1]products!$A$1:$G$49,MATCH([1]orders!$D818,[1]products!$A$1:$A$49,0),MATCH([1]orders!L$1,[1]products!$A$1:$G$1,0))</f>
        <v>9.51</v>
      </c>
      <c r="H818">
        <f t="shared" si="12"/>
        <v>38.04</v>
      </c>
    </row>
    <row r="819" spans="1:8" x14ac:dyDescent="0.25">
      <c r="A819" t="s">
        <v>1584</v>
      </c>
      <c r="B819">
        <v>43798</v>
      </c>
      <c r="C819" t="s">
        <v>1585</v>
      </c>
      <c r="D819" t="s">
        <v>123</v>
      </c>
      <c r="E819">
        <v>2</v>
      </c>
      <c r="F819">
        <f>INDEX([1]products!$A$1:$G$49,MATCH([1]orders!$D819,[1]products!$A$1:$A$49,0),MATCH([1]orders!K$1,[1]products!$A$1:$G$1,0))</f>
        <v>0.5</v>
      </c>
      <c r="G819">
        <f>INDEX([1]products!$A$1:$G$49,MATCH([1]orders!$D819,[1]products!$A$1:$A$49,0),MATCH([1]orders!L$1,[1]products!$A$1:$G$1,0))</f>
        <v>7.77</v>
      </c>
      <c r="H819">
        <f t="shared" si="12"/>
        <v>15.54</v>
      </c>
    </row>
    <row r="820" spans="1:8" x14ac:dyDescent="0.25">
      <c r="A820" t="s">
        <v>1586</v>
      </c>
      <c r="B820">
        <v>44761</v>
      </c>
      <c r="C820" t="s">
        <v>1569</v>
      </c>
      <c r="D820" t="s">
        <v>132</v>
      </c>
      <c r="E820">
        <v>5</v>
      </c>
      <c r="F820">
        <f>INDEX([1]products!$A$1:$G$49,MATCH([1]orders!$D820,[1]products!$A$1:$A$49,0),MATCH([1]orders!K$1,[1]products!$A$1:$G$1,0))</f>
        <v>1</v>
      </c>
      <c r="G820">
        <f>INDEX([1]products!$A$1:$G$49,MATCH([1]orders!$D820,[1]products!$A$1:$A$49,0),MATCH([1]orders!L$1,[1]products!$A$1:$G$1,0))</f>
        <v>15.85</v>
      </c>
      <c r="H820">
        <f t="shared" si="12"/>
        <v>79.25</v>
      </c>
    </row>
    <row r="821" spans="1:8" x14ac:dyDescent="0.25">
      <c r="A821" t="s">
        <v>1587</v>
      </c>
      <c r="B821">
        <v>44008</v>
      </c>
      <c r="C821" t="s">
        <v>1588</v>
      </c>
      <c r="D821" t="s">
        <v>19</v>
      </c>
      <c r="E821">
        <v>1</v>
      </c>
      <c r="F821">
        <f>INDEX([1]products!$A$1:$G$49,MATCH([1]orders!$D821,[1]products!$A$1:$A$49,0),MATCH([1]orders!K$1,[1]products!$A$1:$G$1,0))</f>
        <v>0.2</v>
      </c>
      <c r="G821">
        <f>INDEX([1]products!$A$1:$G$49,MATCH([1]orders!$D821,[1]products!$A$1:$A$49,0),MATCH([1]orders!L$1,[1]products!$A$1:$G$1,0))</f>
        <v>4.7549999999999999</v>
      </c>
      <c r="H821">
        <f t="shared" si="12"/>
        <v>4.7549999999999999</v>
      </c>
    </row>
    <row r="822" spans="1:8" x14ac:dyDescent="0.25">
      <c r="A822" t="s">
        <v>1589</v>
      </c>
      <c r="B822">
        <v>43510</v>
      </c>
      <c r="C822" t="s">
        <v>1590</v>
      </c>
      <c r="D822" t="s">
        <v>9</v>
      </c>
      <c r="E822">
        <v>4</v>
      </c>
      <c r="F822">
        <f>INDEX([1]products!$A$1:$G$49,MATCH([1]orders!$D822,[1]products!$A$1:$A$49,0),MATCH([1]orders!K$1,[1]products!$A$1:$G$1,0))</f>
        <v>1</v>
      </c>
      <c r="G822">
        <f>INDEX([1]products!$A$1:$G$49,MATCH([1]orders!$D822,[1]products!$A$1:$A$49,0),MATCH([1]orders!L$1,[1]products!$A$1:$G$1,0))</f>
        <v>13.75</v>
      </c>
      <c r="H822">
        <f t="shared" si="12"/>
        <v>55</v>
      </c>
    </row>
    <row r="823" spans="1:8" x14ac:dyDescent="0.25">
      <c r="A823" t="s">
        <v>1591</v>
      </c>
      <c r="B823">
        <v>44144</v>
      </c>
      <c r="C823" t="s">
        <v>1592</v>
      </c>
      <c r="D823" t="s">
        <v>146</v>
      </c>
      <c r="E823">
        <v>5</v>
      </c>
      <c r="F823">
        <f>INDEX([1]products!$A$1:$G$49,MATCH([1]orders!$D823,[1]products!$A$1:$A$49,0),MATCH([1]orders!K$1,[1]products!$A$1:$G$1,0))</f>
        <v>0.5</v>
      </c>
      <c r="G823">
        <f>INDEX([1]products!$A$1:$G$49,MATCH([1]orders!$D823,[1]products!$A$1:$A$49,0),MATCH([1]orders!L$1,[1]products!$A$1:$G$1,0))</f>
        <v>5.3699999999999992</v>
      </c>
      <c r="H823">
        <f t="shared" si="12"/>
        <v>26.849999999999994</v>
      </c>
    </row>
    <row r="824" spans="1:8" x14ac:dyDescent="0.25">
      <c r="A824" t="s">
        <v>1593</v>
      </c>
      <c r="B824">
        <v>43585</v>
      </c>
      <c r="C824" t="s">
        <v>1594</v>
      </c>
      <c r="D824" t="s">
        <v>30</v>
      </c>
      <c r="E824">
        <v>4</v>
      </c>
      <c r="F824">
        <f>INDEX([1]products!$A$1:$G$49,MATCH([1]orders!$D824,[1]products!$A$1:$A$49,0),MATCH([1]orders!K$1,[1]products!$A$1:$G$1,0))</f>
        <v>2.5</v>
      </c>
      <c r="G824">
        <f>INDEX([1]products!$A$1:$G$49,MATCH([1]orders!$D824,[1]products!$A$1:$A$49,0),MATCH([1]orders!L$1,[1]products!$A$1:$G$1,0))</f>
        <v>34.154999999999994</v>
      </c>
      <c r="H824">
        <f t="shared" si="12"/>
        <v>136.61999999999998</v>
      </c>
    </row>
    <row r="825" spans="1:8" x14ac:dyDescent="0.25">
      <c r="A825" t="s">
        <v>1595</v>
      </c>
      <c r="B825">
        <v>44134</v>
      </c>
      <c r="C825" t="s">
        <v>1596</v>
      </c>
      <c r="D825" t="s">
        <v>132</v>
      </c>
      <c r="E825">
        <v>3</v>
      </c>
      <c r="F825">
        <f>INDEX([1]products!$A$1:$G$49,MATCH([1]orders!$D825,[1]products!$A$1:$A$49,0),MATCH([1]orders!K$1,[1]products!$A$1:$G$1,0))</f>
        <v>1</v>
      </c>
      <c r="G825">
        <f>INDEX([1]products!$A$1:$G$49,MATCH([1]orders!$D825,[1]products!$A$1:$A$49,0),MATCH([1]orders!L$1,[1]products!$A$1:$G$1,0))</f>
        <v>15.85</v>
      </c>
      <c r="H825">
        <f t="shared" si="12"/>
        <v>47.55</v>
      </c>
    </row>
    <row r="826" spans="1:8" x14ac:dyDescent="0.25">
      <c r="A826" t="s">
        <v>1597</v>
      </c>
      <c r="B826">
        <v>43781</v>
      </c>
      <c r="C826" t="s">
        <v>1598</v>
      </c>
      <c r="D826" t="s">
        <v>44</v>
      </c>
      <c r="E826">
        <v>5</v>
      </c>
      <c r="F826">
        <f>INDEX([1]products!$A$1:$G$49,MATCH([1]orders!$D826,[1]products!$A$1:$A$49,0),MATCH([1]orders!K$1,[1]products!$A$1:$G$1,0))</f>
        <v>0.2</v>
      </c>
      <c r="G826">
        <f>INDEX([1]products!$A$1:$G$49,MATCH([1]orders!$D826,[1]products!$A$1:$A$49,0),MATCH([1]orders!L$1,[1]products!$A$1:$G$1,0))</f>
        <v>3.375</v>
      </c>
      <c r="H826">
        <f t="shared" si="12"/>
        <v>16.875</v>
      </c>
    </row>
    <row r="827" spans="1:8" x14ac:dyDescent="0.25">
      <c r="A827" t="s">
        <v>1599</v>
      </c>
      <c r="B827">
        <v>44603</v>
      </c>
      <c r="C827" t="s">
        <v>1600</v>
      </c>
      <c r="D827" t="s">
        <v>27</v>
      </c>
      <c r="E827">
        <v>3</v>
      </c>
      <c r="F827">
        <f>INDEX([1]products!$A$1:$G$49,MATCH([1]orders!$D827,[1]products!$A$1:$A$49,0),MATCH([1]orders!K$1,[1]products!$A$1:$G$1,0))</f>
        <v>1</v>
      </c>
      <c r="G827">
        <f>INDEX([1]products!$A$1:$G$49,MATCH([1]orders!$D827,[1]products!$A$1:$A$49,0),MATCH([1]orders!L$1,[1]products!$A$1:$G$1,0))</f>
        <v>9.9499999999999993</v>
      </c>
      <c r="H827">
        <f t="shared" si="12"/>
        <v>29.849999999999998</v>
      </c>
    </row>
    <row r="828" spans="1:8" x14ac:dyDescent="0.25">
      <c r="A828" t="s">
        <v>1601</v>
      </c>
      <c r="B828">
        <v>44283</v>
      </c>
      <c r="C828" t="s">
        <v>1602</v>
      </c>
      <c r="D828" t="s">
        <v>3</v>
      </c>
      <c r="E828">
        <v>5</v>
      </c>
      <c r="F828">
        <f>INDEX([1]products!$A$1:$G$49,MATCH([1]orders!$D828,[1]products!$A$1:$A$49,0),MATCH([1]orders!K$1,[1]products!$A$1:$G$1,0))</f>
        <v>0.5</v>
      </c>
      <c r="G828">
        <f>INDEX([1]products!$A$1:$G$49,MATCH([1]orders!$D828,[1]products!$A$1:$A$49,0),MATCH([1]orders!L$1,[1]products!$A$1:$G$1,0))</f>
        <v>8.25</v>
      </c>
      <c r="H828">
        <f t="shared" si="12"/>
        <v>41.25</v>
      </c>
    </row>
    <row r="829" spans="1:8" x14ac:dyDescent="0.25">
      <c r="A829" t="s">
        <v>1603</v>
      </c>
      <c r="B829">
        <v>44540</v>
      </c>
      <c r="C829" t="s">
        <v>1604</v>
      </c>
      <c r="D829" t="s">
        <v>64</v>
      </c>
      <c r="E829">
        <v>5</v>
      </c>
      <c r="F829">
        <f>INDEX([1]products!$A$1:$G$49,MATCH([1]orders!$D829,[1]products!$A$1:$A$49,0),MATCH([1]orders!K$1,[1]products!$A$1:$G$1,0))</f>
        <v>0.2</v>
      </c>
      <c r="G829">
        <f>INDEX([1]products!$A$1:$G$49,MATCH([1]orders!$D829,[1]products!$A$1:$A$49,0),MATCH([1]orders!L$1,[1]products!$A$1:$G$1,0))</f>
        <v>4.125</v>
      </c>
      <c r="H829">
        <f t="shared" si="12"/>
        <v>20.625</v>
      </c>
    </row>
    <row r="830" spans="1:8" x14ac:dyDescent="0.25">
      <c r="A830" t="s">
        <v>1605</v>
      </c>
      <c r="B830">
        <v>44505</v>
      </c>
      <c r="C830" t="s">
        <v>1606</v>
      </c>
      <c r="D830" t="s">
        <v>118</v>
      </c>
      <c r="E830">
        <v>6</v>
      </c>
      <c r="F830">
        <f>INDEX([1]products!$A$1:$G$49,MATCH([1]orders!$D830,[1]products!$A$1:$A$49,0),MATCH([1]orders!K$1,[1]products!$A$1:$G$1,0))</f>
        <v>2.5</v>
      </c>
      <c r="G830">
        <f>INDEX([1]products!$A$1:$G$49,MATCH([1]orders!$D830,[1]products!$A$1:$A$49,0),MATCH([1]orders!L$1,[1]products!$A$1:$G$1,0))</f>
        <v>22.884999999999998</v>
      </c>
      <c r="H830">
        <f t="shared" si="12"/>
        <v>137.31</v>
      </c>
    </row>
    <row r="831" spans="1:8" x14ac:dyDescent="0.25">
      <c r="A831" t="s">
        <v>1607</v>
      </c>
      <c r="B831">
        <v>43890</v>
      </c>
      <c r="C831" t="s">
        <v>1608</v>
      </c>
      <c r="D831" t="s">
        <v>54</v>
      </c>
      <c r="E831">
        <v>1</v>
      </c>
      <c r="F831">
        <f>INDEX([1]products!$A$1:$G$49,MATCH([1]orders!$D831,[1]products!$A$1:$A$49,0),MATCH([1]orders!K$1,[1]products!$A$1:$G$1,0))</f>
        <v>0.2</v>
      </c>
      <c r="G831">
        <f>INDEX([1]products!$A$1:$G$49,MATCH([1]orders!$D831,[1]products!$A$1:$A$49,0),MATCH([1]orders!L$1,[1]products!$A$1:$G$1,0))</f>
        <v>2.9849999999999999</v>
      </c>
      <c r="H831">
        <f t="shared" si="12"/>
        <v>2.9849999999999999</v>
      </c>
    </row>
    <row r="832" spans="1:8" x14ac:dyDescent="0.25">
      <c r="A832" t="s">
        <v>1609</v>
      </c>
      <c r="B832">
        <v>44414</v>
      </c>
      <c r="C832" t="s">
        <v>1610</v>
      </c>
      <c r="D832" t="s">
        <v>9</v>
      </c>
      <c r="E832">
        <v>2</v>
      </c>
      <c r="F832">
        <f>INDEX([1]products!$A$1:$G$49,MATCH([1]orders!$D832,[1]products!$A$1:$A$49,0),MATCH([1]orders!K$1,[1]products!$A$1:$G$1,0))</f>
        <v>1</v>
      </c>
      <c r="G832">
        <f>INDEX([1]products!$A$1:$G$49,MATCH([1]orders!$D832,[1]products!$A$1:$A$49,0),MATCH([1]orders!L$1,[1]products!$A$1:$G$1,0))</f>
        <v>13.75</v>
      </c>
      <c r="H832">
        <f t="shared" si="12"/>
        <v>27.5</v>
      </c>
    </row>
    <row r="833" spans="1:8" x14ac:dyDescent="0.25">
      <c r="A833" t="s">
        <v>1609</v>
      </c>
      <c r="B833">
        <v>44414</v>
      </c>
      <c r="C833" t="s">
        <v>1610</v>
      </c>
      <c r="D833" t="s">
        <v>54</v>
      </c>
      <c r="E833">
        <v>2</v>
      </c>
      <c r="F833">
        <f>INDEX([1]products!$A$1:$G$49,MATCH([1]orders!$D833,[1]products!$A$1:$A$49,0),MATCH([1]orders!K$1,[1]products!$A$1:$G$1,0))</f>
        <v>0.2</v>
      </c>
      <c r="G833">
        <f>INDEX([1]products!$A$1:$G$49,MATCH([1]orders!$D833,[1]products!$A$1:$A$49,0),MATCH([1]orders!L$1,[1]products!$A$1:$G$1,0))</f>
        <v>2.9849999999999999</v>
      </c>
      <c r="H833">
        <f t="shared" si="12"/>
        <v>5.97</v>
      </c>
    </row>
    <row r="834" spans="1:8" x14ac:dyDescent="0.25">
      <c r="A834" t="s">
        <v>1611</v>
      </c>
      <c r="B834">
        <v>44274</v>
      </c>
      <c r="C834" t="s">
        <v>1612</v>
      </c>
      <c r="D834" t="s">
        <v>2</v>
      </c>
      <c r="E834">
        <v>6</v>
      </c>
      <c r="F834">
        <f>INDEX([1]products!$A$1:$G$49,MATCH([1]orders!$D834,[1]products!$A$1:$A$49,0),MATCH([1]orders!K$1,[1]products!$A$1:$G$1,0))</f>
        <v>1</v>
      </c>
      <c r="G834">
        <f>INDEX([1]products!$A$1:$G$49,MATCH([1]orders!$D834,[1]products!$A$1:$A$49,0),MATCH([1]orders!L$1,[1]products!$A$1:$G$1,0))</f>
        <v>9.9499999999999993</v>
      </c>
      <c r="H834">
        <f t="shared" ref="H834:H897" si="13">E834*G834</f>
        <v>59.699999999999996</v>
      </c>
    </row>
    <row r="835" spans="1:8" x14ac:dyDescent="0.25">
      <c r="A835" t="s">
        <v>1613</v>
      </c>
      <c r="B835">
        <v>44302</v>
      </c>
      <c r="C835" t="s">
        <v>1614</v>
      </c>
      <c r="D835" t="s">
        <v>35</v>
      </c>
      <c r="E835">
        <v>4</v>
      </c>
      <c r="F835">
        <f>INDEX([1]products!$A$1:$G$49,MATCH([1]orders!$D835,[1]products!$A$1:$A$49,0),MATCH([1]orders!K$1,[1]products!$A$1:$G$1,0))</f>
        <v>2.5</v>
      </c>
      <c r="G835">
        <f>INDEX([1]products!$A$1:$G$49,MATCH([1]orders!$D835,[1]products!$A$1:$A$49,0),MATCH([1]orders!L$1,[1]products!$A$1:$G$1,0))</f>
        <v>20.584999999999997</v>
      </c>
      <c r="H835">
        <f t="shared" si="13"/>
        <v>82.339999999999989</v>
      </c>
    </row>
    <row r="836" spans="1:8" x14ac:dyDescent="0.25">
      <c r="A836" t="s">
        <v>1615</v>
      </c>
      <c r="B836">
        <v>44141</v>
      </c>
      <c r="C836" t="s">
        <v>1616</v>
      </c>
      <c r="D836" t="s">
        <v>118</v>
      </c>
      <c r="E836">
        <v>1</v>
      </c>
      <c r="F836">
        <f>INDEX([1]products!$A$1:$G$49,MATCH([1]orders!$D836,[1]products!$A$1:$A$49,0),MATCH([1]orders!K$1,[1]products!$A$1:$G$1,0))</f>
        <v>2.5</v>
      </c>
      <c r="G836">
        <f>INDEX([1]products!$A$1:$G$49,MATCH([1]orders!$D836,[1]products!$A$1:$A$49,0),MATCH([1]orders!L$1,[1]products!$A$1:$G$1,0))</f>
        <v>22.884999999999998</v>
      </c>
      <c r="H836">
        <f t="shared" si="13"/>
        <v>22.884999999999998</v>
      </c>
    </row>
    <row r="837" spans="1:8" x14ac:dyDescent="0.25">
      <c r="A837" t="s">
        <v>1617</v>
      </c>
      <c r="B837">
        <v>44270</v>
      </c>
      <c r="C837" t="s">
        <v>1618</v>
      </c>
      <c r="D837" t="s">
        <v>176</v>
      </c>
      <c r="E837">
        <v>1</v>
      </c>
      <c r="F837">
        <f>INDEX([1]products!$A$1:$G$49,MATCH([1]orders!$D837,[1]products!$A$1:$A$49,0),MATCH([1]orders!K$1,[1]products!$A$1:$G$1,0))</f>
        <v>0.5</v>
      </c>
      <c r="G837">
        <f>INDEX([1]products!$A$1:$G$49,MATCH([1]orders!$D837,[1]products!$A$1:$A$49,0),MATCH([1]orders!L$1,[1]products!$A$1:$G$1,0))</f>
        <v>8.91</v>
      </c>
      <c r="H837">
        <f t="shared" si="13"/>
        <v>8.91</v>
      </c>
    </row>
    <row r="838" spans="1:8" x14ac:dyDescent="0.25">
      <c r="A838" t="s">
        <v>1619</v>
      </c>
      <c r="B838">
        <v>44486</v>
      </c>
      <c r="C838" t="s">
        <v>1620</v>
      </c>
      <c r="D838" t="s">
        <v>54</v>
      </c>
      <c r="E838">
        <v>4</v>
      </c>
      <c r="F838">
        <f>INDEX([1]products!$A$1:$G$49,MATCH([1]orders!$D838,[1]products!$A$1:$A$49,0),MATCH([1]orders!K$1,[1]products!$A$1:$G$1,0))</f>
        <v>0.2</v>
      </c>
      <c r="G838">
        <f>INDEX([1]products!$A$1:$G$49,MATCH([1]orders!$D838,[1]products!$A$1:$A$49,0),MATCH([1]orders!L$1,[1]products!$A$1:$G$1,0))</f>
        <v>2.9849999999999999</v>
      </c>
      <c r="H838">
        <f t="shared" si="13"/>
        <v>11.94</v>
      </c>
    </row>
    <row r="839" spans="1:8" x14ac:dyDescent="0.25">
      <c r="A839" t="s">
        <v>1621</v>
      </c>
      <c r="B839">
        <v>43715</v>
      </c>
      <c r="C839" t="s">
        <v>1569</v>
      </c>
      <c r="D839" t="s">
        <v>197</v>
      </c>
      <c r="E839">
        <v>3</v>
      </c>
      <c r="F839">
        <f>INDEX([1]products!$A$1:$G$49,MATCH([1]orders!$D839,[1]products!$A$1:$A$49,0),MATCH([1]orders!K$1,[1]products!$A$1:$G$1,0))</f>
        <v>2.5</v>
      </c>
      <c r="G839">
        <f>INDEX([1]products!$A$1:$G$49,MATCH([1]orders!$D839,[1]products!$A$1:$A$49,0),MATCH([1]orders!L$1,[1]products!$A$1:$G$1,0))</f>
        <v>33.464999999999996</v>
      </c>
      <c r="H839">
        <f t="shared" si="13"/>
        <v>100.39499999999998</v>
      </c>
    </row>
    <row r="840" spans="1:8" x14ac:dyDescent="0.25">
      <c r="A840" t="s">
        <v>1622</v>
      </c>
      <c r="B840">
        <v>44755</v>
      </c>
      <c r="C840" t="s">
        <v>1623</v>
      </c>
      <c r="D840" t="s">
        <v>118</v>
      </c>
      <c r="E840">
        <v>5</v>
      </c>
      <c r="F840">
        <f>INDEX([1]products!$A$1:$G$49,MATCH([1]orders!$D840,[1]products!$A$1:$A$49,0),MATCH([1]orders!K$1,[1]products!$A$1:$G$1,0))</f>
        <v>2.5</v>
      </c>
      <c r="G840">
        <f>INDEX([1]products!$A$1:$G$49,MATCH([1]orders!$D840,[1]products!$A$1:$A$49,0),MATCH([1]orders!L$1,[1]products!$A$1:$G$1,0))</f>
        <v>22.884999999999998</v>
      </c>
      <c r="H840">
        <f t="shared" si="13"/>
        <v>114.42499999999998</v>
      </c>
    </row>
    <row r="841" spans="1:8" x14ac:dyDescent="0.25">
      <c r="A841" t="s">
        <v>1624</v>
      </c>
      <c r="B841">
        <v>44521</v>
      </c>
      <c r="C841" t="s">
        <v>1625</v>
      </c>
      <c r="D841" t="s">
        <v>3</v>
      </c>
      <c r="E841">
        <v>5</v>
      </c>
      <c r="F841">
        <f>INDEX([1]products!$A$1:$G$49,MATCH([1]orders!$D841,[1]products!$A$1:$A$49,0),MATCH([1]orders!K$1,[1]products!$A$1:$G$1,0))</f>
        <v>0.5</v>
      </c>
      <c r="G841">
        <f>INDEX([1]products!$A$1:$G$49,MATCH([1]orders!$D841,[1]products!$A$1:$A$49,0),MATCH([1]orders!L$1,[1]products!$A$1:$G$1,0))</f>
        <v>8.25</v>
      </c>
      <c r="H841">
        <f t="shared" si="13"/>
        <v>41.25</v>
      </c>
    </row>
    <row r="842" spans="1:8" x14ac:dyDescent="0.25">
      <c r="A842" t="s">
        <v>1626</v>
      </c>
      <c r="B842">
        <v>44574</v>
      </c>
      <c r="C842" t="s">
        <v>1627</v>
      </c>
      <c r="D842" t="s">
        <v>157</v>
      </c>
      <c r="E842">
        <v>4</v>
      </c>
      <c r="F842">
        <f>INDEX([1]products!$A$1:$G$49,MATCH([1]orders!$D842,[1]products!$A$1:$A$49,0),MATCH([1]orders!K$1,[1]products!$A$1:$G$1,0))</f>
        <v>0.5</v>
      </c>
      <c r="G842">
        <f>INDEX([1]products!$A$1:$G$49,MATCH([1]orders!$D842,[1]products!$A$1:$A$49,0),MATCH([1]orders!L$1,[1]products!$A$1:$G$1,0))</f>
        <v>7.169999999999999</v>
      </c>
      <c r="H842">
        <f t="shared" si="13"/>
        <v>28.679999999999996</v>
      </c>
    </row>
    <row r="843" spans="1:8" x14ac:dyDescent="0.25">
      <c r="A843" t="s">
        <v>1628</v>
      </c>
      <c r="B843">
        <v>44755</v>
      </c>
      <c r="C843" t="s">
        <v>1629</v>
      </c>
      <c r="D843" t="s">
        <v>77</v>
      </c>
      <c r="E843">
        <v>1</v>
      </c>
      <c r="F843">
        <f>INDEX([1]products!$A$1:$G$49,MATCH([1]orders!$D843,[1]products!$A$1:$A$49,0),MATCH([1]orders!K$1,[1]products!$A$1:$G$1,0))</f>
        <v>0.2</v>
      </c>
      <c r="G843">
        <f>INDEX([1]products!$A$1:$G$49,MATCH([1]orders!$D843,[1]products!$A$1:$A$49,0),MATCH([1]orders!L$1,[1]products!$A$1:$G$1,0))</f>
        <v>4.3650000000000002</v>
      </c>
      <c r="H843">
        <f t="shared" si="13"/>
        <v>4.3650000000000002</v>
      </c>
    </row>
    <row r="844" spans="1:8" x14ac:dyDescent="0.25">
      <c r="A844" t="s">
        <v>1630</v>
      </c>
      <c r="B844">
        <v>44502</v>
      </c>
      <c r="C844" t="s">
        <v>1600</v>
      </c>
      <c r="D844" t="s">
        <v>64</v>
      </c>
      <c r="E844">
        <v>2</v>
      </c>
      <c r="F844">
        <f>INDEX([1]products!$A$1:$G$49,MATCH([1]orders!$D844,[1]products!$A$1:$A$49,0),MATCH([1]orders!K$1,[1]products!$A$1:$G$1,0))</f>
        <v>0.2</v>
      </c>
      <c r="G844">
        <f>INDEX([1]products!$A$1:$G$49,MATCH([1]orders!$D844,[1]products!$A$1:$A$49,0),MATCH([1]orders!L$1,[1]products!$A$1:$G$1,0))</f>
        <v>4.125</v>
      </c>
      <c r="H844">
        <f t="shared" si="13"/>
        <v>8.25</v>
      </c>
    </row>
    <row r="845" spans="1:8" x14ac:dyDescent="0.25">
      <c r="A845" t="s">
        <v>1631</v>
      </c>
      <c r="B845">
        <v>44387</v>
      </c>
      <c r="C845" t="s">
        <v>1632</v>
      </c>
      <c r="D845" t="s">
        <v>64</v>
      </c>
      <c r="E845">
        <v>2</v>
      </c>
      <c r="F845">
        <f>INDEX([1]products!$A$1:$G$49,MATCH([1]orders!$D845,[1]products!$A$1:$A$49,0),MATCH([1]orders!K$1,[1]products!$A$1:$G$1,0))</f>
        <v>0.2</v>
      </c>
      <c r="G845">
        <f>INDEX([1]products!$A$1:$G$49,MATCH([1]orders!$D845,[1]products!$A$1:$A$49,0),MATCH([1]orders!L$1,[1]products!$A$1:$G$1,0))</f>
        <v>4.125</v>
      </c>
      <c r="H845">
        <f t="shared" si="13"/>
        <v>8.25</v>
      </c>
    </row>
    <row r="846" spans="1:8" x14ac:dyDescent="0.25">
      <c r="A846" t="s">
        <v>1633</v>
      </c>
      <c r="B846">
        <v>44476</v>
      </c>
      <c r="C846" t="s">
        <v>1634</v>
      </c>
      <c r="D846" t="s">
        <v>72</v>
      </c>
      <c r="E846">
        <v>6</v>
      </c>
      <c r="F846">
        <f>INDEX([1]products!$A$1:$G$49,MATCH([1]orders!$D846,[1]products!$A$1:$A$49,0),MATCH([1]orders!K$1,[1]products!$A$1:$G$1,0))</f>
        <v>0.5</v>
      </c>
      <c r="G846">
        <f>INDEX([1]products!$A$1:$G$49,MATCH([1]orders!$D846,[1]products!$A$1:$A$49,0),MATCH([1]orders!L$1,[1]products!$A$1:$G$1,0))</f>
        <v>5.97</v>
      </c>
      <c r="H846">
        <f t="shared" si="13"/>
        <v>35.82</v>
      </c>
    </row>
    <row r="847" spans="1:8" x14ac:dyDescent="0.25">
      <c r="A847" t="s">
        <v>1635</v>
      </c>
      <c r="B847">
        <v>43889</v>
      </c>
      <c r="C847" t="s">
        <v>1636</v>
      </c>
      <c r="D847" t="s">
        <v>530</v>
      </c>
      <c r="E847">
        <v>6</v>
      </c>
      <c r="F847">
        <f>INDEX([1]products!$A$1:$G$49,MATCH([1]orders!$D847,[1]products!$A$1:$A$49,0),MATCH([1]orders!K$1,[1]products!$A$1:$G$1,0))</f>
        <v>2.5</v>
      </c>
      <c r="G847">
        <f>INDEX([1]products!$A$1:$G$49,MATCH([1]orders!$D847,[1]products!$A$1:$A$49,0),MATCH([1]orders!L$1,[1]products!$A$1:$G$1,0))</f>
        <v>27.945</v>
      </c>
      <c r="H847">
        <f t="shared" si="13"/>
        <v>167.67000000000002</v>
      </c>
    </row>
    <row r="848" spans="1:8" x14ac:dyDescent="0.25">
      <c r="A848" t="s">
        <v>1637</v>
      </c>
      <c r="B848">
        <v>44747</v>
      </c>
      <c r="C848" t="s">
        <v>1638</v>
      </c>
      <c r="D848" t="s">
        <v>171</v>
      </c>
      <c r="E848">
        <v>2</v>
      </c>
      <c r="F848">
        <f>INDEX([1]products!$A$1:$G$49,MATCH([1]orders!$D848,[1]products!$A$1:$A$49,0),MATCH([1]orders!K$1,[1]products!$A$1:$G$1,0))</f>
        <v>2.5</v>
      </c>
      <c r="G848">
        <f>INDEX([1]products!$A$1:$G$49,MATCH([1]orders!$D848,[1]products!$A$1:$A$49,0),MATCH([1]orders!L$1,[1]products!$A$1:$G$1,0))</f>
        <v>25.874999999999996</v>
      </c>
      <c r="H848">
        <f t="shared" si="13"/>
        <v>51.749999999999993</v>
      </c>
    </row>
    <row r="849" spans="1:8" x14ac:dyDescent="0.25">
      <c r="A849" t="s">
        <v>1639</v>
      </c>
      <c r="B849">
        <v>44460</v>
      </c>
      <c r="C849" t="s">
        <v>1640</v>
      </c>
      <c r="D849" t="s">
        <v>54</v>
      </c>
      <c r="E849">
        <v>3</v>
      </c>
      <c r="F849">
        <f>INDEX([1]products!$A$1:$G$49,MATCH([1]orders!$D849,[1]products!$A$1:$A$49,0),MATCH([1]orders!K$1,[1]products!$A$1:$G$1,0))</f>
        <v>0.2</v>
      </c>
      <c r="G849">
        <f>INDEX([1]products!$A$1:$G$49,MATCH([1]orders!$D849,[1]products!$A$1:$A$49,0),MATCH([1]orders!L$1,[1]products!$A$1:$G$1,0))</f>
        <v>2.9849999999999999</v>
      </c>
      <c r="H849">
        <f t="shared" si="13"/>
        <v>8.9550000000000001</v>
      </c>
    </row>
    <row r="850" spans="1:8" x14ac:dyDescent="0.25">
      <c r="A850" t="s">
        <v>1641</v>
      </c>
      <c r="B850">
        <v>43468</v>
      </c>
      <c r="C850" t="s">
        <v>1642</v>
      </c>
      <c r="D850" t="s">
        <v>176</v>
      </c>
      <c r="E850">
        <v>6</v>
      </c>
      <c r="F850">
        <f>INDEX([1]products!$A$1:$G$49,MATCH([1]orders!$D850,[1]products!$A$1:$A$49,0),MATCH([1]orders!K$1,[1]products!$A$1:$G$1,0))</f>
        <v>0.5</v>
      </c>
      <c r="G850">
        <f>INDEX([1]products!$A$1:$G$49,MATCH([1]orders!$D850,[1]products!$A$1:$A$49,0),MATCH([1]orders!L$1,[1]products!$A$1:$G$1,0))</f>
        <v>8.91</v>
      </c>
      <c r="H850">
        <f t="shared" si="13"/>
        <v>53.46</v>
      </c>
    </row>
    <row r="851" spans="1:8" x14ac:dyDescent="0.25">
      <c r="A851" t="s">
        <v>1643</v>
      </c>
      <c r="B851">
        <v>44628</v>
      </c>
      <c r="C851" t="s">
        <v>1644</v>
      </c>
      <c r="D851" t="s">
        <v>115</v>
      </c>
      <c r="E851">
        <v>6</v>
      </c>
      <c r="F851">
        <f>INDEX([1]products!$A$1:$G$49,MATCH([1]orders!$D851,[1]products!$A$1:$A$49,0),MATCH([1]orders!K$1,[1]products!$A$1:$G$1,0))</f>
        <v>0.2</v>
      </c>
      <c r="G851">
        <f>INDEX([1]products!$A$1:$G$49,MATCH([1]orders!$D851,[1]products!$A$1:$A$49,0),MATCH([1]orders!L$1,[1]products!$A$1:$G$1,0))</f>
        <v>3.8849999999999998</v>
      </c>
      <c r="H851">
        <f t="shared" si="13"/>
        <v>23.31</v>
      </c>
    </row>
    <row r="852" spans="1:8" x14ac:dyDescent="0.25">
      <c r="A852" t="s">
        <v>1643</v>
      </c>
      <c r="B852">
        <v>44628</v>
      </c>
      <c r="C852" t="s">
        <v>1644</v>
      </c>
      <c r="D852" t="s">
        <v>44</v>
      </c>
      <c r="E852">
        <v>2</v>
      </c>
      <c r="F852">
        <f>INDEX([1]products!$A$1:$G$49,MATCH([1]orders!$D852,[1]products!$A$1:$A$49,0),MATCH([1]orders!K$1,[1]products!$A$1:$G$1,0))</f>
        <v>0.2</v>
      </c>
      <c r="G852">
        <f>INDEX([1]products!$A$1:$G$49,MATCH([1]orders!$D852,[1]products!$A$1:$A$49,0),MATCH([1]orders!L$1,[1]products!$A$1:$G$1,0))</f>
        <v>3.375</v>
      </c>
      <c r="H852">
        <f t="shared" si="13"/>
        <v>6.75</v>
      </c>
    </row>
    <row r="853" spans="1:8" x14ac:dyDescent="0.25">
      <c r="A853" t="s">
        <v>1645</v>
      </c>
      <c r="B853">
        <v>43900</v>
      </c>
      <c r="C853" t="s">
        <v>1646</v>
      </c>
      <c r="D853" t="s">
        <v>123</v>
      </c>
      <c r="E853">
        <v>1</v>
      </c>
      <c r="F853">
        <f>INDEX([1]products!$A$1:$G$49,MATCH([1]orders!$D853,[1]products!$A$1:$A$49,0),MATCH([1]orders!K$1,[1]products!$A$1:$G$1,0))</f>
        <v>0.5</v>
      </c>
      <c r="G853">
        <f>INDEX([1]products!$A$1:$G$49,MATCH([1]orders!$D853,[1]products!$A$1:$A$49,0),MATCH([1]orders!L$1,[1]products!$A$1:$G$1,0))</f>
        <v>7.77</v>
      </c>
      <c r="H853">
        <f t="shared" si="13"/>
        <v>7.77</v>
      </c>
    </row>
    <row r="854" spans="1:8" x14ac:dyDescent="0.25">
      <c r="A854" t="s">
        <v>1647</v>
      </c>
      <c r="B854">
        <v>44527</v>
      </c>
      <c r="C854" t="s">
        <v>1648</v>
      </c>
      <c r="D854" t="s">
        <v>109</v>
      </c>
      <c r="E854">
        <v>4</v>
      </c>
      <c r="F854">
        <f>INDEX([1]products!$A$1:$G$49,MATCH([1]orders!$D854,[1]products!$A$1:$A$49,0),MATCH([1]orders!K$1,[1]products!$A$1:$G$1,0))</f>
        <v>2.5</v>
      </c>
      <c r="G854">
        <f>INDEX([1]products!$A$1:$G$49,MATCH([1]orders!$D854,[1]products!$A$1:$A$49,0),MATCH([1]orders!L$1,[1]products!$A$1:$G$1,0))</f>
        <v>29.784999999999997</v>
      </c>
      <c r="H854">
        <f t="shared" si="13"/>
        <v>119.13999999999999</v>
      </c>
    </row>
    <row r="855" spans="1:8" x14ac:dyDescent="0.25">
      <c r="A855" t="s">
        <v>1649</v>
      </c>
      <c r="B855">
        <v>44259</v>
      </c>
      <c r="C855" t="s">
        <v>1650</v>
      </c>
      <c r="D855" t="s">
        <v>27</v>
      </c>
      <c r="E855">
        <v>2</v>
      </c>
      <c r="F855">
        <f>INDEX([1]products!$A$1:$G$49,MATCH([1]orders!$D855,[1]products!$A$1:$A$49,0),MATCH([1]orders!K$1,[1]products!$A$1:$G$1,0))</f>
        <v>1</v>
      </c>
      <c r="G855">
        <f>INDEX([1]products!$A$1:$G$49,MATCH([1]orders!$D855,[1]products!$A$1:$A$49,0),MATCH([1]orders!L$1,[1]products!$A$1:$G$1,0))</f>
        <v>9.9499999999999993</v>
      </c>
      <c r="H855">
        <f t="shared" si="13"/>
        <v>19.899999999999999</v>
      </c>
    </row>
    <row r="856" spans="1:8" x14ac:dyDescent="0.25">
      <c r="A856" t="s">
        <v>1651</v>
      </c>
      <c r="B856">
        <v>44516</v>
      </c>
      <c r="C856" t="s">
        <v>1652</v>
      </c>
      <c r="D856" t="s">
        <v>157</v>
      </c>
      <c r="E856">
        <v>5</v>
      </c>
      <c r="F856">
        <f>INDEX([1]products!$A$1:$G$49,MATCH([1]orders!$D856,[1]products!$A$1:$A$49,0),MATCH([1]orders!K$1,[1]products!$A$1:$G$1,0))</f>
        <v>0.5</v>
      </c>
      <c r="G856">
        <f>INDEX([1]products!$A$1:$G$49,MATCH([1]orders!$D856,[1]products!$A$1:$A$49,0),MATCH([1]orders!L$1,[1]products!$A$1:$G$1,0))</f>
        <v>7.169999999999999</v>
      </c>
      <c r="H856">
        <f t="shared" si="13"/>
        <v>35.849999999999994</v>
      </c>
    </row>
    <row r="857" spans="1:8" x14ac:dyDescent="0.25">
      <c r="A857" t="s">
        <v>1653</v>
      </c>
      <c r="B857">
        <v>43632</v>
      </c>
      <c r="C857" t="s">
        <v>1654</v>
      </c>
      <c r="D857" t="s">
        <v>109</v>
      </c>
      <c r="E857">
        <v>3</v>
      </c>
      <c r="F857">
        <f>INDEX([1]products!$A$1:$G$49,MATCH([1]orders!$D857,[1]products!$A$1:$A$49,0),MATCH([1]orders!K$1,[1]products!$A$1:$G$1,0))</f>
        <v>2.5</v>
      </c>
      <c r="G857">
        <f>INDEX([1]products!$A$1:$G$49,MATCH([1]orders!$D857,[1]products!$A$1:$A$49,0),MATCH([1]orders!L$1,[1]products!$A$1:$G$1,0))</f>
        <v>29.784999999999997</v>
      </c>
      <c r="H857">
        <f t="shared" si="13"/>
        <v>89.35499999999999</v>
      </c>
    </row>
    <row r="858" spans="1:8" x14ac:dyDescent="0.25">
      <c r="A858" t="s">
        <v>1655</v>
      </c>
      <c r="B858">
        <v>44031</v>
      </c>
      <c r="C858" t="s">
        <v>1600</v>
      </c>
      <c r="D858" t="s">
        <v>77</v>
      </c>
      <c r="E858">
        <v>2</v>
      </c>
      <c r="F858">
        <f>INDEX([1]products!$A$1:$G$49,MATCH([1]orders!$D858,[1]products!$A$1:$A$49,0),MATCH([1]orders!K$1,[1]products!$A$1:$G$1,0))</f>
        <v>0.2</v>
      </c>
      <c r="G858">
        <f>INDEX([1]products!$A$1:$G$49,MATCH([1]orders!$D858,[1]products!$A$1:$A$49,0),MATCH([1]orders!L$1,[1]products!$A$1:$G$1,0))</f>
        <v>4.3650000000000002</v>
      </c>
      <c r="H858">
        <f t="shared" si="13"/>
        <v>8.73</v>
      </c>
    </row>
    <row r="859" spans="1:8" x14ac:dyDescent="0.25">
      <c r="A859" t="s">
        <v>1656</v>
      </c>
      <c r="B859">
        <v>43889</v>
      </c>
      <c r="C859" t="s">
        <v>1657</v>
      </c>
      <c r="D859" t="s">
        <v>10</v>
      </c>
      <c r="E859">
        <v>5</v>
      </c>
      <c r="F859">
        <f>INDEX([1]products!$A$1:$G$49,MATCH([1]orders!$D859,[1]products!$A$1:$A$49,0),MATCH([1]orders!K$1,[1]products!$A$1:$G$1,0))</f>
        <v>2.5</v>
      </c>
      <c r="G859">
        <f>INDEX([1]products!$A$1:$G$49,MATCH([1]orders!$D859,[1]products!$A$1:$A$49,0),MATCH([1]orders!L$1,[1]products!$A$1:$G$1,0))</f>
        <v>27.484999999999996</v>
      </c>
      <c r="H859">
        <f t="shared" si="13"/>
        <v>137.42499999999998</v>
      </c>
    </row>
    <row r="860" spans="1:8" x14ac:dyDescent="0.25">
      <c r="A860" t="s">
        <v>1658</v>
      </c>
      <c r="B860">
        <v>43638</v>
      </c>
      <c r="C860" t="s">
        <v>1659</v>
      </c>
      <c r="D860" t="s">
        <v>78</v>
      </c>
      <c r="E860">
        <v>4</v>
      </c>
      <c r="F860">
        <f>INDEX([1]products!$A$1:$G$49,MATCH([1]orders!$D860,[1]products!$A$1:$A$49,0),MATCH([1]orders!K$1,[1]products!$A$1:$G$1,0))</f>
        <v>0.5</v>
      </c>
      <c r="G860">
        <f>INDEX([1]products!$A$1:$G$49,MATCH([1]orders!$D860,[1]products!$A$1:$A$49,0),MATCH([1]orders!L$1,[1]products!$A$1:$G$1,0))</f>
        <v>8.73</v>
      </c>
      <c r="H860">
        <f t="shared" si="13"/>
        <v>34.92</v>
      </c>
    </row>
    <row r="861" spans="1:8" x14ac:dyDescent="0.25">
      <c r="A861" t="s">
        <v>1660</v>
      </c>
      <c r="B861">
        <v>43716</v>
      </c>
      <c r="C861" t="s">
        <v>1661</v>
      </c>
      <c r="D861" t="s">
        <v>204</v>
      </c>
      <c r="E861">
        <v>6</v>
      </c>
      <c r="F861">
        <f>INDEX([1]products!$A$1:$G$49,MATCH([1]orders!$D861,[1]products!$A$1:$A$49,0),MATCH([1]orders!K$1,[1]products!$A$1:$G$1,0))</f>
        <v>2.5</v>
      </c>
      <c r="G861">
        <f>INDEX([1]products!$A$1:$G$49,MATCH([1]orders!$D861,[1]products!$A$1:$A$49,0),MATCH([1]orders!L$1,[1]products!$A$1:$G$1,0))</f>
        <v>29.784999999999997</v>
      </c>
      <c r="H861">
        <f t="shared" si="13"/>
        <v>178.70999999999998</v>
      </c>
    </row>
    <row r="862" spans="1:8" x14ac:dyDescent="0.25">
      <c r="A862" t="s">
        <v>1662</v>
      </c>
      <c r="B862">
        <v>44707</v>
      </c>
      <c r="C862" t="s">
        <v>1663</v>
      </c>
      <c r="D862" t="s">
        <v>171</v>
      </c>
      <c r="E862">
        <v>1</v>
      </c>
      <c r="F862">
        <f>INDEX([1]products!$A$1:$G$49,MATCH([1]orders!$D862,[1]products!$A$1:$A$49,0),MATCH([1]orders!K$1,[1]products!$A$1:$G$1,0))</f>
        <v>2.5</v>
      </c>
      <c r="G862">
        <f>INDEX([1]products!$A$1:$G$49,MATCH([1]orders!$D862,[1]products!$A$1:$A$49,0),MATCH([1]orders!L$1,[1]products!$A$1:$G$1,0))</f>
        <v>25.874999999999996</v>
      </c>
      <c r="H862">
        <f t="shared" si="13"/>
        <v>25.874999999999996</v>
      </c>
    </row>
    <row r="863" spans="1:8" x14ac:dyDescent="0.25">
      <c r="A863" t="s">
        <v>1664</v>
      </c>
      <c r="B863">
        <v>43802</v>
      </c>
      <c r="C863" t="s">
        <v>1665</v>
      </c>
      <c r="D863" t="s">
        <v>13</v>
      </c>
      <c r="E863">
        <v>6</v>
      </c>
      <c r="F863">
        <f>INDEX([1]products!$A$1:$G$49,MATCH([1]orders!$D863,[1]products!$A$1:$A$49,0),MATCH([1]orders!K$1,[1]products!$A$1:$G$1,0))</f>
        <v>1</v>
      </c>
      <c r="G863">
        <f>INDEX([1]products!$A$1:$G$49,MATCH([1]orders!$D863,[1]products!$A$1:$A$49,0),MATCH([1]orders!L$1,[1]products!$A$1:$G$1,0))</f>
        <v>12.95</v>
      </c>
      <c r="H863">
        <f t="shared" si="13"/>
        <v>77.699999999999989</v>
      </c>
    </row>
    <row r="864" spans="1:8" x14ac:dyDescent="0.25">
      <c r="A864" t="s">
        <v>1666</v>
      </c>
      <c r="B864">
        <v>43725</v>
      </c>
      <c r="C864" t="s">
        <v>1667</v>
      </c>
      <c r="D864" t="s">
        <v>2</v>
      </c>
      <c r="E864">
        <v>1</v>
      </c>
      <c r="F864">
        <f>INDEX([1]products!$A$1:$G$49,MATCH([1]orders!$D864,[1]products!$A$1:$A$49,0),MATCH([1]orders!K$1,[1]products!$A$1:$G$1,0))</f>
        <v>1</v>
      </c>
      <c r="G864">
        <f>INDEX([1]products!$A$1:$G$49,MATCH([1]orders!$D864,[1]products!$A$1:$A$49,0),MATCH([1]orders!L$1,[1]products!$A$1:$G$1,0))</f>
        <v>9.9499999999999993</v>
      </c>
      <c r="H864">
        <f t="shared" si="13"/>
        <v>9.9499999999999993</v>
      </c>
    </row>
    <row r="865" spans="1:8" x14ac:dyDescent="0.25">
      <c r="A865" t="s">
        <v>1668</v>
      </c>
      <c r="B865">
        <v>44712</v>
      </c>
      <c r="C865" t="s">
        <v>1669</v>
      </c>
      <c r="D865" t="s">
        <v>96</v>
      </c>
      <c r="E865">
        <v>2</v>
      </c>
      <c r="F865">
        <f>INDEX([1]products!$A$1:$G$49,MATCH([1]orders!$D865,[1]products!$A$1:$A$49,0),MATCH([1]orders!K$1,[1]products!$A$1:$G$1,0))</f>
        <v>1</v>
      </c>
      <c r="G865">
        <f>INDEX([1]products!$A$1:$G$49,MATCH([1]orders!$D865,[1]products!$A$1:$A$49,0),MATCH([1]orders!L$1,[1]products!$A$1:$G$1,0))</f>
        <v>14.55</v>
      </c>
      <c r="H865">
        <f t="shared" si="13"/>
        <v>29.1</v>
      </c>
    </row>
    <row r="866" spans="1:8" x14ac:dyDescent="0.25">
      <c r="A866" t="s">
        <v>1670</v>
      </c>
      <c r="B866">
        <v>43759</v>
      </c>
      <c r="C866" t="s">
        <v>1671</v>
      </c>
      <c r="D866" t="s">
        <v>182</v>
      </c>
      <c r="E866">
        <v>6</v>
      </c>
      <c r="F866">
        <f>INDEX([1]products!$A$1:$G$49,MATCH([1]orders!$D866,[1]products!$A$1:$A$49,0),MATCH([1]orders!K$1,[1]products!$A$1:$G$1,0))</f>
        <v>0.2</v>
      </c>
      <c r="G866">
        <f>INDEX([1]products!$A$1:$G$49,MATCH([1]orders!$D866,[1]products!$A$1:$A$49,0),MATCH([1]orders!L$1,[1]products!$A$1:$G$1,0))</f>
        <v>3.5849999999999995</v>
      </c>
      <c r="H866">
        <f t="shared" si="13"/>
        <v>21.509999999999998</v>
      </c>
    </row>
    <row r="867" spans="1:8" x14ac:dyDescent="0.25">
      <c r="A867" t="s">
        <v>1672</v>
      </c>
      <c r="B867">
        <v>44675</v>
      </c>
      <c r="C867" t="s">
        <v>1673</v>
      </c>
      <c r="D867" t="s">
        <v>67</v>
      </c>
      <c r="E867">
        <v>1</v>
      </c>
      <c r="F867">
        <f>INDEX([1]products!$A$1:$G$49,MATCH([1]orders!$D867,[1]products!$A$1:$A$49,0),MATCH([1]orders!K$1,[1]products!$A$1:$G$1,0))</f>
        <v>0.5</v>
      </c>
      <c r="G867">
        <f>INDEX([1]products!$A$1:$G$49,MATCH([1]orders!$D867,[1]products!$A$1:$A$49,0),MATCH([1]orders!L$1,[1]products!$A$1:$G$1,0))</f>
        <v>6.75</v>
      </c>
      <c r="H867">
        <f t="shared" si="13"/>
        <v>6.75</v>
      </c>
    </row>
    <row r="868" spans="1:8" x14ac:dyDescent="0.25">
      <c r="A868" t="s">
        <v>1674</v>
      </c>
      <c r="B868">
        <v>44209</v>
      </c>
      <c r="C868" t="s">
        <v>1675</v>
      </c>
      <c r="D868" t="s">
        <v>72</v>
      </c>
      <c r="E868">
        <v>3</v>
      </c>
      <c r="F868">
        <f>INDEX([1]products!$A$1:$G$49,MATCH([1]orders!$D868,[1]products!$A$1:$A$49,0),MATCH([1]orders!K$1,[1]products!$A$1:$G$1,0))</f>
        <v>0.5</v>
      </c>
      <c r="G868">
        <f>INDEX([1]products!$A$1:$G$49,MATCH([1]orders!$D868,[1]products!$A$1:$A$49,0),MATCH([1]orders!L$1,[1]products!$A$1:$G$1,0))</f>
        <v>5.97</v>
      </c>
      <c r="H868">
        <f t="shared" si="13"/>
        <v>17.91</v>
      </c>
    </row>
    <row r="869" spans="1:8" x14ac:dyDescent="0.25">
      <c r="A869" t="s">
        <v>1676</v>
      </c>
      <c r="B869">
        <v>44792</v>
      </c>
      <c r="C869" t="s">
        <v>1677</v>
      </c>
      <c r="D869" t="s">
        <v>204</v>
      </c>
      <c r="E869">
        <v>1</v>
      </c>
      <c r="F869">
        <f>INDEX([1]products!$A$1:$G$49,MATCH([1]orders!$D869,[1]products!$A$1:$A$49,0),MATCH([1]orders!K$1,[1]products!$A$1:$G$1,0))</f>
        <v>2.5</v>
      </c>
      <c r="G869">
        <f>INDEX([1]products!$A$1:$G$49,MATCH([1]orders!$D869,[1]products!$A$1:$A$49,0),MATCH([1]orders!L$1,[1]products!$A$1:$G$1,0))</f>
        <v>29.784999999999997</v>
      </c>
      <c r="H869">
        <f t="shared" si="13"/>
        <v>29.784999999999997</v>
      </c>
    </row>
    <row r="870" spans="1:8" x14ac:dyDescent="0.25">
      <c r="A870" t="s">
        <v>1678</v>
      </c>
      <c r="B870">
        <v>43526</v>
      </c>
      <c r="C870" t="s">
        <v>1679</v>
      </c>
      <c r="D870" t="s">
        <v>3</v>
      </c>
      <c r="E870">
        <v>5</v>
      </c>
      <c r="F870">
        <f>INDEX([1]products!$A$1:$G$49,MATCH([1]orders!$D870,[1]products!$A$1:$A$49,0),MATCH([1]orders!K$1,[1]products!$A$1:$G$1,0))</f>
        <v>0.5</v>
      </c>
      <c r="G870">
        <f>INDEX([1]products!$A$1:$G$49,MATCH([1]orders!$D870,[1]products!$A$1:$A$49,0),MATCH([1]orders!L$1,[1]products!$A$1:$G$1,0))</f>
        <v>8.25</v>
      </c>
      <c r="H870">
        <f t="shared" si="13"/>
        <v>41.25</v>
      </c>
    </row>
    <row r="871" spans="1:8" x14ac:dyDescent="0.25">
      <c r="A871" t="s">
        <v>1680</v>
      </c>
      <c r="B871">
        <v>43851</v>
      </c>
      <c r="C871" t="s">
        <v>1681</v>
      </c>
      <c r="D871" t="s">
        <v>22</v>
      </c>
      <c r="E871">
        <v>3</v>
      </c>
      <c r="F871">
        <f>INDEX([1]products!$A$1:$G$49,MATCH([1]orders!$D871,[1]products!$A$1:$A$49,0),MATCH([1]orders!K$1,[1]products!$A$1:$G$1,0))</f>
        <v>0.5</v>
      </c>
      <c r="G871">
        <f>INDEX([1]products!$A$1:$G$49,MATCH([1]orders!$D871,[1]products!$A$1:$A$49,0),MATCH([1]orders!L$1,[1]products!$A$1:$G$1,0))</f>
        <v>5.97</v>
      </c>
      <c r="H871">
        <f t="shared" si="13"/>
        <v>17.91</v>
      </c>
    </row>
    <row r="872" spans="1:8" x14ac:dyDescent="0.25">
      <c r="A872" t="s">
        <v>1682</v>
      </c>
      <c r="B872">
        <v>44460</v>
      </c>
      <c r="C872" t="s">
        <v>1683</v>
      </c>
      <c r="D872" t="s">
        <v>16</v>
      </c>
      <c r="E872">
        <v>1</v>
      </c>
      <c r="F872">
        <f>INDEX([1]products!$A$1:$G$49,MATCH([1]orders!$D872,[1]products!$A$1:$A$49,0),MATCH([1]orders!K$1,[1]products!$A$1:$G$1,0))</f>
        <v>0.5</v>
      </c>
      <c r="G872">
        <f>INDEX([1]products!$A$1:$G$49,MATCH([1]orders!$D872,[1]products!$A$1:$A$49,0),MATCH([1]orders!L$1,[1]products!$A$1:$G$1,0))</f>
        <v>7.29</v>
      </c>
      <c r="H872">
        <f t="shared" si="13"/>
        <v>7.29</v>
      </c>
    </row>
    <row r="873" spans="1:8" x14ac:dyDescent="0.25">
      <c r="A873" t="s">
        <v>1684</v>
      </c>
      <c r="B873">
        <v>43707</v>
      </c>
      <c r="C873" t="s">
        <v>1685</v>
      </c>
      <c r="D873" t="s">
        <v>137</v>
      </c>
      <c r="E873">
        <v>2</v>
      </c>
      <c r="F873">
        <f>INDEX([1]products!$A$1:$G$49,MATCH([1]orders!$D873,[1]products!$A$1:$A$49,0),MATCH([1]orders!K$1,[1]products!$A$1:$G$1,0))</f>
        <v>1</v>
      </c>
      <c r="G873">
        <f>INDEX([1]products!$A$1:$G$49,MATCH([1]orders!$D873,[1]products!$A$1:$A$49,0),MATCH([1]orders!L$1,[1]products!$A$1:$G$1,0))</f>
        <v>14.85</v>
      </c>
      <c r="H873">
        <f t="shared" si="13"/>
        <v>29.7</v>
      </c>
    </row>
    <row r="874" spans="1:8" x14ac:dyDescent="0.25">
      <c r="A874" t="s">
        <v>1686</v>
      </c>
      <c r="B874">
        <v>43521</v>
      </c>
      <c r="C874" t="s">
        <v>1687</v>
      </c>
      <c r="D874" t="s">
        <v>61</v>
      </c>
      <c r="E874">
        <v>2</v>
      </c>
      <c r="F874">
        <f>INDEX([1]products!$A$1:$G$49,MATCH([1]orders!$D874,[1]products!$A$1:$A$49,0),MATCH([1]orders!K$1,[1]products!$A$1:$G$1,0))</f>
        <v>1</v>
      </c>
      <c r="G874">
        <f>INDEX([1]products!$A$1:$G$49,MATCH([1]orders!$D874,[1]products!$A$1:$A$49,0),MATCH([1]orders!L$1,[1]products!$A$1:$G$1,0))</f>
        <v>11.25</v>
      </c>
      <c r="H874">
        <f t="shared" si="13"/>
        <v>22.5</v>
      </c>
    </row>
    <row r="875" spans="1:8" x14ac:dyDescent="0.25">
      <c r="A875" t="s">
        <v>1688</v>
      </c>
      <c r="B875">
        <v>43725</v>
      </c>
      <c r="C875" t="s">
        <v>1673</v>
      </c>
      <c r="D875" t="s">
        <v>162</v>
      </c>
      <c r="E875">
        <v>4</v>
      </c>
      <c r="F875">
        <f>INDEX([1]products!$A$1:$G$49,MATCH([1]orders!$D875,[1]products!$A$1:$A$49,0),MATCH([1]orders!K$1,[1]products!$A$1:$G$1,0))</f>
        <v>0.2</v>
      </c>
      <c r="G875">
        <f>INDEX([1]products!$A$1:$G$49,MATCH([1]orders!$D875,[1]products!$A$1:$A$49,0),MATCH([1]orders!L$1,[1]products!$A$1:$G$1,0))</f>
        <v>2.9849999999999999</v>
      </c>
      <c r="H875">
        <f t="shared" si="13"/>
        <v>11.94</v>
      </c>
    </row>
    <row r="876" spans="1:8" x14ac:dyDescent="0.25">
      <c r="A876" t="s">
        <v>1689</v>
      </c>
      <c r="B876">
        <v>43680</v>
      </c>
      <c r="C876" t="s">
        <v>1690</v>
      </c>
      <c r="D876" t="s">
        <v>6</v>
      </c>
      <c r="E876">
        <v>2</v>
      </c>
      <c r="F876">
        <f>INDEX([1]products!$A$1:$G$49,MATCH([1]orders!$D876,[1]products!$A$1:$A$49,0),MATCH([1]orders!K$1,[1]products!$A$1:$G$1,0))</f>
        <v>1</v>
      </c>
      <c r="G876">
        <f>INDEX([1]products!$A$1:$G$49,MATCH([1]orders!$D876,[1]products!$A$1:$A$49,0),MATCH([1]orders!L$1,[1]products!$A$1:$G$1,0))</f>
        <v>12.95</v>
      </c>
      <c r="H876">
        <f t="shared" si="13"/>
        <v>25.9</v>
      </c>
    </row>
    <row r="877" spans="1:8" x14ac:dyDescent="0.25">
      <c r="A877" t="s">
        <v>1691</v>
      </c>
      <c r="B877">
        <v>44253</v>
      </c>
      <c r="C877" t="s">
        <v>1692</v>
      </c>
      <c r="D877" t="s">
        <v>78</v>
      </c>
      <c r="E877">
        <v>5</v>
      </c>
      <c r="F877">
        <f>INDEX([1]products!$A$1:$G$49,MATCH([1]orders!$D877,[1]products!$A$1:$A$49,0),MATCH([1]orders!K$1,[1]products!$A$1:$G$1,0))</f>
        <v>0.5</v>
      </c>
      <c r="G877">
        <f>INDEX([1]products!$A$1:$G$49,MATCH([1]orders!$D877,[1]products!$A$1:$A$49,0),MATCH([1]orders!L$1,[1]products!$A$1:$G$1,0))</f>
        <v>8.73</v>
      </c>
      <c r="H877">
        <f t="shared" si="13"/>
        <v>43.650000000000006</v>
      </c>
    </row>
    <row r="878" spans="1:8" x14ac:dyDescent="0.25">
      <c r="A878" t="s">
        <v>1691</v>
      </c>
      <c r="B878">
        <v>44253</v>
      </c>
      <c r="C878" t="s">
        <v>1692</v>
      </c>
      <c r="D878" t="s">
        <v>192</v>
      </c>
      <c r="E878">
        <v>6</v>
      </c>
      <c r="F878">
        <f>INDEX([1]products!$A$1:$G$49,MATCH([1]orders!$D878,[1]products!$A$1:$A$49,0),MATCH([1]orders!K$1,[1]products!$A$1:$G$1,0))</f>
        <v>0.5</v>
      </c>
      <c r="G878">
        <f>INDEX([1]products!$A$1:$G$49,MATCH([1]orders!$D878,[1]products!$A$1:$A$49,0),MATCH([1]orders!L$1,[1]products!$A$1:$G$1,0))</f>
        <v>7.77</v>
      </c>
      <c r="H878">
        <f t="shared" si="13"/>
        <v>46.62</v>
      </c>
    </row>
    <row r="879" spans="1:8" x14ac:dyDescent="0.25">
      <c r="A879" t="s">
        <v>1693</v>
      </c>
      <c r="B879">
        <v>44411</v>
      </c>
      <c r="C879" t="s">
        <v>1694</v>
      </c>
      <c r="D879" t="s">
        <v>83</v>
      </c>
      <c r="E879">
        <v>3</v>
      </c>
      <c r="F879">
        <f>INDEX([1]products!$A$1:$G$49,MATCH([1]orders!$D879,[1]products!$A$1:$A$49,0),MATCH([1]orders!K$1,[1]products!$A$1:$G$1,0))</f>
        <v>0.5</v>
      </c>
      <c r="G879">
        <f>INDEX([1]products!$A$1:$G$49,MATCH([1]orders!$D879,[1]products!$A$1:$A$49,0),MATCH([1]orders!L$1,[1]products!$A$1:$G$1,0))</f>
        <v>9.51</v>
      </c>
      <c r="H879">
        <f t="shared" si="13"/>
        <v>28.53</v>
      </c>
    </row>
    <row r="880" spans="1:8" x14ac:dyDescent="0.25">
      <c r="A880" t="s">
        <v>1695</v>
      </c>
      <c r="B880">
        <v>44323</v>
      </c>
      <c r="C880" t="s">
        <v>1696</v>
      </c>
      <c r="D880" t="s">
        <v>10</v>
      </c>
      <c r="E880">
        <v>1</v>
      </c>
      <c r="F880">
        <f>INDEX([1]products!$A$1:$G$49,MATCH([1]orders!$D880,[1]products!$A$1:$A$49,0),MATCH([1]orders!K$1,[1]products!$A$1:$G$1,0))</f>
        <v>2.5</v>
      </c>
      <c r="G880">
        <f>INDEX([1]products!$A$1:$G$49,MATCH([1]orders!$D880,[1]products!$A$1:$A$49,0),MATCH([1]orders!L$1,[1]products!$A$1:$G$1,0))</f>
        <v>27.484999999999996</v>
      </c>
      <c r="H880">
        <f t="shared" si="13"/>
        <v>27.484999999999996</v>
      </c>
    </row>
    <row r="881" spans="1:8" x14ac:dyDescent="0.25">
      <c r="A881" t="s">
        <v>1697</v>
      </c>
      <c r="B881">
        <v>43630</v>
      </c>
      <c r="C881" t="s">
        <v>1698</v>
      </c>
      <c r="D881" t="s">
        <v>51</v>
      </c>
      <c r="E881">
        <v>3</v>
      </c>
      <c r="F881">
        <f>INDEX([1]products!$A$1:$G$49,MATCH([1]orders!$D881,[1]products!$A$1:$A$49,0),MATCH([1]orders!K$1,[1]products!$A$1:$G$1,0))</f>
        <v>0.2</v>
      </c>
      <c r="G881">
        <f>INDEX([1]products!$A$1:$G$49,MATCH([1]orders!$D881,[1]products!$A$1:$A$49,0),MATCH([1]orders!L$1,[1]products!$A$1:$G$1,0))</f>
        <v>3.645</v>
      </c>
      <c r="H881">
        <f t="shared" si="13"/>
        <v>10.935</v>
      </c>
    </row>
    <row r="882" spans="1:8" x14ac:dyDescent="0.25">
      <c r="A882" t="s">
        <v>1699</v>
      </c>
      <c r="B882">
        <v>43790</v>
      </c>
      <c r="C882" t="s">
        <v>1700</v>
      </c>
      <c r="D882" t="s">
        <v>182</v>
      </c>
      <c r="E882">
        <v>2</v>
      </c>
      <c r="F882">
        <f>INDEX([1]products!$A$1:$G$49,MATCH([1]orders!$D882,[1]products!$A$1:$A$49,0),MATCH([1]orders!K$1,[1]products!$A$1:$G$1,0))</f>
        <v>0.2</v>
      </c>
      <c r="G882">
        <f>INDEX([1]products!$A$1:$G$49,MATCH([1]orders!$D882,[1]products!$A$1:$A$49,0),MATCH([1]orders!L$1,[1]products!$A$1:$G$1,0))</f>
        <v>3.5849999999999995</v>
      </c>
      <c r="H882">
        <f t="shared" si="13"/>
        <v>7.169999999999999</v>
      </c>
    </row>
    <row r="883" spans="1:8" x14ac:dyDescent="0.25">
      <c r="A883" t="s">
        <v>1701</v>
      </c>
      <c r="B883">
        <v>44286</v>
      </c>
      <c r="C883" t="s">
        <v>1702</v>
      </c>
      <c r="D883" t="s">
        <v>115</v>
      </c>
      <c r="E883">
        <v>6</v>
      </c>
      <c r="F883">
        <f>INDEX([1]products!$A$1:$G$49,MATCH([1]orders!$D883,[1]products!$A$1:$A$49,0),MATCH([1]orders!K$1,[1]products!$A$1:$G$1,0))</f>
        <v>0.2</v>
      </c>
      <c r="G883">
        <f>INDEX([1]products!$A$1:$G$49,MATCH([1]orders!$D883,[1]products!$A$1:$A$49,0),MATCH([1]orders!L$1,[1]products!$A$1:$G$1,0))</f>
        <v>3.8849999999999998</v>
      </c>
      <c r="H883">
        <f t="shared" si="13"/>
        <v>23.31</v>
      </c>
    </row>
    <row r="884" spans="1:8" x14ac:dyDescent="0.25">
      <c r="A884" t="s">
        <v>1703</v>
      </c>
      <c r="B884">
        <v>43647</v>
      </c>
      <c r="C884" t="s">
        <v>1704</v>
      </c>
      <c r="D884" t="s">
        <v>118</v>
      </c>
      <c r="E884">
        <v>5</v>
      </c>
      <c r="F884">
        <f>INDEX([1]products!$A$1:$G$49,MATCH([1]orders!$D884,[1]products!$A$1:$A$49,0),MATCH([1]orders!K$1,[1]products!$A$1:$G$1,0))</f>
        <v>2.5</v>
      </c>
      <c r="G884">
        <f>INDEX([1]products!$A$1:$G$49,MATCH([1]orders!$D884,[1]products!$A$1:$A$49,0),MATCH([1]orders!L$1,[1]products!$A$1:$G$1,0))</f>
        <v>22.884999999999998</v>
      </c>
      <c r="H884">
        <f t="shared" si="13"/>
        <v>114.42499999999998</v>
      </c>
    </row>
    <row r="885" spans="1:8" x14ac:dyDescent="0.25">
      <c r="A885" t="s">
        <v>1705</v>
      </c>
      <c r="B885">
        <v>43956</v>
      </c>
      <c r="C885" t="s">
        <v>1706</v>
      </c>
      <c r="D885" t="s">
        <v>171</v>
      </c>
      <c r="E885">
        <v>3</v>
      </c>
      <c r="F885">
        <f>INDEX([1]products!$A$1:$G$49,MATCH([1]orders!$D885,[1]products!$A$1:$A$49,0),MATCH([1]orders!K$1,[1]products!$A$1:$G$1,0))</f>
        <v>2.5</v>
      </c>
      <c r="G885">
        <f>INDEX([1]products!$A$1:$G$49,MATCH([1]orders!$D885,[1]products!$A$1:$A$49,0),MATCH([1]orders!L$1,[1]products!$A$1:$G$1,0))</f>
        <v>25.874999999999996</v>
      </c>
      <c r="H885">
        <f t="shared" si="13"/>
        <v>77.624999999999986</v>
      </c>
    </row>
    <row r="886" spans="1:8" x14ac:dyDescent="0.25">
      <c r="A886" t="s">
        <v>1707</v>
      </c>
      <c r="B886">
        <v>43941</v>
      </c>
      <c r="C886" t="s">
        <v>1708</v>
      </c>
      <c r="D886" t="s">
        <v>146</v>
      </c>
      <c r="E886">
        <v>1</v>
      </c>
      <c r="F886">
        <f>INDEX([1]products!$A$1:$G$49,MATCH([1]orders!$D886,[1]products!$A$1:$A$49,0),MATCH([1]orders!K$1,[1]products!$A$1:$G$1,0))</f>
        <v>0.5</v>
      </c>
      <c r="G886">
        <f>INDEX([1]products!$A$1:$G$49,MATCH([1]orders!$D886,[1]products!$A$1:$A$49,0),MATCH([1]orders!L$1,[1]products!$A$1:$G$1,0))</f>
        <v>5.3699999999999992</v>
      </c>
      <c r="H886">
        <f t="shared" si="13"/>
        <v>5.3699999999999992</v>
      </c>
    </row>
    <row r="887" spans="1:8" x14ac:dyDescent="0.25">
      <c r="A887" t="s">
        <v>1709</v>
      </c>
      <c r="B887">
        <v>43664</v>
      </c>
      <c r="C887" t="s">
        <v>1710</v>
      </c>
      <c r="D887" t="s">
        <v>35</v>
      </c>
      <c r="E887">
        <v>6</v>
      </c>
      <c r="F887">
        <f>INDEX([1]products!$A$1:$G$49,MATCH([1]orders!$D887,[1]products!$A$1:$A$49,0),MATCH([1]orders!K$1,[1]products!$A$1:$G$1,0))</f>
        <v>2.5</v>
      </c>
      <c r="G887">
        <f>INDEX([1]products!$A$1:$G$49,MATCH([1]orders!$D887,[1]products!$A$1:$A$49,0),MATCH([1]orders!L$1,[1]products!$A$1:$G$1,0))</f>
        <v>20.584999999999997</v>
      </c>
      <c r="H887">
        <f t="shared" si="13"/>
        <v>123.50999999999999</v>
      </c>
    </row>
    <row r="888" spans="1:8" x14ac:dyDescent="0.25">
      <c r="A888" t="s">
        <v>1711</v>
      </c>
      <c r="B888">
        <v>44518</v>
      </c>
      <c r="C888" t="s">
        <v>1712</v>
      </c>
      <c r="D888" t="s">
        <v>78</v>
      </c>
      <c r="E888">
        <v>2</v>
      </c>
      <c r="F888">
        <f>INDEX([1]products!$A$1:$G$49,MATCH([1]orders!$D888,[1]products!$A$1:$A$49,0),MATCH([1]orders!K$1,[1]products!$A$1:$G$1,0))</f>
        <v>0.5</v>
      </c>
      <c r="G888">
        <f>INDEX([1]products!$A$1:$G$49,MATCH([1]orders!$D888,[1]products!$A$1:$A$49,0),MATCH([1]orders!L$1,[1]products!$A$1:$G$1,0))</f>
        <v>8.73</v>
      </c>
      <c r="H888">
        <f t="shared" si="13"/>
        <v>17.46</v>
      </c>
    </row>
    <row r="889" spans="1:8" x14ac:dyDescent="0.25">
      <c r="A889" t="s">
        <v>1713</v>
      </c>
      <c r="B889">
        <v>44002</v>
      </c>
      <c r="C889" t="s">
        <v>1714</v>
      </c>
      <c r="D889" t="s">
        <v>254</v>
      </c>
      <c r="E889">
        <v>3</v>
      </c>
      <c r="F889">
        <f>INDEX([1]products!$A$1:$G$49,MATCH([1]orders!$D889,[1]products!$A$1:$A$49,0),MATCH([1]orders!K$1,[1]products!$A$1:$G$1,0))</f>
        <v>0.2</v>
      </c>
      <c r="G889">
        <f>INDEX([1]products!$A$1:$G$49,MATCH([1]orders!$D889,[1]products!$A$1:$A$49,0),MATCH([1]orders!L$1,[1]products!$A$1:$G$1,0))</f>
        <v>4.4550000000000001</v>
      </c>
      <c r="H889">
        <f t="shared" si="13"/>
        <v>13.365</v>
      </c>
    </row>
    <row r="890" spans="1:8" x14ac:dyDescent="0.25">
      <c r="A890" t="s">
        <v>1715</v>
      </c>
      <c r="B890">
        <v>44292</v>
      </c>
      <c r="C890" t="s">
        <v>1716</v>
      </c>
      <c r="D890" t="s">
        <v>115</v>
      </c>
      <c r="E890">
        <v>2</v>
      </c>
      <c r="F890">
        <f>INDEX([1]products!$A$1:$G$49,MATCH([1]orders!$D890,[1]products!$A$1:$A$49,0),MATCH([1]orders!K$1,[1]products!$A$1:$G$1,0))</f>
        <v>0.2</v>
      </c>
      <c r="G890">
        <f>INDEX([1]products!$A$1:$G$49,MATCH([1]orders!$D890,[1]products!$A$1:$A$49,0),MATCH([1]orders!L$1,[1]products!$A$1:$G$1,0))</f>
        <v>3.8849999999999998</v>
      </c>
      <c r="H890">
        <f t="shared" si="13"/>
        <v>7.77</v>
      </c>
    </row>
    <row r="891" spans="1:8" x14ac:dyDescent="0.25">
      <c r="A891" t="s">
        <v>1717</v>
      </c>
      <c r="B891">
        <v>43633</v>
      </c>
      <c r="C891" t="s">
        <v>1718</v>
      </c>
      <c r="D891" t="s">
        <v>101</v>
      </c>
      <c r="E891">
        <v>1</v>
      </c>
      <c r="F891">
        <f>INDEX([1]products!$A$1:$G$49,MATCH([1]orders!$D891,[1]products!$A$1:$A$49,0),MATCH([1]orders!K$1,[1]products!$A$1:$G$1,0))</f>
        <v>0.2</v>
      </c>
      <c r="G891">
        <f>INDEX([1]products!$A$1:$G$49,MATCH([1]orders!$D891,[1]products!$A$1:$A$49,0),MATCH([1]orders!L$1,[1]products!$A$1:$G$1,0))</f>
        <v>2.6849999999999996</v>
      </c>
      <c r="H891">
        <f t="shared" si="13"/>
        <v>2.6849999999999996</v>
      </c>
    </row>
    <row r="892" spans="1:8" x14ac:dyDescent="0.25">
      <c r="A892" t="s">
        <v>1719</v>
      </c>
      <c r="B892">
        <v>44646</v>
      </c>
      <c r="C892" t="s">
        <v>1704</v>
      </c>
      <c r="D892" t="s">
        <v>35</v>
      </c>
      <c r="E892">
        <v>1</v>
      </c>
      <c r="F892">
        <f>INDEX([1]products!$A$1:$G$49,MATCH([1]orders!$D892,[1]products!$A$1:$A$49,0),MATCH([1]orders!K$1,[1]products!$A$1:$G$1,0))</f>
        <v>2.5</v>
      </c>
      <c r="G892">
        <f>INDEX([1]products!$A$1:$G$49,MATCH([1]orders!$D892,[1]products!$A$1:$A$49,0),MATCH([1]orders!L$1,[1]products!$A$1:$G$1,0))</f>
        <v>20.584999999999997</v>
      </c>
      <c r="H892">
        <f t="shared" si="13"/>
        <v>20.584999999999997</v>
      </c>
    </row>
    <row r="893" spans="1:8" x14ac:dyDescent="0.25">
      <c r="A893" t="s">
        <v>1720</v>
      </c>
      <c r="B893">
        <v>44469</v>
      </c>
      <c r="C893" t="s">
        <v>1721</v>
      </c>
      <c r="D893" t="s">
        <v>118</v>
      </c>
      <c r="E893">
        <v>5</v>
      </c>
      <c r="F893">
        <f>INDEX([1]products!$A$1:$G$49,MATCH([1]orders!$D893,[1]products!$A$1:$A$49,0),MATCH([1]orders!K$1,[1]products!$A$1:$G$1,0))</f>
        <v>2.5</v>
      </c>
      <c r="G893">
        <f>INDEX([1]products!$A$1:$G$49,MATCH([1]orders!$D893,[1]products!$A$1:$A$49,0),MATCH([1]orders!L$1,[1]products!$A$1:$G$1,0))</f>
        <v>22.884999999999998</v>
      </c>
      <c r="H893">
        <f t="shared" si="13"/>
        <v>114.42499999999998</v>
      </c>
    </row>
    <row r="894" spans="1:8" x14ac:dyDescent="0.25">
      <c r="A894" t="s">
        <v>1722</v>
      </c>
      <c r="B894">
        <v>43635</v>
      </c>
      <c r="C894" t="s">
        <v>1723</v>
      </c>
      <c r="D894" t="s">
        <v>64</v>
      </c>
      <c r="E894">
        <v>5</v>
      </c>
      <c r="F894">
        <f>INDEX([1]products!$A$1:$G$49,MATCH([1]orders!$D894,[1]products!$A$1:$A$49,0),MATCH([1]orders!K$1,[1]products!$A$1:$G$1,0))</f>
        <v>0.2</v>
      </c>
      <c r="G894">
        <f>INDEX([1]products!$A$1:$G$49,MATCH([1]orders!$D894,[1]products!$A$1:$A$49,0),MATCH([1]orders!L$1,[1]products!$A$1:$G$1,0))</f>
        <v>4.125</v>
      </c>
      <c r="H894">
        <f t="shared" si="13"/>
        <v>20.625</v>
      </c>
    </row>
    <row r="895" spans="1:8" x14ac:dyDescent="0.25">
      <c r="A895" t="s">
        <v>1724</v>
      </c>
      <c r="B895">
        <v>44651</v>
      </c>
      <c r="C895" t="s">
        <v>1725</v>
      </c>
      <c r="D895" t="s">
        <v>83</v>
      </c>
      <c r="E895">
        <v>6</v>
      </c>
      <c r="F895">
        <f>INDEX([1]products!$A$1:$G$49,MATCH([1]orders!$D895,[1]products!$A$1:$A$49,0),MATCH([1]orders!K$1,[1]products!$A$1:$G$1,0))</f>
        <v>0.5</v>
      </c>
      <c r="G895">
        <f>INDEX([1]products!$A$1:$G$49,MATCH([1]orders!$D895,[1]products!$A$1:$A$49,0),MATCH([1]orders!L$1,[1]products!$A$1:$G$1,0))</f>
        <v>9.51</v>
      </c>
      <c r="H895">
        <f t="shared" si="13"/>
        <v>57.06</v>
      </c>
    </row>
    <row r="896" spans="1:8" x14ac:dyDescent="0.25">
      <c r="A896" t="s">
        <v>1726</v>
      </c>
      <c r="B896">
        <v>44016</v>
      </c>
      <c r="C896" t="s">
        <v>1727</v>
      </c>
      <c r="D896" t="s">
        <v>35</v>
      </c>
      <c r="E896">
        <v>4</v>
      </c>
      <c r="F896">
        <f>INDEX([1]products!$A$1:$G$49,MATCH([1]orders!$D896,[1]products!$A$1:$A$49,0),MATCH([1]orders!K$1,[1]products!$A$1:$G$1,0))</f>
        <v>2.5</v>
      </c>
      <c r="G896">
        <f>INDEX([1]products!$A$1:$G$49,MATCH([1]orders!$D896,[1]products!$A$1:$A$49,0),MATCH([1]orders!L$1,[1]products!$A$1:$G$1,0))</f>
        <v>20.584999999999997</v>
      </c>
      <c r="H896">
        <f t="shared" si="13"/>
        <v>82.339999999999989</v>
      </c>
    </row>
    <row r="897" spans="1:8" x14ac:dyDescent="0.25">
      <c r="A897" t="s">
        <v>1728</v>
      </c>
      <c r="B897">
        <v>44521</v>
      </c>
      <c r="C897" t="s">
        <v>1729</v>
      </c>
      <c r="D897" t="s">
        <v>112</v>
      </c>
      <c r="E897">
        <v>5</v>
      </c>
      <c r="F897">
        <f>INDEX([1]products!$A$1:$G$49,MATCH([1]orders!$D897,[1]products!$A$1:$A$49,0),MATCH([1]orders!K$1,[1]products!$A$1:$G$1,0))</f>
        <v>2.5</v>
      </c>
      <c r="G897">
        <f>INDEX([1]products!$A$1:$G$49,MATCH([1]orders!$D897,[1]products!$A$1:$A$49,0),MATCH([1]orders!L$1,[1]products!$A$1:$G$1,0))</f>
        <v>31.624999999999996</v>
      </c>
      <c r="H897">
        <f t="shared" si="13"/>
        <v>158.12499999999997</v>
      </c>
    </row>
    <row r="898" spans="1:8" x14ac:dyDescent="0.25">
      <c r="A898" t="s">
        <v>1730</v>
      </c>
      <c r="B898">
        <v>44347</v>
      </c>
      <c r="C898" t="s">
        <v>1731</v>
      </c>
      <c r="D898" t="s">
        <v>146</v>
      </c>
      <c r="E898">
        <v>6</v>
      </c>
      <c r="F898">
        <f>INDEX([1]products!$A$1:$G$49,MATCH([1]orders!$D898,[1]products!$A$1:$A$49,0),MATCH([1]orders!K$1,[1]products!$A$1:$G$1,0))</f>
        <v>0.5</v>
      </c>
      <c r="G898">
        <f>INDEX([1]products!$A$1:$G$49,MATCH([1]orders!$D898,[1]products!$A$1:$A$49,0),MATCH([1]orders!L$1,[1]products!$A$1:$G$1,0))</f>
        <v>5.3699999999999992</v>
      </c>
      <c r="H898">
        <f t="shared" ref="H898:H961" si="14">E898*G898</f>
        <v>32.22</v>
      </c>
    </row>
    <row r="899" spans="1:8" x14ac:dyDescent="0.25">
      <c r="A899" t="s">
        <v>1732</v>
      </c>
      <c r="B899">
        <v>43932</v>
      </c>
      <c r="C899" t="s">
        <v>1733</v>
      </c>
      <c r="D899" t="s">
        <v>245</v>
      </c>
      <c r="E899">
        <v>2</v>
      </c>
      <c r="F899">
        <f>INDEX([1]products!$A$1:$G$49,MATCH([1]orders!$D899,[1]products!$A$1:$A$49,0),MATCH([1]orders!K$1,[1]products!$A$1:$G$1,0))</f>
        <v>1</v>
      </c>
      <c r="G899">
        <f>INDEX([1]products!$A$1:$G$49,MATCH([1]orders!$D899,[1]products!$A$1:$A$49,0),MATCH([1]orders!L$1,[1]products!$A$1:$G$1,0))</f>
        <v>12.15</v>
      </c>
      <c r="H899">
        <f t="shared" si="14"/>
        <v>24.3</v>
      </c>
    </row>
    <row r="900" spans="1:8" x14ac:dyDescent="0.25">
      <c r="A900" t="s">
        <v>1734</v>
      </c>
      <c r="B900">
        <v>44089</v>
      </c>
      <c r="C900" t="s">
        <v>1735</v>
      </c>
      <c r="D900" t="s">
        <v>157</v>
      </c>
      <c r="E900">
        <v>5</v>
      </c>
      <c r="F900">
        <f>INDEX([1]products!$A$1:$G$49,MATCH([1]orders!$D900,[1]products!$A$1:$A$49,0),MATCH([1]orders!K$1,[1]products!$A$1:$G$1,0))</f>
        <v>0.5</v>
      </c>
      <c r="G900">
        <f>INDEX([1]products!$A$1:$G$49,MATCH([1]orders!$D900,[1]products!$A$1:$A$49,0),MATCH([1]orders!L$1,[1]products!$A$1:$G$1,0))</f>
        <v>7.169999999999999</v>
      </c>
      <c r="H900">
        <f t="shared" si="14"/>
        <v>35.849999999999994</v>
      </c>
    </row>
    <row r="901" spans="1:8" x14ac:dyDescent="0.25">
      <c r="A901" t="s">
        <v>1736</v>
      </c>
      <c r="B901">
        <v>44523</v>
      </c>
      <c r="C901" t="s">
        <v>1729</v>
      </c>
      <c r="D901" t="s">
        <v>96</v>
      </c>
      <c r="E901">
        <v>5</v>
      </c>
      <c r="F901">
        <f>INDEX([1]products!$A$1:$G$49,MATCH([1]orders!$D901,[1]products!$A$1:$A$49,0),MATCH([1]orders!K$1,[1]products!$A$1:$G$1,0))</f>
        <v>1</v>
      </c>
      <c r="G901">
        <f>INDEX([1]products!$A$1:$G$49,MATCH([1]orders!$D901,[1]products!$A$1:$A$49,0),MATCH([1]orders!L$1,[1]products!$A$1:$G$1,0))</f>
        <v>14.55</v>
      </c>
      <c r="H901">
        <f t="shared" si="14"/>
        <v>72.75</v>
      </c>
    </row>
    <row r="902" spans="1:8" x14ac:dyDescent="0.25">
      <c r="A902" t="s">
        <v>1737</v>
      </c>
      <c r="B902">
        <v>44584</v>
      </c>
      <c r="C902" t="s">
        <v>1738</v>
      </c>
      <c r="D902" t="s">
        <v>132</v>
      </c>
      <c r="E902">
        <v>3</v>
      </c>
      <c r="F902">
        <f>INDEX([1]products!$A$1:$G$49,MATCH([1]orders!$D902,[1]products!$A$1:$A$49,0),MATCH([1]orders!K$1,[1]products!$A$1:$G$1,0))</f>
        <v>1</v>
      </c>
      <c r="G902">
        <f>INDEX([1]products!$A$1:$G$49,MATCH([1]orders!$D902,[1]products!$A$1:$A$49,0),MATCH([1]orders!L$1,[1]products!$A$1:$G$1,0))</f>
        <v>15.85</v>
      </c>
      <c r="H902">
        <f t="shared" si="14"/>
        <v>47.55</v>
      </c>
    </row>
    <row r="903" spans="1:8" x14ac:dyDescent="0.25">
      <c r="A903" t="s">
        <v>1739</v>
      </c>
      <c r="B903">
        <v>44223</v>
      </c>
      <c r="C903" t="s">
        <v>1740</v>
      </c>
      <c r="D903" t="s">
        <v>182</v>
      </c>
      <c r="E903">
        <v>1</v>
      </c>
      <c r="F903">
        <f>INDEX([1]products!$A$1:$G$49,MATCH([1]orders!$D903,[1]products!$A$1:$A$49,0),MATCH([1]orders!K$1,[1]products!$A$1:$G$1,0))</f>
        <v>0.2</v>
      </c>
      <c r="G903">
        <f>INDEX([1]products!$A$1:$G$49,MATCH([1]orders!$D903,[1]products!$A$1:$A$49,0),MATCH([1]orders!L$1,[1]products!$A$1:$G$1,0))</f>
        <v>3.5849999999999995</v>
      </c>
      <c r="H903">
        <f t="shared" si="14"/>
        <v>3.5849999999999995</v>
      </c>
    </row>
    <row r="904" spans="1:8" x14ac:dyDescent="0.25">
      <c r="A904" t="s">
        <v>1741</v>
      </c>
      <c r="B904">
        <v>43640</v>
      </c>
      <c r="C904" t="s">
        <v>1742</v>
      </c>
      <c r="D904" t="s">
        <v>112</v>
      </c>
      <c r="E904">
        <v>5</v>
      </c>
      <c r="F904">
        <f>INDEX([1]products!$A$1:$G$49,MATCH([1]orders!$D904,[1]products!$A$1:$A$49,0),MATCH([1]orders!K$1,[1]products!$A$1:$G$1,0))</f>
        <v>2.5</v>
      </c>
      <c r="G904">
        <f>INDEX([1]products!$A$1:$G$49,MATCH([1]orders!$D904,[1]products!$A$1:$A$49,0),MATCH([1]orders!L$1,[1]products!$A$1:$G$1,0))</f>
        <v>31.624999999999996</v>
      </c>
      <c r="H904">
        <f t="shared" si="14"/>
        <v>158.12499999999997</v>
      </c>
    </row>
    <row r="905" spans="1:8" x14ac:dyDescent="0.25">
      <c r="A905" t="s">
        <v>1743</v>
      </c>
      <c r="B905">
        <v>43905</v>
      </c>
      <c r="C905" t="s">
        <v>1744</v>
      </c>
      <c r="D905" t="s">
        <v>78</v>
      </c>
      <c r="E905">
        <v>2</v>
      </c>
      <c r="F905">
        <f>INDEX([1]products!$A$1:$G$49,MATCH([1]orders!$D905,[1]products!$A$1:$A$49,0),MATCH([1]orders!K$1,[1]products!$A$1:$G$1,0))</f>
        <v>0.5</v>
      </c>
      <c r="G905">
        <f>INDEX([1]products!$A$1:$G$49,MATCH([1]orders!$D905,[1]products!$A$1:$A$49,0),MATCH([1]orders!L$1,[1]products!$A$1:$G$1,0))</f>
        <v>8.73</v>
      </c>
      <c r="H905">
        <f t="shared" si="14"/>
        <v>17.46</v>
      </c>
    </row>
    <row r="906" spans="1:8" x14ac:dyDescent="0.25">
      <c r="A906" t="s">
        <v>1745</v>
      </c>
      <c r="B906">
        <v>44463</v>
      </c>
      <c r="C906" t="s">
        <v>1746</v>
      </c>
      <c r="D906" t="s">
        <v>204</v>
      </c>
      <c r="E906">
        <v>5</v>
      </c>
      <c r="F906">
        <f>INDEX([1]products!$A$1:$G$49,MATCH([1]orders!$D906,[1]products!$A$1:$A$49,0),MATCH([1]orders!K$1,[1]products!$A$1:$G$1,0))</f>
        <v>2.5</v>
      </c>
      <c r="G906">
        <f>INDEX([1]products!$A$1:$G$49,MATCH([1]orders!$D906,[1]products!$A$1:$A$49,0),MATCH([1]orders!L$1,[1]products!$A$1:$G$1,0))</f>
        <v>29.784999999999997</v>
      </c>
      <c r="H906">
        <f t="shared" si="14"/>
        <v>148.92499999999998</v>
      </c>
    </row>
    <row r="907" spans="1:8" x14ac:dyDescent="0.25">
      <c r="A907" t="s">
        <v>1747</v>
      </c>
      <c r="B907">
        <v>43560</v>
      </c>
      <c r="C907" t="s">
        <v>1748</v>
      </c>
      <c r="D907" t="s">
        <v>67</v>
      </c>
      <c r="E907">
        <v>6</v>
      </c>
      <c r="F907">
        <f>INDEX([1]products!$A$1:$G$49,MATCH([1]orders!$D907,[1]products!$A$1:$A$49,0),MATCH([1]orders!K$1,[1]products!$A$1:$G$1,0))</f>
        <v>0.5</v>
      </c>
      <c r="G907">
        <f>INDEX([1]products!$A$1:$G$49,MATCH([1]orders!$D907,[1]products!$A$1:$A$49,0),MATCH([1]orders!L$1,[1]products!$A$1:$G$1,0))</f>
        <v>6.75</v>
      </c>
      <c r="H907">
        <f t="shared" si="14"/>
        <v>40.5</v>
      </c>
    </row>
    <row r="908" spans="1:8" x14ac:dyDescent="0.25">
      <c r="A908" t="s">
        <v>1749</v>
      </c>
      <c r="B908">
        <v>44588</v>
      </c>
      <c r="C908" t="s">
        <v>1750</v>
      </c>
      <c r="D908" t="s">
        <v>67</v>
      </c>
      <c r="E908">
        <v>4</v>
      </c>
      <c r="F908">
        <f>INDEX([1]products!$A$1:$G$49,MATCH([1]orders!$D908,[1]products!$A$1:$A$49,0),MATCH([1]orders!K$1,[1]products!$A$1:$G$1,0))</f>
        <v>0.5</v>
      </c>
      <c r="G908">
        <f>INDEX([1]products!$A$1:$G$49,MATCH([1]orders!$D908,[1]products!$A$1:$A$49,0),MATCH([1]orders!L$1,[1]products!$A$1:$G$1,0))</f>
        <v>6.75</v>
      </c>
      <c r="H908">
        <f t="shared" si="14"/>
        <v>27</v>
      </c>
    </row>
    <row r="909" spans="1:8" x14ac:dyDescent="0.25">
      <c r="A909" t="s">
        <v>1751</v>
      </c>
      <c r="B909">
        <v>44449</v>
      </c>
      <c r="C909" t="s">
        <v>1752</v>
      </c>
      <c r="D909" t="s">
        <v>13</v>
      </c>
      <c r="E909">
        <v>3</v>
      </c>
      <c r="F909">
        <f>INDEX([1]products!$A$1:$G$49,MATCH([1]orders!$D909,[1]products!$A$1:$A$49,0),MATCH([1]orders!K$1,[1]products!$A$1:$G$1,0))</f>
        <v>1</v>
      </c>
      <c r="G909">
        <f>INDEX([1]products!$A$1:$G$49,MATCH([1]orders!$D909,[1]products!$A$1:$A$49,0),MATCH([1]orders!L$1,[1]products!$A$1:$G$1,0))</f>
        <v>12.95</v>
      </c>
      <c r="H909">
        <f t="shared" si="14"/>
        <v>38.849999999999994</v>
      </c>
    </row>
    <row r="910" spans="1:8" x14ac:dyDescent="0.25">
      <c r="A910" t="s">
        <v>1753</v>
      </c>
      <c r="B910">
        <v>43836</v>
      </c>
      <c r="C910" t="s">
        <v>1754</v>
      </c>
      <c r="D910" t="s">
        <v>189</v>
      </c>
      <c r="E910">
        <v>5</v>
      </c>
      <c r="F910">
        <f>INDEX([1]products!$A$1:$G$49,MATCH([1]orders!$D910,[1]products!$A$1:$A$49,0),MATCH([1]orders!K$1,[1]products!$A$1:$G$1,0))</f>
        <v>1</v>
      </c>
      <c r="G910">
        <f>INDEX([1]products!$A$1:$G$49,MATCH([1]orders!$D910,[1]products!$A$1:$A$49,0),MATCH([1]orders!L$1,[1]products!$A$1:$G$1,0))</f>
        <v>11.95</v>
      </c>
      <c r="H910">
        <f t="shared" si="14"/>
        <v>59.75</v>
      </c>
    </row>
    <row r="911" spans="1:8" x14ac:dyDescent="0.25">
      <c r="A911" t="s">
        <v>1755</v>
      </c>
      <c r="B911">
        <v>44635</v>
      </c>
      <c r="C911" t="s">
        <v>1756</v>
      </c>
      <c r="D911" t="s">
        <v>182</v>
      </c>
      <c r="E911">
        <v>3</v>
      </c>
      <c r="F911">
        <f>INDEX([1]products!$A$1:$G$49,MATCH([1]orders!$D911,[1]products!$A$1:$A$49,0),MATCH([1]orders!K$1,[1]products!$A$1:$G$1,0))</f>
        <v>0.2</v>
      </c>
      <c r="G911">
        <f>INDEX([1]products!$A$1:$G$49,MATCH([1]orders!$D911,[1]products!$A$1:$A$49,0),MATCH([1]orders!L$1,[1]products!$A$1:$G$1,0))</f>
        <v>3.5849999999999995</v>
      </c>
      <c r="H911">
        <f t="shared" si="14"/>
        <v>10.754999999999999</v>
      </c>
    </row>
    <row r="912" spans="1:8" x14ac:dyDescent="0.25">
      <c r="A912" t="s">
        <v>1757</v>
      </c>
      <c r="B912">
        <v>44447</v>
      </c>
      <c r="C912" t="s">
        <v>1758</v>
      </c>
      <c r="D912" t="s">
        <v>118</v>
      </c>
      <c r="E912">
        <v>4</v>
      </c>
      <c r="F912">
        <f>INDEX([1]products!$A$1:$G$49,MATCH([1]orders!$D912,[1]products!$A$1:$A$49,0),MATCH([1]orders!K$1,[1]products!$A$1:$G$1,0))</f>
        <v>2.5</v>
      </c>
      <c r="G912">
        <f>INDEX([1]products!$A$1:$G$49,MATCH([1]orders!$D912,[1]products!$A$1:$A$49,0),MATCH([1]orders!L$1,[1]products!$A$1:$G$1,0))</f>
        <v>22.884999999999998</v>
      </c>
      <c r="H912">
        <f t="shared" si="14"/>
        <v>91.539999999999992</v>
      </c>
    </row>
    <row r="913" spans="1:8" x14ac:dyDescent="0.25">
      <c r="A913" t="s">
        <v>1759</v>
      </c>
      <c r="B913">
        <v>44511</v>
      </c>
      <c r="C913" t="s">
        <v>1760</v>
      </c>
      <c r="D913" t="s">
        <v>61</v>
      </c>
      <c r="E913">
        <v>4</v>
      </c>
      <c r="F913">
        <f>INDEX([1]products!$A$1:$G$49,MATCH([1]orders!$D913,[1]products!$A$1:$A$49,0),MATCH([1]orders!K$1,[1]products!$A$1:$G$1,0))</f>
        <v>1</v>
      </c>
      <c r="G913">
        <f>INDEX([1]products!$A$1:$G$49,MATCH([1]orders!$D913,[1]products!$A$1:$A$49,0),MATCH([1]orders!L$1,[1]products!$A$1:$G$1,0))</f>
        <v>11.25</v>
      </c>
      <c r="H913">
        <f t="shared" si="14"/>
        <v>45</v>
      </c>
    </row>
    <row r="914" spans="1:8" x14ac:dyDescent="0.25">
      <c r="A914" t="s">
        <v>1761</v>
      </c>
      <c r="B914">
        <v>43726</v>
      </c>
      <c r="C914" t="s">
        <v>1762</v>
      </c>
      <c r="D914" t="s">
        <v>41</v>
      </c>
      <c r="E914">
        <v>6</v>
      </c>
      <c r="F914">
        <f>INDEX([1]products!$A$1:$G$49,MATCH([1]orders!$D914,[1]products!$A$1:$A$49,0),MATCH([1]orders!K$1,[1]products!$A$1:$G$1,0))</f>
        <v>2.5</v>
      </c>
      <c r="G914">
        <f>INDEX([1]products!$A$1:$G$49,MATCH([1]orders!$D914,[1]products!$A$1:$A$49,0),MATCH([1]orders!L$1,[1]products!$A$1:$G$1,0))</f>
        <v>22.884999999999998</v>
      </c>
      <c r="H914">
        <f t="shared" si="14"/>
        <v>137.31</v>
      </c>
    </row>
    <row r="915" spans="1:8" x14ac:dyDescent="0.25">
      <c r="A915" t="s">
        <v>1763</v>
      </c>
      <c r="B915">
        <v>44406</v>
      </c>
      <c r="C915" t="s">
        <v>1764</v>
      </c>
      <c r="D915" t="s">
        <v>67</v>
      </c>
      <c r="E915">
        <v>1</v>
      </c>
      <c r="F915">
        <f>INDEX([1]products!$A$1:$G$49,MATCH([1]orders!$D915,[1]products!$A$1:$A$49,0),MATCH([1]orders!K$1,[1]products!$A$1:$G$1,0))</f>
        <v>0.5</v>
      </c>
      <c r="G915">
        <f>INDEX([1]products!$A$1:$G$49,MATCH([1]orders!$D915,[1]products!$A$1:$A$49,0),MATCH([1]orders!L$1,[1]products!$A$1:$G$1,0))</f>
        <v>6.75</v>
      </c>
      <c r="H915">
        <f t="shared" si="14"/>
        <v>6.75</v>
      </c>
    </row>
    <row r="916" spans="1:8" x14ac:dyDescent="0.25">
      <c r="A916" t="s">
        <v>1765</v>
      </c>
      <c r="B916">
        <v>44640</v>
      </c>
      <c r="C916" t="s">
        <v>1766</v>
      </c>
      <c r="D916" t="s">
        <v>61</v>
      </c>
      <c r="E916">
        <v>4</v>
      </c>
      <c r="F916">
        <f>INDEX([1]products!$A$1:$G$49,MATCH([1]orders!$D916,[1]products!$A$1:$A$49,0),MATCH([1]orders!K$1,[1]products!$A$1:$G$1,0))</f>
        <v>1</v>
      </c>
      <c r="G916">
        <f>INDEX([1]products!$A$1:$G$49,MATCH([1]orders!$D916,[1]products!$A$1:$A$49,0),MATCH([1]orders!L$1,[1]products!$A$1:$G$1,0))</f>
        <v>11.25</v>
      </c>
      <c r="H916">
        <f t="shared" si="14"/>
        <v>45</v>
      </c>
    </row>
    <row r="917" spans="1:8" x14ac:dyDescent="0.25">
      <c r="A917" t="s">
        <v>1767</v>
      </c>
      <c r="B917">
        <v>43955</v>
      </c>
      <c r="C917" t="s">
        <v>1768</v>
      </c>
      <c r="D917" t="s">
        <v>530</v>
      </c>
      <c r="E917">
        <v>3</v>
      </c>
      <c r="F917">
        <f>INDEX([1]products!$A$1:$G$49,MATCH([1]orders!$D917,[1]products!$A$1:$A$49,0),MATCH([1]orders!K$1,[1]products!$A$1:$G$1,0))</f>
        <v>2.5</v>
      </c>
      <c r="G917">
        <f>INDEX([1]products!$A$1:$G$49,MATCH([1]orders!$D917,[1]products!$A$1:$A$49,0),MATCH([1]orders!L$1,[1]products!$A$1:$G$1,0))</f>
        <v>27.945</v>
      </c>
      <c r="H917">
        <f t="shared" si="14"/>
        <v>83.835000000000008</v>
      </c>
    </row>
    <row r="918" spans="1:8" x14ac:dyDescent="0.25">
      <c r="A918" t="s">
        <v>1769</v>
      </c>
      <c r="B918">
        <v>44291</v>
      </c>
      <c r="C918" t="s">
        <v>1770</v>
      </c>
      <c r="D918" t="s">
        <v>51</v>
      </c>
      <c r="E918">
        <v>1</v>
      </c>
      <c r="F918">
        <f>INDEX([1]products!$A$1:$G$49,MATCH([1]orders!$D918,[1]products!$A$1:$A$49,0),MATCH([1]orders!K$1,[1]products!$A$1:$G$1,0))</f>
        <v>0.2</v>
      </c>
      <c r="G918">
        <f>INDEX([1]products!$A$1:$G$49,MATCH([1]orders!$D918,[1]products!$A$1:$A$49,0),MATCH([1]orders!L$1,[1]products!$A$1:$G$1,0))</f>
        <v>3.645</v>
      </c>
      <c r="H918">
        <f t="shared" si="14"/>
        <v>3.645</v>
      </c>
    </row>
    <row r="919" spans="1:8" x14ac:dyDescent="0.25">
      <c r="A919" t="s">
        <v>1771</v>
      </c>
      <c r="B919">
        <v>44573</v>
      </c>
      <c r="C919" t="s">
        <v>1772</v>
      </c>
      <c r="D919" t="s">
        <v>67</v>
      </c>
      <c r="E919">
        <v>1</v>
      </c>
      <c r="F919">
        <f>INDEX([1]products!$A$1:$G$49,MATCH([1]orders!$D919,[1]products!$A$1:$A$49,0),MATCH([1]orders!K$1,[1]products!$A$1:$G$1,0))</f>
        <v>0.5</v>
      </c>
      <c r="G919">
        <f>INDEX([1]products!$A$1:$G$49,MATCH([1]orders!$D919,[1]products!$A$1:$A$49,0),MATCH([1]orders!L$1,[1]products!$A$1:$G$1,0))</f>
        <v>6.75</v>
      </c>
      <c r="H919">
        <f t="shared" si="14"/>
        <v>6.75</v>
      </c>
    </row>
    <row r="920" spans="1:8" x14ac:dyDescent="0.25">
      <c r="A920" t="s">
        <v>1771</v>
      </c>
      <c r="B920">
        <v>44573</v>
      </c>
      <c r="C920" t="s">
        <v>1772</v>
      </c>
      <c r="D920" t="s">
        <v>16</v>
      </c>
      <c r="E920">
        <v>3</v>
      </c>
      <c r="F920">
        <f>INDEX([1]products!$A$1:$G$49,MATCH([1]orders!$D920,[1]products!$A$1:$A$49,0),MATCH([1]orders!K$1,[1]products!$A$1:$G$1,0))</f>
        <v>0.5</v>
      </c>
      <c r="G920">
        <f>INDEX([1]products!$A$1:$G$49,MATCH([1]orders!$D920,[1]products!$A$1:$A$49,0),MATCH([1]orders!L$1,[1]products!$A$1:$G$1,0))</f>
        <v>7.29</v>
      </c>
      <c r="H920">
        <f t="shared" si="14"/>
        <v>21.87</v>
      </c>
    </row>
    <row r="921" spans="1:8" x14ac:dyDescent="0.25">
      <c r="A921" t="s">
        <v>1773</v>
      </c>
      <c r="B921">
        <v>44181</v>
      </c>
      <c r="C921" t="s">
        <v>1774</v>
      </c>
      <c r="D921" t="s">
        <v>101</v>
      </c>
      <c r="E921">
        <v>5</v>
      </c>
      <c r="F921">
        <f>INDEX([1]products!$A$1:$G$49,MATCH([1]orders!$D921,[1]products!$A$1:$A$49,0),MATCH([1]orders!K$1,[1]products!$A$1:$G$1,0))</f>
        <v>0.2</v>
      </c>
      <c r="G921">
        <f>INDEX([1]products!$A$1:$G$49,MATCH([1]orders!$D921,[1]products!$A$1:$A$49,0),MATCH([1]orders!L$1,[1]products!$A$1:$G$1,0))</f>
        <v>2.6849999999999996</v>
      </c>
      <c r="H921">
        <f t="shared" si="14"/>
        <v>13.424999999999997</v>
      </c>
    </row>
    <row r="922" spans="1:8" x14ac:dyDescent="0.25">
      <c r="A922" t="s">
        <v>1775</v>
      </c>
      <c r="B922">
        <v>44711</v>
      </c>
      <c r="C922" t="s">
        <v>1776</v>
      </c>
      <c r="D922" t="s">
        <v>35</v>
      </c>
      <c r="E922">
        <v>6</v>
      </c>
      <c r="F922">
        <f>INDEX([1]products!$A$1:$G$49,MATCH([1]orders!$D922,[1]products!$A$1:$A$49,0),MATCH([1]orders!K$1,[1]products!$A$1:$G$1,0))</f>
        <v>2.5</v>
      </c>
      <c r="G922">
        <f>INDEX([1]products!$A$1:$G$49,MATCH([1]orders!$D922,[1]products!$A$1:$A$49,0),MATCH([1]orders!L$1,[1]products!$A$1:$G$1,0))</f>
        <v>20.584999999999997</v>
      </c>
      <c r="H922">
        <f t="shared" si="14"/>
        <v>123.50999999999999</v>
      </c>
    </row>
    <row r="923" spans="1:8" x14ac:dyDescent="0.25">
      <c r="A923" t="s">
        <v>1777</v>
      </c>
      <c r="B923">
        <v>44509</v>
      </c>
      <c r="C923" t="s">
        <v>1778</v>
      </c>
      <c r="D923" t="s">
        <v>38</v>
      </c>
      <c r="E923">
        <v>2</v>
      </c>
      <c r="F923">
        <f>INDEX([1]products!$A$1:$G$49,MATCH([1]orders!$D923,[1]products!$A$1:$A$49,0),MATCH([1]orders!K$1,[1]products!$A$1:$G$1,0))</f>
        <v>0.2</v>
      </c>
      <c r="G923">
        <f>INDEX([1]products!$A$1:$G$49,MATCH([1]orders!$D923,[1]products!$A$1:$A$49,0),MATCH([1]orders!L$1,[1]products!$A$1:$G$1,0))</f>
        <v>3.8849999999999998</v>
      </c>
      <c r="H923">
        <f t="shared" si="14"/>
        <v>7.77</v>
      </c>
    </row>
    <row r="924" spans="1:8" x14ac:dyDescent="0.25">
      <c r="A924" t="s">
        <v>1779</v>
      </c>
      <c r="B924">
        <v>44659</v>
      </c>
      <c r="C924" t="s">
        <v>1780</v>
      </c>
      <c r="D924" t="s">
        <v>61</v>
      </c>
      <c r="E924">
        <v>6</v>
      </c>
      <c r="F924">
        <f>INDEX([1]products!$A$1:$G$49,MATCH([1]orders!$D924,[1]products!$A$1:$A$49,0),MATCH([1]orders!K$1,[1]products!$A$1:$G$1,0))</f>
        <v>1</v>
      </c>
      <c r="G924">
        <f>INDEX([1]products!$A$1:$G$49,MATCH([1]orders!$D924,[1]products!$A$1:$A$49,0),MATCH([1]orders!L$1,[1]products!$A$1:$G$1,0))</f>
        <v>11.25</v>
      </c>
      <c r="H924">
        <f t="shared" si="14"/>
        <v>67.5</v>
      </c>
    </row>
    <row r="925" spans="1:8" x14ac:dyDescent="0.25">
      <c r="A925" t="s">
        <v>1781</v>
      </c>
      <c r="B925">
        <v>43746</v>
      </c>
      <c r="C925" t="s">
        <v>1782</v>
      </c>
      <c r="D925" t="s">
        <v>530</v>
      </c>
      <c r="E925">
        <v>1</v>
      </c>
      <c r="F925">
        <f>INDEX([1]products!$A$1:$G$49,MATCH([1]orders!$D925,[1]products!$A$1:$A$49,0),MATCH([1]orders!K$1,[1]products!$A$1:$G$1,0))</f>
        <v>2.5</v>
      </c>
      <c r="G925">
        <f>INDEX([1]products!$A$1:$G$49,MATCH([1]orders!$D925,[1]products!$A$1:$A$49,0),MATCH([1]orders!L$1,[1]products!$A$1:$G$1,0))</f>
        <v>27.945</v>
      </c>
      <c r="H925">
        <f t="shared" si="14"/>
        <v>27.945</v>
      </c>
    </row>
    <row r="926" spans="1:8" x14ac:dyDescent="0.25">
      <c r="A926" t="s">
        <v>1783</v>
      </c>
      <c r="B926">
        <v>44451</v>
      </c>
      <c r="C926" t="s">
        <v>1784</v>
      </c>
      <c r="D926" t="s">
        <v>204</v>
      </c>
      <c r="E926">
        <v>3</v>
      </c>
      <c r="F926">
        <f>INDEX([1]products!$A$1:$G$49,MATCH([1]orders!$D926,[1]products!$A$1:$A$49,0),MATCH([1]orders!K$1,[1]products!$A$1:$G$1,0))</f>
        <v>2.5</v>
      </c>
      <c r="G926">
        <f>INDEX([1]products!$A$1:$G$49,MATCH([1]orders!$D926,[1]products!$A$1:$A$49,0),MATCH([1]orders!L$1,[1]products!$A$1:$G$1,0))</f>
        <v>29.784999999999997</v>
      </c>
      <c r="H926">
        <f t="shared" si="14"/>
        <v>89.35499999999999</v>
      </c>
    </row>
    <row r="927" spans="1:8" x14ac:dyDescent="0.25">
      <c r="A927" t="s">
        <v>1785</v>
      </c>
      <c r="B927">
        <v>44770</v>
      </c>
      <c r="C927" t="s">
        <v>1729</v>
      </c>
      <c r="D927" t="s">
        <v>67</v>
      </c>
      <c r="E927">
        <v>3</v>
      </c>
      <c r="F927">
        <f>INDEX([1]products!$A$1:$G$49,MATCH([1]orders!$D927,[1]products!$A$1:$A$49,0),MATCH([1]orders!K$1,[1]products!$A$1:$G$1,0))</f>
        <v>0.5</v>
      </c>
      <c r="G927">
        <f>INDEX([1]products!$A$1:$G$49,MATCH([1]orders!$D927,[1]products!$A$1:$A$49,0),MATCH([1]orders!L$1,[1]products!$A$1:$G$1,0))</f>
        <v>6.75</v>
      </c>
      <c r="H927">
        <f t="shared" si="14"/>
        <v>20.25</v>
      </c>
    </row>
    <row r="928" spans="1:8" x14ac:dyDescent="0.25">
      <c r="A928" t="s">
        <v>1786</v>
      </c>
      <c r="B928">
        <v>44012</v>
      </c>
      <c r="C928" t="s">
        <v>1787</v>
      </c>
      <c r="D928" t="s">
        <v>67</v>
      </c>
      <c r="E928">
        <v>5</v>
      </c>
      <c r="F928">
        <f>INDEX([1]products!$A$1:$G$49,MATCH([1]orders!$D928,[1]products!$A$1:$A$49,0),MATCH([1]orders!K$1,[1]products!$A$1:$G$1,0))</f>
        <v>0.5</v>
      </c>
      <c r="G928">
        <f>INDEX([1]products!$A$1:$G$49,MATCH([1]orders!$D928,[1]products!$A$1:$A$49,0),MATCH([1]orders!L$1,[1]products!$A$1:$G$1,0))</f>
        <v>6.75</v>
      </c>
      <c r="H928">
        <f t="shared" si="14"/>
        <v>33.75</v>
      </c>
    </row>
    <row r="929" spans="1:8" x14ac:dyDescent="0.25">
      <c r="A929" t="s">
        <v>1788</v>
      </c>
      <c r="B929">
        <v>43474</v>
      </c>
      <c r="C929" t="s">
        <v>1789</v>
      </c>
      <c r="D929" t="s">
        <v>530</v>
      </c>
      <c r="E929">
        <v>4</v>
      </c>
      <c r="F929">
        <f>INDEX([1]products!$A$1:$G$49,MATCH([1]orders!$D929,[1]products!$A$1:$A$49,0),MATCH([1]orders!K$1,[1]products!$A$1:$G$1,0))</f>
        <v>2.5</v>
      </c>
      <c r="G929">
        <f>INDEX([1]products!$A$1:$G$49,MATCH([1]orders!$D929,[1]products!$A$1:$A$49,0),MATCH([1]orders!L$1,[1]products!$A$1:$G$1,0))</f>
        <v>27.945</v>
      </c>
      <c r="H929">
        <f t="shared" si="14"/>
        <v>111.78</v>
      </c>
    </row>
    <row r="930" spans="1:8" x14ac:dyDescent="0.25">
      <c r="A930" t="s">
        <v>1790</v>
      </c>
      <c r="B930">
        <v>44754</v>
      </c>
      <c r="C930" t="s">
        <v>1791</v>
      </c>
      <c r="D930" t="s">
        <v>112</v>
      </c>
      <c r="E930">
        <v>2</v>
      </c>
      <c r="F930">
        <f>INDEX([1]products!$A$1:$G$49,MATCH([1]orders!$D930,[1]products!$A$1:$A$49,0),MATCH([1]orders!K$1,[1]products!$A$1:$G$1,0))</f>
        <v>2.5</v>
      </c>
      <c r="G930">
        <f>INDEX([1]products!$A$1:$G$49,MATCH([1]orders!$D930,[1]products!$A$1:$A$49,0),MATCH([1]orders!L$1,[1]products!$A$1:$G$1,0))</f>
        <v>31.624999999999996</v>
      </c>
      <c r="H930">
        <f t="shared" si="14"/>
        <v>63.249999999999993</v>
      </c>
    </row>
    <row r="931" spans="1:8" x14ac:dyDescent="0.25">
      <c r="A931" t="s">
        <v>1792</v>
      </c>
      <c r="B931">
        <v>44165</v>
      </c>
      <c r="C931" t="s">
        <v>1793</v>
      </c>
      <c r="D931" t="s">
        <v>254</v>
      </c>
      <c r="E931">
        <v>2</v>
      </c>
      <c r="F931">
        <f>INDEX([1]products!$A$1:$G$49,MATCH([1]orders!$D931,[1]products!$A$1:$A$49,0),MATCH([1]orders!K$1,[1]products!$A$1:$G$1,0))</f>
        <v>0.2</v>
      </c>
      <c r="G931">
        <f>INDEX([1]products!$A$1:$G$49,MATCH([1]orders!$D931,[1]products!$A$1:$A$49,0),MATCH([1]orders!L$1,[1]products!$A$1:$G$1,0))</f>
        <v>4.4550000000000001</v>
      </c>
      <c r="H931">
        <f t="shared" si="14"/>
        <v>8.91</v>
      </c>
    </row>
    <row r="932" spans="1:8" x14ac:dyDescent="0.25">
      <c r="A932" t="s">
        <v>1794</v>
      </c>
      <c r="B932">
        <v>43546</v>
      </c>
      <c r="C932" t="s">
        <v>1795</v>
      </c>
      <c r="D932" t="s">
        <v>245</v>
      </c>
      <c r="E932">
        <v>1</v>
      </c>
      <c r="F932">
        <f>INDEX([1]products!$A$1:$G$49,MATCH([1]orders!$D932,[1]products!$A$1:$A$49,0),MATCH([1]orders!K$1,[1]products!$A$1:$G$1,0))</f>
        <v>1</v>
      </c>
      <c r="G932">
        <f>INDEX([1]products!$A$1:$G$49,MATCH([1]orders!$D932,[1]products!$A$1:$A$49,0),MATCH([1]orders!L$1,[1]products!$A$1:$G$1,0))</f>
        <v>12.15</v>
      </c>
      <c r="H932">
        <f t="shared" si="14"/>
        <v>12.15</v>
      </c>
    </row>
    <row r="933" spans="1:8" x14ac:dyDescent="0.25">
      <c r="A933" t="s">
        <v>1796</v>
      </c>
      <c r="B933">
        <v>44607</v>
      </c>
      <c r="C933" t="s">
        <v>1797</v>
      </c>
      <c r="D933" t="s">
        <v>72</v>
      </c>
      <c r="E933">
        <v>4</v>
      </c>
      <c r="F933">
        <f>INDEX([1]products!$A$1:$G$49,MATCH([1]orders!$D933,[1]products!$A$1:$A$49,0),MATCH([1]orders!K$1,[1]products!$A$1:$G$1,0))</f>
        <v>0.5</v>
      </c>
      <c r="G933">
        <f>INDEX([1]products!$A$1:$G$49,MATCH([1]orders!$D933,[1]products!$A$1:$A$49,0),MATCH([1]orders!L$1,[1]products!$A$1:$G$1,0))</f>
        <v>5.97</v>
      </c>
      <c r="H933">
        <f t="shared" si="14"/>
        <v>23.88</v>
      </c>
    </row>
    <row r="934" spans="1:8" x14ac:dyDescent="0.25">
      <c r="A934" t="s">
        <v>1798</v>
      </c>
      <c r="B934">
        <v>44117</v>
      </c>
      <c r="C934" t="s">
        <v>1799</v>
      </c>
      <c r="D934" t="s">
        <v>9</v>
      </c>
      <c r="E934">
        <v>4</v>
      </c>
      <c r="F934">
        <f>INDEX([1]products!$A$1:$G$49,MATCH([1]orders!$D934,[1]products!$A$1:$A$49,0),MATCH([1]orders!K$1,[1]products!$A$1:$G$1,0))</f>
        <v>1</v>
      </c>
      <c r="G934">
        <f>INDEX([1]products!$A$1:$G$49,MATCH([1]orders!$D934,[1]products!$A$1:$A$49,0),MATCH([1]orders!L$1,[1]products!$A$1:$G$1,0))</f>
        <v>13.75</v>
      </c>
      <c r="H934">
        <f t="shared" si="14"/>
        <v>55</v>
      </c>
    </row>
    <row r="935" spans="1:8" x14ac:dyDescent="0.25">
      <c r="A935" t="s">
        <v>1800</v>
      </c>
      <c r="B935">
        <v>44557</v>
      </c>
      <c r="C935" t="s">
        <v>1801</v>
      </c>
      <c r="D935" t="s">
        <v>179</v>
      </c>
      <c r="E935">
        <v>3</v>
      </c>
      <c r="F935">
        <f>INDEX([1]products!$A$1:$G$49,MATCH([1]orders!$D935,[1]products!$A$1:$A$49,0),MATCH([1]orders!K$1,[1]products!$A$1:$G$1,0))</f>
        <v>1</v>
      </c>
      <c r="G935">
        <f>INDEX([1]products!$A$1:$G$49,MATCH([1]orders!$D935,[1]products!$A$1:$A$49,0),MATCH([1]orders!L$1,[1]products!$A$1:$G$1,0))</f>
        <v>8.9499999999999993</v>
      </c>
      <c r="H935">
        <f t="shared" si="14"/>
        <v>26.849999999999998</v>
      </c>
    </row>
    <row r="936" spans="1:8" x14ac:dyDescent="0.25">
      <c r="A936" t="s">
        <v>1802</v>
      </c>
      <c r="B936">
        <v>44409</v>
      </c>
      <c r="C936" t="s">
        <v>1803</v>
      </c>
      <c r="D936" t="s">
        <v>41</v>
      </c>
      <c r="E936">
        <v>5</v>
      </c>
      <c r="F936">
        <f>INDEX([1]products!$A$1:$G$49,MATCH([1]orders!$D936,[1]products!$A$1:$A$49,0),MATCH([1]orders!K$1,[1]products!$A$1:$G$1,0))</f>
        <v>2.5</v>
      </c>
      <c r="G936">
        <f>INDEX([1]products!$A$1:$G$49,MATCH([1]orders!$D936,[1]products!$A$1:$A$49,0),MATCH([1]orders!L$1,[1]products!$A$1:$G$1,0))</f>
        <v>22.884999999999998</v>
      </c>
      <c r="H936">
        <f t="shared" si="14"/>
        <v>114.42499999999998</v>
      </c>
    </row>
    <row r="937" spans="1:8" x14ac:dyDescent="0.25">
      <c r="A937" t="s">
        <v>1804</v>
      </c>
      <c r="B937">
        <v>44153</v>
      </c>
      <c r="C937" t="s">
        <v>1805</v>
      </c>
      <c r="D937" t="s">
        <v>171</v>
      </c>
      <c r="E937">
        <v>6</v>
      </c>
      <c r="F937">
        <f>INDEX([1]products!$A$1:$G$49,MATCH([1]orders!$D937,[1]products!$A$1:$A$49,0),MATCH([1]orders!K$1,[1]products!$A$1:$G$1,0))</f>
        <v>2.5</v>
      </c>
      <c r="G937">
        <f>INDEX([1]products!$A$1:$G$49,MATCH([1]orders!$D937,[1]products!$A$1:$A$49,0),MATCH([1]orders!L$1,[1]products!$A$1:$G$1,0))</f>
        <v>25.874999999999996</v>
      </c>
      <c r="H937">
        <f t="shared" si="14"/>
        <v>155.24999999999997</v>
      </c>
    </row>
    <row r="938" spans="1:8" x14ac:dyDescent="0.25">
      <c r="A938" t="s">
        <v>1806</v>
      </c>
      <c r="B938">
        <v>44493</v>
      </c>
      <c r="C938" t="s">
        <v>1807</v>
      </c>
      <c r="D938" t="s">
        <v>123</v>
      </c>
      <c r="E938">
        <v>3</v>
      </c>
      <c r="F938">
        <f>INDEX([1]products!$A$1:$G$49,MATCH([1]orders!$D938,[1]products!$A$1:$A$49,0),MATCH([1]orders!K$1,[1]products!$A$1:$G$1,0))</f>
        <v>0.5</v>
      </c>
      <c r="G938">
        <f>INDEX([1]products!$A$1:$G$49,MATCH([1]orders!$D938,[1]products!$A$1:$A$49,0),MATCH([1]orders!L$1,[1]products!$A$1:$G$1,0))</f>
        <v>7.77</v>
      </c>
      <c r="H938">
        <f t="shared" si="14"/>
        <v>23.31</v>
      </c>
    </row>
    <row r="939" spans="1:8" x14ac:dyDescent="0.25">
      <c r="A939" t="s">
        <v>1806</v>
      </c>
      <c r="B939">
        <v>44493</v>
      </c>
      <c r="C939" t="s">
        <v>1807</v>
      </c>
      <c r="D939" t="s">
        <v>41</v>
      </c>
      <c r="E939">
        <v>4</v>
      </c>
      <c r="F939">
        <f>INDEX([1]products!$A$1:$G$49,MATCH([1]orders!$D939,[1]products!$A$1:$A$49,0),MATCH([1]orders!K$1,[1]products!$A$1:$G$1,0))</f>
        <v>2.5</v>
      </c>
      <c r="G939">
        <f>INDEX([1]products!$A$1:$G$49,MATCH([1]orders!$D939,[1]products!$A$1:$A$49,0),MATCH([1]orders!L$1,[1]products!$A$1:$G$1,0))</f>
        <v>22.884999999999998</v>
      </c>
      <c r="H939">
        <f t="shared" si="14"/>
        <v>91.539999999999992</v>
      </c>
    </row>
    <row r="940" spans="1:8" x14ac:dyDescent="0.25">
      <c r="A940" t="s">
        <v>1808</v>
      </c>
      <c r="B940">
        <v>43829</v>
      </c>
      <c r="C940" t="s">
        <v>1809</v>
      </c>
      <c r="D940" t="s">
        <v>137</v>
      </c>
      <c r="E940">
        <v>5</v>
      </c>
      <c r="F940">
        <f>INDEX([1]products!$A$1:$G$49,MATCH([1]orders!$D940,[1]products!$A$1:$A$49,0),MATCH([1]orders!K$1,[1]products!$A$1:$G$1,0))</f>
        <v>1</v>
      </c>
      <c r="G940">
        <f>INDEX([1]products!$A$1:$G$49,MATCH([1]orders!$D940,[1]products!$A$1:$A$49,0),MATCH([1]orders!L$1,[1]products!$A$1:$G$1,0))</f>
        <v>14.85</v>
      </c>
      <c r="H940">
        <f t="shared" si="14"/>
        <v>74.25</v>
      </c>
    </row>
    <row r="941" spans="1:8" x14ac:dyDescent="0.25">
      <c r="A941" t="s">
        <v>1810</v>
      </c>
      <c r="B941">
        <v>44229</v>
      </c>
      <c r="C941" t="s">
        <v>1811</v>
      </c>
      <c r="D941" t="s">
        <v>19</v>
      </c>
      <c r="E941">
        <v>6</v>
      </c>
      <c r="F941">
        <f>INDEX([1]products!$A$1:$G$49,MATCH([1]orders!$D941,[1]products!$A$1:$A$49,0),MATCH([1]orders!K$1,[1]products!$A$1:$G$1,0))</f>
        <v>0.2</v>
      </c>
      <c r="G941">
        <f>INDEX([1]products!$A$1:$G$49,MATCH([1]orders!$D941,[1]products!$A$1:$A$49,0),MATCH([1]orders!L$1,[1]products!$A$1:$G$1,0))</f>
        <v>4.7549999999999999</v>
      </c>
      <c r="H941">
        <f t="shared" si="14"/>
        <v>28.53</v>
      </c>
    </row>
    <row r="942" spans="1:8" x14ac:dyDescent="0.25">
      <c r="A942" t="s">
        <v>1812</v>
      </c>
      <c r="B942">
        <v>44332</v>
      </c>
      <c r="C942" t="s">
        <v>1813</v>
      </c>
      <c r="D942" t="s">
        <v>157</v>
      </c>
      <c r="E942">
        <v>2</v>
      </c>
      <c r="F942">
        <f>INDEX([1]products!$A$1:$G$49,MATCH([1]orders!$D942,[1]products!$A$1:$A$49,0),MATCH([1]orders!K$1,[1]products!$A$1:$G$1,0))</f>
        <v>0.5</v>
      </c>
      <c r="G942">
        <f>INDEX([1]products!$A$1:$G$49,MATCH([1]orders!$D942,[1]products!$A$1:$A$49,0),MATCH([1]orders!L$1,[1]products!$A$1:$G$1,0))</f>
        <v>7.169999999999999</v>
      </c>
      <c r="H942">
        <f t="shared" si="14"/>
        <v>14.339999999999998</v>
      </c>
    </row>
    <row r="943" spans="1:8" x14ac:dyDescent="0.25">
      <c r="A943" t="s">
        <v>1814</v>
      </c>
      <c r="B943">
        <v>44674</v>
      </c>
      <c r="C943" t="s">
        <v>1815</v>
      </c>
      <c r="D943" t="s">
        <v>192</v>
      </c>
      <c r="E943">
        <v>2</v>
      </c>
      <c r="F943">
        <f>INDEX([1]products!$A$1:$G$49,MATCH([1]orders!$D943,[1]products!$A$1:$A$49,0),MATCH([1]orders!K$1,[1]products!$A$1:$G$1,0))</f>
        <v>0.5</v>
      </c>
      <c r="G943">
        <f>INDEX([1]products!$A$1:$G$49,MATCH([1]orders!$D943,[1]products!$A$1:$A$49,0),MATCH([1]orders!L$1,[1]products!$A$1:$G$1,0))</f>
        <v>7.77</v>
      </c>
      <c r="H943">
        <f t="shared" si="14"/>
        <v>15.54</v>
      </c>
    </row>
    <row r="944" spans="1:8" x14ac:dyDescent="0.25">
      <c r="A944" t="s">
        <v>1816</v>
      </c>
      <c r="B944">
        <v>44464</v>
      </c>
      <c r="C944" t="s">
        <v>1817</v>
      </c>
      <c r="D944" t="s">
        <v>189</v>
      </c>
      <c r="E944">
        <v>3</v>
      </c>
      <c r="F944">
        <f>INDEX([1]products!$A$1:$G$49,MATCH([1]orders!$D944,[1]products!$A$1:$A$49,0),MATCH([1]orders!K$1,[1]products!$A$1:$G$1,0))</f>
        <v>1</v>
      </c>
      <c r="G944">
        <f>INDEX([1]products!$A$1:$G$49,MATCH([1]orders!$D944,[1]products!$A$1:$A$49,0),MATCH([1]orders!L$1,[1]products!$A$1:$G$1,0))</f>
        <v>11.95</v>
      </c>
      <c r="H944">
        <f t="shared" si="14"/>
        <v>35.849999999999994</v>
      </c>
    </row>
    <row r="945" spans="1:8" x14ac:dyDescent="0.25">
      <c r="A945" t="s">
        <v>1818</v>
      </c>
      <c r="B945">
        <v>44719</v>
      </c>
      <c r="C945" t="s">
        <v>1819</v>
      </c>
      <c r="D945" t="s">
        <v>192</v>
      </c>
      <c r="E945">
        <v>6</v>
      </c>
      <c r="F945">
        <f>INDEX([1]products!$A$1:$G$49,MATCH([1]orders!$D945,[1]products!$A$1:$A$49,0),MATCH([1]orders!K$1,[1]products!$A$1:$G$1,0))</f>
        <v>0.5</v>
      </c>
      <c r="G945">
        <f>INDEX([1]products!$A$1:$G$49,MATCH([1]orders!$D945,[1]products!$A$1:$A$49,0),MATCH([1]orders!L$1,[1]products!$A$1:$G$1,0))</f>
        <v>7.77</v>
      </c>
      <c r="H945">
        <f t="shared" si="14"/>
        <v>46.62</v>
      </c>
    </row>
    <row r="946" spans="1:8" x14ac:dyDescent="0.25">
      <c r="A946" t="s">
        <v>1820</v>
      </c>
      <c r="B946">
        <v>44054</v>
      </c>
      <c r="C946" t="s">
        <v>1821</v>
      </c>
      <c r="D946" t="s">
        <v>157</v>
      </c>
      <c r="E946">
        <v>5</v>
      </c>
      <c r="F946">
        <f>INDEX([1]products!$A$1:$G$49,MATCH([1]orders!$D946,[1]products!$A$1:$A$49,0),MATCH([1]orders!K$1,[1]products!$A$1:$G$1,0))</f>
        <v>0.5</v>
      </c>
      <c r="G946">
        <f>INDEX([1]products!$A$1:$G$49,MATCH([1]orders!$D946,[1]products!$A$1:$A$49,0),MATCH([1]orders!L$1,[1]products!$A$1:$G$1,0))</f>
        <v>7.169999999999999</v>
      </c>
      <c r="H946">
        <f t="shared" si="14"/>
        <v>35.849999999999994</v>
      </c>
    </row>
    <row r="947" spans="1:8" x14ac:dyDescent="0.25">
      <c r="A947" t="s">
        <v>1822</v>
      </c>
      <c r="B947">
        <v>43524</v>
      </c>
      <c r="C947" t="s">
        <v>1823</v>
      </c>
      <c r="D947" t="s">
        <v>109</v>
      </c>
      <c r="E947">
        <v>4</v>
      </c>
      <c r="F947">
        <f>INDEX([1]products!$A$1:$G$49,MATCH([1]orders!$D947,[1]products!$A$1:$A$49,0),MATCH([1]orders!K$1,[1]products!$A$1:$G$1,0))</f>
        <v>2.5</v>
      </c>
      <c r="G947">
        <f>INDEX([1]products!$A$1:$G$49,MATCH([1]orders!$D947,[1]products!$A$1:$A$49,0),MATCH([1]orders!L$1,[1]products!$A$1:$G$1,0))</f>
        <v>29.784999999999997</v>
      </c>
      <c r="H947">
        <f t="shared" si="14"/>
        <v>119.13999999999999</v>
      </c>
    </row>
    <row r="948" spans="1:8" x14ac:dyDescent="0.25">
      <c r="A948" t="s">
        <v>1824</v>
      </c>
      <c r="B948">
        <v>43719</v>
      </c>
      <c r="C948" t="s">
        <v>1825</v>
      </c>
      <c r="D948" t="s">
        <v>123</v>
      </c>
      <c r="E948">
        <v>3</v>
      </c>
      <c r="F948">
        <f>INDEX([1]products!$A$1:$G$49,MATCH([1]orders!$D948,[1]products!$A$1:$A$49,0),MATCH([1]orders!K$1,[1]products!$A$1:$G$1,0))</f>
        <v>0.5</v>
      </c>
      <c r="G948">
        <f>INDEX([1]products!$A$1:$G$49,MATCH([1]orders!$D948,[1]products!$A$1:$A$49,0),MATCH([1]orders!L$1,[1]products!$A$1:$G$1,0))</f>
        <v>7.77</v>
      </c>
      <c r="H948">
        <f t="shared" si="14"/>
        <v>23.31</v>
      </c>
    </row>
    <row r="949" spans="1:8" x14ac:dyDescent="0.25">
      <c r="A949" t="s">
        <v>1826</v>
      </c>
      <c r="B949">
        <v>44294</v>
      </c>
      <c r="C949" t="s">
        <v>1827</v>
      </c>
      <c r="D949" t="s">
        <v>61</v>
      </c>
      <c r="E949">
        <v>1</v>
      </c>
      <c r="F949">
        <f>INDEX([1]products!$A$1:$G$49,MATCH([1]orders!$D949,[1]products!$A$1:$A$49,0),MATCH([1]orders!K$1,[1]products!$A$1:$G$1,0))</f>
        <v>1</v>
      </c>
      <c r="G949">
        <f>INDEX([1]products!$A$1:$G$49,MATCH([1]orders!$D949,[1]products!$A$1:$A$49,0),MATCH([1]orders!L$1,[1]products!$A$1:$G$1,0))</f>
        <v>11.25</v>
      </c>
      <c r="H949">
        <f t="shared" si="14"/>
        <v>11.25</v>
      </c>
    </row>
    <row r="950" spans="1:8" x14ac:dyDescent="0.25">
      <c r="A950" t="s">
        <v>1828</v>
      </c>
      <c r="B950">
        <v>44445</v>
      </c>
      <c r="C950" t="s">
        <v>1829</v>
      </c>
      <c r="D950" t="s">
        <v>530</v>
      </c>
      <c r="E950">
        <v>3</v>
      </c>
      <c r="F950">
        <f>INDEX([1]products!$A$1:$G$49,MATCH([1]orders!$D950,[1]products!$A$1:$A$49,0),MATCH([1]orders!K$1,[1]products!$A$1:$G$1,0))</f>
        <v>2.5</v>
      </c>
      <c r="G950">
        <f>INDEX([1]products!$A$1:$G$49,MATCH([1]orders!$D950,[1]products!$A$1:$A$49,0),MATCH([1]orders!L$1,[1]products!$A$1:$G$1,0))</f>
        <v>27.945</v>
      </c>
      <c r="H950">
        <f t="shared" si="14"/>
        <v>83.835000000000008</v>
      </c>
    </row>
    <row r="951" spans="1:8" x14ac:dyDescent="0.25">
      <c r="A951" t="s">
        <v>1830</v>
      </c>
      <c r="B951">
        <v>44449</v>
      </c>
      <c r="C951" t="s">
        <v>1831</v>
      </c>
      <c r="D951" t="s">
        <v>10</v>
      </c>
      <c r="E951">
        <v>4</v>
      </c>
      <c r="F951">
        <f>INDEX([1]products!$A$1:$G$49,MATCH([1]orders!$D951,[1]products!$A$1:$A$49,0),MATCH([1]orders!K$1,[1]products!$A$1:$G$1,0))</f>
        <v>2.5</v>
      </c>
      <c r="G951">
        <f>INDEX([1]products!$A$1:$G$49,MATCH([1]orders!$D951,[1]products!$A$1:$A$49,0),MATCH([1]orders!L$1,[1]products!$A$1:$G$1,0))</f>
        <v>27.484999999999996</v>
      </c>
      <c r="H951">
        <f t="shared" si="14"/>
        <v>109.93999999999998</v>
      </c>
    </row>
    <row r="952" spans="1:8" x14ac:dyDescent="0.25">
      <c r="A952" t="s">
        <v>1832</v>
      </c>
      <c r="B952">
        <v>44703</v>
      </c>
      <c r="C952" t="s">
        <v>1833</v>
      </c>
      <c r="D952" t="s">
        <v>182</v>
      </c>
      <c r="E952">
        <v>4</v>
      </c>
      <c r="F952">
        <f>INDEX([1]products!$A$1:$G$49,MATCH([1]orders!$D952,[1]products!$A$1:$A$49,0),MATCH([1]orders!K$1,[1]products!$A$1:$G$1,0))</f>
        <v>0.2</v>
      </c>
      <c r="G952">
        <f>INDEX([1]products!$A$1:$G$49,MATCH([1]orders!$D952,[1]products!$A$1:$A$49,0),MATCH([1]orders!L$1,[1]products!$A$1:$G$1,0))</f>
        <v>3.5849999999999995</v>
      </c>
      <c r="H952">
        <f t="shared" si="14"/>
        <v>14.339999999999998</v>
      </c>
    </row>
    <row r="953" spans="1:8" x14ac:dyDescent="0.25">
      <c r="A953" t="s">
        <v>1834</v>
      </c>
      <c r="B953">
        <v>44092</v>
      </c>
      <c r="C953" t="s">
        <v>1835</v>
      </c>
      <c r="D953" t="s">
        <v>182</v>
      </c>
      <c r="E953">
        <v>6</v>
      </c>
      <c r="F953">
        <f>INDEX([1]products!$A$1:$G$49,MATCH([1]orders!$D953,[1]products!$A$1:$A$49,0),MATCH([1]orders!K$1,[1]products!$A$1:$G$1,0))</f>
        <v>0.2</v>
      </c>
      <c r="G953">
        <f>INDEX([1]products!$A$1:$G$49,MATCH([1]orders!$D953,[1]products!$A$1:$A$49,0),MATCH([1]orders!L$1,[1]products!$A$1:$G$1,0))</f>
        <v>3.5849999999999995</v>
      </c>
      <c r="H953">
        <f t="shared" si="14"/>
        <v>21.509999999999998</v>
      </c>
    </row>
    <row r="954" spans="1:8" x14ac:dyDescent="0.25">
      <c r="A954" t="s">
        <v>1836</v>
      </c>
      <c r="B954">
        <v>44439</v>
      </c>
      <c r="C954" t="s">
        <v>1837</v>
      </c>
      <c r="D954" t="s">
        <v>61</v>
      </c>
      <c r="E954">
        <v>2</v>
      </c>
      <c r="F954">
        <f>INDEX([1]products!$A$1:$G$49,MATCH([1]orders!$D954,[1]products!$A$1:$A$49,0),MATCH([1]orders!K$1,[1]products!$A$1:$G$1,0))</f>
        <v>1</v>
      </c>
      <c r="G954">
        <f>INDEX([1]products!$A$1:$G$49,MATCH([1]orders!$D954,[1]products!$A$1:$A$49,0),MATCH([1]orders!L$1,[1]products!$A$1:$G$1,0))</f>
        <v>11.25</v>
      </c>
      <c r="H954">
        <f t="shared" si="14"/>
        <v>22.5</v>
      </c>
    </row>
    <row r="955" spans="1:8" x14ac:dyDescent="0.25">
      <c r="A955" t="s">
        <v>1838</v>
      </c>
      <c r="B955">
        <v>44582</v>
      </c>
      <c r="C955" t="s">
        <v>1801</v>
      </c>
      <c r="D955" t="s">
        <v>115</v>
      </c>
      <c r="E955">
        <v>1</v>
      </c>
      <c r="F955">
        <f>INDEX([1]products!$A$1:$G$49,MATCH([1]orders!$D955,[1]products!$A$1:$A$49,0),MATCH([1]orders!K$1,[1]products!$A$1:$G$1,0))</f>
        <v>0.2</v>
      </c>
      <c r="G955">
        <f>INDEX([1]products!$A$1:$G$49,MATCH([1]orders!$D955,[1]products!$A$1:$A$49,0),MATCH([1]orders!L$1,[1]products!$A$1:$G$1,0))</f>
        <v>3.8849999999999998</v>
      </c>
      <c r="H955">
        <f t="shared" si="14"/>
        <v>3.8849999999999998</v>
      </c>
    </row>
    <row r="956" spans="1:8" x14ac:dyDescent="0.25">
      <c r="A956" t="s">
        <v>1839</v>
      </c>
      <c r="B956">
        <v>44722</v>
      </c>
      <c r="C956" t="s">
        <v>1801</v>
      </c>
      <c r="D956" t="s">
        <v>530</v>
      </c>
      <c r="E956">
        <v>1</v>
      </c>
      <c r="F956">
        <f>INDEX([1]products!$A$1:$G$49,MATCH([1]orders!$D956,[1]products!$A$1:$A$49,0),MATCH([1]orders!K$1,[1]products!$A$1:$G$1,0))</f>
        <v>2.5</v>
      </c>
      <c r="G956">
        <f>INDEX([1]products!$A$1:$G$49,MATCH([1]orders!$D956,[1]products!$A$1:$A$49,0),MATCH([1]orders!L$1,[1]products!$A$1:$G$1,0))</f>
        <v>27.945</v>
      </c>
      <c r="H956">
        <f t="shared" si="14"/>
        <v>27.945</v>
      </c>
    </row>
    <row r="957" spans="1:8" x14ac:dyDescent="0.25">
      <c r="A957" t="s">
        <v>1840</v>
      </c>
      <c r="B957">
        <v>43582</v>
      </c>
      <c r="C957" t="s">
        <v>1801</v>
      </c>
      <c r="D957" t="s">
        <v>30</v>
      </c>
      <c r="E957">
        <v>5</v>
      </c>
      <c r="F957">
        <f>INDEX([1]products!$A$1:$G$49,MATCH([1]orders!$D957,[1]products!$A$1:$A$49,0),MATCH([1]orders!K$1,[1]products!$A$1:$G$1,0))</f>
        <v>2.5</v>
      </c>
      <c r="G957">
        <f>INDEX([1]products!$A$1:$G$49,MATCH([1]orders!$D957,[1]products!$A$1:$A$49,0),MATCH([1]orders!L$1,[1]products!$A$1:$G$1,0))</f>
        <v>34.154999999999994</v>
      </c>
      <c r="H957">
        <f t="shared" si="14"/>
        <v>170.77499999999998</v>
      </c>
    </row>
    <row r="958" spans="1:8" x14ac:dyDescent="0.25">
      <c r="A958" t="s">
        <v>1840</v>
      </c>
      <c r="B958">
        <v>43582</v>
      </c>
      <c r="C958" t="s">
        <v>1801</v>
      </c>
      <c r="D958" t="s">
        <v>10</v>
      </c>
      <c r="E958">
        <v>2</v>
      </c>
      <c r="F958">
        <f>INDEX([1]products!$A$1:$G$49,MATCH([1]orders!$D958,[1]products!$A$1:$A$49,0),MATCH([1]orders!K$1,[1]products!$A$1:$G$1,0))</f>
        <v>2.5</v>
      </c>
      <c r="G958">
        <f>INDEX([1]products!$A$1:$G$49,MATCH([1]orders!$D958,[1]products!$A$1:$A$49,0),MATCH([1]orders!L$1,[1]products!$A$1:$G$1,0))</f>
        <v>27.484999999999996</v>
      </c>
      <c r="H958">
        <f t="shared" si="14"/>
        <v>54.969999999999992</v>
      </c>
    </row>
    <row r="959" spans="1:8" x14ac:dyDescent="0.25">
      <c r="A959" t="s">
        <v>1840</v>
      </c>
      <c r="B959">
        <v>43582</v>
      </c>
      <c r="C959" t="s">
        <v>1801</v>
      </c>
      <c r="D959" t="s">
        <v>137</v>
      </c>
      <c r="E959">
        <v>1</v>
      </c>
      <c r="F959">
        <f>INDEX([1]products!$A$1:$G$49,MATCH([1]orders!$D959,[1]products!$A$1:$A$49,0),MATCH([1]orders!K$1,[1]products!$A$1:$G$1,0))</f>
        <v>1</v>
      </c>
      <c r="G959">
        <f>INDEX([1]products!$A$1:$G$49,MATCH([1]orders!$D959,[1]products!$A$1:$A$49,0),MATCH([1]orders!L$1,[1]products!$A$1:$G$1,0))</f>
        <v>14.85</v>
      </c>
      <c r="H959">
        <f t="shared" si="14"/>
        <v>14.85</v>
      </c>
    </row>
    <row r="960" spans="1:8" x14ac:dyDescent="0.25">
      <c r="A960" t="s">
        <v>1840</v>
      </c>
      <c r="B960">
        <v>43582</v>
      </c>
      <c r="C960" t="s">
        <v>1801</v>
      </c>
      <c r="D960" t="s">
        <v>115</v>
      </c>
      <c r="E960">
        <v>2</v>
      </c>
      <c r="F960">
        <f>INDEX([1]products!$A$1:$G$49,MATCH([1]orders!$D960,[1]products!$A$1:$A$49,0),MATCH([1]orders!K$1,[1]products!$A$1:$G$1,0))</f>
        <v>0.2</v>
      </c>
      <c r="G960">
        <f>INDEX([1]products!$A$1:$G$49,MATCH([1]orders!$D960,[1]products!$A$1:$A$49,0),MATCH([1]orders!L$1,[1]products!$A$1:$G$1,0))</f>
        <v>3.8849999999999998</v>
      </c>
      <c r="H960">
        <f t="shared" si="14"/>
        <v>7.77</v>
      </c>
    </row>
    <row r="961" spans="1:8" x14ac:dyDescent="0.25">
      <c r="A961" t="s">
        <v>1841</v>
      </c>
      <c r="B961">
        <v>44598</v>
      </c>
      <c r="C961" t="s">
        <v>1842</v>
      </c>
      <c r="D961" t="s">
        <v>19</v>
      </c>
      <c r="E961">
        <v>5</v>
      </c>
      <c r="F961">
        <f>INDEX([1]products!$A$1:$G$49,MATCH([1]orders!$D961,[1]products!$A$1:$A$49,0),MATCH([1]orders!K$1,[1]products!$A$1:$G$1,0))</f>
        <v>0.2</v>
      </c>
      <c r="G961">
        <f>INDEX([1]products!$A$1:$G$49,MATCH([1]orders!$D961,[1]products!$A$1:$A$49,0),MATCH([1]orders!L$1,[1]products!$A$1:$G$1,0))</f>
        <v>4.7549999999999999</v>
      </c>
      <c r="H961">
        <f t="shared" si="14"/>
        <v>23.774999999999999</v>
      </c>
    </row>
    <row r="962" spans="1:8" x14ac:dyDescent="0.25">
      <c r="A962" t="s">
        <v>1843</v>
      </c>
      <c r="B962">
        <v>44591</v>
      </c>
      <c r="C962" t="s">
        <v>1844</v>
      </c>
      <c r="D962" t="s">
        <v>132</v>
      </c>
      <c r="E962">
        <v>5</v>
      </c>
      <c r="F962">
        <f>INDEX([1]products!$A$1:$G$49,MATCH([1]orders!$D962,[1]products!$A$1:$A$49,0),MATCH([1]orders!K$1,[1]products!$A$1:$G$1,0))</f>
        <v>1</v>
      </c>
      <c r="G962">
        <f>INDEX([1]products!$A$1:$G$49,MATCH([1]orders!$D962,[1]products!$A$1:$A$49,0),MATCH([1]orders!L$1,[1]products!$A$1:$G$1,0))</f>
        <v>15.85</v>
      </c>
      <c r="H962">
        <f t="shared" ref="H962:H1001" si="15">E962*G962</f>
        <v>79.25</v>
      </c>
    </row>
    <row r="963" spans="1:8" x14ac:dyDescent="0.25">
      <c r="A963" t="s">
        <v>1845</v>
      </c>
      <c r="B963">
        <v>44158</v>
      </c>
      <c r="C963" t="s">
        <v>1846</v>
      </c>
      <c r="D963" t="s">
        <v>118</v>
      </c>
      <c r="E963">
        <v>2</v>
      </c>
      <c r="F963">
        <f>INDEX([1]products!$A$1:$G$49,MATCH([1]orders!$D963,[1]products!$A$1:$A$49,0),MATCH([1]orders!K$1,[1]products!$A$1:$G$1,0))</f>
        <v>2.5</v>
      </c>
      <c r="G963">
        <f>INDEX([1]products!$A$1:$G$49,MATCH([1]orders!$D963,[1]products!$A$1:$A$49,0),MATCH([1]orders!L$1,[1]products!$A$1:$G$1,0))</f>
        <v>22.884999999999998</v>
      </c>
      <c r="H963">
        <f t="shared" si="15"/>
        <v>45.769999999999996</v>
      </c>
    </row>
    <row r="964" spans="1:8" x14ac:dyDescent="0.25">
      <c r="A964" t="s">
        <v>1847</v>
      </c>
      <c r="B964">
        <v>44664</v>
      </c>
      <c r="C964" t="s">
        <v>1848</v>
      </c>
      <c r="D964" t="s">
        <v>179</v>
      </c>
      <c r="E964">
        <v>1</v>
      </c>
      <c r="F964">
        <f>INDEX([1]products!$A$1:$G$49,MATCH([1]orders!$D964,[1]products!$A$1:$A$49,0),MATCH([1]orders!K$1,[1]products!$A$1:$G$1,0))</f>
        <v>1</v>
      </c>
      <c r="G964">
        <f>INDEX([1]products!$A$1:$G$49,MATCH([1]orders!$D964,[1]products!$A$1:$A$49,0),MATCH([1]orders!L$1,[1]products!$A$1:$G$1,0))</f>
        <v>8.9499999999999993</v>
      </c>
      <c r="H964">
        <f t="shared" si="15"/>
        <v>8.9499999999999993</v>
      </c>
    </row>
    <row r="965" spans="1:8" x14ac:dyDescent="0.25">
      <c r="A965" t="s">
        <v>1849</v>
      </c>
      <c r="B965">
        <v>44203</v>
      </c>
      <c r="C965" t="s">
        <v>1850</v>
      </c>
      <c r="D965" t="s">
        <v>22</v>
      </c>
      <c r="E965">
        <v>4</v>
      </c>
      <c r="F965">
        <f>INDEX([1]products!$A$1:$G$49,MATCH([1]orders!$D965,[1]products!$A$1:$A$49,0),MATCH([1]orders!K$1,[1]products!$A$1:$G$1,0))</f>
        <v>0.5</v>
      </c>
      <c r="G965">
        <f>INDEX([1]products!$A$1:$G$49,MATCH([1]orders!$D965,[1]products!$A$1:$A$49,0),MATCH([1]orders!L$1,[1]products!$A$1:$G$1,0))</f>
        <v>5.97</v>
      </c>
      <c r="H965">
        <f t="shared" si="15"/>
        <v>23.88</v>
      </c>
    </row>
    <row r="966" spans="1:8" x14ac:dyDescent="0.25">
      <c r="A966" t="s">
        <v>1851</v>
      </c>
      <c r="B966">
        <v>43865</v>
      </c>
      <c r="C966" t="s">
        <v>1852</v>
      </c>
      <c r="D966" t="s">
        <v>254</v>
      </c>
      <c r="E966">
        <v>5</v>
      </c>
      <c r="F966">
        <f>INDEX([1]products!$A$1:$G$49,MATCH([1]orders!$D966,[1]products!$A$1:$A$49,0),MATCH([1]orders!K$1,[1]products!$A$1:$G$1,0))</f>
        <v>0.2</v>
      </c>
      <c r="G966">
        <f>INDEX([1]products!$A$1:$G$49,MATCH([1]orders!$D966,[1]products!$A$1:$A$49,0),MATCH([1]orders!L$1,[1]products!$A$1:$G$1,0))</f>
        <v>4.4550000000000001</v>
      </c>
      <c r="H966">
        <f t="shared" si="15"/>
        <v>22.274999999999999</v>
      </c>
    </row>
    <row r="967" spans="1:8" x14ac:dyDescent="0.25">
      <c r="A967" t="s">
        <v>1853</v>
      </c>
      <c r="B967">
        <v>43724</v>
      </c>
      <c r="C967" t="s">
        <v>1854</v>
      </c>
      <c r="D967" t="s">
        <v>2</v>
      </c>
      <c r="E967">
        <v>3</v>
      </c>
      <c r="F967">
        <f>INDEX([1]products!$A$1:$G$49,MATCH([1]orders!$D967,[1]products!$A$1:$A$49,0),MATCH([1]orders!K$1,[1]products!$A$1:$G$1,0))</f>
        <v>1</v>
      </c>
      <c r="G967">
        <f>INDEX([1]products!$A$1:$G$49,MATCH([1]orders!$D967,[1]products!$A$1:$A$49,0),MATCH([1]orders!L$1,[1]products!$A$1:$G$1,0))</f>
        <v>9.9499999999999993</v>
      </c>
      <c r="H967">
        <f t="shared" si="15"/>
        <v>29.849999999999998</v>
      </c>
    </row>
    <row r="968" spans="1:8" x14ac:dyDescent="0.25">
      <c r="A968" t="s">
        <v>1855</v>
      </c>
      <c r="B968">
        <v>43491</v>
      </c>
      <c r="C968" t="s">
        <v>1856</v>
      </c>
      <c r="D968" t="s">
        <v>176</v>
      </c>
      <c r="E968">
        <v>6</v>
      </c>
      <c r="F968">
        <f>INDEX([1]products!$A$1:$G$49,MATCH([1]orders!$D968,[1]products!$A$1:$A$49,0),MATCH([1]orders!K$1,[1]products!$A$1:$G$1,0))</f>
        <v>0.5</v>
      </c>
      <c r="G968">
        <f>INDEX([1]products!$A$1:$G$49,MATCH([1]orders!$D968,[1]products!$A$1:$A$49,0),MATCH([1]orders!L$1,[1]products!$A$1:$G$1,0))</f>
        <v>8.91</v>
      </c>
      <c r="H968">
        <f t="shared" si="15"/>
        <v>53.46</v>
      </c>
    </row>
    <row r="969" spans="1:8" x14ac:dyDescent="0.25">
      <c r="A969" t="s">
        <v>1857</v>
      </c>
      <c r="B969">
        <v>44246</v>
      </c>
      <c r="C969" t="s">
        <v>1858</v>
      </c>
      <c r="D969" t="s">
        <v>101</v>
      </c>
      <c r="E969">
        <v>1</v>
      </c>
      <c r="F969">
        <f>INDEX([1]products!$A$1:$G$49,MATCH([1]orders!$D969,[1]products!$A$1:$A$49,0),MATCH([1]orders!K$1,[1]products!$A$1:$G$1,0))</f>
        <v>0.2</v>
      </c>
      <c r="G969">
        <f>INDEX([1]products!$A$1:$G$49,MATCH([1]orders!$D969,[1]products!$A$1:$A$49,0),MATCH([1]orders!L$1,[1]products!$A$1:$G$1,0))</f>
        <v>2.6849999999999996</v>
      </c>
      <c r="H969">
        <f t="shared" si="15"/>
        <v>2.6849999999999996</v>
      </c>
    </row>
    <row r="970" spans="1:8" x14ac:dyDescent="0.25">
      <c r="A970" t="s">
        <v>1859</v>
      </c>
      <c r="B970">
        <v>44642</v>
      </c>
      <c r="C970" t="s">
        <v>1860</v>
      </c>
      <c r="D970" t="s">
        <v>162</v>
      </c>
      <c r="E970">
        <v>2</v>
      </c>
      <c r="F970">
        <f>INDEX([1]products!$A$1:$G$49,MATCH([1]orders!$D970,[1]products!$A$1:$A$49,0),MATCH([1]orders!K$1,[1]products!$A$1:$G$1,0))</f>
        <v>0.2</v>
      </c>
      <c r="G970">
        <f>INDEX([1]products!$A$1:$G$49,MATCH([1]orders!$D970,[1]products!$A$1:$A$49,0),MATCH([1]orders!L$1,[1]products!$A$1:$G$1,0))</f>
        <v>2.9849999999999999</v>
      </c>
      <c r="H970">
        <f t="shared" si="15"/>
        <v>5.97</v>
      </c>
    </row>
    <row r="971" spans="1:8" x14ac:dyDescent="0.25">
      <c r="A971" t="s">
        <v>1861</v>
      </c>
      <c r="B971">
        <v>43649</v>
      </c>
      <c r="C971" t="s">
        <v>1862</v>
      </c>
      <c r="D971" t="s">
        <v>13</v>
      </c>
      <c r="E971">
        <v>1</v>
      </c>
      <c r="F971">
        <f>INDEX([1]products!$A$1:$G$49,MATCH([1]orders!$D971,[1]products!$A$1:$A$49,0),MATCH([1]orders!K$1,[1]products!$A$1:$G$1,0))</f>
        <v>1</v>
      </c>
      <c r="G971">
        <f>INDEX([1]products!$A$1:$G$49,MATCH([1]orders!$D971,[1]products!$A$1:$A$49,0),MATCH([1]orders!L$1,[1]products!$A$1:$G$1,0))</f>
        <v>12.95</v>
      </c>
      <c r="H971">
        <f t="shared" si="15"/>
        <v>12.95</v>
      </c>
    </row>
    <row r="972" spans="1:8" x14ac:dyDescent="0.25">
      <c r="A972" t="s">
        <v>1863</v>
      </c>
      <c r="B972">
        <v>43729</v>
      </c>
      <c r="C972" t="s">
        <v>1864</v>
      </c>
      <c r="D972" t="s">
        <v>3</v>
      </c>
      <c r="E972">
        <v>1</v>
      </c>
      <c r="F972">
        <f>INDEX([1]products!$A$1:$G$49,MATCH([1]orders!$D972,[1]products!$A$1:$A$49,0),MATCH([1]orders!K$1,[1]products!$A$1:$G$1,0))</f>
        <v>0.5</v>
      </c>
      <c r="G972">
        <f>INDEX([1]products!$A$1:$G$49,MATCH([1]orders!$D972,[1]products!$A$1:$A$49,0),MATCH([1]orders!L$1,[1]products!$A$1:$G$1,0))</f>
        <v>8.25</v>
      </c>
      <c r="H972">
        <f t="shared" si="15"/>
        <v>8.25</v>
      </c>
    </row>
    <row r="973" spans="1:8" x14ac:dyDescent="0.25">
      <c r="A973" t="s">
        <v>1865</v>
      </c>
      <c r="B973">
        <v>43703</v>
      </c>
      <c r="C973" t="s">
        <v>1866</v>
      </c>
      <c r="D973" t="s">
        <v>204</v>
      </c>
      <c r="E973">
        <v>5</v>
      </c>
      <c r="F973">
        <f>INDEX([1]products!$A$1:$G$49,MATCH([1]orders!$D973,[1]products!$A$1:$A$49,0),MATCH([1]orders!K$1,[1]products!$A$1:$G$1,0))</f>
        <v>2.5</v>
      </c>
      <c r="G973">
        <f>INDEX([1]products!$A$1:$G$49,MATCH([1]orders!$D973,[1]products!$A$1:$A$49,0),MATCH([1]orders!L$1,[1]products!$A$1:$G$1,0))</f>
        <v>29.784999999999997</v>
      </c>
      <c r="H973">
        <f t="shared" si="15"/>
        <v>148.92499999999998</v>
      </c>
    </row>
    <row r="974" spans="1:8" x14ac:dyDescent="0.25">
      <c r="A974" t="s">
        <v>1867</v>
      </c>
      <c r="B974">
        <v>44411</v>
      </c>
      <c r="C974" t="s">
        <v>1868</v>
      </c>
      <c r="D974" t="s">
        <v>204</v>
      </c>
      <c r="E974">
        <v>3</v>
      </c>
      <c r="F974">
        <f>INDEX([1]products!$A$1:$G$49,MATCH([1]orders!$D974,[1]products!$A$1:$A$49,0),MATCH([1]orders!K$1,[1]products!$A$1:$G$1,0))</f>
        <v>2.5</v>
      </c>
      <c r="G974">
        <f>INDEX([1]products!$A$1:$G$49,MATCH([1]orders!$D974,[1]products!$A$1:$A$49,0),MATCH([1]orders!L$1,[1]products!$A$1:$G$1,0))</f>
        <v>29.784999999999997</v>
      </c>
      <c r="H974">
        <f t="shared" si="15"/>
        <v>89.35499999999999</v>
      </c>
    </row>
    <row r="975" spans="1:8" x14ac:dyDescent="0.25">
      <c r="A975" t="s">
        <v>1869</v>
      </c>
      <c r="B975">
        <v>44493</v>
      </c>
      <c r="C975" t="s">
        <v>1870</v>
      </c>
      <c r="D975" t="s">
        <v>96</v>
      </c>
      <c r="E975">
        <v>6</v>
      </c>
      <c r="F975">
        <f>INDEX([1]products!$A$1:$G$49,MATCH([1]orders!$D975,[1]products!$A$1:$A$49,0),MATCH([1]orders!K$1,[1]products!$A$1:$G$1,0))</f>
        <v>1</v>
      </c>
      <c r="G975">
        <f>INDEX([1]products!$A$1:$G$49,MATCH([1]orders!$D975,[1]products!$A$1:$A$49,0),MATCH([1]orders!L$1,[1]products!$A$1:$G$1,0))</f>
        <v>14.55</v>
      </c>
      <c r="H975">
        <f t="shared" si="15"/>
        <v>87.300000000000011</v>
      </c>
    </row>
    <row r="976" spans="1:8" x14ac:dyDescent="0.25">
      <c r="A976" t="s">
        <v>1871</v>
      </c>
      <c r="B976">
        <v>43556</v>
      </c>
      <c r="C976" t="s">
        <v>1872</v>
      </c>
      <c r="D976" t="s">
        <v>146</v>
      </c>
      <c r="E976">
        <v>1</v>
      </c>
      <c r="F976">
        <f>INDEX([1]products!$A$1:$G$49,MATCH([1]orders!$D976,[1]products!$A$1:$A$49,0),MATCH([1]orders!K$1,[1]products!$A$1:$G$1,0))</f>
        <v>0.5</v>
      </c>
      <c r="G976">
        <f>INDEX([1]products!$A$1:$G$49,MATCH([1]orders!$D976,[1]products!$A$1:$A$49,0),MATCH([1]orders!L$1,[1]products!$A$1:$G$1,0))</f>
        <v>5.3699999999999992</v>
      </c>
      <c r="H976">
        <f t="shared" si="15"/>
        <v>5.3699999999999992</v>
      </c>
    </row>
    <row r="977" spans="1:8" x14ac:dyDescent="0.25">
      <c r="A977" t="s">
        <v>1873</v>
      </c>
      <c r="B977">
        <v>44538</v>
      </c>
      <c r="C977" t="s">
        <v>1874</v>
      </c>
      <c r="D977" t="s">
        <v>54</v>
      </c>
      <c r="E977">
        <v>3</v>
      </c>
      <c r="F977">
        <f>INDEX([1]products!$A$1:$G$49,MATCH([1]orders!$D977,[1]products!$A$1:$A$49,0),MATCH([1]orders!K$1,[1]products!$A$1:$G$1,0))</f>
        <v>0.2</v>
      </c>
      <c r="G977">
        <f>INDEX([1]products!$A$1:$G$49,MATCH([1]orders!$D977,[1]products!$A$1:$A$49,0),MATCH([1]orders!L$1,[1]products!$A$1:$G$1,0))</f>
        <v>2.9849999999999999</v>
      </c>
      <c r="H977">
        <f t="shared" si="15"/>
        <v>8.9550000000000001</v>
      </c>
    </row>
    <row r="978" spans="1:8" x14ac:dyDescent="0.25">
      <c r="A978" t="s">
        <v>1875</v>
      </c>
      <c r="B978">
        <v>43643</v>
      </c>
      <c r="C978" t="s">
        <v>1876</v>
      </c>
      <c r="D978" t="s">
        <v>10</v>
      </c>
      <c r="E978">
        <v>5</v>
      </c>
      <c r="F978">
        <f>INDEX([1]products!$A$1:$G$49,MATCH([1]orders!$D978,[1]products!$A$1:$A$49,0),MATCH([1]orders!K$1,[1]products!$A$1:$G$1,0))</f>
        <v>2.5</v>
      </c>
      <c r="G978">
        <f>INDEX([1]products!$A$1:$G$49,MATCH([1]orders!$D978,[1]products!$A$1:$A$49,0),MATCH([1]orders!L$1,[1]products!$A$1:$G$1,0))</f>
        <v>27.484999999999996</v>
      </c>
      <c r="H978">
        <f t="shared" si="15"/>
        <v>137.42499999999998</v>
      </c>
    </row>
    <row r="979" spans="1:8" x14ac:dyDescent="0.25">
      <c r="A979" t="s">
        <v>1877</v>
      </c>
      <c r="B979">
        <v>44026</v>
      </c>
      <c r="C979" t="s">
        <v>1878</v>
      </c>
      <c r="D979" t="s">
        <v>189</v>
      </c>
      <c r="E979">
        <v>5</v>
      </c>
      <c r="F979">
        <f>INDEX([1]products!$A$1:$G$49,MATCH([1]orders!$D979,[1]products!$A$1:$A$49,0),MATCH([1]orders!K$1,[1]products!$A$1:$G$1,0))</f>
        <v>1</v>
      </c>
      <c r="G979">
        <f>INDEX([1]products!$A$1:$G$49,MATCH([1]orders!$D979,[1]products!$A$1:$A$49,0),MATCH([1]orders!L$1,[1]products!$A$1:$G$1,0))</f>
        <v>11.95</v>
      </c>
      <c r="H979">
        <f t="shared" si="15"/>
        <v>59.75</v>
      </c>
    </row>
    <row r="980" spans="1:8" x14ac:dyDescent="0.25">
      <c r="A980" t="s">
        <v>1879</v>
      </c>
      <c r="B980">
        <v>43913</v>
      </c>
      <c r="C980" t="s">
        <v>1870</v>
      </c>
      <c r="D980" t="s">
        <v>192</v>
      </c>
      <c r="E980">
        <v>3</v>
      </c>
      <c r="F980">
        <f>INDEX([1]products!$A$1:$G$49,MATCH([1]orders!$D980,[1]products!$A$1:$A$49,0),MATCH([1]orders!K$1,[1]products!$A$1:$G$1,0))</f>
        <v>0.5</v>
      </c>
      <c r="G980">
        <f>INDEX([1]products!$A$1:$G$49,MATCH([1]orders!$D980,[1]products!$A$1:$A$49,0),MATCH([1]orders!L$1,[1]products!$A$1:$G$1,0))</f>
        <v>7.77</v>
      </c>
      <c r="H980">
        <f t="shared" si="15"/>
        <v>23.31</v>
      </c>
    </row>
    <row r="981" spans="1:8" x14ac:dyDescent="0.25">
      <c r="A981" t="s">
        <v>1880</v>
      </c>
      <c r="B981">
        <v>43856</v>
      </c>
      <c r="C981" t="s">
        <v>1881</v>
      </c>
      <c r="D981" t="s">
        <v>146</v>
      </c>
      <c r="E981">
        <v>2</v>
      </c>
      <c r="F981">
        <f>INDEX([1]products!$A$1:$G$49,MATCH([1]orders!$D981,[1]products!$A$1:$A$49,0),MATCH([1]orders!K$1,[1]products!$A$1:$G$1,0))</f>
        <v>0.5</v>
      </c>
      <c r="G981">
        <f>INDEX([1]products!$A$1:$G$49,MATCH([1]orders!$D981,[1]products!$A$1:$A$49,0),MATCH([1]orders!L$1,[1]products!$A$1:$G$1,0))</f>
        <v>5.3699999999999992</v>
      </c>
      <c r="H981">
        <f t="shared" si="15"/>
        <v>10.739999999999998</v>
      </c>
    </row>
    <row r="982" spans="1:8" x14ac:dyDescent="0.25">
      <c r="A982" t="s">
        <v>1882</v>
      </c>
      <c r="B982">
        <v>43982</v>
      </c>
      <c r="C982" t="s">
        <v>1883</v>
      </c>
      <c r="D982" t="s">
        <v>530</v>
      </c>
      <c r="E982">
        <v>6</v>
      </c>
      <c r="F982">
        <f>INDEX([1]products!$A$1:$G$49,MATCH([1]orders!$D982,[1]products!$A$1:$A$49,0),MATCH([1]orders!K$1,[1]products!$A$1:$G$1,0))</f>
        <v>2.5</v>
      </c>
      <c r="G982">
        <f>INDEX([1]products!$A$1:$G$49,MATCH([1]orders!$D982,[1]products!$A$1:$A$49,0),MATCH([1]orders!L$1,[1]products!$A$1:$G$1,0))</f>
        <v>27.945</v>
      </c>
      <c r="H982">
        <f t="shared" si="15"/>
        <v>167.67000000000002</v>
      </c>
    </row>
    <row r="983" spans="1:8" x14ac:dyDescent="0.25">
      <c r="A983" t="s">
        <v>1884</v>
      </c>
      <c r="B983">
        <v>44397</v>
      </c>
      <c r="C983" t="s">
        <v>1885</v>
      </c>
      <c r="D983" t="s">
        <v>51</v>
      </c>
      <c r="E983">
        <v>6</v>
      </c>
      <c r="F983">
        <f>INDEX([1]products!$A$1:$G$49,MATCH([1]orders!$D983,[1]products!$A$1:$A$49,0),MATCH([1]orders!K$1,[1]products!$A$1:$G$1,0))</f>
        <v>0.2</v>
      </c>
      <c r="G983">
        <f>INDEX([1]products!$A$1:$G$49,MATCH([1]orders!$D983,[1]products!$A$1:$A$49,0),MATCH([1]orders!L$1,[1]products!$A$1:$G$1,0))</f>
        <v>3.645</v>
      </c>
      <c r="H983">
        <f t="shared" si="15"/>
        <v>21.87</v>
      </c>
    </row>
    <row r="984" spans="1:8" x14ac:dyDescent="0.25">
      <c r="A984" t="s">
        <v>1886</v>
      </c>
      <c r="B984">
        <v>44785</v>
      </c>
      <c r="C984" t="s">
        <v>1887</v>
      </c>
      <c r="D984" t="s">
        <v>189</v>
      </c>
      <c r="E984">
        <v>2</v>
      </c>
      <c r="F984">
        <f>INDEX([1]products!$A$1:$G$49,MATCH([1]orders!$D984,[1]products!$A$1:$A$49,0),MATCH([1]orders!K$1,[1]products!$A$1:$G$1,0))</f>
        <v>1</v>
      </c>
      <c r="G984">
        <f>INDEX([1]products!$A$1:$G$49,MATCH([1]orders!$D984,[1]products!$A$1:$A$49,0),MATCH([1]orders!L$1,[1]products!$A$1:$G$1,0))</f>
        <v>11.95</v>
      </c>
      <c r="H984">
        <f t="shared" si="15"/>
        <v>23.9</v>
      </c>
    </row>
    <row r="985" spans="1:8" x14ac:dyDescent="0.25">
      <c r="A985" t="s">
        <v>1888</v>
      </c>
      <c r="B985">
        <v>43831</v>
      </c>
      <c r="C985" t="s">
        <v>1889</v>
      </c>
      <c r="D985" t="s">
        <v>44</v>
      </c>
      <c r="E985">
        <v>2</v>
      </c>
      <c r="F985">
        <f>INDEX([1]products!$A$1:$G$49,MATCH([1]orders!$D985,[1]products!$A$1:$A$49,0),MATCH([1]orders!K$1,[1]products!$A$1:$G$1,0))</f>
        <v>0.2</v>
      </c>
      <c r="G985">
        <f>INDEX([1]products!$A$1:$G$49,MATCH([1]orders!$D985,[1]products!$A$1:$A$49,0),MATCH([1]orders!L$1,[1]products!$A$1:$G$1,0))</f>
        <v>3.375</v>
      </c>
      <c r="H985">
        <f t="shared" si="15"/>
        <v>6.75</v>
      </c>
    </row>
    <row r="986" spans="1:8" x14ac:dyDescent="0.25">
      <c r="A986" t="s">
        <v>1890</v>
      </c>
      <c r="B986">
        <v>44214</v>
      </c>
      <c r="C986" t="s">
        <v>1891</v>
      </c>
      <c r="D986" t="s">
        <v>112</v>
      </c>
      <c r="E986">
        <v>1</v>
      </c>
      <c r="F986">
        <f>INDEX([1]products!$A$1:$G$49,MATCH([1]orders!$D986,[1]products!$A$1:$A$49,0),MATCH([1]orders!K$1,[1]products!$A$1:$G$1,0))</f>
        <v>2.5</v>
      </c>
      <c r="G986">
        <f>INDEX([1]products!$A$1:$G$49,MATCH([1]orders!$D986,[1]products!$A$1:$A$49,0),MATCH([1]orders!L$1,[1]products!$A$1:$G$1,0))</f>
        <v>31.624999999999996</v>
      </c>
      <c r="H986">
        <f t="shared" si="15"/>
        <v>31.624999999999996</v>
      </c>
    </row>
    <row r="987" spans="1:8" x14ac:dyDescent="0.25">
      <c r="A987" t="s">
        <v>1892</v>
      </c>
      <c r="B987">
        <v>44561</v>
      </c>
      <c r="C987" t="s">
        <v>1893</v>
      </c>
      <c r="D987" t="s">
        <v>189</v>
      </c>
      <c r="E987">
        <v>4</v>
      </c>
      <c r="F987">
        <f>INDEX([1]products!$A$1:$G$49,MATCH([1]orders!$D987,[1]products!$A$1:$A$49,0),MATCH([1]orders!K$1,[1]products!$A$1:$G$1,0))</f>
        <v>1</v>
      </c>
      <c r="G987">
        <f>INDEX([1]products!$A$1:$G$49,MATCH([1]orders!$D987,[1]products!$A$1:$A$49,0),MATCH([1]orders!L$1,[1]products!$A$1:$G$1,0))</f>
        <v>11.95</v>
      </c>
      <c r="H987">
        <f t="shared" si="15"/>
        <v>47.8</v>
      </c>
    </row>
    <row r="988" spans="1:8" x14ac:dyDescent="0.25">
      <c r="A988" t="s">
        <v>1894</v>
      </c>
      <c r="B988">
        <v>43955</v>
      </c>
      <c r="C988" t="s">
        <v>1895</v>
      </c>
      <c r="D988" t="s">
        <v>197</v>
      </c>
      <c r="E988">
        <v>1</v>
      </c>
      <c r="F988">
        <f>INDEX([1]products!$A$1:$G$49,MATCH([1]orders!$D988,[1]products!$A$1:$A$49,0),MATCH([1]orders!K$1,[1]products!$A$1:$G$1,0))</f>
        <v>2.5</v>
      </c>
      <c r="G988">
        <f>INDEX([1]products!$A$1:$G$49,MATCH([1]orders!$D988,[1]products!$A$1:$A$49,0),MATCH([1]orders!L$1,[1]products!$A$1:$G$1,0))</f>
        <v>33.464999999999996</v>
      </c>
      <c r="H988">
        <f t="shared" si="15"/>
        <v>33.464999999999996</v>
      </c>
    </row>
    <row r="989" spans="1:8" x14ac:dyDescent="0.25">
      <c r="A989" t="s">
        <v>1896</v>
      </c>
      <c r="B989">
        <v>44247</v>
      </c>
      <c r="C989" t="s">
        <v>1897</v>
      </c>
      <c r="D989" t="s">
        <v>72</v>
      </c>
      <c r="E989">
        <v>5</v>
      </c>
      <c r="F989">
        <f>INDEX([1]products!$A$1:$G$49,MATCH([1]orders!$D989,[1]products!$A$1:$A$49,0),MATCH([1]orders!K$1,[1]products!$A$1:$G$1,0))</f>
        <v>0.5</v>
      </c>
      <c r="G989">
        <f>INDEX([1]products!$A$1:$G$49,MATCH([1]orders!$D989,[1]products!$A$1:$A$49,0),MATCH([1]orders!L$1,[1]products!$A$1:$G$1,0))</f>
        <v>5.97</v>
      </c>
      <c r="H989">
        <f t="shared" si="15"/>
        <v>29.849999999999998</v>
      </c>
    </row>
    <row r="990" spans="1:8" x14ac:dyDescent="0.25">
      <c r="A990" t="s">
        <v>1898</v>
      </c>
      <c r="B990">
        <v>43897</v>
      </c>
      <c r="C990" t="s">
        <v>1899</v>
      </c>
      <c r="D990" t="s">
        <v>2</v>
      </c>
      <c r="E990">
        <v>3</v>
      </c>
      <c r="F990">
        <f>INDEX([1]products!$A$1:$G$49,MATCH([1]orders!$D990,[1]products!$A$1:$A$49,0),MATCH([1]orders!K$1,[1]products!$A$1:$G$1,0))</f>
        <v>1</v>
      </c>
      <c r="G990">
        <f>INDEX([1]products!$A$1:$G$49,MATCH([1]orders!$D990,[1]products!$A$1:$A$49,0),MATCH([1]orders!L$1,[1]products!$A$1:$G$1,0))</f>
        <v>9.9499999999999993</v>
      </c>
      <c r="H990">
        <f t="shared" si="15"/>
        <v>29.849999999999998</v>
      </c>
    </row>
    <row r="991" spans="1:8" x14ac:dyDescent="0.25">
      <c r="A991" t="s">
        <v>1900</v>
      </c>
      <c r="B991">
        <v>43560</v>
      </c>
      <c r="C991" t="s">
        <v>1901</v>
      </c>
      <c r="D991" t="s">
        <v>171</v>
      </c>
      <c r="E991">
        <v>6</v>
      </c>
      <c r="F991">
        <f>INDEX([1]products!$A$1:$G$49,MATCH([1]orders!$D991,[1]products!$A$1:$A$49,0),MATCH([1]orders!K$1,[1]products!$A$1:$G$1,0))</f>
        <v>2.5</v>
      </c>
      <c r="G991">
        <f>INDEX([1]products!$A$1:$G$49,MATCH([1]orders!$D991,[1]products!$A$1:$A$49,0),MATCH([1]orders!L$1,[1]products!$A$1:$G$1,0))</f>
        <v>25.874999999999996</v>
      </c>
      <c r="H991">
        <f t="shared" si="15"/>
        <v>155.24999999999997</v>
      </c>
    </row>
    <row r="992" spans="1:8" x14ac:dyDescent="0.25">
      <c r="A992" t="s">
        <v>1902</v>
      </c>
      <c r="B992">
        <v>44718</v>
      </c>
      <c r="C992" t="s">
        <v>1903</v>
      </c>
      <c r="D992" t="s">
        <v>51</v>
      </c>
      <c r="E992">
        <v>5</v>
      </c>
      <c r="F992">
        <f>INDEX([1]products!$A$1:$G$49,MATCH([1]orders!$D992,[1]products!$A$1:$A$49,0),MATCH([1]orders!K$1,[1]products!$A$1:$G$1,0))</f>
        <v>0.2</v>
      </c>
      <c r="G992">
        <f>INDEX([1]products!$A$1:$G$49,MATCH([1]orders!$D992,[1]products!$A$1:$A$49,0),MATCH([1]orders!L$1,[1]products!$A$1:$G$1,0))</f>
        <v>3.645</v>
      </c>
      <c r="H992">
        <f t="shared" si="15"/>
        <v>18.225000000000001</v>
      </c>
    </row>
    <row r="993" spans="1:8" x14ac:dyDescent="0.25">
      <c r="A993" t="s">
        <v>1902</v>
      </c>
      <c r="B993">
        <v>44718</v>
      </c>
      <c r="C993" t="s">
        <v>1903</v>
      </c>
      <c r="D993" t="s">
        <v>123</v>
      </c>
      <c r="E993">
        <v>2</v>
      </c>
      <c r="F993">
        <f>INDEX([1]products!$A$1:$G$49,MATCH([1]orders!$D993,[1]products!$A$1:$A$49,0),MATCH([1]orders!K$1,[1]products!$A$1:$G$1,0))</f>
        <v>0.5</v>
      </c>
      <c r="G993">
        <f>INDEX([1]products!$A$1:$G$49,MATCH([1]orders!$D993,[1]products!$A$1:$A$49,0),MATCH([1]orders!L$1,[1]products!$A$1:$G$1,0))</f>
        <v>7.77</v>
      </c>
      <c r="H993">
        <f t="shared" si="15"/>
        <v>15.54</v>
      </c>
    </row>
    <row r="994" spans="1:8" x14ac:dyDescent="0.25">
      <c r="A994" t="s">
        <v>1904</v>
      </c>
      <c r="B994">
        <v>44276</v>
      </c>
      <c r="C994" t="s">
        <v>1905</v>
      </c>
      <c r="D994" t="s">
        <v>104</v>
      </c>
      <c r="E994">
        <v>3</v>
      </c>
      <c r="F994">
        <f>INDEX([1]products!$A$1:$G$49,MATCH([1]orders!$D994,[1]products!$A$1:$A$49,0),MATCH([1]orders!K$1,[1]products!$A$1:$G$1,0))</f>
        <v>2.5</v>
      </c>
      <c r="G994">
        <f>INDEX([1]products!$A$1:$G$49,MATCH([1]orders!$D994,[1]products!$A$1:$A$49,0),MATCH([1]orders!L$1,[1]products!$A$1:$G$1,0))</f>
        <v>36.454999999999998</v>
      </c>
      <c r="H994">
        <f t="shared" si="15"/>
        <v>109.36499999999999</v>
      </c>
    </row>
    <row r="995" spans="1:8" x14ac:dyDescent="0.25">
      <c r="A995" t="s">
        <v>1906</v>
      </c>
      <c r="B995">
        <v>44549</v>
      </c>
      <c r="C995" t="s">
        <v>1907</v>
      </c>
      <c r="D995" t="s">
        <v>6</v>
      </c>
      <c r="E995">
        <v>6</v>
      </c>
      <c r="F995">
        <f>INDEX([1]products!$A$1:$G$49,MATCH([1]orders!$D995,[1]products!$A$1:$A$49,0),MATCH([1]orders!K$1,[1]products!$A$1:$G$1,0))</f>
        <v>1</v>
      </c>
      <c r="G995">
        <f>INDEX([1]products!$A$1:$G$49,MATCH([1]orders!$D995,[1]products!$A$1:$A$49,0),MATCH([1]orders!L$1,[1]products!$A$1:$G$1,0))</f>
        <v>12.95</v>
      </c>
      <c r="H995">
        <f t="shared" si="15"/>
        <v>77.699999999999989</v>
      </c>
    </row>
    <row r="996" spans="1:8" x14ac:dyDescent="0.25">
      <c r="A996" t="s">
        <v>1908</v>
      </c>
      <c r="B996">
        <v>44244</v>
      </c>
      <c r="C996" t="s">
        <v>1909</v>
      </c>
      <c r="D996" t="s">
        <v>54</v>
      </c>
      <c r="E996">
        <v>3</v>
      </c>
      <c r="F996">
        <f>INDEX([1]products!$A$1:$G$49,MATCH([1]orders!$D996,[1]products!$A$1:$A$49,0),MATCH([1]orders!K$1,[1]products!$A$1:$G$1,0))</f>
        <v>0.2</v>
      </c>
      <c r="G996">
        <f>INDEX([1]products!$A$1:$G$49,MATCH([1]orders!$D996,[1]products!$A$1:$A$49,0),MATCH([1]orders!L$1,[1]products!$A$1:$G$1,0))</f>
        <v>2.9849999999999999</v>
      </c>
      <c r="H996">
        <f t="shared" si="15"/>
        <v>8.9550000000000001</v>
      </c>
    </row>
    <row r="997" spans="1:8" x14ac:dyDescent="0.25">
      <c r="A997" t="s">
        <v>1910</v>
      </c>
      <c r="B997">
        <v>43836</v>
      </c>
      <c r="C997" t="s">
        <v>1911</v>
      </c>
      <c r="D997" t="s">
        <v>10</v>
      </c>
      <c r="E997">
        <v>1</v>
      </c>
      <c r="F997">
        <f>INDEX([1]products!$A$1:$G$49,MATCH([1]orders!$D997,[1]products!$A$1:$A$49,0),MATCH([1]orders!K$1,[1]products!$A$1:$G$1,0))</f>
        <v>2.5</v>
      </c>
      <c r="G997">
        <f>INDEX([1]products!$A$1:$G$49,MATCH([1]orders!$D997,[1]products!$A$1:$A$49,0),MATCH([1]orders!L$1,[1]products!$A$1:$G$1,0))</f>
        <v>27.484999999999996</v>
      </c>
      <c r="H997">
        <f t="shared" si="15"/>
        <v>27.484999999999996</v>
      </c>
    </row>
    <row r="998" spans="1:8" x14ac:dyDescent="0.25">
      <c r="A998" t="s">
        <v>1912</v>
      </c>
      <c r="B998">
        <v>44685</v>
      </c>
      <c r="C998" t="s">
        <v>1903</v>
      </c>
      <c r="D998" t="s">
        <v>22</v>
      </c>
      <c r="E998">
        <v>5</v>
      </c>
      <c r="F998">
        <f>INDEX([1]products!$A$1:$G$49,MATCH([1]orders!$D998,[1]products!$A$1:$A$49,0),MATCH([1]orders!K$1,[1]products!$A$1:$G$1,0))</f>
        <v>0.5</v>
      </c>
      <c r="G998">
        <f>INDEX([1]products!$A$1:$G$49,MATCH([1]orders!$D998,[1]products!$A$1:$A$49,0),MATCH([1]orders!L$1,[1]products!$A$1:$G$1,0))</f>
        <v>5.97</v>
      </c>
      <c r="H998">
        <f t="shared" si="15"/>
        <v>29.849999999999998</v>
      </c>
    </row>
    <row r="999" spans="1:8" x14ac:dyDescent="0.25">
      <c r="A999" t="s">
        <v>1913</v>
      </c>
      <c r="B999">
        <v>43749</v>
      </c>
      <c r="C999" t="s">
        <v>1903</v>
      </c>
      <c r="D999" t="s">
        <v>67</v>
      </c>
      <c r="E999">
        <v>4</v>
      </c>
      <c r="F999">
        <f>INDEX([1]products!$A$1:$G$49,MATCH([1]orders!$D999,[1]products!$A$1:$A$49,0),MATCH([1]orders!K$1,[1]products!$A$1:$G$1,0))</f>
        <v>0.5</v>
      </c>
      <c r="G999">
        <f>INDEX([1]products!$A$1:$G$49,MATCH([1]orders!$D999,[1]products!$A$1:$A$49,0),MATCH([1]orders!L$1,[1]products!$A$1:$G$1,0))</f>
        <v>6.75</v>
      </c>
      <c r="H999">
        <f t="shared" si="15"/>
        <v>27</v>
      </c>
    </row>
    <row r="1000" spans="1:8" x14ac:dyDescent="0.25">
      <c r="A1000" t="s">
        <v>1914</v>
      </c>
      <c r="B1000">
        <v>44411</v>
      </c>
      <c r="C1000" t="s">
        <v>1915</v>
      </c>
      <c r="D1000" t="s">
        <v>27</v>
      </c>
      <c r="E1000">
        <v>1</v>
      </c>
      <c r="F1000">
        <f>INDEX([1]products!$A$1:$G$49,MATCH([1]orders!$D1000,[1]products!$A$1:$A$49,0),MATCH([1]orders!K$1,[1]products!$A$1:$G$1,0))</f>
        <v>1</v>
      </c>
      <c r="G1000">
        <f>INDEX([1]products!$A$1:$G$49,MATCH([1]orders!$D1000,[1]products!$A$1:$A$49,0),MATCH([1]orders!L$1,[1]products!$A$1:$G$1,0))</f>
        <v>9.9499999999999993</v>
      </c>
      <c r="H1000">
        <f t="shared" si="15"/>
        <v>9.9499999999999993</v>
      </c>
    </row>
    <row r="1001" spans="1:8" x14ac:dyDescent="0.25">
      <c r="A1001" t="s">
        <v>1916</v>
      </c>
      <c r="B1001">
        <v>44119</v>
      </c>
      <c r="C1001" t="s">
        <v>1917</v>
      </c>
      <c r="D1001" t="s">
        <v>64</v>
      </c>
      <c r="E1001">
        <v>3</v>
      </c>
      <c r="F1001">
        <f>INDEX([1]products!$A$1:$G$49,MATCH([1]orders!$D1001,[1]products!$A$1:$A$49,0),MATCH([1]orders!K$1,[1]products!$A$1:$G$1,0))</f>
        <v>0.2</v>
      </c>
      <c r="G1001">
        <f>INDEX([1]products!$A$1:$G$49,MATCH([1]orders!$D1001,[1]products!$A$1:$A$49,0),MATCH([1]orders!L$1,[1]products!$A$1:$G$1,0))</f>
        <v>4.125</v>
      </c>
      <c r="H1001">
        <f t="shared" si="15"/>
        <v>12.375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001"/>
  <sheetViews>
    <sheetView workbookViewId="0">
      <selection activeCell="B1" sqref="B1"/>
    </sheetView>
  </sheetViews>
  <sheetFormatPr defaultRowHeight="15" x14ac:dyDescent="0.25"/>
  <cols>
    <col min="1" max="1" width="15.85546875" bestFit="1" customWidth="1"/>
    <col min="2" max="2" width="15.28515625" customWidth="1"/>
    <col min="3" max="3" width="17.85546875" customWidth="1"/>
    <col min="4" max="4" width="18.5703125" customWidth="1"/>
    <col min="5" max="5" width="15.42578125" customWidth="1"/>
    <col min="8" max="8" width="8.42578125" bestFit="1" customWidth="1"/>
    <col min="9" max="9" width="11" bestFit="1" customWidth="1"/>
  </cols>
  <sheetData>
    <row r="1" spans="1:9" x14ac:dyDescent="0.25">
      <c r="A1" t="s">
        <v>1920</v>
      </c>
      <c r="B1" t="s">
        <v>1923</v>
      </c>
      <c r="C1" t="s">
        <v>1924</v>
      </c>
      <c r="D1" t="s">
        <v>1931</v>
      </c>
      <c r="E1" t="s">
        <v>1932</v>
      </c>
      <c r="F1" t="s">
        <v>1933</v>
      </c>
      <c r="G1" t="s">
        <v>1925</v>
      </c>
      <c r="H1" t="s">
        <v>1934</v>
      </c>
      <c r="I1" t="s">
        <v>1935</v>
      </c>
    </row>
    <row r="2" spans="1:9" x14ac:dyDescent="0.25">
      <c r="A2" t="s">
        <v>1</v>
      </c>
      <c r="B2" t="s">
        <v>1936</v>
      </c>
      <c r="C2" t="s">
        <v>1937</v>
      </c>
      <c r="D2" t="s">
        <v>1938</v>
      </c>
      <c r="E2" t="s">
        <v>1939</v>
      </c>
      <c r="F2" t="s">
        <v>1940</v>
      </c>
      <c r="G2" t="s">
        <v>1941</v>
      </c>
      <c r="H2">
        <v>7505</v>
      </c>
      <c r="I2" t="s">
        <v>1942</v>
      </c>
    </row>
    <row r="3" spans="1:9" x14ac:dyDescent="0.25">
      <c r="A3" t="s">
        <v>1943</v>
      </c>
      <c r="B3" t="s">
        <v>1944</v>
      </c>
      <c r="C3" t="s">
        <v>1945</v>
      </c>
      <c r="D3" t="s">
        <v>1946</v>
      </c>
      <c r="E3" t="s">
        <v>1947</v>
      </c>
      <c r="F3" t="s">
        <v>1948</v>
      </c>
      <c r="G3" t="s">
        <v>1949</v>
      </c>
      <c r="H3" t="s">
        <v>1950</v>
      </c>
      <c r="I3" t="s">
        <v>1951</v>
      </c>
    </row>
    <row r="4" spans="1:9" x14ac:dyDescent="0.25">
      <c r="A4" t="s">
        <v>5</v>
      </c>
      <c r="B4" t="s">
        <v>1952</v>
      </c>
      <c r="C4" t="s">
        <v>1953</v>
      </c>
      <c r="D4" t="s">
        <v>1954</v>
      </c>
      <c r="E4" t="s">
        <v>1955</v>
      </c>
      <c r="F4" t="s">
        <v>1956</v>
      </c>
      <c r="G4" t="s">
        <v>1941</v>
      </c>
      <c r="H4">
        <v>78205</v>
      </c>
      <c r="I4" t="s">
        <v>1942</v>
      </c>
    </row>
    <row r="5" spans="1:9" x14ac:dyDescent="0.25">
      <c r="A5" t="s">
        <v>1957</v>
      </c>
      <c r="B5" t="s">
        <v>1958</v>
      </c>
      <c r="C5" t="s">
        <v>1959</v>
      </c>
      <c r="D5" t="s">
        <v>1960</v>
      </c>
      <c r="E5" t="s">
        <v>1961</v>
      </c>
      <c r="F5" t="s">
        <v>1962</v>
      </c>
      <c r="G5" t="s">
        <v>1941</v>
      </c>
      <c r="H5">
        <v>62711</v>
      </c>
      <c r="I5" t="s">
        <v>1942</v>
      </c>
    </row>
    <row r="6" spans="1:9" x14ac:dyDescent="0.25">
      <c r="A6" t="s">
        <v>8</v>
      </c>
      <c r="B6" t="s">
        <v>1963</v>
      </c>
      <c r="D6" t="s">
        <v>1964</v>
      </c>
      <c r="E6" t="s">
        <v>1965</v>
      </c>
      <c r="F6" t="s">
        <v>1966</v>
      </c>
      <c r="G6" t="s">
        <v>1949</v>
      </c>
      <c r="H6" t="s">
        <v>1967</v>
      </c>
      <c r="I6" t="s">
        <v>1951</v>
      </c>
    </row>
    <row r="7" spans="1:9" x14ac:dyDescent="0.25">
      <c r="A7" t="s">
        <v>12</v>
      </c>
      <c r="B7" t="s">
        <v>1968</v>
      </c>
      <c r="D7" t="s">
        <v>1969</v>
      </c>
      <c r="E7" t="s">
        <v>1970</v>
      </c>
      <c r="F7" t="s">
        <v>1971</v>
      </c>
      <c r="G7" t="s">
        <v>1941</v>
      </c>
      <c r="H7">
        <v>18505</v>
      </c>
      <c r="I7" t="s">
        <v>1951</v>
      </c>
    </row>
    <row r="8" spans="1:9" x14ac:dyDescent="0.25">
      <c r="A8" t="s">
        <v>15</v>
      </c>
      <c r="B8" t="s">
        <v>1972</v>
      </c>
      <c r="C8" t="s">
        <v>1973</v>
      </c>
      <c r="D8" t="s">
        <v>1974</v>
      </c>
      <c r="E8" t="s">
        <v>1975</v>
      </c>
      <c r="F8" t="s">
        <v>1976</v>
      </c>
      <c r="G8" t="s">
        <v>1941</v>
      </c>
      <c r="H8">
        <v>45440</v>
      </c>
      <c r="I8" t="s">
        <v>1942</v>
      </c>
    </row>
    <row r="9" spans="1:9" x14ac:dyDescent="0.25">
      <c r="A9" t="s">
        <v>18</v>
      </c>
      <c r="B9" t="s">
        <v>1977</v>
      </c>
      <c r="D9" t="s">
        <v>1978</v>
      </c>
      <c r="E9" t="s">
        <v>1979</v>
      </c>
      <c r="F9" t="s">
        <v>1980</v>
      </c>
      <c r="G9" t="s">
        <v>1949</v>
      </c>
      <c r="H9" t="s">
        <v>1981</v>
      </c>
      <c r="I9" t="s">
        <v>1942</v>
      </c>
    </row>
    <row r="10" spans="1:9" x14ac:dyDescent="0.25">
      <c r="A10" t="s">
        <v>21</v>
      </c>
      <c r="B10" t="s">
        <v>1982</v>
      </c>
      <c r="C10" t="s">
        <v>1983</v>
      </c>
      <c r="D10" t="s">
        <v>1984</v>
      </c>
      <c r="E10" t="s">
        <v>1985</v>
      </c>
      <c r="F10" t="s">
        <v>1986</v>
      </c>
      <c r="G10" t="s">
        <v>1941</v>
      </c>
      <c r="H10">
        <v>90045</v>
      </c>
      <c r="I10" t="s">
        <v>1951</v>
      </c>
    </row>
    <row r="11" spans="1:9" x14ac:dyDescent="0.25">
      <c r="A11" t="s">
        <v>24</v>
      </c>
      <c r="B11" t="s">
        <v>1987</v>
      </c>
      <c r="C11" t="s">
        <v>1988</v>
      </c>
      <c r="D11" t="s">
        <v>1989</v>
      </c>
      <c r="E11" t="s">
        <v>1990</v>
      </c>
      <c r="F11" t="s">
        <v>1986</v>
      </c>
      <c r="G11" t="s">
        <v>1941</v>
      </c>
      <c r="H11">
        <v>90065</v>
      </c>
      <c r="I11" t="s">
        <v>1951</v>
      </c>
    </row>
    <row r="12" spans="1:9" x14ac:dyDescent="0.25">
      <c r="A12" t="s">
        <v>26</v>
      </c>
      <c r="B12" t="s">
        <v>1991</v>
      </c>
      <c r="C12" t="s">
        <v>1992</v>
      </c>
      <c r="D12" t="s">
        <v>1993</v>
      </c>
      <c r="E12" t="s">
        <v>1994</v>
      </c>
      <c r="F12" t="s">
        <v>1995</v>
      </c>
      <c r="G12" t="s">
        <v>1941</v>
      </c>
      <c r="H12">
        <v>95160</v>
      </c>
      <c r="I12" t="s">
        <v>1951</v>
      </c>
    </row>
    <row r="13" spans="1:9" x14ac:dyDescent="0.25">
      <c r="A13" t="s">
        <v>29</v>
      </c>
      <c r="B13" t="s">
        <v>1996</v>
      </c>
      <c r="C13" t="s">
        <v>1997</v>
      </c>
      <c r="D13" t="s">
        <v>1998</v>
      </c>
      <c r="E13" t="s">
        <v>1999</v>
      </c>
      <c r="F13" t="s">
        <v>1995</v>
      </c>
      <c r="G13" t="s">
        <v>1941</v>
      </c>
      <c r="H13">
        <v>95194</v>
      </c>
      <c r="I13" t="s">
        <v>1942</v>
      </c>
    </row>
    <row r="14" spans="1:9" x14ac:dyDescent="0.25">
      <c r="A14" t="s">
        <v>32</v>
      </c>
      <c r="B14" t="s">
        <v>2000</v>
      </c>
      <c r="C14" t="s">
        <v>2001</v>
      </c>
      <c r="D14" t="s">
        <v>2002</v>
      </c>
      <c r="E14" t="s">
        <v>2003</v>
      </c>
      <c r="F14" t="s">
        <v>2004</v>
      </c>
      <c r="G14" t="s">
        <v>1941</v>
      </c>
      <c r="H14">
        <v>23285</v>
      </c>
      <c r="I14" t="s">
        <v>1951</v>
      </c>
    </row>
    <row r="15" spans="1:9" x14ac:dyDescent="0.25">
      <c r="A15" t="s">
        <v>34</v>
      </c>
      <c r="B15" t="s">
        <v>2005</v>
      </c>
      <c r="C15" t="s">
        <v>2006</v>
      </c>
      <c r="E15" t="s">
        <v>2007</v>
      </c>
      <c r="F15" t="s">
        <v>2008</v>
      </c>
      <c r="G15" t="s">
        <v>1941</v>
      </c>
      <c r="H15">
        <v>41905</v>
      </c>
      <c r="I15" t="s">
        <v>1951</v>
      </c>
    </row>
    <row r="16" spans="1:9" x14ac:dyDescent="0.25">
      <c r="A16" t="s">
        <v>37</v>
      </c>
      <c r="B16" t="s">
        <v>2009</v>
      </c>
      <c r="C16" t="s">
        <v>2010</v>
      </c>
      <c r="D16" t="s">
        <v>2011</v>
      </c>
      <c r="E16" t="s">
        <v>2012</v>
      </c>
      <c r="F16" t="s">
        <v>2013</v>
      </c>
      <c r="G16" t="s">
        <v>1941</v>
      </c>
      <c r="H16">
        <v>63131</v>
      </c>
      <c r="I16" t="s">
        <v>1942</v>
      </c>
    </row>
    <row r="17" spans="1:9" x14ac:dyDescent="0.25">
      <c r="A17" t="s">
        <v>40</v>
      </c>
      <c r="B17" t="s">
        <v>2014</v>
      </c>
      <c r="C17" t="s">
        <v>2015</v>
      </c>
      <c r="E17" t="s">
        <v>2016</v>
      </c>
      <c r="F17" t="s">
        <v>2017</v>
      </c>
      <c r="G17" t="s">
        <v>1941</v>
      </c>
      <c r="H17">
        <v>19172</v>
      </c>
      <c r="I17" t="s">
        <v>1951</v>
      </c>
    </row>
    <row r="18" spans="1:9" x14ac:dyDescent="0.25">
      <c r="A18" t="s">
        <v>43</v>
      </c>
      <c r="B18" t="s">
        <v>2018</v>
      </c>
      <c r="C18" t="s">
        <v>2019</v>
      </c>
      <c r="D18" t="s">
        <v>2020</v>
      </c>
      <c r="E18" t="s">
        <v>2021</v>
      </c>
      <c r="F18" t="s">
        <v>2022</v>
      </c>
      <c r="G18" t="s">
        <v>1941</v>
      </c>
      <c r="H18">
        <v>97271</v>
      </c>
      <c r="I18" t="s">
        <v>1951</v>
      </c>
    </row>
    <row r="19" spans="1:9" x14ac:dyDescent="0.25">
      <c r="A19" t="s">
        <v>46</v>
      </c>
      <c r="B19" t="s">
        <v>2023</v>
      </c>
      <c r="C19" t="s">
        <v>2024</v>
      </c>
      <c r="D19" t="s">
        <v>2025</v>
      </c>
      <c r="E19" t="s">
        <v>2026</v>
      </c>
      <c r="F19" t="s">
        <v>2027</v>
      </c>
      <c r="G19" t="s">
        <v>1941</v>
      </c>
      <c r="H19">
        <v>77240</v>
      </c>
      <c r="I19" t="s">
        <v>1951</v>
      </c>
    </row>
    <row r="20" spans="1:9" x14ac:dyDescent="0.25">
      <c r="A20" t="s">
        <v>48</v>
      </c>
      <c r="B20" t="s">
        <v>2028</v>
      </c>
      <c r="C20" t="s">
        <v>2029</v>
      </c>
      <c r="E20" t="s">
        <v>2030</v>
      </c>
      <c r="F20" t="s">
        <v>2031</v>
      </c>
      <c r="G20" t="s">
        <v>1949</v>
      </c>
      <c r="H20" t="s">
        <v>2032</v>
      </c>
      <c r="I20" t="s">
        <v>1942</v>
      </c>
    </row>
    <row r="21" spans="1:9" x14ac:dyDescent="0.25">
      <c r="A21" t="s">
        <v>50</v>
      </c>
      <c r="B21" t="s">
        <v>2033</v>
      </c>
      <c r="C21" t="s">
        <v>2034</v>
      </c>
      <c r="D21" t="s">
        <v>2035</v>
      </c>
      <c r="E21" t="s">
        <v>2036</v>
      </c>
      <c r="F21" t="s">
        <v>2037</v>
      </c>
      <c r="G21" t="s">
        <v>1941</v>
      </c>
      <c r="H21">
        <v>10060</v>
      </c>
      <c r="I21" t="s">
        <v>1942</v>
      </c>
    </row>
    <row r="22" spans="1:9" x14ac:dyDescent="0.25">
      <c r="A22" t="s">
        <v>2038</v>
      </c>
      <c r="B22" t="s">
        <v>2039</v>
      </c>
      <c r="D22" t="s">
        <v>2040</v>
      </c>
      <c r="E22" t="s">
        <v>2041</v>
      </c>
      <c r="F22" t="s">
        <v>2042</v>
      </c>
      <c r="G22" t="s">
        <v>1949</v>
      </c>
      <c r="H22" t="s">
        <v>2043</v>
      </c>
      <c r="I22" t="s">
        <v>1942</v>
      </c>
    </row>
    <row r="23" spans="1:9" x14ac:dyDescent="0.25">
      <c r="A23" t="s">
        <v>53</v>
      </c>
      <c r="B23" t="s">
        <v>2044</v>
      </c>
      <c r="C23" t="s">
        <v>2045</v>
      </c>
      <c r="D23" t="s">
        <v>2046</v>
      </c>
      <c r="E23" t="s">
        <v>2047</v>
      </c>
      <c r="F23" t="s">
        <v>2048</v>
      </c>
      <c r="G23" t="s">
        <v>1941</v>
      </c>
      <c r="H23">
        <v>49560</v>
      </c>
      <c r="I23" t="s">
        <v>1951</v>
      </c>
    </row>
    <row r="24" spans="1:9" x14ac:dyDescent="0.25">
      <c r="A24" t="s">
        <v>56</v>
      </c>
      <c r="B24" t="s">
        <v>2049</v>
      </c>
      <c r="C24" t="s">
        <v>2050</v>
      </c>
      <c r="D24" t="s">
        <v>2051</v>
      </c>
      <c r="E24" t="s">
        <v>2052</v>
      </c>
      <c r="F24" t="s">
        <v>2053</v>
      </c>
      <c r="G24" t="s">
        <v>1941</v>
      </c>
      <c r="H24">
        <v>33982</v>
      </c>
      <c r="I24" t="s">
        <v>1942</v>
      </c>
    </row>
    <row r="25" spans="1:9" x14ac:dyDescent="0.25">
      <c r="A25" t="s">
        <v>58</v>
      </c>
      <c r="B25" t="s">
        <v>2054</v>
      </c>
      <c r="C25" t="s">
        <v>2055</v>
      </c>
      <c r="D25" t="s">
        <v>2056</v>
      </c>
      <c r="E25" t="s">
        <v>2057</v>
      </c>
      <c r="F25" t="s">
        <v>2058</v>
      </c>
      <c r="G25" t="s">
        <v>1941</v>
      </c>
      <c r="H25">
        <v>98682</v>
      </c>
      <c r="I25" t="s">
        <v>1942</v>
      </c>
    </row>
    <row r="26" spans="1:9" x14ac:dyDescent="0.25">
      <c r="A26" t="s">
        <v>60</v>
      </c>
      <c r="B26" t="s">
        <v>2059</v>
      </c>
      <c r="C26" t="s">
        <v>2060</v>
      </c>
      <c r="D26" t="s">
        <v>2061</v>
      </c>
      <c r="E26" t="s">
        <v>2062</v>
      </c>
      <c r="F26" t="s">
        <v>2063</v>
      </c>
      <c r="G26" t="s">
        <v>1941</v>
      </c>
      <c r="H26">
        <v>80150</v>
      </c>
      <c r="I26" t="s">
        <v>1951</v>
      </c>
    </row>
    <row r="27" spans="1:9" x14ac:dyDescent="0.25">
      <c r="A27" t="s">
        <v>63</v>
      </c>
      <c r="B27" t="s">
        <v>2064</v>
      </c>
      <c r="D27" t="s">
        <v>2065</v>
      </c>
      <c r="E27" t="s">
        <v>2066</v>
      </c>
      <c r="F27" t="s">
        <v>2053</v>
      </c>
      <c r="G27" t="s">
        <v>1941</v>
      </c>
      <c r="H27">
        <v>33982</v>
      </c>
      <c r="I27" t="s">
        <v>1942</v>
      </c>
    </row>
    <row r="28" spans="1:9" x14ac:dyDescent="0.25">
      <c r="A28" t="s">
        <v>66</v>
      </c>
      <c r="B28" t="s">
        <v>2067</v>
      </c>
      <c r="C28" t="s">
        <v>2068</v>
      </c>
      <c r="D28" t="s">
        <v>2069</v>
      </c>
      <c r="E28" t="s">
        <v>2070</v>
      </c>
      <c r="F28" t="s">
        <v>2071</v>
      </c>
      <c r="G28" t="s">
        <v>1941</v>
      </c>
      <c r="H28">
        <v>94975</v>
      </c>
      <c r="I28" t="s">
        <v>1942</v>
      </c>
    </row>
    <row r="29" spans="1:9" x14ac:dyDescent="0.25">
      <c r="A29" t="s">
        <v>69</v>
      </c>
      <c r="B29" t="s">
        <v>2072</v>
      </c>
      <c r="C29" t="s">
        <v>2073</v>
      </c>
      <c r="D29" t="s">
        <v>2074</v>
      </c>
      <c r="E29" t="s">
        <v>2075</v>
      </c>
      <c r="F29" t="s">
        <v>2076</v>
      </c>
      <c r="G29" t="s">
        <v>1949</v>
      </c>
      <c r="H29" t="s">
        <v>2077</v>
      </c>
      <c r="I29" t="s">
        <v>1951</v>
      </c>
    </row>
    <row r="30" spans="1:9" x14ac:dyDescent="0.25">
      <c r="A30" t="s">
        <v>71</v>
      </c>
      <c r="B30" t="s">
        <v>2078</v>
      </c>
      <c r="C30" t="s">
        <v>2079</v>
      </c>
      <c r="D30" t="s">
        <v>2080</v>
      </c>
      <c r="E30" t="s">
        <v>2081</v>
      </c>
      <c r="F30" t="s">
        <v>2082</v>
      </c>
      <c r="G30" t="s">
        <v>1949</v>
      </c>
      <c r="H30" t="s">
        <v>2083</v>
      </c>
      <c r="I30" t="s">
        <v>1951</v>
      </c>
    </row>
    <row r="31" spans="1:9" x14ac:dyDescent="0.25">
      <c r="A31" t="s">
        <v>74</v>
      </c>
      <c r="B31" t="s">
        <v>2084</v>
      </c>
      <c r="C31" t="s">
        <v>2085</v>
      </c>
      <c r="D31" t="s">
        <v>2086</v>
      </c>
      <c r="E31" t="s">
        <v>2087</v>
      </c>
      <c r="F31" t="s">
        <v>2088</v>
      </c>
      <c r="G31" t="s">
        <v>1949</v>
      </c>
      <c r="H31" t="s">
        <v>2089</v>
      </c>
      <c r="I31" t="s">
        <v>1942</v>
      </c>
    </row>
    <row r="32" spans="1:9" x14ac:dyDescent="0.25">
      <c r="A32" t="s">
        <v>76</v>
      </c>
      <c r="B32" t="s">
        <v>2090</v>
      </c>
      <c r="D32" t="s">
        <v>2091</v>
      </c>
      <c r="E32" t="s">
        <v>2092</v>
      </c>
      <c r="F32" t="s">
        <v>2093</v>
      </c>
      <c r="G32" t="s">
        <v>1941</v>
      </c>
      <c r="H32">
        <v>80044</v>
      </c>
      <c r="I32" t="s">
        <v>1951</v>
      </c>
    </row>
    <row r="33" spans="1:9" x14ac:dyDescent="0.25">
      <c r="A33" t="s">
        <v>2094</v>
      </c>
      <c r="B33" t="s">
        <v>2095</v>
      </c>
      <c r="C33" t="s">
        <v>2096</v>
      </c>
      <c r="D33" t="s">
        <v>2097</v>
      </c>
      <c r="E33" t="s">
        <v>2098</v>
      </c>
      <c r="F33" t="s">
        <v>2099</v>
      </c>
      <c r="G33" t="s">
        <v>1941</v>
      </c>
      <c r="H33">
        <v>11407</v>
      </c>
      <c r="I33" t="s">
        <v>1951</v>
      </c>
    </row>
    <row r="34" spans="1:9" x14ac:dyDescent="0.25">
      <c r="A34" t="s">
        <v>2100</v>
      </c>
      <c r="B34" t="s">
        <v>2101</v>
      </c>
      <c r="C34" t="s">
        <v>2102</v>
      </c>
      <c r="D34" t="s">
        <v>2103</v>
      </c>
      <c r="E34" t="s">
        <v>2104</v>
      </c>
      <c r="F34" t="s">
        <v>2105</v>
      </c>
      <c r="G34" t="s">
        <v>1949</v>
      </c>
      <c r="H34" t="s">
        <v>2106</v>
      </c>
      <c r="I34" t="s">
        <v>1942</v>
      </c>
    </row>
    <row r="35" spans="1:9" x14ac:dyDescent="0.25">
      <c r="A35" t="s">
        <v>80</v>
      </c>
      <c r="B35" t="s">
        <v>2107</v>
      </c>
      <c r="C35" t="s">
        <v>2108</v>
      </c>
      <c r="E35" t="s">
        <v>2109</v>
      </c>
      <c r="F35" t="s">
        <v>2110</v>
      </c>
      <c r="G35" t="s">
        <v>1941</v>
      </c>
      <c r="H35">
        <v>58207</v>
      </c>
      <c r="I35" t="s">
        <v>1951</v>
      </c>
    </row>
    <row r="36" spans="1:9" x14ac:dyDescent="0.25">
      <c r="A36" t="s">
        <v>82</v>
      </c>
      <c r="B36" t="s">
        <v>2111</v>
      </c>
      <c r="C36" t="s">
        <v>2112</v>
      </c>
      <c r="D36" t="s">
        <v>2113</v>
      </c>
      <c r="E36" t="s">
        <v>2114</v>
      </c>
      <c r="F36" t="s">
        <v>2115</v>
      </c>
      <c r="G36" t="s">
        <v>2116</v>
      </c>
      <c r="H36" t="s">
        <v>2117</v>
      </c>
      <c r="I36" t="s">
        <v>1942</v>
      </c>
    </row>
    <row r="37" spans="1:9" x14ac:dyDescent="0.25">
      <c r="A37" t="s">
        <v>85</v>
      </c>
      <c r="B37" t="s">
        <v>2118</v>
      </c>
      <c r="C37" t="s">
        <v>2119</v>
      </c>
      <c r="D37" t="s">
        <v>2120</v>
      </c>
      <c r="E37" t="s">
        <v>2121</v>
      </c>
      <c r="F37" t="s">
        <v>2122</v>
      </c>
      <c r="G37" t="s">
        <v>1941</v>
      </c>
      <c r="H37">
        <v>25362</v>
      </c>
      <c r="I37" t="s">
        <v>1951</v>
      </c>
    </row>
    <row r="38" spans="1:9" x14ac:dyDescent="0.25">
      <c r="A38" t="s">
        <v>87</v>
      </c>
      <c r="B38" t="s">
        <v>2123</v>
      </c>
      <c r="C38" t="s">
        <v>2124</v>
      </c>
      <c r="D38" t="s">
        <v>2125</v>
      </c>
      <c r="E38" t="s">
        <v>2126</v>
      </c>
      <c r="F38" t="s">
        <v>2127</v>
      </c>
      <c r="G38" t="s">
        <v>1941</v>
      </c>
      <c r="H38">
        <v>72204</v>
      </c>
      <c r="I38" t="s">
        <v>1951</v>
      </c>
    </row>
    <row r="39" spans="1:9" x14ac:dyDescent="0.25">
      <c r="A39" t="s">
        <v>89</v>
      </c>
      <c r="B39" t="s">
        <v>2128</v>
      </c>
      <c r="C39" t="s">
        <v>2129</v>
      </c>
      <c r="D39" t="s">
        <v>2130</v>
      </c>
      <c r="E39" t="s">
        <v>2131</v>
      </c>
      <c r="F39" t="s">
        <v>2132</v>
      </c>
      <c r="G39" t="s">
        <v>1941</v>
      </c>
      <c r="H39">
        <v>80291</v>
      </c>
      <c r="I39" t="s">
        <v>1951</v>
      </c>
    </row>
    <row r="40" spans="1:9" x14ac:dyDescent="0.25">
      <c r="A40" t="s">
        <v>91</v>
      </c>
      <c r="B40" t="s">
        <v>2133</v>
      </c>
      <c r="C40" t="s">
        <v>2134</v>
      </c>
      <c r="D40" t="s">
        <v>2135</v>
      </c>
      <c r="E40" t="s">
        <v>2136</v>
      </c>
      <c r="F40" t="s">
        <v>2137</v>
      </c>
      <c r="G40" t="s">
        <v>1941</v>
      </c>
      <c r="H40">
        <v>55458</v>
      </c>
      <c r="I40" t="s">
        <v>1951</v>
      </c>
    </row>
    <row r="41" spans="1:9" x14ac:dyDescent="0.25">
      <c r="A41" t="s">
        <v>93</v>
      </c>
      <c r="B41" t="s">
        <v>2138</v>
      </c>
      <c r="E41" t="s">
        <v>2139</v>
      </c>
      <c r="F41" t="s">
        <v>2140</v>
      </c>
      <c r="G41" t="s">
        <v>1941</v>
      </c>
      <c r="H41">
        <v>85715</v>
      </c>
      <c r="I41" t="s">
        <v>1942</v>
      </c>
    </row>
    <row r="42" spans="1:9" x14ac:dyDescent="0.25">
      <c r="A42" t="s">
        <v>95</v>
      </c>
      <c r="B42" t="s">
        <v>2141</v>
      </c>
      <c r="D42" t="s">
        <v>2142</v>
      </c>
      <c r="E42" t="s">
        <v>2143</v>
      </c>
      <c r="F42" t="s">
        <v>2144</v>
      </c>
      <c r="G42" t="s">
        <v>1941</v>
      </c>
      <c r="H42">
        <v>70116</v>
      </c>
      <c r="I42" t="s">
        <v>1951</v>
      </c>
    </row>
    <row r="43" spans="1:9" x14ac:dyDescent="0.25">
      <c r="A43" t="s">
        <v>98</v>
      </c>
      <c r="B43" t="s">
        <v>2145</v>
      </c>
      <c r="C43" t="s">
        <v>2146</v>
      </c>
      <c r="D43" t="s">
        <v>2147</v>
      </c>
      <c r="E43" t="s">
        <v>2148</v>
      </c>
      <c r="F43" t="s">
        <v>2149</v>
      </c>
      <c r="G43" t="s">
        <v>1941</v>
      </c>
      <c r="H43">
        <v>6183</v>
      </c>
      <c r="I43" t="s">
        <v>1942</v>
      </c>
    </row>
    <row r="44" spans="1:9" x14ac:dyDescent="0.25">
      <c r="A44" t="s">
        <v>100</v>
      </c>
      <c r="B44" t="s">
        <v>2150</v>
      </c>
      <c r="C44" t="s">
        <v>2151</v>
      </c>
      <c r="D44" t="s">
        <v>2152</v>
      </c>
      <c r="E44" t="s">
        <v>2153</v>
      </c>
      <c r="F44" t="s">
        <v>2154</v>
      </c>
      <c r="G44" t="s">
        <v>1941</v>
      </c>
      <c r="H44">
        <v>84409</v>
      </c>
      <c r="I44" t="s">
        <v>1942</v>
      </c>
    </row>
    <row r="45" spans="1:9" x14ac:dyDescent="0.25">
      <c r="A45" t="s">
        <v>103</v>
      </c>
      <c r="B45" t="s">
        <v>2155</v>
      </c>
      <c r="D45" t="s">
        <v>2156</v>
      </c>
      <c r="E45" t="s">
        <v>2157</v>
      </c>
      <c r="F45" t="s">
        <v>2158</v>
      </c>
      <c r="G45" t="s">
        <v>1941</v>
      </c>
      <c r="H45">
        <v>2216</v>
      </c>
      <c r="I45" t="s">
        <v>1951</v>
      </c>
    </row>
    <row r="46" spans="1:9" x14ac:dyDescent="0.25">
      <c r="A46" t="s">
        <v>106</v>
      </c>
      <c r="B46" t="s">
        <v>2159</v>
      </c>
      <c r="C46" t="s">
        <v>2160</v>
      </c>
      <c r="D46" t="s">
        <v>2161</v>
      </c>
      <c r="E46" t="s">
        <v>2162</v>
      </c>
      <c r="F46" t="s">
        <v>2163</v>
      </c>
      <c r="G46" t="s">
        <v>1941</v>
      </c>
      <c r="H46">
        <v>14604</v>
      </c>
      <c r="I46" t="s">
        <v>1942</v>
      </c>
    </row>
    <row r="47" spans="1:9" x14ac:dyDescent="0.25">
      <c r="A47" t="s">
        <v>108</v>
      </c>
      <c r="B47" t="s">
        <v>2164</v>
      </c>
      <c r="C47" t="s">
        <v>2165</v>
      </c>
      <c r="D47" t="s">
        <v>2166</v>
      </c>
      <c r="E47" t="s">
        <v>2167</v>
      </c>
      <c r="F47" t="s">
        <v>2168</v>
      </c>
      <c r="G47" t="s">
        <v>1941</v>
      </c>
      <c r="H47">
        <v>10469</v>
      </c>
      <c r="I47" t="s">
        <v>1951</v>
      </c>
    </row>
    <row r="48" spans="1:9" x14ac:dyDescent="0.25">
      <c r="A48" t="s">
        <v>111</v>
      </c>
      <c r="B48" t="s">
        <v>2169</v>
      </c>
      <c r="D48" t="s">
        <v>2170</v>
      </c>
      <c r="E48" t="s">
        <v>2171</v>
      </c>
      <c r="F48" t="s">
        <v>2172</v>
      </c>
      <c r="G48" t="s">
        <v>1941</v>
      </c>
      <c r="H48">
        <v>35205</v>
      </c>
      <c r="I48" t="s">
        <v>1942</v>
      </c>
    </row>
    <row r="49" spans="1:9" x14ac:dyDescent="0.25">
      <c r="A49" t="s">
        <v>114</v>
      </c>
      <c r="B49" t="s">
        <v>2173</v>
      </c>
      <c r="C49" t="s">
        <v>2174</v>
      </c>
      <c r="D49" t="s">
        <v>2175</v>
      </c>
      <c r="E49" t="s">
        <v>2176</v>
      </c>
      <c r="F49" t="s">
        <v>2177</v>
      </c>
      <c r="G49" t="s">
        <v>1941</v>
      </c>
      <c r="H49">
        <v>92415</v>
      </c>
      <c r="I49" t="s">
        <v>1942</v>
      </c>
    </row>
    <row r="50" spans="1:9" x14ac:dyDescent="0.25">
      <c r="A50" t="s">
        <v>117</v>
      </c>
      <c r="B50" t="s">
        <v>2178</v>
      </c>
      <c r="C50" t="s">
        <v>2179</v>
      </c>
      <c r="E50" t="s">
        <v>2180</v>
      </c>
      <c r="F50" t="s">
        <v>2181</v>
      </c>
      <c r="G50" t="s">
        <v>1941</v>
      </c>
      <c r="H50">
        <v>23514</v>
      </c>
      <c r="I50" t="s">
        <v>1951</v>
      </c>
    </row>
    <row r="51" spans="1:9" x14ac:dyDescent="0.25">
      <c r="A51" t="s">
        <v>120</v>
      </c>
      <c r="B51" t="s">
        <v>2182</v>
      </c>
      <c r="C51" t="s">
        <v>2183</v>
      </c>
      <c r="D51" t="s">
        <v>2184</v>
      </c>
      <c r="E51" t="s">
        <v>2185</v>
      </c>
      <c r="F51" t="s">
        <v>2186</v>
      </c>
      <c r="G51" t="s">
        <v>1941</v>
      </c>
      <c r="H51">
        <v>20409</v>
      </c>
      <c r="I51" t="s">
        <v>1951</v>
      </c>
    </row>
    <row r="52" spans="1:9" x14ac:dyDescent="0.25">
      <c r="A52" t="s">
        <v>122</v>
      </c>
      <c r="B52" t="s">
        <v>2187</v>
      </c>
      <c r="C52" t="s">
        <v>2188</v>
      </c>
      <c r="D52" t="s">
        <v>2189</v>
      </c>
      <c r="E52" t="s">
        <v>2190</v>
      </c>
      <c r="F52" t="s">
        <v>2191</v>
      </c>
      <c r="G52" t="s">
        <v>1941</v>
      </c>
      <c r="H52">
        <v>33355</v>
      </c>
      <c r="I52" t="s">
        <v>1951</v>
      </c>
    </row>
    <row r="53" spans="1:9" x14ac:dyDescent="0.25">
      <c r="A53" t="s">
        <v>125</v>
      </c>
      <c r="B53" t="s">
        <v>2192</v>
      </c>
      <c r="C53" t="s">
        <v>2193</v>
      </c>
      <c r="D53" t="s">
        <v>2194</v>
      </c>
      <c r="E53" t="s">
        <v>2195</v>
      </c>
      <c r="F53" t="s">
        <v>1948</v>
      </c>
      <c r="G53" t="s">
        <v>1949</v>
      </c>
      <c r="H53" t="s">
        <v>1950</v>
      </c>
      <c r="I53" t="s">
        <v>1942</v>
      </c>
    </row>
    <row r="54" spans="1:9" x14ac:dyDescent="0.25">
      <c r="A54" t="s">
        <v>127</v>
      </c>
      <c r="B54" t="s">
        <v>2196</v>
      </c>
      <c r="C54" t="s">
        <v>2197</v>
      </c>
      <c r="E54" t="s">
        <v>2198</v>
      </c>
      <c r="F54" t="s">
        <v>2199</v>
      </c>
      <c r="G54" t="s">
        <v>2116</v>
      </c>
      <c r="H54" t="s">
        <v>2200</v>
      </c>
      <c r="I54" t="s">
        <v>1951</v>
      </c>
    </row>
    <row r="55" spans="1:9" x14ac:dyDescent="0.25">
      <c r="A55" t="s">
        <v>2201</v>
      </c>
      <c r="B55" t="s">
        <v>2202</v>
      </c>
      <c r="C55" t="s">
        <v>2203</v>
      </c>
      <c r="D55" t="s">
        <v>2204</v>
      </c>
      <c r="E55" t="s">
        <v>2205</v>
      </c>
      <c r="F55" t="s">
        <v>2206</v>
      </c>
      <c r="G55" t="s">
        <v>1941</v>
      </c>
      <c r="H55">
        <v>84605</v>
      </c>
      <c r="I55" t="s">
        <v>1951</v>
      </c>
    </row>
    <row r="56" spans="1:9" x14ac:dyDescent="0.25">
      <c r="A56" t="s">
        <v>129</v>
      </c>
      <c r="B56" t="s">
        <v>2207</v>
      </c>
      <c r="C56" t="s">
        <v>2208</v>
      </c>
      <c r="D56" t="s">
        <v>2209</v>
      </c>
      <c r="E56" t="s">
        <v>2210</v>
      </c>
      <c r="F56" t="s">
        <v>2211</v>
      </c>
      <c r="G56" t="s">
        <v>1941</v>
      </c>
      <c r="H56">
        <v>43666</v>
      </c>
      <c r="I56" t="s">
        <v>1951</v>
      </c>
    </row>
    <row r="57" spans="1:9" x14ac:dyDescent="0.25">
      <c r="A57" t="s">
        <v>131</v>
      </c>
      <c r="B57" t="s">
        <v>2212</v>
      </c>
      <c r="D57" t="s">
        <v>2213</v>
      </c>
      <c r="E57" t="s">
        <v>2214</v>
      </c>
      <c r="F57" t="s">
        <v>2215</v>
      </c>
      <c r="G57" t="s">
        <v>1941</v>
      </c>
      <c r="H57">
        <v>8650</v>
      </c>
      <c r="I57" t="s">
        <v>1951</v>
      </c>
    </row>
    <row r="58" spans="1:9" x14ac:dyDescent="0.25">
      <c r="A58" t="s">
        <v>134</v>
      </c>
      <c r="B58" t="s">
        <v>2216</v>
      </c>
      <c r="C58" t="s">
        <v>2217</v>
      </c>
      <c r="D58" t="s">
        <v>2218</v>
      </c>
      <c r="E58" t="s">
        <v>2219</v>
      </c>
      <c r="F58" t="s">
        <v>2220</v>
      </c>
      <c r="G58" t="s">
        <v>1941</v>
      </c>
      <c r="H58">
        <v>33686</v>
      </c>
      <c r="I58" t="s">
        <v>1942</v>
      </c>
    </row>
    <row r="59" spans="1:9" x14ac:dyDescent="0.25">
      <c r="A59" t="s">
        <v>136</v>
      </c>
      <c r="B59" t="s">
        <v>2221</v>
      </c>
      <c r="C59" t="s">
        <v>2222</v>
      </c>
      <c r="D59" t="s">
        <v>2223</v>
      </c>
      <c r="E59" t="s">
        <v>2224</v>
      </c>
      <c r="F59" t="s">
        <v>2225</v>
      </c>
      <c r="G59" t="s">
        <v>1941</v>
      </c>
      <c r="H59">
        <v>32590</v>
      </c>
      <c r="I59" t="s">
        <v>1951</v>
      </c>
    </row>
    <row r="60" spans="1:9" x14ac:dyDescent="0.25">
      <c r="A60" t="s">
        <v>139</v>
      </c>
      <c r="B60" t="s">
        <v>2226</v>
      </c>
      <c r="D60" t="s">
        <v>2227</v>
      </c>
      <c r="E60" t="s">
        <v>2228</v>
      </c>
      <c r="F60" t="s">
        <v>2229</v>
      </c>
      <c r="G60" t="s">
        <v>1941</v>
      </c>
      <c r="H60">
        <v>33543</v>
      </c>
      <c r="I60" t="s">
        <v>1942</v>
      </c>
    </row>
    <row r="61" spans="1:9" x14ac:dyDescent="0.25">
      <c r="A61" t="s">
        <v>141</v>
      </c>
      <c r="B61" t="s">
        <v>2230</v>
      </c>
      <c r="C61" t="s">
        <v>2231</v>
      </c>
      <c r="E61" t="s">
        <v>2232</v>
      </c>
      <c r="F61" t="s">
        <v>2233</v>
      </c>
      <c r="G61" t="s">
        <v>1941</v>
      </c>
      <c r="H61">
        <v>55123</v>
      </c>
      <c r="I61" t="s">
        <v>1942</v>
      </c>
    </row>
    <row r="62" spans="1:9" x14ac:dyDescent="0.25">
      <c r="A62" t="s">
        <v>143</v>
      </c>
      <c r="B62" t="s">
        <v>2234</v>
      </c>
      <c r="C62" t="s">
        <v>2235</v>
      </c>
      <c r="D62" t="s">
        <v>2236</v>
      </c>
      <c r="E62" t="s">
        <v>2237</v>
      </c>
      <c r="F62" t="s">
        <v>2238</v>
      </c>
      <c r="G62" t="s">
        <v>1941</v>
      </c>
      <c r="H62">
        <v>46862</v>
      </c>
      <c r="I62" t="s">
        <v>1951</v>
      </c>
    </row>
    <row r="63" spans="1:9" x14ac:dyDescent="0.25">
      <c r="A63" t="s">
        <v>145</v>
      </c>
      <c r="B63" t="s">
        <v>2239</v>
      </c>
      <c r="D63" t="s">
        <v>2240</v>
      </c>
      <c r="E63" t="s">
        <v>2241</v>
      </c>
      <c r="F63" t="s">
        <v>2242</v>
      </c>
      <c r="G63" t="s">
        <v>2116</v>
      </c>
      <c r="H63" t="s">
        <v>2243</v>
      </c>
      <c r="I63" t="s">
        <v>1942</v>
      </c>
    </row>
    <row r="64" spans="1:9" x14ac:dyDescent="0.25">
      <c r="A64" t="s">
        <v>148</v>
      </c>
      <c r="B64" t="s">
        <v>2244</v>
      </c>
      <c r="D64" t="s">
        <v>2245</v>
      </c>
      <c r="E64" t="s">
        <v>2246</v>
      </c>
      <c r="F64" t="s">
        <v>2247</v>
      </c>
      <c r="G64" t="s">
        <v>1941</v>
      </c>
      <c r="H64">
        <v>34114</v>
      </c>
      <c r="I64" t="s">
        <v>1942</v>
      </c>
    </row>
    <row r="65" spans="1:9" x14ac:dyDescent="0.25">
      <c r="A65" t="s">
        <v>150</v>
      </c>
      <c r="B65" t="s">
        <v>2248</v>
      </c>
      <c r="C65" t="s">
        <v>2249</v>
      </c>
      <c r="D65" t="s">
        <v>2250</v>
      </c>
      <c r="E65" t="s">
        <v>2251</v>
      </c>
      <c r="F65" t="s">
        <v>2252</v>
      </c>
      <c r="G65" t="s">
        <v>1941</v>
      </c>
      <c r="H65">
        <v>60681</v>
      </c>
      <c r="I65" t="s">
        <v>1951</v>
      </c>
    </row>
    <row r="66" spans="1:9" x14ac:dyDescent="0.25">
      <c r="A66" t="s">
        <v>152</v>
      </c>
      <c r="B66" t="s">
        <v>2253</v>
      </c>
      <c r="D66" t="s">
        <v>2254</v>
      </c>
      <c r="E66" t="s">
        <v>2255</v>
      </c>
      <c r="F66" t="s">
        <v>2256</v>
      </c>
      <c r="G66" t="s">
        <v>1941</v>
      </c>
      <c r="H66">
        <v>7104</v>
      </c>
      <c r="I66" t="s">
        <v>1942</v>
      </c>
    </row>
    <row r="67" spans="1:9" x14ac:dyDescent="0.25">
      <c r="A67" t="s">
        <v>154</v>
      </c>
      <c r="B67" t="s">
        <v>2257</v>
      </c>
      <c r="C67" t="s">
        <v>2258</v>
      </c>
      <c r="D67" t="s">
        <v>2259</v>
      </c>
      <c r="E67" t="s">
        <v>2260</v>
      </c>
      <c r="F67" t="s">
        <v>2261</v>
      </c>
      <c r="G67" t="s">
        <v>1941</v>
      </c>
      <c r="H67">
        <v>22184</v>
      </c>
      <c r="I67" t="s">
        <v>1942</v>
      </c>
    </row>
    <row r="68" spans="1:9" x14ac:dyDescent="0.25">
      <c r="A68" t="s">
        <v>156</v>
      </c>
      <c r="B68" t="s">
        <v>2262</v>
      </c>
      <c r="C68" t="s">
        <v>2263</v>
      </c>
      <c r="D68" t="s">
        <v>2264</v>
      </c>
      <c r="E68" t="s">
        <v>2265</v>
      </c>
      <c r="F68" t="s">
        <v>2266</v>
      </c>
      <c r="G68" t="s">
        <v>1941</v>
      </c>
      <c r="H68">
        <v>76178</v>
      </c>
      <c r="I68" t="s">
        <v>1942</v>
      </c>
    </row>
    <row r="69" spans="1:9" x14ac:dyDescent="0.25">
      <c r="A69" t="s">
        <v>159</v>
      </c>
      <c r="B69" t="s">
        <v>2267</v>
      </c>
      <c r="C69" t="s">
        <v>2268</v>
      </c>
      <c r="D69" t="s">
        <v>2269</v>
      </c>
      <c r="E69" t="s">
        <v>2270</v>
      </c>
      <c r="F69" t="s">
        <v>2271</v>
      </c>
      <c r="G69" t="s">
        <v>1941</v>
      </c>
      <c r="H69">
        <v>91505</v>
      </c>
      <c r="I69" t="s">
        <v>1951</v>
      </c>
    </row>
    <row r="70" spans="1:9" x14ac:dyDescent="0.25">
      <c r="A70" t="s">
        <v>161</v>
      </c>
      <c r="B70" t="s">
        <v>2272</v>
      </c>
      <c r="C70" t="s">
        <v>2273</v>
      </c>
      <c r="D70" t="s">
        <v>2274</v>
      </c>
      <c r="E70" t="s">
        <v>2275</v>
      </c>
      <c r="F70" t="s">
        <v>2276</v>
      </c>
      <c r="G70" t="s">
        <v>1941</v>
      </c>
      <c r="H70">
        <v>37665</v>
      </c>
      <c r="I70" t="s">
        <v>1951</v>
      </c>
    </row>
    <row r="71" spans="1:9" x14ac:dyDescent="0.25">
      <c r="A71" t="s">
        <v>164</v>
      </c>
      <c r="B71" t="s">
        <v>2277</v>
      </c>
      <c r="C71" t="s">
        <v>2278</v>
      </c>
      <c r="D71" t="s">
        <v>2279</v>
      </c>
      <c r="E71" t="s">
        <v>2280</v>
      </c>
      <c r="F71" t="s">
        <v>2281</v>
      </c>
      <c r="G71" t="s">
        <v>2116</v>
      </c>
      <c r="H71" t="s">
        <v>2282</v>
      </c>
      <c r="I71" t="s">
        <v>1942</v>
      </c>
    </row>
    <row r="72" spans="1:9" x14ac:dyDescent="0.25">
      <c r="A72" t="s">
        <v>166</v>
      </c>
      <c r="B72" t="s">
        <v>2283</v>
      </c>
      <c r="C72" t="s">
        <v>2284</v>
      </c>
      <c r="D72" t="s">
        <v>2285</v>
      </c>
      <c r="E72" t="s">
        <v>2286</v>
      </c>
      <c r="F72" t="s">
        <v>2287</v>
      </c>
      <c r="G72" t="s">
        <v>1941</v>
      </c>
      <c r="H72">
        <v>43231</v>
      </c>
      <c r="I72" t="s">
        <v>1951</v>
      </c>
    </row>
    <row r="73" spans="1:9" x14ac:dyDescent="0.25">
      <c r="A73" t="s">
        <v>168</v>
      </c>
      <c r="B73" t="s">
        <v>2288</v>
      </c>
      <c r="C73" t="s">
        <v>2289</v>
      </c>
      <c r="D73" t="s">
        <v>2290</v>
      </c>
      <c r="E73" t="s">
        <v>2291</v>
      </c>
      <c r="F73" t="s">
        <v>2292</v>
      </c>
      <c r="G73" t="s">
        <v>1949</v>
      </c>
      <c r="H73" t="s">
        <v>2293</v>
      </c>
      <c r="I73" t="s">
        <v>1951</v>
      </c>
    </row>
    <row r="74" spans="1:9" x14ac:dyDescent="0.25">
      <c r="A74" t="s">
        <v>170</v>
      </c>
      <c r="B74" t="s">
        <v>2294</v>
      </c>
      <c r="D74" t="s">
        <v>2295</v>
      </c>
      <c r="E74" t="s">
        <v>2296</v>
      </c>
      <c r="F74" t="s">
        <v>2144</v>
      </c>
      <c r="G74" t="s">
        <v>1941</v>
      </c>
      <c r="H74">
        <v>70183</v>
      </c>
      <c r="I74" t="s">
        <v>1951</v>
      </c>
    </row>
    <row r="75" spans="1:9" x14ac:dyDescent="0.25">
      <c r="A75" t="s">
        <v>173</v>
      </c>
      <c r="B75" t="s">
        <v>2297</v>
      </c>
      <c r="D75" t="s">
        <v>2298</v>
      </c>
      <c r="E75" t="s">
        <v>2299</v>
      </c>
      <c r="F75" t="s">
        <v>2300</v>
      </c>
      <c r="G75" t="s">
        <v>1941</v>
      </c>
      <c r="H75">
        <v>28230</v>
      </c>
      <c r="I75" t="s">
        <v>1942</v>
      </c>
    </row>
    <row r="76" spans="1:9" x14ac:dyDescent="0.25">
      <c r="A76" t="s">
        <v>175</v>
      </c>
      <c r="B76" t="s">
        <v>2301</v>
      </c>
      <c r="C76" t="s">
        <v>2302</v>
      </c>
      <c r="D76" t="s">
        <v>2303</v>
      </c>
      <c r="E76" t="s">
        <v>2304</v>
      </c>
      <c r="F76" t="s">
        <v>1962</v>
      </c>
      <c r="G76" t="s">
        <v>1941</v>
      </c>
      <c r="H76">
        <v>1114</v>
      </c>
      <c r="I76" t="s">
        <v>1942</v>
      </c>
    </row>
    <row r="77" spans="1:9" x14ac:dyDescent="0.25">
      <c r="A77" t="s">
        <v>178</v>
      </c>
      <c r="B77" t="s">
        <v>2305</v>
      </c>
      <c r="C77" t="s">
        <v>2306</v>
      </c>
      <c r="D77" t="s">
        <v>2307</v>
      </c>
      <c r="E77" t="s">
        <v>2308</v>
      </c>
      <c r="F77" t="s">
        <v>2309</v>
      </c>
      <c r="G77" t="s">
        <v>1949</v>
      </c>
      <c r="H77" t="s">
        <v>2310</v>
      </c>
      <c r="I77" t="s">
        <v>1942</v>
      </c>
    </row>
    <row r="78" spans="1:9" x14ac:dyDescent="0.25">
      <c r="A78" t="s">
        <v>181</v>
      </c>
      <c r="B78" t="s">
        <v>2311</v>
      </c>
      <c r="D78" t="s">
        <v>2312</v>
      </c>
      <c r="E78" t="s">
        <v>2313</v>
      </c>
      <c r="F78" t="s">
        <v>2314</v>
      </c>
      <c r="G78" t="s">
        <v>1949</v>
      </c>
      <c r="H78" t="s">
        <v>2315</v>
      </c>
      <c r="I78" t="s">
        <v>1942</v>
      </c>
    </row>
    <row r="79" spans="1:9" x14ac:dyDescent="0.25">
      <c r="A79" t="s">
        <v>184</v>
      </c>
      <c r="B79" t="s">
        <v>2316</v>
      </c>
      <c r="C79" t="s">
        <v>2317</v>
      </c>
      <c r="D79" t="s">
        <v>2318</v>
      </c>
      <c r="E79" t="s">
        <v>2319</v>
      </c>
      <c r="F79" t="s">
        <v>2320</v>
      </c>
      <c r="G79" t="s">
        <v>1941</v>
      </c>
      <c r="H79">
        <v>79705</v>
      </c>
      <c r="I79" t="s">
        <v>1951</v>
      </c>
    </row>
    <row r="80" spans="1:9" x14ac:dyDescent="0.25">
      <c r="A80" t="s">
        <v>186</v>
      </c>
      <c r="B80" t="s">
        <v>2321</v>
      </c>
      <c r="C80" t="s">
        <v>2322</v>
      </c>
      <c r="D80" t="s">
        <v>2323</v>
      </c>
      <c r="E80" t="s">
        <v>2324</v>
      </c>
      <c r="F80" t="s">
        <v>2325</v>
      </c>
      <c r="G80" t="s">
        <v>1941</v>
      </c>
      <c r="H80">
        <v>75323</v>
      </c>
      <c r="I80" t="s">
        <v>1942</v>
      </c>
    </row>
    <row r="81" spans="1:9" x14ac:dyDescent="0.25">
      <c r="A81" t="s">
        <v>188</v>
      </c>
      <c r="B81" t="s">
        <v>2326</v>
      </c>
      <c r="C81" t="s">
        <v>2327</v>
      </c>
      <c r="D81" t="s">
        <v>2328</v>
      </c>
      <c r="E81" t="s">
        <v>2329</v>
      </c>
      <c r="F81" t="s">
        <v>2330</v>
      </c>
      <c r="G81" t="s">
        <v>1941</v>
      </c>
      <c r="H81">
        <v>20189</v>
      </c>
      <c r="I81" t="s">
        <v>1951</v>
      </c>
    </row>
    <row r="82" spans="1:9" x14ac:dyDescent="0.25">
      <c r="A82" t="s">
        <v>191</v>
      </c>
      <c r="B82" t="s">
        <v>2331</v>
      </c>
      <c r="C82" t="s">
        <v>2332</v>
      </c>
      <c r="D82" t="s">
        <v>2333</v>
      </c>
      <c r="E82" t="s">
        <v>2334</v>
      </c>
      <c r="F82" t="s">
        <v>2335</v>
      </c>
      <c r="G82" t="s">
        <v>1941</v>
      </c>
      <c r="H82">
        <v>94627</v>
      </c>
      <c r="I82" t="s">
        <v>1942</v>
      </c>
    </row>
    <row r="83" spans="1:9" x14ac:dyDescent="0.25">
      <c r="A83" t="s">
        <v>194</v>
      </c>
      <c r="B83" t="s">
        <v>2336</v>
      </c>
      <c r="C83" t="s">
        <v>2337</v>
      </c>
      <c r="D83" t="s">
        <v>2338</v>
      </c>
      <c r="E83" t="s">
        <v>2339</v>
      </c>
      <c r="F83" t="s">
        <v>2340</v>
      </c>
      <c r="G83" t="s">
        <v>1941</v>
      </c>
      <c r="H83">
        <v>80930</v>
      </c>
      <c r="I83" t="s">
        <v>1942</v>
      </c>
    </row>
    <row r="84" spans="1:9" x14ac:dyDescent="0.25">
      <c r="A84" t="s">
        <v>196</v>
      </c>
      <c r="B84" t="s">
        <v>2341</v>
      </c>
      <c r="C84" t="s">
        <v>2342</v>
      </c>
      <c r="D84" t="s">
        <v>2343</v>
      </c>
      <c r="E84" t="s">
        <v>2344</v>
      </c>
      <c r="F84" t="s">
        <v>2345</v>
      </c>
      <c r="G84" t="s">
        <v>1949</v>
      </c>
      <c r="H84" t="s">
        <v>2346</v>
      </c>
      <c r="I84" t="s">
        <v>1942</v>
      </c>
    </row>
    <row r="85" spans="1:9" x14ac:dyDescent="0.25">
      <c r="A85" t="s">
        <v>199</v>
      </c>
      <c r="B85" t="s">
        <v>2347</v>
      </c>
      <c r="D85" t="s">
        <v>2348</v>
      </c>
      <c r="E85" t="s">
        <v>2349</v>
      </c>
      <c r="F85" t="s">
        <v>2350</v>
      </c>
      <c r="G85" t="s">
        <v>1941</v>
      </c>
      <c r="H85">
        <v>14205</v>
      </c>
      <c r="I85" t="s">
        <v>1942</v>
      </c>
    </row>
    <row r="86" spans="1:9" x14ac:dyDescent="0.25">
      <c r="A86" t="s">
        <v>201</v>
      </c>
      <c r="B86" t="s">
        <v>2351</v>
      </c>
      <c r="C86" t="s">
        <v>2352</v>
      </c>
      <c r="D86" t="s">
        <v>2353</v>
      </c>
      <c r="E86" t="s">
        <v>2354</v>
      </c>
      <c r="F86" t="s">
        <v>2355</v>
      </c>
      <c r="G86" t="s">
        <v>1941</v>
      </c>
      <c r="H86">
        <v>93715</v>
      </c>
      <c r="I86" t="s">
        <v>1951</v>
      </c>
    </row>
    <row r="87" spans="1:9" x14ac:dyDescent="0.25">
      <c r="A87" t="s">
        <v>203</v>
      </c>
      <c r="B87" t="s">
        <v>2356</v>
      </c>
      <c r="C87" t="s">
        <v>2357</v>
      </c>
      <c r="E87" t="s">
        <v>2358</v>
      </c>
      <c r="F87" t="s">
        <v>2266</v>
      </c>
      <c r="G87" t="s">
        <v>1941</v>
      </c>
      <c r="H87">
        <v>76121</v>
      </c>
      <c r="I87" t="s">
        <v>1951</v>
      </c>
    </row>
    <row r="88" spans="1:9" x14ac:dyDescent="0.25">
      <c r="A88" t="s">
        <v>300</v>
      </c>
      <c r="B88" t="s">
        <v>2359</v>
      </c>
      <c r="C88" t="s">
        <v>2360</v>
      </c>
      <c r="E88" t="s">
        <v>2361</v>
      </c>
      <c r="F88" t="s">
        <v>2362</v>
      </c>
      <c r="G88" t="s">
        <v>1941</v>
      </c>
      <c r="H88">
        <v>73179</v>
      </c>
      <c r="I88" t="s">
        <v>1942</v>
      </c>
    </row>
    <row r="89" spans="1:9" x14ac:dyDescent="0.25">
      <c r="A89" t="s">
        <v>206</v>
      </c>
      <c r="B89" t="s">
        <v>2363</v>
      </c>
      <c r="C89" t="s">
        <v>2364</v>
      </c>
      <c r="E89" t="s">
        <v>2365</v>
      </c>
      <c r="F89" t="s">
        <v>2366</v>
      </c>
      <c r="G89" t="s">
        <v>1941</v>
      </c>
      <c r="H89">
        <v>77705</v>
      </c>
      <c r="I89" t="s">
        <v>1951</v>
      </c>
    </row>
    <row r="90" spans="1:9" x14ac:dyDescent="0.25">
      <c r="A90" t="s">
        <v>208</v>
      </c>
      <c r="B90" t="s">
        <v>2367</v>
      </c>
      <c r="C90" t="s">
        <v>2368</v>
      </c>
      <c r="E90" t="s">
        <v>2369</v>
      </c>
      <c r="F90" t="s">
        <v>2370</v>
      </c>
      <c r="G90" t="s">
        <v>1941</v>
      </c>
      <c r="H90">
        <v>89519</v>
      </c>
      <c r="I90" t="s">
        <v>1951</v>
      </c>
    </row>
    <row r="91" spans="1:9" x14ac:dyDescent="0.25">
      <c r="A91" t="s">
        <v>210</v>
      </c>
      <c r="B91" t="s">
        <v>2371</v>
      </c>
      <c r="C91" t="s">
        <v>2372</v>
      </c>
      <c r="D91" t="s">
        <v>2373</v>
      </c>
      <c r="E91" t="s">
        <v>2374</v>
      </c>
      <c r="F91" t="s">
        <v>2375</v>
      </c>
      <c r="G91" t="s">
        <v>1941</v>
      </c>
      <c r="H91">
        <v>64136</v>
      </c>
      <c r="I91" t="s">
        <v>1951</v>
      </c>
    </row>
    <row r="92" spans="1:9" x14ac:dyDescent="0.25">
      <c r="A92" t="s">
        <v>212</v>
      </c>
      <c r="B92" t="s">
        <v>2376</v>
      </c>
      <c r="D92" t="s">
        <v>2377</v>
      </c>
      <c r="E92" t="s">
        <v>2378</v>
      </c>
      <c r="F92" t="s">
        <v>1948</v>
      </c>
      <c r="G92" t="s">
        <v>1949</v>
      </c>
      <c r="H92" t="s">
        <v>1950</v>
      </c>
      <c r="I92" t="s">
        <v>1942</v>
      </c>
    </row>
    <row r="93" spans="1:9" x14ac:dyDescent="0.25">
      <c r="A93" t="s">
        <v>214</v>
      </c>
      <c r="B93" t="s">
        <v>2379</v>
      </c>
      <c r="C93" t="s">
        <v>2380</v>
      </c>
      <c r="D93" t="s">
        <v>2381</v>
      </c>
      <c r="E93" t="s">
        <v>2382</v>
      </c>
      <c r="F93" t="s">
        <v>2383</v>
      </c>
      <c r="G93" t="s">
        <v>1941</v>
      </c>
      <c r="H93">
        <v>92878</v>
      </c>
      <c r="I93" t="s">
        <v>1951</v>
      </c>
    </row>
    <row r="94" spans="1:9" x14ac:dyDescent="0.25">
      <c r="A94" t="s">
        <v>216</v>
      </c>
      <c r="B94" t="s">
        <v>2384</v>
      </c>
      <c r="D94" t="s">
        <v>2385</v>
      </c>
      <c r="E94" t="s">
        <v>2386</v>
      </c>
      <c r="F94" t="s">
        <v>2387</v>
      </c>
      <c r="G94" t="s">
        <v>1941</v>
      </c>
      <c r="H94">
        <v>78759</v>
      </c>
      <c r="I94" t="s">
        <v>1942</v>
      </c>
    </row>
    <row r="95" spans="1:9" x14ac:dyDescent="0.25">
      <c r="A95" t="s">
        <v>218</v>
      </c>
      <c r="B95" t="s">
        <v>2388</v>
      </c>
      <c r="C95" t="s">
        <v>2389</v>
      </c>
      <c r="D95" t="s">
        <v>2390</v>
      </c>
      <c r="E95" t="s">
        <v>2391</v>
      </c>
      <c r="F95" t="s">
        <v>2392</v>
      </c>
      <c r="G95" t="s">
        <v>2116</v>
      </c>
      <c r="H95" t="s">
        <v>2393</v>
      </c>
      <c r="I95" t="s">
        <v>1942</v>
      </c>
    </row>
    <row r="96" spans="1:9" x14ac:dyDescent="0.25">
      <c r="A96" t="s">
        <v>220</v>
      </c>
      <c r="B96" t="s">
        <v>2394</v>
      </c>
      <c r="E96" t="s">
        <v>2395</v>
      </c>
      <c r="F96" t="s">
        <v>2396</v>
      </c>
      <c r="G96" t="s">
        <v>1949</v>
      </c>
      <c r="H96" t="s">
        <v>2397</v>
      </c>
      <c r="I96" t="s">
        <v>1942</v>
      </c>
    </row>
    <row r="97" spans="1:9" x14ac:dyDescent="0.25">
      <c r="A97" t="s">
        <v>222</v>
      </c>
      <c r="B97" t="s">
        <v>2398</v>
      </c>
      <c r="C97" t="s">
        <v>2399</v>
      </c>
      <c r="E97" t="s">
        <v>2400</v>
      </c>
      <c r="F97" t="s">
        <v>2355</v>
      </c>
      <c r="G97" t="s">
        <v>1941</v>
      </c>
      <c r="H97">
        <v>93762</v>
      </c>
      <c r="I97" t="s">
        <v>1951</v>
      </c>
    </row>
    <row r="98" spans="1:9" x14ac:dyDescent="0.25">
      <c r="A98" t="s">
        <v>224</v>
      </c>
      <c r="B98" t="s">
        <v>2401</v>
      </c>
      <c r="C98" t="s">
        <v>2402</v>
      </c>
      <c r="E98" t="s">
        <v>2403</v>
      </c>
      <c r="F98" t="s">
        <v>2013</v>
      </c>
      <c r="G98" t="s">
        <v>1941</v>
      </c>
      <c r="H98">
        <v>63150</v>
      </c>
      <c r="I98" t="s">
        <v>1951</v>
      </c>
    </row>
    <row r="99" spans="1:9" x14ac:dyDescent="0.25">
      <c r="A99" t="s">
        <v>226</v>
      </c>
      <c r="B99" t="s">
        <v>2404</v>
      </c>
      <c r="C99" t="s">
        <v>2405</v>
      </c>
      <c r="D99" t="s">
        <v>2406</v>
      </c>
      <c r="E99" t="s">
        <v>2407</v>
      </c>
      <c r="F99" t="s">
        <v>2355</v>
      </c>
      <c r="G99" t="s">
        <v>1941</v>
      </c>
      <c r="H99">
        <v>93726</v>
      </c>
      <c r="I99" t="s">
        <v>1951</v>
      </c>
    </row>
    <row r="100" spans="1:9" x14ac:dyDescent="0.25">
      <c r="A100" t="s">
        <v>228</v>
      </c>
      <c r="B100" t="s">
        <v>2408</v>
      </c>
      <c r="D100" t="s">
        <v>2409</v>
      </c>
      <c r="E100" t="s">
        <v>2410</v>
      </c>
      <c r="F100" t="s">
        <v>2411</v>
      </c>
      <c r="G100" t="s">
        <v>1949</v>
      </c>
      <c r="H100" t="s">
        <v>2412</v>
      </c>
      <c r="I100" t="s">
        <v>1951</v>
      </c>
    </row>
    <row r="101" spans="1:9" x14ac:dyDescent="0.25">
      <c r="A101" t="s">
        <v>230</v>
      </c>
      <c r="B101" t="s">
        <v>2413</v>
      </c>
      <c r="D101" t="s">
        <v>2414</v>
      </c>
      <c r="E101" t="s">
        <v>2415</v>
      </c>
      <c r="F101" t="s">
        <v>2287</v>
      </c>
      <c r="G101" t="s">
        <v>1941</v>
      </c>
      <c r="H101">
        <v>43210</v>
      </c>
      <c r="I101" t="s">
        <v>1942</v>
      </c>
    </row>
    <row r="102" spans="1:9" x14ac:dyDescent="0.25">
      <c r="A102" t="s">
        <v>232</v>
      </c>
      <c r="B102" t="s">
        <v>2416</v>
      </c>
      <c r="D102" t="s">
        <v>2417</v>
      </c>
      <c r="E102" t="s">
        <v>2418</v>
      </c>
      <c r="F102" t="s">
        <v>2419</v>
      </c>
      <c r="G102" t="s">
        <v>1941</v>
      </c>
      <c r="H102">
        <v>95205</v>
      </c>
      <c r="I102" t="s">
        <v>1942</v>
      </c>
    </row>
    <row r="103" spans="1:9" x14ac:dyDescent="0.25">
      <c r="A103" t="s">
        <v>234</v>
      </c>
      <c r="B103" t="s">
        <v>2420</v>
      </c>
      <c r="C103" t="s">
        <v>2421</v>
      </c>
      <c r="D103" t="s">
        <v>2422</v>
      </c>
      <c r="E103" t="s">
        <v>2423</v>
      </c>
      <c r="F103" t="s">
        <v>2424</v>
      </c>
      <c r="G103" t="s">
        <v>1949</v>
      </c>
      <c r="H103" t="s">
        <v>2425</v>
      </c>
      <c r="I103" t="s">
        <v>1942</v>
      </c>
    </row>
    <row r="104" spans="1:9" x14ac:dyDescent="0.25">
      <c r="A104" t="s">
        <v>236</v>
      </c>
      <c r="B104" t="s">
        <v>2426</v>
      </c>
      <c r="C104" t="s">
        <v>2427</v>
      </c>
      <c r="D104" t="s">
        <v>2428</v>
      </c>
      <c r="E104" t="s">
        <v>2429</v>
      </c>
      <c r="F104" t="s">
        <v>2430</v>
      </c>
      <c r="G104" t="s">
        <v>1949</v>
      </c>
      <c r="H104" t="s">
        <v>2412</v>
      </c>
      <c r="I104" t="s">
        <v>1942</v>
      </c>
    </row>
    <row r="105" spans="1:9" x14ac:dyDescent="0.25">
      <c r="A105" t="s">
        <v>238</v>
      </c>
      <c r="B105" t="s">
        <v>2431</v>
      </c>
      <c r="C105" t="s">
        <v>2432</v>
      </c>
      <c r="D105" t="s">
        <v>2433</v>
      </c>
      <c r="E105" t="s">
        <v>2434</v>
      </c>
      <c r="F105" t="s">
        <v>2163</v>
      </c>
      <c r="G105" t="s">
        <v>1941</v>
      </c>
      <c r="H105">
        <v>14652</v>
      </c>
      <c r="I105" t="s">
        <v>1951</v>
      </c>
    </row>
    <row r="106" spans="1:9" x14ac:dyDescent="0.25">
      <c r="A106" t="s">
        <v>240</v>
      </c>
      <c r="B106" t="s">
        <v>2435</v>
      </c>
      <c r="C106" t="s">
        <v>2436</v>
      </c>
      <c r="D106" t="s">
        <v>2437</v>
      </c>
      <c r="E106" t="s">
        <v>2438</v>
      </c>
      <c r="F106" t="s">
        <v>2439</v>
      </c>
      <c r="G106" t="s">
        <v>1941</v>
      </c>
      <c r="H106">
        <v>35487</v>
      </c>
      <c r="I106" t="s">
        <v>1951</v>
      </c>
    </row>
    <row r="107" spans="1:9" x14ac:dyDescent="0.25">
      <c r="A107" t="s">
        <v>242</v>
      </c>
      <c r="B107" t="s">
        <v>2440</v>
      </c>
      <c r="C107" t="s">
        <v>2441</v>
      </c>
      <c r="D107" t="s">
        <v>2442</v>
      </c>
      <c r="E107" t="s">
        <v>2443</v>
      </c>
      <c r="F107" t="s">
        <v>2027</v>
      </c>
      <c r="G107" t="s">
        <v>1941</v>
      </c>
      <c r="H107">
        <v>77260</v>
      </c>
      <c r="I107" t="s">
        <v>1942</v>
      </c>
    </row>
    <row r="108" spans="1:9" x14ac:dyDescent="0.25">
      <c r="A108" t="s">
        <v>244</v>
      </c>
      <c r="B108" t="s">
        <v>2444</v>
      </c>
      <c r="C108" t="s">
        <v>2445</v>
      </c>
      <c r="D108" t="s">
        <v>2446</v>
      </c>
      <c r="E108" t="s">
        <v>2447</v>
      </c>
      <c r="F108" t="s">
        <v>2448</v>
      </c>
      <c r="G108" t="s">
        <v>1941</v>
      </c>
      <c r="H108">
        <v>88514</v>
      </c>
      <c r="I108" t="s">
        <v>1951</v>
      </c>
    </row>
    <row r="109" spans="1:9" x14ac:dyDescent="0.25">
      <c r="A109" t="s">
        <v>247</v>
      </c>
      <c r="B109" t="s">
        <v>2449</v>
      </c>
      <c r="C109" t="s">
        <v>2450</v>
      </c>
      <c r="D109" t="s">
        <v>2451</v>
      </c>
      <c r="E109" t="s">
        <v>2452</v>
      </c>
      <c r="F109" t="s">
        <v>2340</v>
      </c>
      <c r="G109" t="s">
        <v>1941</v>
      </c>
      <c r="H109">
        <v>80935</v>
      </c>
      <c r="I109" t="s">
        <v>1942</v>
      </c>
    </row>
    <row r="110" spans="1:9" x14ac:dyDescent="0.25">
      <c r="A110" t="s">
        <v>249</v>
      </c>
      <c r="B110" t="s">
        <v>2453</v>
      </c>
      <c r="D110" t="s">
        <v>2454</v>
      </c>
      <c r="E110" t="s">
        <v>2455</v>
      </c>
      <c r="F110" t="s">
        <v>2238</v>
      </c>
      <c r="G110" t="s">
        <v>1941</v>
      </c>
      <c r="H110">
        <v>46862</v>
      </c>
      <c r="I110" t="s">
        <v>1951</v>
      </c>
    </row>
    <row r="111" spans="1:9" x14ac:dyDescent="0.25">
      <c r="A111" t="s">
        <v>251</v>
      </c>
      <c r="B111" t="s">
        <v>2456</v>
      </c>
      <c r="C111" t="s">
        <v>2457</v>
      </c>
      <c r="D111" t="s">
        <v>2458</v>
      </c>
      <c r="E111" t="s">
        <v>2459</v>
      </c>
      <c r="F111" t="s">
        <v>2460</v>
      </c>
      <c r="G111" t="s">
        <v>1941</v>
      </c>
      <c r="H111">
        <v>11054</v>
      </c>
      <c r="I111" t="s">
        <v>1942</v>
      </c>
    </row>
    <row r="112" spans="1:9" x14ac:dyDescent="0.25">
      <c r="A112" t="s">
        <v>253</v>
      </c>
      <c r="B112" t="s">
        <v>2461</v>
      </c>
      <c r="C112" t="s">
        <v>2462</v>
      </c>
      <c r="D112" t="s">
        <v>2463</v>
      </c>
      <c r="E112" t="s">
        <v>2464</v>
      </c>
      <c r="F112" t="s">
        <v>1962</v>
      </c>
      <c r="G112" t="s">
        <v>1941</v>
      </c>
      <c r="H112">
        <v>1105</v>
      </c>
      <c r="I112" t="s">
        <v>1942</v>
      </c>
    </row>
    <row r="113" spans="1:9" x14ac:dyDescent="0.25">
      <c r="A113" t="s">
        <v>256</v>
      </c>
      <c r="B113" t="s">
        <v>2465</v>
      </c>
      <c r="C113" t="s">
        <v>2466</v>
      </c>
      <c r="E113" t="s">
        <v>2467</v>
      </c>
      <c r="F113" t="s">
        <v>2225</v>
      </c>
      <c r="G113" t="s">
        <v>1941</v>
      </c>
      <c r="H113">
        <v>32575</v>
      </c>
      <c r="I113" t="s">
        <v>1951</v>
      </c>
    </row>
    <row r="114" spans="1:9" x14ac:dyDescent="0.25">
      <c r="A114" t="s">
        <v>258</v>
      </c>
      <c r="B114" t="s">
        <v>2468</v>
      </c>
      <c r="C114" t="s">
        <v>2469</v>
      </c>
      <c r="D114" t="s">
        <v>2470</v>
      </c>
      <c r="E114" t="s">
        <v>2471</v>
      </c>
      <c r="F114" t="s">
        <v>2004</v>
      </c>
      <c r="G114" t="s">
        <v>1941</v>
      </c>
      <c r="H114">
        <v>23242</v>
      </c>
      <c r="I114" t="s">
        <v>1951</v>
      </c>
    </row>
    <row r="115" spans="1:9" x14ac:dyDescent="0.25">
      <c r="A115" t="s">
        <v>260</v>
      </c>
      <c r="B115" t="s">
        <v>2472</v>
      </c>
      <c r="C115" t="s">
        <v>2473</v>
      </c>
      <c r="D115" t="s">
        <v>2474</v>
      </c>
      <c r="E115" t="s">
        <v>2475</v>
      </c>
      <c r="F115" t="s">
        <v>2476</v>
      </c>
      <c r="G115" t="s">
        <v>1949</v>
      </c>
      <c r="H115" t="s">
        <v>2477</v>
      </c>
      <c r="I115" t="s">
        <v>1951</v>
      </c>
    </row>
    <row r="116" spans="1:9" x14ac:dyDescent="0.25">
      <c r="A116" t="s">
        <v>262</v>
      </c>
      <c r="B116" t="s">
        <v>2478</v>
      </c>
      <c r="D116" t="s">
        <v>2479</v>
      </c>
      <c r="E116" t="s">
        <v>2480</v>
      </c>
      <c r="F116" t="s">
        <v>2481</v>
      </c>
      <c r="G116" t="s">
        <v>1941</v>
      </c>
      <c r="H116">
        <v>25705</v>
      </c>
      <c r="I116" t="s">
        <v>1951</v>
      </c>
    </row>
    <row r="117" spans="1:9" x14ac:dyDescent="0.25">
      <c r="A117" t="s">
        <v>264</v>
      </c>
      <c r="B117" t="s">
        <v>2482</v>
      </c>
      <c r="C117" t="s">
        <v>2483</v>
      </c>
      <c r="D117" t="s">
        <v>2484</v>
      </c>
      <c r="E117" t="s">
        <v>2485</v>
      </c>
      <c r="F117" t="s">
        <v>2172</v>
      </c>
      <c r="G117" t="s">
        <v>2116</v>
      </c>
      <c r="H117" t="s">
        <v>2486</v>
      </c>
      <c r="I117" t="s">
        <v>1951</v>
      </c>
    </row>
    <row r="118" spans="1:9" x14ac:dyDescent="0.25">
      <c r="A118" t="s">
        <v>266</v>
      </c>
      <c r="B118" t="s">
        <v>2487</v>
      </c>
      <c r="C118" t="s">
        <v>2488</v>
      </c>
      <c r="D118" t="s">
        <v>2489</v>
      </c>
      <c r="E118" t="s">
        <v>2490</v>
      </c>
      <c r="F118" t="s">
        <v>2491</v>
      </c>
      <c r="G118" t="s">
        <v>1949</v>
      </c>
      <c r="H118" t="s">
        <v>2492</v>
      </c>
      <c r="I118" t="s">
        <v>1942</v>
      </c>
    </row>
    <row r="119" spans="1:9" x14ac:dyDescent="0.25">
      <c r="A119" t="s">
        <v>268</v>
      </c>
      <c r="B119" t="s">
        <v>2493</v>
      </c>
      <c r="C119" t="s">
        <v>2494</v>
      </c>
      <c r="D119" t="s">
        <v>2495</v>
      </c>
      <c r="E119" t="s">
        <v>2496</v>
      </c>
      <c r="F119" t="s">
        <v>1976</v>
      </c>
      <c r="G119" t="s">
        <v>1941</v>
      </c>
      <c r="H119">
        <v>45432</v>
      </c>
      <c r="I119" t="s">
        <v>1951</v>
      </c>
    </row>
    <row r="120" spans="1:9" x14ac:dyDescent="0.25">
      <c r="A120" t="s">
        <v>270</v>
      </c>
      <c r="B120" t="s">
        <v>2497</v>
      </c>
      <c r="C120" t="s">
        <v>2498</v>
      </c>
      <c r="D120" t="s">
        <v>2499</v>
      </c>
      <c r="E120" t="s">
        <v>2500</v>
      </c>
      <c r="F120" t="s">
        <v>2501</v>
      </c>
      <c r="G120" t="s">
        <v>1941</v>
      </c>
      <c r="H120">
        <v>99507</v>
      </c>
      <c r="I120" t="s">
        <v>1942</v>
      </c>
    </row>
    <row r="121" spans="1:9" x14ac:dyDescent="0.25">
      <c r="A121" t="s">
        <v>272</v>
      </c>
      <c r="B121" t="s">
        <v>2502</v>
      </c>
      <c r="C121" t="s">
        <v>2503</v>
      </c>
      <c r="D121" t="s">
        <v>2504</v>
      </c>
      <c r="E121" t="s">
        <v>2505</v>
      </c>
      <c r="F121" t="s">
        <v>2506</v>
      </c>
      <c r="G121" t="s">
        <v>1941</v>
      </c>
      <c r="H121">
        <v>37215</v>
      </c>
      <c r="I121" t="s">
        <v>1951</v>
      </c>
    </row>
    <row r="122" spans="1:9" x14ac:dyDescent="0.25">
      <c r="A122" t="s">
        <v>2507</v>
      </c>
      <c r="B122" t="s">
        <v>2508</v>
      </c>
      <c r="C122" t="s">
        <v>2509</v>
      </c>
      <c r="D122" t="s">
        <v>2510</v>
      </c>
      <c r="E122" t="s">
        <v>2511</v>
      </c>
      <c r="F122" t="s">
        <v>1986</v>
      </c>
      <c r="G122" t="s">
        <v>1941</v>
      </c>
      <c r="H122">
        <v>90040</v>
      </c>
      <c r="I122" t="s">
        <v>1942</v>
      </c>
    </row>
    <row r="123" spans="1:9" x14ac:dyDescent="0.25">
      <c r="A123" t="s">
        <v>2512</v>
      </c>
      <c r="B123" t="s">
        <v>2513</v>
      </c>
      <c r="C123" t="s">
        <v>2514</v>
      </c>
      <c r="D123" t="s">
        <v>2515</v>
      </c>
      <c r="E123" t="s">
        <v>2516</v>
      </c>
      <c r="F123" t="s">
        <v>2300</v>
      </c>
      <c r="G123" t="s">
        <v>1941</v>
      </c>
      <c r="H123">
        <v>28289</v>
      </c>
      <c r="I123" t="s">
        <v>1951</v>
      </c>
    </row>
    <row r="124" spans="1:9" x14ac:dyDescent="0.25">
      <c r="A124" t="s">
        <v>274</v>
      </c>
      <c r="B124" t="s">
        <v>2517</v>
      </c>
      <c r="C124" t="s">
        <v>2518</v>
      </c>
      <c r="D124" t="s">
        <v>2519</v>
      </c>
      <c r="E124" t="s">
        <v>2520</v>
      </c>
      <c r="F124" t="s">
        <v>2132</v>
      </c>
      <c r="G124" t="s">
        <v>1941</v>
      </c>
      <c r="H124">
        <v>80217</v>
      </c>
      <c r="I124" t="s">
        <v>1942</v>
      </c>
    </row>
    <row r="125" spans="1:9" x14ac:dyDescent="0.25">
      <c r="A125" t="s">
        <v>276</v>
      </c>
      <c r="B125" t="s">
        <v>2521</v>
      </c>
      <c r="C125" t="s">
        <v>2522</v>
      </c>
      <c r="D125" t="s">
        <v>2523</v>
      </c>
      <c r="E125" t="s">
        <v>2524</v>
      </c>
      <c r="F125" t="s">
        <v>2525</v>
      </c>
      <c r="G125" t="s">
        <v>1941</v>
      </c>
      <c r="H125">
        <v>6912</v>
      </c>
      <c r="I125" t="s">
        <v>1951</v>
      </c>
    </row>
    <row r="126" spans="1:9" x14ac:dyDescent="0.25">
      <c r="A126" t="s">
        <v>278</v>
      </c>
      <c r="B126" t="s">
        <v>2526</v>
      </c>
      <c r="C126" t="s">
        <v>2527</v>
      </c>
      <c r="D126" t="s">
        <v>2528</v>
      </c>
      <c r="E126" t="s">
        <v>2529</v>
      </c>
      <c r="F126" t="s">
        <v>2530</v>
      </c>
      <c r="G126" t="s">
        <v>1941</v>
      </c>
      <c r="H126">
        <v>23605</v>
      </c>
      <c r="I126" t="s">
        <v>1942</v>
      </c>
    </row>
    <row r="127" spans="1:9" x14ac:dyDescent="0.25">
      <c r="A127" t="s">
        <v>280</v>
      </c>
      <c r="B127" t="s">
        <v>2531</v>
      </c>
      <c r="C127" t="s">
        <v>2532</v>
      </c>
      <c r="D127" t="s">
        <v>2533</v>
      </c>
      <c r="E127" t="s">
        <v>2534</v>
      </c>
      <c r="F127" t="s">
        <v>2535</v>
      </c>
      <c r="G127" t="s">
        <v>1949</v>
      </c>
      <c r="H127" t="s">
        <v>2536</v>
      </c>
      <c r="I127" t="s">
        <v>1942</v>
      </c>
    </row>
    <row r="128" spans="1:9" x14ac:dyDescent="0.25">
      <c r="A128" t="s">
        <v>282</v>
      </c>
      <c r="B128" t="s">
        <v>2537</v>
      </c>
      <c r="C128" t="s">
        <v>2538</v>
      </c>
      <c r="D128" t="s">
        <v>2539</v>
      </c>
      <c r="E128" t="s">
        <v>2540</v>
      </c>
      <c r="F128" t="s">
        <v>2501</v>
      </c>
      <c r="G128" t="s">
        <v>1941</v>
      </c>
      <c r="H128">
        <v>99599</v>
      </c>
      <c r="I128" t="s">
        <v>1951</v>
      </c>
    </row>
    <row r="129" spans="1:9" x14ac:dyDescent="0.25">
      <c r="A129" t="s">
        <v>284</v>
      </c>
      <c r="B129" t="s">
        <v>2541</v>
      </c>
      <c r="C129" t="s">
        <v>2542</v>
      </c>
      <c r="D129" t="s">
        <v>2543</v>
      </c>
      <c r="E129" t="s">
        <v>2544</v>
      </c>
      <c r="F129" t="s">
        <v>2366</v>
      </c>
      <c r="G129" t="s">
        <v>1949</v>
      </c>
      <c r="H129" t="s">
        <v>2545</v>
      </c>
      <c r="I129" t="s">
        <v>1951</v>
      </c>
    </row>
    <row r="130" spans="1:9" x14ac:dyDescent="0.25">
      <c r="A130" t="s">
        <v>286</v>
      </c>
      <c r="B130" t="s">
        <v>2546</v>
      </c>
      <c r="C130" t="s">
        <v>2547</v>
      </c>
      <c r="D130" t="s">
        <v>2548</v>
      </c>
      <c r="E130" t="s">
        <v>2549</v>
      </c>
      <c r="F130" t="s">
        <v>2550</v>
      </c>
      <c r="G130" t="s">
        <v>1941</v>
      </c>
      <c r="H130">
        <v>58122</v>
      </c>
      <c r="I130" t="s">
        <v>1951</v>
      </c>
    </row>
    <row r="131" spans="1:9" x14ac:dyDescent="0.25">
      <c r="A131" t="s">
        <v>288</v>
      </c>
      <c r="B131" t="s">
        <v>2551</v>
      </c>
      <c r="C131" t="s">
        <v>2552</v>
      </c>
      <c r="D131" t="s">
        <v>2553</v>
      </c>
      <c r="E131" t="s">
        <v>2554</v>
      </c>
      <c r="F131" t="s">
        <v>2555</v>
      </c>
      <c r="G131" t="s">
        <v>1941</v>
      </c>
      <c r="H131">
        <v>47737</v>
      </c>
      <c r="I131" t="s">
        <v>1942</v>
      </c>
    </row>
    <row r="132" spans="1:9" x14ac:dyDescent="0.25">
      <c r="A132" t="s">
        <v>290</v>
      </c>
      <c r="B132" t="s">
        <v>2556</v>
      </c>
      <c r="D132" t="s">
        <v>2557</v>
      </c>
      <c r="E132" t="s">
        <v>2558</v>
      </c>
      <c r="F132" t="s">
        <v>2476</v>
      </c>
      <c r="G132" t="s">
        <v>1949</v>
      </c>
      <c r="H132" t="s">
        <v>2477</v>
      </c>
      <c r="I132" t="s">
        <v>1942</v>
      </c>
    </row>
    <row r="133" spans="1:9" x14ac:dyDescent="0.25">
      <c r="A133" t="s">
        <v>292</v>
      </c>
      <c r="B133" t="s">
        <v>2559</v>
      </c>
      <c r="C133" t="s">
        <v>2560</v>
      </c>
      <c r="D133" t="s">
        <v>2561</v>
      </c>
      <c r="E133" t="s">
        <v>2562</v>
      </c>
      <c r="F133" t="s">
        <v>2300</v>
      </c>
      <c r="G133" t="s">
        <v>1941</v>
      </c>
      <c r="H133">
        <v>28210</v>
      </c>
      <c r="I133" t="s">
        <v>1942</v>
      </c>
    </row>
    <row r="134" spans="1:9" x14ac:dyDescent="0.25">
      <c r="A134" t="s">
        <v>294</v>
      </c>
      <c r="B134" t="s">
        <v>2563</v>
      </c>
      <c r="C134" t="s">
        <v>2564</v>
      </c>
      <c r="D134" t="s">
        <v>2565</v>
      </c>
      <c r="E134" t="s">
        <v>2566</v>
      </c>
      <c r="F134" t="s">
        <v>2567</v>
      </c>
      <c r="G134" t="s">
        <v>1941</v>
      </c>
      <c r="H134">
        <v>35815</v>
      </c>
      <c r="I134" t="s">
        <v>1942</v>
      </c>
    </row>
    <row r="135" spans="1:9" x14ac:dyDescent="0.25">
      <c r="A135" t="s">
        <v>296</v>
      </c>
      <c r="B135" t="s">
        <v>2568</v>
      </c>
      <c r="C135" t="s">
        <v>2569</v>
      </c>
      <c r="D135" t="s">
        <v>2570</v>
      </c>
      <c r="E135" t="s">
        <v>2571</v>
      </c>
      <c r="F135" t="s">
        <v>2572</v>
      </c>
      <c r="G135" t="s">
        <v>1941</v>
      </c>
      <c r="H135">
        <v>92725</v>
      </c>
      <c r="I135" t="s">
        <v>1951</v>
      </c>
    </row>
    <row r="136" spans="1:9" x14ac:dyDescent="0.25">
      <c r="A136" t="s">
        <v>298</v>
      </c>
      <c r="B136" t="s">
        <v>2573</v>
      </c>
      <c r="E136" t="s">
        <v>2574</v>
      </c>
      <c r="F136" t="s">
        <v>2186</v>
      </c>
      <c r="G136" t="s">
        <v>1941</v>
      </c>
      <c r="H136">
        <v>20520</v>
      </c>
      <c r="I136" t="s">
        <v>1942</v>
      </c>
    </row>
    <row r="137" spans="1:9" x14ac:dyDescent="0.25">
      <c r="A137" t="s">
        <v>2575</v>
      </c>
      <c r="B137" t="s">
        <v>2576</v>
      </c>
      <c r="C137" t="s">
        <v>2577</v>
      </c>
      <c r="D137" t="s">
        <v>2578</v>
      </c>
      <c r="E137" t="s">
        <v>2579</v>
      </c>
      <c r="F137" t="s">
        <v>2580</v>
      </c>
      <c r="G137" t="s">
        <v>1949</v>
      </c>
      <c r="H137" t="s">
        <v>2581</v>
      </c>
      <c r="I137" t="s">
        <v>1951</v>
      </c>
    </row>
    <row r="138" spans="1:9" x14ac:dyDescent="0.25">
      <c r="A138" t="s">
        <v>302</v>
      </c>
      <c r="B138" t="s">
        <v>2582</v>
      </c>
      <c r="C138" t="s">
        <v>2583</v>
      </c>
      <c r="D138" t="s">
        <v>2584</v>
      </c>
      <c r="E138" t="s">
        <v>2585</v>
      </c>
      <c r="F138" t="s">
        <v>2013</v>
      </c>
      <c r="G138" t="s">
        <v>1941</v>
      </c>
      <c r="H138">
        <v>63131</v>
      </c>
      <c r="I138" t="s">
        <v>1951</v>
      </c>
    </row>
    <row r="139" spans="1:9" x14ac:dyDescent="0.25">
      <c r="A139" t="s">
        <v>304</v>
      </c>
      <c r="B139" t="s">
        <v>2586</v>
      </c>
      <c r="D139" t="s">
        <v>2587</v>
      </c>
      <c r="E139" t="s">
        <v>2588</v>
      </c>
      <c r="F139" t="s">
        <v>2105</v>
      </c>
      <c r="G139" t="s">
        <v>1949</v>
      </c>
      <c r="H139" t="s">
        <v>2106</v>
      </c>
      <c r="I139" t="s">
        <v>1951</v>
      </c>
    </row>
    <row r="140" spans="1:9" x14ac:dyDescent="0.25">
      <c r="A140" t="s">
        <v>306</v>
      </c>
      <c r="B140" t="s">
        <v>2589</v>
      </c>
      <c r="D140" t="s">
        <v>2590</v>
      </c>
      <c r="E140" t="s">
        <v>2591</v>
      </c>
      <c r="F140" t="s">
        <v>2592</v>
      </c>
      <c r="G140" t="s">
        <v>1941</v>
      </c>
      <c r="H140">
        <v>96805</v>
      </c>
      <c r="I140" t="s">
        <v>1951</v>
      </c>
    </row>
    <row r="141" spans="1:9" x14ac:dyDescent="0.25">
      <c r="A141" t="s">
        <v>308</v>
      </c>
      <c r="B141" t="s">
        <v>2593</v>
      </c>
      <c r="D141" t="s">
        <v>2594</v>
      </c>
      <c r="E141" t="s">
        <v>2595</v>
      </c>
      <c r="F141" t="s">
        <v>2383</v>
      </c>
      <c r="G141" t="s">
        <v>1941</v>
      </c>
      <c r="H141">
        <v>92878</v>
      </c>
      <c r="I141" t="s">
        <v>1942</v>
      </c>
    </row>
    <row r="142" spans="1:9" x14ac:dyDescent="0.25">
      <c r="A142" t="s">
        <v>310</v>
      </c>
      <c r="B142" t="s">
        <v>2596</v>
      </c>
      <c r="C142" t="s">
        <v>2597</v>
      </c>
      <c r="D142" t="s">
        <v>2598</v>
      </c>
      <c r="E142" t="s">
        <v>2599</v>
      </c>
      <c r="F142" t="s">
        <v>2600</v>
      </c>
      <c r="G142" t="s">
        <v>1949</v>
      </c>
      <c r="H142" t="s">
        <v>2545</v>
      </c>
      <c r="I142" t="s">
        <v>1942</v>
      </c>
    </row>
    <row r="143" spans="1:9" x14ac:dyDescent="0.25">
      <c r="A143" t="s">
        <v>312</v>
      </c>
      <c r="B143" t="s">
        <v>2601</v>
      </c>
      <c r="C143" t="s">
        <v>2602</v>
      </c>
      <c r="D143" t="s">
        <v>2603</v>
      </c>
      <c r="E143" t="s">
        <v>2604</v>
      </c>
      <c r="F143" t="s">
        <v>2186</v>
      </c>
      <c r="G143" t="s">
        <v>1941</v>
      </c>
      <c r="H143">
        <v>20520</v>
      </c>
      <c r="I143" t="s">
        <v>1942</v>
      </c>
    </row>
    <row r="144" spans="1:9" x14ac:dyDescent="0.25">
      <c r="A144" t="s">
        <v>314</v>
      </c>
      <c r="B144" t="s">
        <v>2605</v>
      </c>
      <c r="E144" t="s">
        <v>2606</v>
      </c>
      <c r="F144" t="s">
        <v>2607</v>
      </c>
      <c r="G144" t="s">
        <v>1949</v>
      </c>
      <c r="H144" t="s">
        <v>2310</v>
      </c>
      <c r="I144" t="s">
        <v>1942</v>
      </c>
    </row>
    <row r="145" spans="1:9" x14ac:dyDescent="0.25">
      <c r="A145" t="s">
        <v>316</v>
      </c>
      <c r="B145" t="s">
        <v>2608</v>
      </c>
      <c r="C145" t="s">
        <v>2609</v>
      </c>
      <c r="D145" t="s">
        <v>2610</v>
      </c>
      <c r="E145" t="s">
        <v>2611</v>
      </c>
      <c r="F145" t="s">
        <v>2027</v>
      </c>
      <c r="G145" t="s">
        <v>1941</v>
      </c>
      <c r="H145">
        <v>77281</v>
      </c>
      <c r="I145" t="s">
        <v>1951</v>
      </c>
    </row>
    <row r="146" spans="1:9" x14ac:dyDescent="0.25">
      <c r="A146" t="s">
        <v>318</v>
      </c>
      <c r="B146" t="s">
        <v>2612</v>
      </c>
      <c r="C146" t="s">
        <v>2613</v>
      </c>
      <c r="D146" t="s">
        <v>2614</v>
      </c>
      <c r="E146" t="s">
        <v>2615</v>
      </c>
      <c r="F146" t="s">
        <v>2616</v>
      </c>
      <c r="G146" t="s">
        <v>1941</v>
      </c>
      <c r="H146">
        <v>92668</v>
      </c>
      <c r="I146" t="s">
        <v>1942</v>
      </c>
    </row>
    <row r="147" spans="1:9" x14ac:dyDescent="0.25">
      <c r="A147" t="s">
        <v>320</v>
      </c>
      <c r="B147" t="s">
        <v>2617</v>
      </c>
      <c r="C147" t="s">
        <v>2618</v>
      </c>
      <c r="D147" t="s">
        <v>2619</v>
      </c>
      <c r="E147" t="s">
        <v>2620</v>
      </c>
      <c r="F147" t="s">
        <v>2448</v>
      </c>
      <c r="G147" t="s">
        <v>1941</v>
      </c>
      <c r="H147">
        <v>88553</v>
      </c>
      <c r="I147" t="s">
        <v>1951</v>
      </c>
    </row>
    <row r="148" spans="1:9" x14ac:dyDescent="0.25">
      <c r="A148" t="s">
        <v>322</v>
      </c>
      <c r="B148" t="s">
        <v>2621</v>
      </c>
      <c r="C148" t="s">
        <v>2622</v>
      </c>
      <c r="D148" t="s">
        <v>2623</v>
      </c>
      <c r="E148" t="s">
        <v>2624</v>
      </c>
      <c r="F148" t="s">
        <v>2625</v>
      </c>
      <c r="G148" t="s">
        <v>1941</v>
      </c>
      <c r="H148">
        <v>89714</v>
      </c>
      <c r="I148" t="s">
        <v>1951</v>
      </c>
    </row>
    <row r="149" spans="1:9" x14ac:dyDescent="0.25">
      <c r="A149" t="s">
        <v>2626</v>
      </c>
      <c r="B149" t="s">
        <v>2627</v>
      </c>
      <c r="C149" t="s">
        <v>2628</v>
      </c>
      <c r="D149" t="s">
        <v>2629</v>
      </c>
      <c r="E149" t="s">
        <v>2630</v>
      </c>
      <c r="F149" t="s">
        <v>2266</v>
      </c>
      <c r="G149" t="s">
        <v>1941</v>
      </c>
      <c r="H149">
        <v>76105</v>
      </c>
      <c r="I149" t="s">
        <v>1942</v>
      </c>
    </row>
    <row r="150" spans="1:9" x14ac:dyDescent="0.25">
      <c r="A150" t="s">
        <v>324</v>
      </c>
      <c r="B150" t="s">
        <v>2631</v>
      </c>
      <c r="C150" t="s">
        <v>2632</v>
      </c>
      <c r="D150" t="s">
        <v>2633</v>
      </c>
      <c r="E150" t="s">
        <v>2634</v>
      </c>
      <c r="F150" t="s">
        <v>2206</v>
      </c>
      <c r="G150" t="s">
        <v>1941</v>
      </c>
      <c r="H150">
        <v>84605</v>
      </c>
      <c r="I150" t="s">
        <v>1942</v>
      </c>
    </row>
    <row r="151" spans="1:9" x14ac:dyDescent="0.25">
      <c r="A151" t="s">
        <v>326</v>
      </c>
      <c r="B151" t="s">
        <v>2635</v>
      </c>
      <c r="D151" t="s">
        <v>2636</v>
      </c>
      <c r="E151" t="s">
        <v>2637</v>
      </c>
      <c r="F151" t="s">
        <v>2638</v>
      </c>
      <c r="G151" t="s">
        <v>1941</v>
      </c>
      <c r="H151">
        <v>33487</v>
      </c>
      <c r="I151" t="s">
        <v>1942</v>
      </c>
    </row>
    <row r="152" spans="1:9" x14ac:dyDescent="0.25">
      <c r="A152" t="s">
        <v>328</v>
      </c>
      <c r="B152" t="s">
        <v>2639</v>
      </c>
      <c r="C152" t="s">
        <v>2640</v>
      </c>
      <c r="D152" t="s">
        <v>2641</v>
      </c>
      <c r="E152" t="s">
        <v>2642</v>
      </c>
      <c r="F152" t="s">
        <v>2643</v>
      </c>
      <c r="G152" t="s">
        <v>1941</v>
      </c>
      <c r="H152">
        <v>24040</v>
      </c>
      <c r="I152" t="s">
        <v>1942</v>
      </c>
    </row>
    <row r="153" spans="1:9" x14ac:dyDescent="0.25">
      <c r="A153" t="s">
        <v>330</v>
      </c>
      <c r="B153" t="s">
        <v>2644</v>
      </c>
      <c r="D153" t="s">
        <v>2645</v>
      </c>
      <c r="E153" t="s">
        <v>2646</v>
      </c>
      <c r="F153" t="s">
        <v>2647</v>
      </c>
      <c r="G153" t="s">
        <v>1941</v>
      </c>
      <c r="H153">
        <v>50369</v>
      </c>
      <c r="I153" t="s">
        <v>1942</v>
      </c>
    </row>
    <row r="154" spans="1:9" x14ac:dyDescent="0.25">
      <c r="A154" t="s">
        <v>332</v>
      </c>
      <c r="B154" t="s">
        <v>2648</v>
      </c>
      <c r="C154" t="s">
        <v>2649</v>
      </c>
      <c r="D154" t="s">
        <v>2650</v>
      </c>
      <c r="E154" t="s">
        <v>2651</v>
      </c>
      <c r="F154" t="s">
        <v>2592</v>
      </c>
      <c r="G154" t="s">
        <v>1941</v>
      </c>
      <c r="H154">
        <v>96805</v>
      </c>
      <c r="I154" t="s">
        <v>1942</v>
      </c>
    </row>
    <row r="155" spans="1:9" x14ac:dyDescent="0.25">
      <c r="A155" t="s">
        <v>334</v>
      </c>
      <c r="B155" t="s">
        <v>2652</v>
      </c>
      <c r="D155" t="s">
        <v>2653</v>
      </c>
      <c r="E155" t="s">
        <v>2654</v>
      </c>
      <c r="F155" t="s">
        <v>2191</v>
      </c>
      <c r="G155" t="s">
        <v>1941</v>
      </c>
      <c r="H155">
        <v>33345</v>
      </c>
      <c r="I155" t="s">
        <v>1951</v>
      </c>
    </row>
    <row r="156" spans="1:9" x14ac:dyDescent="0.25">
      <c r="A156" t="s">
        <v>336</v>
      </c>
      <c r="B156" t="s">
        <v>2655</v>
      </c>
      <c r="C156" t="s">
        <v>2656</v>
      </c>
      <c r="D156" t="s">
        <v>2657</v>
      </c>
      <c r="E156" t="s">
        <v>2658</v>
      </c>
      <c r="F156" t="s">
        <v>2017</v>
      </c>
      <c r="G156" t="s">
        <v>1941</v>
      </c>
      <c r="H156">
        <v>19172</v>
      </c>
      <c r="I156" t="s">
        <v>1951</v>
      </c>
    </row>
    <row r="157" spans="1:9" x14ac:dyDescent="0.25">
      <c r="A157" t="s">
        <v>338</v>
      </c>
      <c r="B157" t="s">
        <v>2659</v>
      </c>
      <c r="C157" t="s">
        <v>2660</v>
      </c>
      <c r="D157" t="s">
        <v>2661</v>
      </c>
      <c r="E157" t="s">
        <v>2662</v>
      </c>
      <c r="F157" t="s">
        <v>2663</v>
      </c>
      <c r="G157" t="s">
        <v>1941</v>
      </c>
      <c r="H157">
        <v>6854</v>
      </c>
      <c r="I157" t="s">
        <v>1942</v>
      </c>
    </row>
    <row r="158" spans="1:9" x14ac:dyDescent="0.25">
      <c r="A158" t="s">
        <v>340</v>
      </c>
      <c r="B158" t="s">
        <v>2664</v>
      </c>
      <c r="C158" t="s">
        <v>2665</v>
      </c>
      <c r="D158" t="s">
        <v>2666</v>
      </c>
      <c r="E158" t="s">
        <v>2667</v>
      </c>
      <c r="F158" t="s">
        <v>2668</v>
      </c>
      <c r="G158" t="s">
        <v>1941</v>
      </c>
      <c r="H158">
        <v>76011</v>
      </c>
      <c r="I158" t="s">
        <v>1942</v>
      </c>
    </row>
    <row r="159" spans="1:9" x14ac:dyDescent="0.25">
      <c r="A159" t="s">
        <v>342</v>
      </c>
      <c r="B159" t="s">
        <v>2669</v>
      </c>
      <c r="C159" t="s">
        <v>2670</v>
      </c>
      <c r="D159" t="s">
        <v>2671</v>
      </c>
      <c r="E159" t="s">
        <v>2672</v>
      </c>
      <c r="F159" t="s">
        <v>2673</v>
      </c>
      <c r="G159" t="s">
        <v>1949</v>
      </c>
      <c r="H159" t="s">
        <v>2674</v>
      </c>
      <c r="I159" t="s">
        <v>1951</v>
      </c>
    </row>
    <row r="160" spans="1:9" x14ac:dyDescent="0.25">
      <c r="A160" t="s">
        <v>344</v>
      </c>
      <c r="B160" t="s">
        <v>2675</v>
      </c>
      <c r="D160" t="s">
        <v>2676</v>
      </c>
      <c r="E160" t="s">
        <v>2677</v>
      </c>
      <c r="F160" t="s">
        <v>2678</v>
      </c>
      <c r="G160" t="s">
        <v>1941</v>
      </c>
      <c r="H160">
        <v>37416</v>
      </c>
      <c r="I160" t="s">
        <v>1942</v>
      </c>
    </row>
    <row r="161" spans="1:9" x14ac:dyDescent="0.25">
      <c r="A161" t="s">
        <v>346</v>
      </c>
      <c r="B161" t="s">
        <v>2679</v>
      </c>
      <c r="D161" t="s">
        <v>2680</v>
      </c>
      <c r="E161" t="s">
        <v>2681</v>
      </c>
      <c r="F161" t="s">
        <v>2022</v>
      </c>
      <c r="G161" t="s">
        <v>1941</v>
      </c>
      <c r="H161">
        <v>97296</v>
      </c>
      <c r="I161" t="s">
        <v>1951</v>
      </c>
    </row>
    <row r="162" spans="1:9" x14ac:dyDescent="0.25">
      <c r="A162" t="s">
        <v>348</v>
      </c>
      <c r="B162" t="s">
        <v>2682</v>
      </c>
      <c r="C162" t="s">
        <v>2683</v>
      </c>
      <c r="D162" t="s">
        <v>2684</v>
      </c>
      <c r="E162" t="s">
        <v>2685</v>
      </c>
      <c r="F162" t="s">
        <v>2362</v>
      </c>
      <c r="G162" t="s">
        <v>1941</v>
      </c>
      <c r="H162">
        <v>73135</v>
      </c>
      <c r="I162" t="s">
        <v>1951</v>
      </c>
    </row>
    <row r="163" spans="1:9" x14ac:dyDescent="0.25">
      <c r="A163" t="s">
        <v>350</v>
      </c>
      <c r="B163" t="s">
        <v>2686</v>
      </c>
      <c r="C163" t="s">
        <v>2687</v>
      </c>
      <c r="D163" t="s">
        <v>2688</v>
      </c>
      <c r="E163" t="s">
        <v>2689</v>
      </c>
      <c r="F163" t="s">
        <v>2186</v>
      </c>
      <c r="G163" t="s">
        <v>1941</v>
      </c>
      <c r="H163">
        <v>20520</v>
      </c>
      <c r="I163" t="s">
        <v>1951</v>
      </c>
    </row>
    <row r="164" spans="1:9" x14ac:dyDescent="0.25">
      <c r="A164" t="s">
        <v>352</v>
      </c>
      <c r="B164" t="s">
        <v>2690</v>
      </c>
      <c r="C164" t="s">
        <v>2691</v>
      </c>
      <c r="D164" t="s">
        <v>2692</v>
      </c>
      <c r="E164" t="s">
        <v>2693</v>
      </c>
      <c r="F164" t="s">
        <v>2694</v>
      </c>
      <c r="G164" t="s">
        <v>1941</v>
      </c>
      <c r="H164">
        <v>27415</v>
      </c>
      <c r="I164" t="s">
        <v>1942</v>
      </c>
    </row>
    <row r="165" spans="1:9" x14ac:dyDescent="0.25">
      <c r="A165" t="s">
        <v>354</v>
      </c>
      <c r="B165" t="s">
        <v>2695</v>
      </c>
      <c r="C165" t="s">
        <v>2696</v>
      </c>
      <c r="D165" t="s">
        <v>2697</v>
      </c>
      <c r="E165" t="s">
        <v>2698</v>
      </c>
      <c r="F165" t="s">
        <v>2699</v>
      </c>
      <c r="G165" t="s">
        <v>1941</v>
      </c>
      <c r="H165">
        <v>22313</v>
      </c>
      <c r="I165" t="s">
        <v>1951</v>
      </c>
    </row>
    <row r="166" spans="1:9" x14ac:dyDescent="0.25">
      <c r="A166" t="s">
        <v>356</v>
      </c>
      <c r="B166" t="s">
        <v>2700</v>
      </c>
      <c r="C166" t="s">
        <v>2701</v>
      </c>
      <c r="D166" t="s">
        <v>2702</v>
      </c>
      <c r="E166" t="s">
        <v>2703</v>
      </c>
      <c r="F166" t="s">
        <v>2704</v>
      </c>
      <c r="G166" t="s">
        <v>1949</v>
      </c>
      <c r="H166" t="s">
        <v>2705</v>
      </c>
      <c r="I166" t="s">
        <v>1951</v>
      </c>
    </row>
    <row r="167" spans="1:9" x14ac:dyDescent="0.25">
      <c r="A167" t="s">
        <v>358</v>
      </c>
      <c r="B167" t="s">
        <v>2706</v>
      </c>
      <c r="D167" t="s">
        <v>2707</v>
      </c>
      <c r="E167" t="s">
        <v>2708</v>
      </c>
      <c r="F167" t="s">
        <v>2709</v>
      </c>
      <c r="G167" t="s">
        <v>1941</v>
      </c>
      <c r="H167">
        <v>53405</v>
      </c>
      <c r="I167" t="s">
        <v>1942</v>
      </c>
    </row>
    <row r="168" spans="1:9" x14ac:dyDescent="0.25">
      <c r="A168" t="s">
        <v>360</v>
      </c>
      <c r="B168" t="s">
        <v>2710</v>
      </c>
      <c r="D168" t="s">
        <v>2711</v>
      </c>
      <c r="E168" t="s">
        <v>2712</v>
      </c>
      <c r="F168" t="s">
        <v>2713</v>
      </c>
      <c r="G168" t="s">
        <v>1941</v>
      </c>
      <c r="H168">
        <v>34629</v>
      </c>
      <c r="I168" t="s">
        <v>1942</v>
      </c>
    </row>
    <row r="169" spans="1:9" x14ac:dyDescent="0.25">
      <c r="A169" t="s">
        <v>362</v>
      </c>
      <c r="B169" t="s">
        <v>2714</v>
      </c>
      <c r="C169" t="s">
        <v>2715</v>
      </c>
      <c r="D169" t="s">
        <v>2716</v>
      </c>
      <c r="E169" t="s">
        <v>2717</v>
      </c>
      <c r="F169" t="s">
        <v>2709</v>
      </c>
      <c r="G169" t="s">
        <v>1941</v>
      </c>
      <c r="H169">
        <v>53405</v>
      </c>
      <c r="I169" t="s">
        <v>1942</v>
      </c>
    </row>
    <row r="170" spans="1:9" x14ac:dyDescent="0.25">
      <c r="A170" t="s">
        <v>364</v>
      </c>
      <c r="B170" t="s">
        <v>2718</v>
      </c>
      <c r="D170" t="s">
        <v>2719</v>
      </c>
      <c r="E170" t="s">
        <v>2720</v>
      </c>
      <c r="F170" t="s">
        <v>2704</v>
      </c>
      <c r="G170" t="s">
        <v>1949</v>
      </c>
      <c r="H170" t="s">
        <v>2705</v>
      </c>
      <c r="I170" t="s">
        <v>1951</v>
      </c>
    </row>
    <row r="171" spans="1:9" x14ac:dyDescent="0.25">
      <c r="A171" t="s">
        <v>366</v>
      </c>
      <c r="B171" t="s">
        <v>2721</v>
      </c>
      <c r="C171" t="s">
        <v>2722</v>
      </c>
      <c r="D171" t="s">
        <v>2723</v>
      </c>
      <c r="E171" t="s">
        <v>2724</v>
      </c>
      <c r="F171" t="s">
        <v>2725</v>
      </c>
      <c r="G171" t="s">
        <v>1949</v>
      </c>
      <c r="H171" t="s">
        <v>2726</v>
      </c>
      <c r="I171" t="s">
        <v>1951</v>
      </c>
    </row>
    <row r="172" spans="1:9" x14ac:dyDescent="0.25">
      <c r="A172" t="s">
        <v>368</v>
      </c>
      <c r="B172" t="s">
        <v>2727</v>
      </c>
      <c r="C172" t="s">
        <v>2728</v>
      </c>
      <c r="E172" t="s">
        <v>2729</v>
      </c>
      <c r="F172" t="s">
        <v>2730</v>
      </c>
      <c r="G172" t="s">
        <v>2116</v>
      </c>
      <c r="H172" t="s">
        <v>2731</v>
      </c>
      <c r="I172" t="s">
        <v>1951</v>
      </c>
    </row>
    <row r="173" spans="1:9" x14ac:dyDescent="0.25">
      <c r="A173" t="s">
        <v>370</v>
      </c>
      <c r="B173" t="s">
        <v>2732</v>
      </c>
      <c r="C173" t="s">
        <v>2733</v>
      </c>
      <c r="D173" t="s">
        <v>2734</v>
      </c>
      <c r="E173" t="s">
        <v>2735</v>
      </c>
      <c r="F173" t="s">
        <v>2220</v>
      </c>
      <c r="G173" t="s">
        <v>1941</v>
      </c>
      <c r="H173">
        <v>33686</v>
      </c>
      <c r="I173" t="s">
        <v>1942</v>
      </c>
    </row>
    <row r="174" spans="1:9" x14ac:dyDescent="0.25">
      <c r="A174" t="s">
        <v>372</v>
      </c>
      <c r="B174" t="s">
        <v>2736</v>
      </c>
      <c r="C174" t="s">
        <v>2737</v>
      </c>
      <c r="E174" t="s">
        <v>2738</v>
      </c>
      <c r="F174" t="s">
        <v>2739</v>
      </c>
      <c r="G174" t="s">
        <v>1949</v>
      </c>
      <c r="H174" t="s">
        <v>2412</v>
      </c>
      <c r="I174" t="s">
        <v>1951</v>
      </c>
    </row>
    <row r="175" spans="1:9" x14ac:dyDescent="0.25">
      <c r="A175" t="s">
        <v>374</v>
      </c>
      <c r="B175" t="s">
        <v>2740</v>
      </c>
      <c r="C175" t="s">
        <v>2741</v>
      </c>
      <c r="D175" t="s">
        <v>2742</v>
      </c>
      <c r="E175" t="s">
        <v>2743</v>
      </c>
      <c r="F175" t="s">
        <v>2744</v>
      </c>
      <c r="G175" t="s">
        <v>1941</v>
      </c>
      <c r="H175">
        <v>36195</v>
      </c>
      <c r="I175" t="s">
        <v>1951</v>
      </c>
    </row>
    <row r="176" spans="1:9" x14ac:dyDescent="0.25">
      <c r="A176" t="s">
        <v>376</v>
      </c>
      <c r="B176" t="s">
        <v>2745</v>
      </c>
      <c r="D176" t="s">
        <v>2746</v>
      </c>
      <c r="E176" t="s">
        <v>2747</v>
      </c>
      <c r="F176" t="s">
        <v>2748</v>
      </c>
      <c r="G176" t="s">
        <v>1941</v>
      </c>
      <c r="H176">
        <v>89436</v>
      </c>
      <c r="I176" t="s">
        <v>1942</v>
      </c>
    </row>
    <row r="177" spans="1:9" x14ac:dyDescent="0.25">
      <c r="A177" t="s">
        <v>378</v>
      </c>
      <c r="B177" t="s">
        <v>2749</v>
      </c>
      <c r="C177" t="s">
        <v>2750</v>
      </c>
      <c r="D177" t="s">
        <v>2751</v>
      </c>
      <c r="E177" t="s">
        <v>2752</v>
      </c>
      <c r="F177" t="s">
        <v>2753</v>
      </c>
      <c r="G177" t="s">
        <v>1941</v>
      </c>
      <c r="H177">
        <v>31205</v>
      </c>
      <c r="I177" t="s">
        <v>1942</v>
      </c>
    </row>
    <row r="178" spans="1:9" x14ac:dyDescent="0.25">
      <c r="A178" t="s">
        <v>380</v>
      </c>
      <c r="B178" t="s">
        <v>2754</v>
      </c>
      <c r="C178" t="s">
        <v>2755</v>
      </c>
      <c r="D178" t="s">
        <v>2756</v>
      </c>
      <c r="E178" t="s">
        <v>2757</v>
      </c>
      <c r="F178" t="s">
        <v>2758</v>
      </c>
      <c r="G178" t="s">
        <v>1941</v>
      </c>
      <c r="H178">
        <v>90605</v>
      </c>
      <c r="I178" t="s">
        <v>1942</v>
      </c>
    </row>
    <row r="179" spans="1:9" x14ac:dyDescent="0.25">
      <c r="A179" t="s">
        <v>382</v>
      </c>
      <c r="B179" t="s">
        <v>2759</v>
      </c>
      <c r="C179" t="s">
        <v>2760</v>
      </c>
      <c r="E179" t="s">
        <v>2761</v>
      </c>
      <c r="F179" t="s">
        <v>2762</v>
      </c>
      <c r="G179" t="s">
        <v>1941</v>
      </c>
      <c r="H179">
        <v>37605</v>
      </c>
      <c r="I179" t="s">
        <v>1942</v>
      </c>
    </row>
    <row r="180" spans="1:9" x14ac:dyDescent="0.25">
      <c r="A180" t="s">
        <v>384</v>
      </c>
      <c r="B180" t="s">
        <v>2763</v>
      </c>
      <c r="C180" t="s">
        <v>2764</v>
      </c>
      <c r="D180" t="s">
        <v>2765</v>
      </c>
      <c r="E180" t="s">
        <v>2766</v>
      </c>
      <c r="F180" t="s">
        <v>2163</v>
      </c>
      <c r="G180" t="s">
        <v>1941</v>
      </c>
      <c r="H180">
        <v>14614</v>
      </c>
      <c r="I180" t="s">
        <v>1951</v>
      </c>
    </row>
    <row r="181" spans="1:9" x14ac:dyDescent="0.25">
      <c r="A181" t="s">
        <v>386</v>
      </c>
      <c r="B181" t="s">
        <v>2767</v>
      </c>
      <c r="D181" t="s">
        <v>2768</v>
      </c>
      <c r="E181" t="s">
        <v>2769</v>
      </c>
      <c r="F181" t="s">
        <v>2770</v>
      </c>
      <c r="G181" t="s">
        <v>1949</v>
      </c>
      <c r="H181" t="s">
        <v>2771</v>
      </c>
      <c r="I181" t="s">
        <v>1951</v>
      </c>
    </row>
    <row r="182" spans="1:9" x14ac:dyDescent="0.25">
      <c r="A182" t="s">
        <v>388</v>
      </c>
      <c r="B182" t="s">
        <v>2772</v>
      </c>
      <c r="C182" t="s">
        <v>2773</v>
      </c>
      <c r="D182" t="s">
        <v>2774</v>
      </c>
      <c r="E182" t="s">
        <v>2775</v>
      </c>
      <c r="F182" t="s">
        <v>2776</v>
      </c>
      <c r="G182" t="s">
        <v>1941</v>
      </c>
      <c r="H182">
        <v>11254</v>
      </c>
      <c r="I182" t="s">
        <v>1951</v>
      </c>
    </row>
    <row r="183" spans="1:9" x14ac:dyDescent="0.25">
      <c r="A183" t="s">
        <v>2777</v>
      </c>
      <c r="B183" t="s">
        <v>2778</v>
      </c>
      <c r="C183" t="s">
        <v>2779</v>
      </c>
      <c r="D183" t="s">
        <v>2780</v>
      </c>
      <c r="E183" t="s">
        <v>2781</v>
      </c>
      <c r="F183" t="s">
        <v>1962</v>
      </c>
      <c r="G183" t="s">
        <v>1941</v>
      </c>
      <c r="H183">
        <v>1114</v>
      </c>
      <c r="I183" t="s">
        <v>1951</v>
      </c>
    </row>
    <row r="184" spans="1:9" x14ac:dyDescent="0.25">
      <c r="A184" t="s">
        <v>390</v>
      </c>
      <c r="B184" t="s">
        <v>2782</v>
      </c>
      <c r="C184" t="s">
        <v>2783</v>
      </c>
      <c r="D184" t="s">
        <v>2784</v>
      </c>
      <c r="E184" t="s">
        <v>2785</v>
      </c>
      <c r="F184" t="s">
        <v>2786</v>
      </c>
      <c r="G184" t="s">
        <v>1941</v>
      </c>
      <c r="H184">
        <v>22908</v>
      </c>
      <c r="I184" t="s">
        <v>1951</v>
      </c>
    </row>
    <row r="185" spans="1:9" x14ac:dyDescent="0.25">
      <c r="A185" t="s">
        <v>392</v>
      </c>
      <c r="B185" t="s">
        <v>2787</v>
      </c>
      <c r="C185" t="s">
        <v>2788</v>
      </c>
      <c r="D185" t="s">
        <v>2789</v>
      </c>
      <c r="E185" t="s">
        <v>2790</v>
      </c>
      <c r="F185" t="s">
        <v>2791</v>
      </c>
      <c r="G185" t="s">
        <v>1941</v>
      </c>
      <c r="H185">
        <v>75044</v>
      </c>
      <c r="I185" t="s">
        <v>1951</v>
      </c>
    </row>
    <row r="186" spans="1:9" x14ac:dyDescent="0.25">
      <c r="A186" t="s">
        <v>394</v>
      </c>
      <c r="B186" t="s">
        <v>2792</v>
      </c>
      <c r="C186" t="s">
        <v>2793</v>
      </c>
      <c r="D186" t="s">
        <v>2794</v>
      </c>
      <c r="E186" t="s">
        <v>2795</v>
      </c>
      <c r="F186" t="s">
        <v>2137</v>
      </c>
      <c r="G186" t="s">
        <v>1941</v>
      </c>
      <c r="H186">
        <v>55448</v>
      </c>
      <c r="I186" t="s">
        <v>1951</v>
      </c>
    </row>
    <row r="187" spans="1:9" x14ac:dyDescent="0.25">
      <c r="A187" t="s">
        <v>396</v>
      </c>
      <c r="B187" t="s">
        <v>2796</v>
      </c>
      <c r="C187" t="s">
        <v>2797</v>
      </c>
      <c r="D187" t="s">
        <v>2798</v>
      </c>
      <c r="E187" t="s">
        <v>2799</v>
      </c>
      <c r="F187" t="s">
        <v>2800</v>
      </c>
      <c r="G187" t="s">
        <v>1941</v>
      </c>
      <c r="H187">
        <v>48919</v>
      </c>
      <c r="I187" t="s">
        <v>1942</v>
      </c>
    </row>
    <row r="188" spans="1:9" x14ac:dyDescent="0.25">
      <c r="A188" t="s">
        <v>398</v>
      </c>
      <c r="B188" t="s">
        <v>2801</v>
      </c>
      <c r="C188" t="s">
        <v>2802</v>
      </c>
      <c r="D188" t="s">
        <v>2803</v>
      </c>
      <c r="E188" t="s">
        <v>2804</v>
      </c>
      <c r="F188" t="s">
        <v>2110</v>
      </c>
      <c r="G188" t="s">
        <v>1941</v>
      </c>
      <c r="H188">
        <v>58207</v>
      </c>
      <c r="I188" t="s">
        <v>1951</v>
      </c>
    </row>
    <row r="189" spans="1:9" x14ac:dyDescent="0.25">
      <c r="A189" t="s">
        <v>400</v>
      </c>
      <c r="B189" t="s">
        <v>2805</v>
      </c>
      <c r="C189" t="s">
        <v>2806</v>
      </c>
      <c r="E189" t="s">
        <v>2807</v>
      </c>
      <c r="F189" t="s">
        <v>2501</v>
      </c>
      <c r="G189" t="s">
        <v>1941</v>
      </c>
      <c r="H189">
        <v>99522</v>
      </c>
      <c r="I189" t="s">
        <v>1942</v>
      </c>
    </row>
    <row r="190" spans="1:9" x14ac:dyDescent="0.25">
      <c r="A190" t="s">
        <v>402</v>
      </c>
      <c r="B190" t="s">
        <v>2808</v>
      </c>
      <c r="C190" t="s">
        <v>2809</v>
      </c>
      <c r="D190" t="s">
        <v>2810</v>
      </c>
      <c r="E190" t="s">
        <v>2811</v>
      </c>
      <c r="F190" t="s">
        <v>2362</v>
      </c>
      <c r="G190" t="s">
        <v>1941</v>
      </c>
      <c r="H190">
        <v>73129</v>
      </c>
      <c r="I190" t="s">
        <v>1942</v>
      </c>
    </row>
    <row r="191" spans="1:9" x14ac:dyDescent="0.25">
      <c r="A191" t="s">
        <v>404</v>
      </c>
      <c r="B191" t="s">
        <v>2812</v>
      </c>
      <c r="C191" t="s">
        <v>2813</v>
      </c>
      <c r="D191" t="s">
        <v>2814</v>
      </c>
      <c r="E191" t="s">
        <v>2815</v>
      </c>
      <c r="F191" t="s">
        <v>2816</v>
      </c>
      <c r="G191" t="s">
        <v>1941</v>
      </c>
      <c r="H191">
        <v>74103</v>
      </c>
      <c r="I191" t="s">
        <v>1942</v>
      </c>
    </row>
    <row r="192" spans="1:9" x14ac:dyDescent="0.25">
      <c r="A192" t="s">
        <v>406</v>
      </c>
      <c r="B192" t="s">
        <v>2817</v>
      </c>
      <c r="C192" t="s">
        <v>2818</v>
      </c>
      <c r="D192" t="s">
        <v>2819</v>
      </c>
      <c r="E192" t="s">
        <v>2820</v>
      </c>
      <c r="F192" t="s">
        <v>2821</v>
      </c>
      <c r="G192" t="s">
        <v>1941</v>
      </c>
      <c r="H192">
        <v>48211</v>
      </c>
      <c r="I192" t="s">
        <v>1942</v>
      </c>
    </row>
    <row r="193" spans="1:9" x14ac:dyDescent="0.25">
      <c r="A193" t="s">
        <v>408</v>
      </c>
      <c r="B193" t="s">
        <v>2822</v>
      </c>
      <c r="C193" t="s">
        <v>2823</v>
      </c>
      <c r="D193" t="s">
        <v>2824</v>
      </c>
      <c r="E193" t="s">
        <v>2825</v>
      </c>
      <c r="F193" t="s">
        <v>2186</v>
      </c>
      <c r="G193" t="s">
        <v>1941</v>
      </c>
      <c r="H193">
        <v>20436</v>
      </c>
      <c r="I193" t="s">
        <v>1942</v>
      </c>
    </row>
    <row r="194" spans="1:9" x14ac:dyDescent="0.25">
      <c r="A194" t="s">
        <v>410</v>
      </c>
      <c r="B194" t="s">
        <v>2826</v>
      </c>
      <c r="C194" t="s">
        <v>2827</v>
      </c>
      <c r="D194" t="s">
        <v>2828</v>
      </c>
      <c r="E194" t="s">
        <v>2829</v>
      </c>
      <c r="F194" t="s">
        <v>2830</v>
      </c>
      <c r="G194" t="s">
        <v>1949</v>
      </c>
      <c r="H194" t="s">
        <v>2831</v>
      </c>
      <c r="I194" t="s">
        <v>1942</v>
      </c>
    </row>
    <row r="195" spans="1:9" x14ac:dyDescent="0.25">
      <c r="A195" t="s">
        <v>412</v>
      </c>
      <c r="B195" t="s">
        <v>2832</v>
      </c>
      <c r="D195" t="s">
        <v>2833</v>
      </c>
      <c r="E195" t="s">
        <v>2834</v>
      </c>
      <c r="F195" t="s">
        <v>2835</v>
      </c>
      <c r="G195" t="s">
        <v>1941</v>
      </c>
      <c r="H195">
        <v>85215</v>
      </c>
      <c r="I195" t="s">
        <v>1951</v>
      </c>
    </row>
    <row r="196" spans="1:9" x14ac:dyDescent="0.25">
      <c r="A196" t="s">
        <v>414</v>
      </c>
      <c r="B196" t="s">
        <v>2836</v>
      </c>
      <c r="C196" t="s">
        <v>2837</v>
      </c>
      <c r="D196" t="s">
        <v>2838</v>
      </c>
      <c r="E196" t="s">
        <v>2839</v>
      </c>
      <c r="F196" t="s">
        <v>2840</v>
      </c>
      <c r="G196" t="s">
        <v>1941</v>
      </c>
      <c r="H196">
        <v>44485</v>
      </c>
      <c r="I196" t="s">
        <v>1951</v>
      </c>
    </row>
    <row r="197" spans="1:9" x14ac:dyDescent="0.25">
      <c r="A197" t="s">
        <v>416</v>
      </c>
      <c r="B197" t="s">
        <v>2841</v>
      </c>
      <c r="C197" t="s">
        <v>2842</v>
      </c>
      <c r="D197" t="s">
        <v>2843</v>
      </c>
      <c r="E197" t="s">
        <v>2844</v>
      </c>
      <c r="F197" t="s">
        <v>2845</v>
      </c>
      <c r="G197" t="s">
        <v>1941</v>
      </c>
      <c r="H197">
        <v>38150</v>
      </c>
      <c r="I197" t="s">
        <v>1951</v>
      </c>
    </row>
    <row r="198" spans="1:9" x14ac:dyDescent="0.25">
      <c r="A198" t="s">
        <v>418</v>
      </c>
      <c r="B198" t="s">
        <v>2846</v>
      </c>
      <c r="C198" t="s">
        <v>2847</v>
      </c>
      <c r="E198" t="s">
        <v>2848</v>
      </c>
      <c r="F198" t="s">
        <v>2186</v>
      </c>
      <c r="G198" t="s">
        <v>1941</v>
      </c>
      <c r="H198">
        <v>20535</v>
      </c>
      <c r="I198" t="s">
        <v>1951</v>
      </c>
    </row>
    <row r="199" spans="1:9" x14ac:dyDescent="0.25">
      <c r="A199" t="s">
        <v>2849</v>
      </c>
      <c r="B199" t="s">
        <v>2850</v>
      </c>
      <c r="C199" t="s">
        <v>2851</v>
      </c>
      <c r="D199" t="s">
        <v>2852</v>
      </c>
      <c r="E199" t="s">
        <v>2853</v>
      </c>
      <c r="F199" t="s">
        <v>2854</v>
      </c>
      <c r="G199" t="s">
        <v>1949</v>
      </c>
      <c r="H199" t="s">
        <v>2855</v>
      </c>
      <c r="I199" t="s">
        <v>1942</v>
      </c>
    </row>
    <row r="200" spans="1:9" x14ac:dyDescent="0.25">
      <c r="A200" t="s">
        <v>2856</v>
      </c>
      <c r="B200" t="s">
        <v>2857</v>
      </c>
      <c r="C200" t="s">
        <v>2858</v>
      </c>
      <c r="D200" t="s">
        <v>2859</v>
      </c>
      <c r="E200" t="s">
        <v>2860</v>
      </c>
      <c r="F200" t="s">
        <v>2861</v>
      </c>
      <c r="G200" t="s">
        <v>1941</v>
      </c>
      <c r="H200">
        <v>33064</v>
      </c>
      <c r="I200" t="s">
        <v>1951</v>
      </c>
    </row>
    <row r="201" spans="1:9" x14ac:dyDescent="0.25">
      <c r="A201" t="s">
        <v>2862</v>
      </c>
      <c r="B201" t="s">
        <v>2863</v>
      </c>
      <c r="C201" t="s">
        <v>2864</v>
      </c>
      <c r="D201" t="s">
        <v>2865</v>
      </c>
      <c r="E201" t="s">
        <v>2866</v>
      </c>
      <c r="F201" t="s">
        <v>2252</v>
      </c>
      <c r="G201" t="s">
        <v>1941</v>
      </c>
      <c r="H201">
        <v>60604</v>
      </c>
      <c r="I201" t="s">
        <v>1951</v>
      </c>
    </row>
    <row r="202" spans="1:9" x14ac:dyDescent="0.25">
      <c r="A202" t="s">
        <v>2867</v>
      </c>
      <c r="B202" t="s">
        <v>2868</v>
      </c>
      <c r="C202" t="s">
        <v>2869</v>
      </c>
      <c r="D202" t="s">
        <v>2870</v>
      </c>
      <c r="E202" t="s">
        <v>2871</v>
      </c>
      <c r="F202" t="s">
        <v>2872</v>
      </c>
      <c r="G202" t="s">
        <v>2116</v>
      </c>
      <c r="H202" t="s">
        <v>2873</v>
      </c>
      <c r="I202" t="s">
        <v>1951</v>
      </c>
    </row>
    <row r="203" spans="1:9" x14ac:dyDescent="0.25">
      <c r="A203" t="s">
        <v>420</v>
      </c>
      <c r="B203" t="s">
        <v>2874</v>
      </c>
      <c r="D203" t="s">
        <v>2875</v>
      </c>
      <c r="E203" t="s">
        <v>2876</v>
      </c>
      <c r="F203" t="s">
        <v>2154</v>
      </c>
      <c r="G203" t="s">
        <v>1941</v>
      </c>
      <c r="H203">
        <v>84409</v>
      </c>
      <c r="I203" t="s">
        <v>1951</v>
      </c>
    </row>
    <row r="204" spans="1:9" x14ac:dyDescent="0.25">
      <c r="A204" t="s">
        <v>422</v>
      </c>
      <c r="B204" t="s">
        <v>2877</v>
      </c>
      <c r="C204" t="s">
        <v>2878</v>
      </c>
      <c r="D204" t="s">
        <v>2879</v>
      </c>
      <c r="E204" t="s">
        <v>2880</v>
      </c>
      <c r="F204" t="s">
        <v>2881</v>
      </c>
      <c r="G204" t="s">
        <v>1941</v>
      </c>
      <c r="H204">
        <v>12205</v>
      </c>
      <c r="I204" t="s">
        <v>1942</v>
      </c>
    </row>
    <row r="205" spans="1:9" x14ac:dyDescent="0.25">
      <c r="A205" t="s">
        <v>424</v>
      </c>
      <c r="B205" t="s">
        <v>2882</v>
      </c>
      <c r="C205" t="s">
        <v>2883</v>
      </c>
      <c r="D205" t="s">
        <v>2884</v>
      </c>
      <c r="E205" t="s">
        <v>2885</v>
      </c>
      <c r="F205" t="s">
        <v>2886</v>
      </c>
      <c r="G205" t="s">
        <v>1941</v>
      </c>
      <c r="H205">
        <v>29305</v>
      </c>
      <c r="I205" t="s">
        <v>1951</v>
      </c>
    </row>
    <row r="206" spans="1:9" x14ac:dyDescent="0.25">
      <c r="A206" t="s">
        <v>426</v>
      </c>
      <c r="B206" t="s">
        <v>2887</v>
      </c>
      <c r="D206" t="s">
        <v>2888</v>
      </c>
      <c r="E206" t="s">
        <v>2889</v>
      </c>
      <c r="F206" t="s">
        <v>2890</v>
      </c>
      <c r="G206" t="s">
        <v>1941</v>
      </c>
      <c r="H206">
        <v>10310</v>
      </c>
      <c r="I206" t="s">
        <v>1951</v>
      </c>
    </row>
    <row r="207" spans="1:9" x14ac:dyDescent="0.25">
      <c r="A207" t="s">
        <v>428</v>
      </c>
      <c r="B207" t="s">
        <v>2891</v>
      </c>
      <c r="D207" t="s">
        <v>2892</v>
      </c>
      <c r="E207" t="s">
        <v>2893</v>
      </c>
      <c r="F207" t="s">
        <v>2186</v>
      </c>
      <c r="G207" t="s">
        <v>1941</v>
      </c>
      <c r="H207">
        <v>20337</v>
      </c>
      <c r="I207" t="s">
        <v>1942</v>
      </c>
    </row>
    <row r="208" spans="1:9" x14ac:dyDescent="0.25">
      <c r="A208" t="s">
        <v>430</v>
      </c>
      <c r="B208" t="s">
        <v>2894</v>
      </c>
      <c r="C208" t="s">
        <v>2895</v>
      </c>
      <c r="E208" t="s">
        <v>2896</v>
      </c>
      <c r="F208" t="s">
        <v>2300</v>
      </c>
      <c r="G208" t="s">
        <v>1941</v>
      </c>
      <c r="H208">
        <v>28225</v>
      </c>
      <c r="I208" t="s">
        <v>1951</v>
      </c>
    </row>
    <row r="209" spans="1:9" x14ac:dyDescent="0.25">
      <c r="A209" t="s">
        <v>432</v>
      </c>
      <c r="B209" t="s">
        <v>2897</v>
      </c>
      <c r="C209" t="s">
        <v>2898</v>
      </c>
      <c r="D209" t="s">
        <v>2899</v>
      </c>
      <c r="E209" t="s">
        <v>2900</v>
      </c>
      <c r="F209" t="s">
        <v>2901</v>
      </c>
      <c r="G209" t="s">
        <v>1941</v>
      </c>
      <c r="H209">
        <v>79491</v>
      </c>
      <c r="I209" t="s">
        <v>1942</v>
      </c>
    </row>
    <row r="210" spans="1:9" x14ac:dyDescent="0.25">
      <c r="A210" t="s">
        <v>434</v>
      </c>
      <c r="B210" t="s">
        <v>2902</v>
      </c>
      <c r="C210" t="s">
        <v>2903</v>
      </c>
      <c r="D210" t="s">
        <v>2904</v>
      </c>
      <c r="E210" t="s">
        <v>2905</v>
      </c>
      <c r="F210" t="s">
        <v>2906</v>
      </c>
      <c r="G210" t="s">
        <v>1949</v>
      </c>
      <c r="H210" t="s">
        <v>2907</v>
      </c>
      <c r="I210" t="s">
        <v>1942</v>
      </c>
    </row>
    <row r="211" spans="1:9" x14ac:dyDescent="0.25">
      <c r="A211" t="s">
        <v>436</v>
      </c>
      <c r="B211" t="s">
        <v>2908</v>
      </c>
      <c r="C211" t="s">
        <v>2909</v>
      </c>
      <c r="D211" t="s">
        <v>2910</v>
      </c>
      <c r="E211" t="s">
        <v>2911</v>
      </c>
      <c r="F211" t="s">
        <v>2912</v>
      </c>
      <c r="G211" t="s">
        <v>2116</v>
      </c>
      <c r="H211" t="s">
        <v>2913</v>
      </c>
      <c r="I211" t="s">
        <v>1951</v>
      </c>
    </row>
    <row r="212" spans="1:9" x14ac:dyDescent="0.25">
      <c r="A212" t="s">
        <v>438</v>
      </c>
      <c r="B212" t="s">
        <v>2914</v>
      </c>
      <c r="C212" t="s">
        <v>2915</v>
      </c>
      <c r="D212" t="s">
        <v>2916</v>
      </c>
      <c r="E212" t="s">
        <v>2917</v>
      </c>
      <c r="F212" t="s">
        <v>2786</v>
      </c>
      <c r="G212" t="s">
        <v>1941</v>
      </c>
      <c r="H212">
        <v>22908</v>
      </c>
      <c r="I212" t="s">
        <v>1942</v>
      </c>
    </row>
    <row r="213" spans="1:9" x14ac:dyDescent="0.25">
      <c r="A213" t="s">
        <v>440</v>
      </c>
      <c r="B213" t="s">
        <v>2918</v>
      </c>
      <c r="C213" t="s">
        <v>2919</v>
      </c>
      <c r="E213" t="s">
        <v>2920</v>
      </c>
      <c r="F213" t="s">
        <v>2037</v>
      </c>
      <c r="G213" t="s">
        <v>1941</v>
      </c>
      <c r="H213">
        <v>10105</v>
      </c>
      <c r="I213" t="s">
        <v>1951</v>
      </c>
    </row>
    <row r="214" spans="1:9" x14ac:dyDescent="0.25">
      <c r="A214" t="s">
        <v>442</v>
      </c>
      <c r="B214" t="s">
        <v>2921</v>
      </c>
      <c r="C214" t="s">
        <v>2922</v>
      </c>
      <c r="D214" t="s">
        <v>2923</v>
      </c>
      <c r="E214" t="s">
        <v>2924</v>
      </c>
      <c r="F214" t="s">
        <v>2643</v>
      </c>
      <c r="G214" t="s">
        <v>1941</v>
      </c>
      <c r="H214">
        <v>24009</v>
      </c>
      <c r="I214" t="s">
        <v>1942</v>
      </c>
    </row>
    <row r="215" spans="1:9" x14ac:dyDescent="0.25">
      <c r="A215" t="s">
        <v>444</v>
      </c>
      <c r="B215" t="s">
        <v>2925</v>
      </c>
      <c r="C215" t="s">
        <v>2926</v>
      </c>
      <c r="D215" t="s">
        <v>2927</v>
      </c>
      <c r="E215" t="s">
        <v>2928</v>
      </c>
      <c r="F215" t="s">
        <v>2037</v>
      </c>
      <c r="G215" t="s">
        <v>1941</v>
      </c>
      <c r="H215">
        <v>10009</v>
      </c>
      <c r="I215" t="s">
        <v>1951</v>
      </c>
    </row>
    <row r="216" spans="1:9" x14ac:dyDescent="0.25">
      <c r="A216" t="s">
        <v>446</v>
      </c>
      <c r="B216" t="s">
        <v>2929</v>
      </c>
      <c r="C216" t="s">
        <v>2930</v>
      </c>
      <c r="D216" t="s">
        <v>2931</v>
      </c>
      <c r="E216" t="s">
        <v>2932</v>
      </c>
      <c r="F216" t="s">
        <v>2933</v>
      </c>
      <c r="G216" t="s">
        <v>1949</v>
      </c>
      <c r="H216" t="s">
        <v>2083</v>
      </c>
      <c r="I216" t="s">
        <v>1951</v>
      </c>
    </row>
    <row r="217" spans="1:9" x14ac:dyDescent="0.25">
      <c r="A217" t="s">
        <v>448</v>
      </c>
      <c r="B217" t="s">
        <v>2934</v>
      </c>
      <c r="C217" t="s">
        <v>2935</v>
      </c>
      <c r="D217" t="s">
        <v>2936</v>
      </c>
      <c r="E217" t="s">
        <v>2937</v>
      </c>
      <c r="F217" t="s">
        <v>2938</v>
      </c>
      <c r="G217" t="s">
        <v>1941</v>
      </c>
      <c r="H217">
        <v>84120</v>
      </c>
      <c r="I217" t="s">
        <v>1951</v>
      </c>
    </row>
    <row r="218" spans="1:9" x14ac:dyDescent="0.25">
      <c r="A218" t="s">
        <v>450</v>
      </c>
      <c r="B218" t="s">
        <v>2939</v>
      </c>
      <c r="C218" t="s">
        <v>2940</v>
      </c>
      <c r="D218" t="s">
        <v>2941</v>
      </c>
      <c r="E218" t="s">
        <v>2942</v>
      </c>
      <c r="F218" t="s">
        <v>2211</v>
      </c>
      <c r="G218" t="s">
        <v>1941</v>
      </c>
      <c r="H218">
        <v>43635</v>
      </c>
      <c r="I218" t="s">
        <v>1942</v>
      </c>
    </row>
    <row r="219" spans="1:9" x14ac:dyDescent="0.25">
      <c r="A219" t="s">
        <v>452</v>
      </c>
      <c r="B219" t="s">
        <v>2943</v>
      </c>
      <c r="C219" t="s">
        <v>2944</v>
      </c>
      <c r="D219" t="s">
        <v>2945</v>
      </c>
      <c r="E219" t="s">
        <v>2946</v>
      </c>
      <c r="F219" t="s">
        <v>2947</v>
      </c>
      <c r="G219" t="s">
        <v>1941</v>
      </c>
      <c r="H219">
        <v>91131</v>
      </c>
      <c r="I219" t="s">
        <v>1951</v>
      </c>
    </row>
    <row r="220" spans="1:9" x14ac:dyDescent="0.25">
      <c r="A220" t="s">
        <v>454</v>
      </c>
      <c r="B220" t="s">
        <v>2948</v>
      </c>
      <c r="C220" t="s">
        <v>2949</v>
      </c>
      <c r="D220" t="s">
        <v>2950</v>
      </c>
      <c r="E220" t="s">
        <v>2951</v>
      </c>
      <c r="F220" t="s">
        <v>2952</v>
      </c>
      <c r="G220" t="s">
        <v>1949</v>
      </c>
      <c r="H220" t="s">
        <v>2293</v>
      </c>
      <c r="I220" t="s">
        <v>1942</v>
      </c>
    </row>
    <row r="221" spans="1:9" x14ac:dyDescent="0.25">
      <c r="A221" t="s">
        <v>456</v>
      </c>
      <c r="B221" t="s">
        <v>2953</v>
      </c>
      <c r="C221" t="s">
        <v>2954</v>
      </c>
      <c r="D221" t="s">
        <v>2955</v>
      </c>
      <c r="E221" t="s">
        <v>2956</v>
      </c>
      <c r="F221" t="s">
        <v>2957</v>
      </c>
      <c r="G221" t="s">
        <v>1941</v>
      </c>
      <c r="H221">
        <v>64082</v>
      </c>
      <c r="I221" t="s">
        <v>1951</v>
      </c>
    </row>
    <row r="222" spans="1:9" x14ac:dyDescent="0.25">
      <c r="A222" t="s">
        <v>2958</v>
      </c>
      <c r="B222" t="s">
        <v>2959</v>
      </c>
      <c r="C222" t="s">
        <v>2960</v>
      </c>
      <c r="D222" t="s">
        <v>2961</v>
      </c>
      <c r="E222" t="s">
        <v>2962</v>
      </c>
      <c r="F222" t="s">
        <v>2266</v>
      </c>
      <c r="G222" t="s">
        <v>1941</v>
      </c>
      <c r="H222">
        <v>76121</v>
      </c>
      <c r="I222" t="s">
        <v>1951</v>
      </c>
    </row>
    <row r="223" spans="1:9" x14ac:dyDescent="0.25">
      <c r="A223" t="s">
        <v>458</v>
      </c>
      <c r="B223" t="s">
        <v>2963</v>
      </c>
      <c r="C223" t="s">
        <v>2964</v>
      </c>
      <c r="D223" t="s">
        <v>2965</v>
      </c>
      <c r="E223" t="s">
        <v>2966</v>
      </c>
      <c r="F223" t="s">
        <v>2967</v>
      </c>
      <c r="G223" t="s">
        <v>1941</v>
      </c>
      <c r="H223">
        <v>92619</v>
      </c>
      <c r="I223" t="s">
        <v>1942</v>
      </c>
    </row>
    <row r="224" spans="1:9" x14ac:dyDescent="0.25">
      <c r="A224" t="s">
        <v>460</v>
      </c>
      <c r="B224" t="s">
        <v>2968</v>
      </c>
      <c r="C224" t="s">
        <v>2969</v>
      </c>
      <c r="D224" t="s">
        <v>2970</v>
      </c>
      <c r="E224" t="s">
        <v>2971</v>
      </c>
      <c r="F224" t="s">
        <v>2972</v>
      </c>
      <c r="G224" t="s">
        <v>1941</v>
      </c>
      <c r="H224">
        <v>11854</v>
      </c>
      <c r="I224" t="s">
        <v>1951</v>
      </c>
    </row>
    <row r="225" spans="1:9" x14ac:dyDescent="0.25">
      <c r="A225" t="s">
        <v>462</v>
      </c>
      <c r="B225" t="s">
        <v>2973</v>
      </c>
      <c r="D225" t="s">
        <v>2974</v>
      </c>
      <c r="E225" t="s">
        <v>2975</v>
      </c>
      <c r="F225" t="s">
        <v>2186</v>
      </c>
      <c r="G225" t="s">
        <v>1941</v>
      </c>
      <c r="H225">
        <v>20546</v>
      </c>
      <c r="I225" t="s">
        <v>1942</v>
      </c>
    </row>
    <row r="226" spans="1:9" x14ac:dyDescent="0.25">
      <c r="A226" t="s">
        <v>464</v>
      </c>
      <c r="B226" t="s">
        <v>2976</v>
      </c>
      <c r="C226" t="s">
        <v>2977</v>
      </c>
      <c r="D226" t="s">
        <v>2978</v>
      </c>
      <c r="E226" t="s">
        <v>2979</v>
      </c>
      <c r="F226" t="s">
        <v>2037</v>
      </c>
      <c r="G226" t="s">
        <v>1941</v>
      </c>
      <c r="H226">
        <v>10060</v>
      </c>
      <c r="I226" t="s">
        <v>1942</v>
      </c>
    </row>
    <row r="227" spans="1:9" x14ac:dyDescent="0.25">
      <c r="A227" t="s">
        <v>466</v>
      </c>
      <c r="B227" t="s">
        <v>2980</v>
      </c>
      <c r="C227" t="s">
        <v>2981</v>
      </c>
      <c r="D227" t="s">
        <v>2982</v>
      </c>
      <c r="E227" t="s">
        <v>2983</v>
      </c>
      <c r="F227" t="s">
        <v>2292</v>
      </c>
      <c r="G227" t="s">
        <v>1949</v>
      </c>
      <c r="H227" t="s">
        <v>2293</v>
      </c>
      <c r="I227" t="s">
        <v>1951</v>
      </c>
    </row>
    <row r="228" spans="1:9" x14ac:dyDescent="0.25">
      <c r="A228" t="s">
        <v>468</v>
      </c>
      <c r="B228" t="s">
        <v>2984</v>
      </c>
      <c r="C228" t="s">
        <v>2985</v>
      </c>
      <c r="D228" t="s">
        <v>2986</v>
      </c>
      <c r="E228" t="s">
        <v>2987</v>
      </c>
      <c r="F228" t="s">
        <v>2988</v>
      </c>
      <c r="G228" t="s">
        <v>1941</v>
      </c>
      <c r="H228">
        <v>66276</v>
      </c>
      <c r="I228" t="s">
        <v>1951</v>
      </c>
    </row>
    <row r="229" spans="1:9" x14ac:dyDescent="0.25">
      <c r="A229" t="s">
        <v>470</v>
      </c>
      <c r="B229" t="s">
        <v>2989</v>
      </c>
      <c r="C229" t="s">
        <v>2990</v>
      </c>
      <c r="D229" t="s">
        <v>2991</v>
      </c>
      <c r="E229" t="s">
        <v>2992</v>
      </c>
      <c r="F229" t="s">
        <v>2993</v>
      </c>
      <c r="G229" t="s">
        <v>2116</v>
      </c>
      <c r="H229" t="s">
        <v>2994</v>
      </c>
      <c r="I229" t="s">
        <v>1942</v>
      </c>
    </row>
    <row r="230" spans="1:9" x14ac:dyDescent="0.25">
      <c r="A230" t="s">
        <v>472</v>
      </c>
      <c r="B230" t="s">
        <v>2995</v>
      </c>
      <c r="C230" t="s">
        <v>2996</v>
      </c>
      <c r="D230" t="s">
        <v>2997</v>
      </c>
      <c r="E230" t="s">
        <v>2998</v>
      </c>
      <c r="F230" t="s">
        <v>2999</v>
      </c>
      <c r="G230" t="s">
        <v>1941</v>
      </c>
      <c r="H230">
        <v>94291</v>
      </c>
      <c r="I230" t="s">
        <v>1951</v>
      </c>
    </row>
    <row r="231" spans="1:9" x14ac:dyDescent="0.25">
      <c r="A231" t="s">
        <v>474</v>
      </c>
      <c r="B231" t="s">
        <v>3000</v>
      </c>
      <c r="C231" t="s">
        <v>3001</v>
      </c>
      <c r="D231" t="s">
        <v>3002</v>
      </c>
      <c r="E231" t="s">
        <v>3003</v>
      </c>
      <c r="F231" t="s">
        <v>3004</v>
      </c>
      <c r="G231" t="s">
        <v>1941</v>
      </c>
      <c r="H231">
        <v>18706</v>
      </c>
      <c r="I231" t="s">
        <v>1951</v>
      </c>
    </row>
    <row r="232" spans="1:9" x14ac:dyDescent="0.25">
      <c r="A232" t="s">
        <v>476</v>
      </c>
      <c r="B232" t="s">
        <v>3005</v>
      </c>
      <c r="C232" t="s">
        <v>3006</v>
      </c>
      <c r="D232" t="s">
        <v>3007</v>
      </c>
      <c r="E232" t="s">
        <v>3008</v>
      </c>
      <c r="F232" t="s">
        <v>2694</v>
      </c>
      <c r="G232" t="s">
        <v>1941</v>
      </c>
      <c r="H232">
        <v>27499</v>
      </c>
      <c r="I232" t="s">
        <v>1951</v>
      </c>
    </row>
    <row r="233" spans="1:9" x14ac:dyDescent="0.25">
      <c r="A233" t="s">
        <v>478</v>
      </c>
      <c r="B233" t="s">
        <v>3009</v>
      </c>
      <c r="D233" t="s">
        <v>3010</v>
      </c>
      <c r="E233" t="s">
        <v>3011</v>
      </c>
      <c r="F233" t="s">
        <v>2256</v>
      </c>
      <c r="G233" t="s">
        <v>1941</v>
      </c>
      <c r="H233">
        <v>19725</v>
      </c>
      <c r="I233" t="s">
        <v>1942</v>
      </c>
    </row>
    <row r="234" spans="1:9" x14ac:dyDescent="0.25">
      <c r="A234" t="s">
        <v>480</v>
      </c>
      <c r="B234" t="s">
        <v>3012</v>
      </c>
      <c r="C234" t="s">
        <v>3013</v>
      </c>
      <c r="D234" t="s">
        <v>3014</v>
      </c>
      <c r="E234" t="s">
        <v>3015</v>
      </c>
      <c r="F234" t="s">
        <v>2199</v>
      </c>
      <c r="G234" t="s">
        <v>2116</v>
      </c>
      <c r="H234" t="s">
        <v>2200</v>
      </c>
      <c r="I234" t="s">
        <v>1951</v>
      </c>
    </row>
    <row r="235" spans="1:9" x14ac:dyDescent="0.25">
      <c r="A235" t="s">
        <v>482</v>
      </c>
      <c r="B235" t="s">
        <v>3016</v>
      </c>
      <c r="C235" t="s">
        <v>3017</v>
      </c>
      <c r="D235" t="s">
        <v>3018</v>
      </c>
      <c r="E235" t="s">
        <v>3019</v>
      </c>
      <c r="F235" t="s">
        <v>2592</v>
      </c>
      <c r="G235" t="s">
        <v>1941</v>
      </c>
      <c r="H235">
        <v>96825</v>
      </c>
      <c r="I235" t="s">
        <v>1951</v>
      </c>
    </row>
    <row r="236" spans="1:9" x14ac:dyDescent="0.25">
      <c r="A236" t="s">
        <v>484</v>
      </c>
      <c r="B236" t="s">
        <v>3020</v>
      </c>
      <c r="C236" t="s">
        <v>3021</v>
      </c>
      <c r="D236" t="s">
        <v>3022</v>
      </c>
      <c r="E236" t="s">
        <v>3023</v>
      </c>
      <c r="F236" t="s">
        <v>2037</v>
      </c>
      <c r="G236" t="s">
        <v>1941</v>
      </c>
      <c r="H236">
        <v>10150</v>
      </c>
      <c r="I236" t="s">
        <v>1951</v>
      </c>
    </row>
    <row r="237" spans="1:9" x14ac:dyDescent="0.25">
      <c r="A237" t="s">
        <v>486</v>
      </c>
      <c r="B237" t="s">
        <v>3024</v>
      </c>
      <c r="E237" t="s">
        <v>3025</v>
      </c>
      <c r="F237" t="s">
        <v>3026</v>
      </c>
      <c r="G237" t="s">
        <v>1949</v>
      </c>
      <c r="H237" t="s">
        <v>3027</v>
      </c>
      <c r="I237" t="s">
        <v>1951</v>
      </c>
    </row>
    <row r="238" spans="1:9" x14ac:dyDescent="0.25">
      <c r="A238" t="s">
        <v>488</v>
      </c>
      <c r="B238" t="s">
        <v>3028</v>
      </c>
      <c r="C238" t="s">
        <v>3029</v>
      </c>
      <c r="D238" t="s">
        <v>3030</v>
      </c>
      <c r="E238" t="s">
        <v>3031</v>
      </c>
      <c r="F238" t="s">
        <v>3032</v>
      </c>
      <c r="G238" t="s">
        <v>1949</v>
      </c>
      <c r="H238" t="s">
        <v>3033</v>
      </c>
      <c r="I238" t="s">
        <v>1951</v>
      </c>
    </row>
    <row r="239" spans="1:9" x14ac:dyDescent="0.25">
      <c r="A239" t="s">
        <v>490</v>
      </c>
      <c r="B239" t="s">
        <v>3034</v>
      </c>
      <c r="D239" t="s">
        <v>3035</v>
      </c>
      <c r="E239" t="s">
        <v>3036</v>
      </c>
      <c r="F239" t="s">
        <v>3037</v>
      </c>
      <c r="G239" t="s">
        <v>1941</v>
      </c>
      <c r="H239">
        <v>45218</v>
      </c>
      <c r="I239" t="s">
        <v>1942</v>
      </c>
    </row>
    <row r="240" spans="1:9" x14ac:dyDescent="0.25">
      <c r="A240" t="s">
        <v>492</v>
      </c>
      <c r="B240" t="s">
        <v>3038</v>
      </c>
      <c r="C240" t="s">
        <v>3039</v>
      </c>
      <c r="D240" t="s">
        <v>3040</v>
      </c>
      <c r="E240" t="s">
        <v>3041</v>
      </c>
      <c r="F240" t="s">
        <v>2320</v>
      </c>
      <c r="G240" t="s">
        <v>1941</v>
      </c>
      <c r="H240">
        <v>48670</v>
      </c>
      <c r="I240" t="s">
        <v>1942</v>
      </c>
    </row>
    <row r="241" spans="1:9" x14ac:dyDescent="0.25">
      <c r="A241" t="s">
        <v>494</v>
      </c>
      <c r="B241" t="s">
        <v>3042</v>
      </c>
      <c r="C241" t="s">
        <v>3043</v>
      </c>
      <c r="D241" t="s">
        <v>3044</v>
      </c>
      <c r="E241" t="s">
        <v>3045</v>
      </c>
      <c r="F241" t="s">
        <v>3046</v>
      </c>
      <c r="G241" t="s">
        <v>1941</v>
      </c>
      <c r="H241">
        <v>82007</v>
      </c>
      <c r="I241" t="s">
        <v>1951</v>
      </c>
    </row>
    <row r="242" spans="1:9" x14ac:dyDescent="0.25">
      <c r="A242" t="s">
        <v>496</v>
      </c>
      <c r="B242" t="s">
        <v>3047</v>
      </c>
      <c r="E242" t="s">
        <v>3048</v>
      </c>
      <c r="F242" t="s">
        <v>3049</v>
      </c>
      <c r="G242" t="s">
        <v>1941</v>
      </c>
      <c r="H242">
        <v>31119</v>
      </c>
      <c r="I242" t="s">
        <v>1942</v>
      </c>
    </row>
    <row r="243" spans="1:9" x14ac:dyDescent="0.25">
      <c r="A243" t="s">
        <v>498</v>
      </c>
      <c r="B243" t="s">
        <v>3050</v>
      </c>
      <c r="D243" t="s">
        <v>3051</v>
      </c>
      <c r="E243" t="s">
        <v>3052</v>
      </c>
      <c r="F243" t="s">
        <v>3053</v>
      </c>
      <c r="G243" t="s">
        <v>1941</v>
      </c>
      <c r="H243">
        <v>30096</v>
      </c>
      <c r="I243" t="s">
        <v>1951</v>
      </c>
    </row>
    <row r="244" spans="1:9" x14ac:dyDescent="0.25">
      <c r="A244" t="s">
        <v>500</v>
      </c>
      <c r="B244" t="s">
        <v>3054</v>
      </c>
      <c r="C244" t="s">
        <v>3055</v>
      </c>
      <c r="D244" t="s">
        <v>3056</v>
      </c>
      <c r="E244" t="s">
        <v>3057</v>
      </c>
      <c r="F244" t="s">
        <v>2999</v>
      </c>
      <c r="G244" t="s">
        <v>1941</v>
      </c>
      <c r="H244">
        <v>94250</v>
      </c>
      <c r="I244" t="s">
        <v>1942</v>
      </c>
    </row>
    <row r="245" spans="1:9" x14ac:dyDescent="0.25">
      <c r="A245" t="s">
        <v>502</v>
      </c>
      <c r="B245" t="s">
        <v>3058</v>
      </c>
      <c r="C245" t="s">
        <v>3059</v>
      </c>
      <c r="D245" t="s">
        <v>3060</v>
      </c>
      <c r="E245" t="s">
        <v>3061</v>
      </c>
      <c r="F245" t="s">
        <v>2220</v>
      </c>
      <c r="G245" t="s">
        <v>1941</v>
      </c>
      <c r="H245">
        <v>33661</v>
      </c>
      <c r="I245" t="s">
        <v>1942</v>
      </c>
    </row>
    <row r="246" spans="1:9" x14ac:dyDescent="0.25">
      <c r="A246" t="s">
        <v>504</v>
      </c>
      <c r="B246" t="s">
        <v>3062</v>
      </c>
      <c r="C246" t="s">
        <v>3063</v>
      </c>
      <c r="D246" t="s">
        <v>3064</v>
      </c>
      <c r="E246" t="s">
        <v>3065</v>
      </c>
      <c r="F246" t="s">
        <v>2592</v>
      </c>
      <c r="G246" t="s">
        <v>1941</v>
      </c>
      <c r="H246">
        <v>96805</v>
      </c>
      <c r="I246" t="s">
        <v>1951</v>
      </c>
    </row>
    <row r="247" spans="1:9" x14ac:dyDescent="0.25">
      <c r="A247" t="s">
        <v>506</v>
      </c>
      <c r="B247" t="s">
        <v>3066</v>
      </c>
      <c r="C247" t="s">
        <v>3067</v>
      </c>
      <c r="D247" t="s">
        <v>3068</v>
      </c>
      <c r="E247" t="s">
        <v>3069</v>
      </c>
      <c r="F247" t="s">
        <v>3070</v>
      </c>
      <c r="G247" t="s">
        <v>1941</v>
      </c>
      <c r="H247">
        <v>70820</v>
      </c>
      <c r="I247" t="s">
        <v>1942</v>
      </c>
    </row>
    <row r="248" spans="1:9" x14ac:dyDescent="0.25">
      <c r="A248" t="s">
        <v>508</v>
      </c>
      <c r="B248" t="s">
        <v>3071</v>
      </c>
      <c r="C248" t="s">
        <v>3072</v>
      </c>
      <c r="D248" t="s">
        <v>3073</v>
      </c>
      <c r="E248" t="s">
        <v>3074</v>
      </c>
      <c r="F248" t="s">
        <v>3075</v>
      </c>
      <c r="G248" t="s">
        <v>2116</v>
      </c>
      <c r="H248" t="s">
        <v>3076</v>
      </c>
      <c r="I248" t="s">
        <v>1951</v>
      </c>
    </row>
    <row r="249" spans="1:9" x14ac:dyDescent="0.25">
      <c r="A249" t="s">
        <v>510</v>
      </c>
      <c r="B249" t="s">
        <v>3077</v>
      </c>
      <c r="D249" t="s">
        <v>3078</v>
      </c>
      <c r="E249" t="s">
        <v>3079</v>
      </c>
      <c r="F249" t="s">
        <v>3080</v>
      </c>
      <c r="G249" t="s">
        <v>1949</v>
      </c>
      <c r="H249" t="s">
        <v>3081</v>
      </c>
      <c r="I249" t="s">
        <v>1942</v>
      </c>
    </row>
    <row r="250" spans="1:9" x14ac:dyDescent="0.25">
      <c r="A250" t="s">
        <v>512</v>
      </c>
      <c r="B250" t="s">
        <v>3082</v>
      </c>
      <c r="C250" t="s">
        <v>3083</v>
      </c>
      <c r="D250" t="s">
        <v>3084</v>
      </c>
      <c r="E250" t="s">
        <v>3085</v>
      </c>
      <c r="F250" t="s">
        <v>2137</v>
      </c>
      <c r="G250" t="s">
        <v>1941</v>
      </c>
      <c r="H250">
        <v>55458</v>
      </c>
      <c r="I250" t="s">
        <v>1942</v>
      </c>
    </row>
    <row r="251" spans="1:9" x14ac:dyDescent="0.25">
      <c r="A251" t="s">
        <v>3086</v>
      </c>
      <c r="B251" t="s">
        <v>3087</v>
      </c>
      <c r="D251" t="s">
        <v>3088</v>
      </c>
      <c r="E251" t="s">
        <v>3089</v>
      </c>
      <c r="F251" t="s">
        <v>3090</v>
      </c>
      <c r="G251" t="s">
        <v>1941</v>
      </c>
      <c r="H251">
        <v>94159</v>
      </c>
      <c r="I251" t="s">
        <v>1951</v>
      </c>
    </row>
    <row r="252" spans="1:9" x14ac:dyDescent="0.25">
      <c r="A252" t="s">
        <v>516</v>
      </c>
      <c r="B252" t="s">
        <v>3091</v>
      </c>
      <c r="C252" t="s">
        <v>3092</v>
      </c>
      <c r="D252" t="s">
        <v>3093</v>
      </c>
      <c r="E252" t="s">
        <v>3094</v>
      </c>
      <c r="F252" t="s">
        <v>2300</v>
      </c>
      <c r="G252" t="s">
        <v>1941</v>
      </c>
      <c r="H252">
        <v>28225</v>
      </c>
      <c r="I252" t="s">
        <v>1942</v>
      </c>
    </row>
    <row r="253" spans="1:9" x14ac:dyDescent="0.25">
      <c r="A253" t="s">
        <v>518</v>
      </c>
      <c r="B253" t="s">
        <v>3095</v>
      </c>
      <c r="C253" t="s">
        <v>3096</v>
      </c>
      <c r="D253" t="s">
        <v>3097</v>
      </c>
      <c r="E253" t="s">
        <v>3098</v>
      </c>
      <c r="F253" t="s">
        <v>3099</v>
      </c>
      <c r="G253" t="s">
        <v>1941</v>
      </c>
      <c r="H253">
        <v>85099</v>
      </c>
      <c r="I253" t="s">
        <v>1942</v>
      </c>
    </row>
    <row r="254" spans="1:9" x14ac:dyDescent="0.25">
      <c r="A254" t="s">
        <v>520</v>
      </c>
      <c r="B254" t="s">
        <v>3100</v>
      </c>
      <c r="D254" t="s">
        <v>3101</v>
      </c>
      <c r="E254" t="s">
        <v>3102</v>
      </c>
      <c r="F254" t="s">
        <v>2099</v>
      </c>
      <c r="G254" t="s">
        <v>1941</v>
      </c>
      <c r="H254">
        <v>11407</v>
      </c>
      <c r="I254" t="s">
        <v>1951</v>
      </c>
    </row>
    <row r="255" spans="1:9" x14ac:dyDescent="0.25">
      <c r="A255" t="s">
        <v>522</v>
      </c>
      <c r="B255" t="s">
        <v>3103</v>
      </c>
      <c r="C255" t="s">
        <v>3104</v>
      </c>
      <c r="D255" t="s">
        <v>3105</v>
      </c>
      <c r="E255" t="s">
        <v>3106</v>
      </c>
      <c r="F255" t="s">
        <v>3107</v>
      </c>
      <c r="G255" t="s">
        <v>1941</v>
      </c>
      <c r="H255">
        <v>61825</v>
      </c>
      <c r="I255" t="s">
        <v>1951</v>
      </c>
    </row>
    <row r="256" spans="1:9" x14ac:dyDescent="0.25">
      <c r="A256" t="s">
        <v>524</v>
      </c>
      <c r="B256" t="s">
        <v>3108</v>
      </c>
      <c r="C256" t="s">
        <v>3109</v>
      </c>
      <c r="E256" t="s">
        <v>3110</v>
      </c>
      <c r="F256" t="s">
        <v>3111</v>
      </c>
      <c r="G256" t="s">
        <v>2116</v>
      </c>
      <c r="H256" t="s">
        <v>3112</v>
      </c>
      <c r="I256" t="s">
        <v>1951</v>
      </c>
    </row>
    <row r="257" spans="1:9" x14ac:dyDescent="0.25">
      <c r="A257" t="s">
        <v>526</v>
      </c>
      <c r="B257" t="s">
        <v>3113</v>
      </c>
      <c r="C257" t="s">
        <v>3114</v>
      </c>
      <c r="D257" t="s">
        <v>3115</v>
      </c>
      <c r="E257" t="s">
        <v>3116</v>
      </c>
      <c r="F257" t="s">
        <v>2140</v>
      </c>
      <c r="G257" t="s">
        <v>1941</v>
      </c>
      <c r="H257">
        <v>85715</v>
      </c>
      <c r="I257" t="s">
        <v>1951</v>
      </c>
    </row>
    <row r="258" spans="1:9" x14ac:dyDescent="0.25">
      <c r="A258" t="s">
        <v>514</v>
      </c>
      <c r="B258" t="s">
        <v>3117</v>
      </c>
      <c r="C258" t="s">
        <v>3118</v>
      </c>
      <c r="D258" t="s">
        <v>3119</v>
      </c>
      <c r="E258" t="s">
        <v>3120</v>
      </c>
      <c r="F258" t="s">
        <v>3121</v>
      </c>
      <c r="G258" t="s">
        <v>1941</v>
      </c>
      <c r="H258">
        <v>53205</v>
      </c>
      <c r="I258" t="s">
        <v>1942</v>
      </c>
    </row>
    <row r="259" spans="1:9" x14ac:dyDescent="0.25">
      <c r="A259" t="s">
        <v>529</v>
      </c>
      <c r="B259" t="s">
        <v>3122</v>
      </c>
      <c r="C259" t="s">
        <v>3123</v>
      </c>
      <c r="D259" t="s">
        <v>3124</v>
      </c>
      <c r="E259" t="s">
        <v>3125</v>
      </c>
      <c r="F259" t="s">
        <v>2861</v>
      </c>
      <c r="G259" t="s">
        <v>1941</v>
      </c>
      <c r="H259">
        <v>33064</v>
      </c>
      <c r="I259" t="s">
        <v>1942</v>
      </c>
    </row>
    <row r="260" spans="1:9" x14ac:dyDescent="0.25">
      <c r="A260" t="s">
        <v>532</v>
      </c>
      <c r="B260" t="s">
        <v>3126</v>
      </c>
      <c r="C260" t="s">
        <v>3127</v>
      </c>
      <c r="D260" t="s">
        <v>3128</v>
      </c>
      <c r="E260" t="s">
        <v>3129</v>
      </c>
      <c r="F260" t="s">
        <v>2758</v>
      </c>
      <c r="G260" t="s">
        <v>1941</v>
      </c>
      <c r="H260">
        <v>90610</v>
      </c>
      <c r="I260" t="s">
        <v>1951</v>
      </c>
    </row>
    <row r="261" spans="1:9" x14ac:dyDescent="0.25">
      <c r="A261" t="s">
        <v>534</v>
      </c>
      <c r="B261" t="s">
        <v>3130</v>
      </c>
      <c r="C261" t="s">
        <v>3131</v>
      </c>
      <c r="D261" t="s">
        <v>3132</v>
      </c>
      <c r="E261" t="s">
        <v>3133</v>
      </c>
      <c r="F261" t="s">
        <v>3134</v>
      </c>
      <c r="G261" t="s">
        <v>2116</v>
      </c>
      <c r="H261" t="s">
        <v>3135</v>
      </c>
      <c r="I261" t="s">
        <v>1951</v>
      </c>
    </row>
    <row r="262" spans="1:9" x14ac:dyDescent="0.25">
      <c r="A262" t="s">
        <v>536</v>
      </c>
      <c r="B262" t="s">
        <v>3136</v>
      </c>
      <c r="C262" t="s">
        <v>3137</v>
      </c>
      <c r="E262" t="s">
        <v>3138</v>
      </c>
      <c r="F262" t="s">
        <v>2013</v>
      </c>
      <c r="G262" t="s">
        <v>1941</v>
      </c>
      <c r="H262">
        <v>63180</v>
      </c>
      <c r="I262" t="s">
        <v>1942</v>
      </c>
    </row>
    <row r="263" spans="1:9" x14ac:dyDescent="0.25">
      <c r="A263" t="s">
        <v>538</v>
      </c>
      <c r="B263" t="s">
        <v>3139</v>
      </c>
      <c r="C263" t="s">
        <v>3140</v>
      </c>
      <c r="D263" t="s">
        <v>3141</v>
      </c>
      <c r="E263" t="s">
        <v>3142</v>
      </c>
      <c r="F263" t="s">
        <v>3143</v>
      </c>
      <c r="G263" t="s">
        <v>1941</v>
      </c>
      <c r="H263">
        <v>16522</v>
      </c>
      <c r="I263" t="s">
        <v>1942</v>
      </c>
    </row>
    <row r="264" spans="1:9" x14ac:dyDescent="0.25">
      <c r="A264" t="s">
        <v>540</v>
      </c>
      <c r="B264" t="s">
        <v>3144</v>
      </c>
      <c r="C264" t="s">
        <v>3145</v>
      </c>
      <c r="D264" t="s">
        <v>3146</v>
      </c>
      <c r="E264" t="s">
        <v>3147</v>
      </c>
      <c r="F264" t="s">
        <v>3148</v>
      </c>
      <c r="G264" t="s">
        <v>1941</v>
      </c>
      <c r="H264">
        <v>98464</v>
      </c>
      <c r="I264" t="s">
        <v>1951</v>
      </c>
    </row>
    <row r="265" spans="1:9" x14ac:dyDescent="0.25">
      <c r="A265" t="s">
        <v>542</v>
      </c>
      <c r="B265" t="s">
        <v>3149</v>
      </c>
      <c r="D265" t="s">
        <v>3150</v>
      </c>
      <c r="E265" t="s">
        <v>3151</v>
      </c>
      <c r="F265" t="s">
        <v>2004</v>
      </c>
      <c r="G265" t="s">
        <v>1941</v>
      </c>
      <c r="H265">
        <v>23277</v>
      </c>
      <c r="I265" t="s">
        <v>1951</v>
      </c>
    </row>
    <row r="266" spans="1:9" x14ac:dyDescent="0.25">
      <c r="A266" t="s">
        <v>544</v>
      </c>
      <c r="B266" t="s">
        <v>3152</v>
      </c>
      <c r="D266" t="s">
        <v>3153</v>
      </c>
      <c r="E266" t="s">
        <v>3154</v>
      </c>
      <c r="F266" t="s">
        <v>3155</v>
      </c>
      <c r="G266" t="s">
        <v>1949</v>
      </c>
      <c r="H266" t="s">
        <v>2545</v>
      </c>
      <c r="I266" t="s">
        <v>1942</v>
      </c>
    </row>
    <row r="267" spans="1:9" x14ac:dyDescent="0.25">
      <c r="A267" t="s">
        <v>546</v>
      </c>
      <c r="B267" t="s">
        <v>3156</v>
      </c>
      <c r="C267" t="s">
        <v>3157</v>
      </c>
      <c r="D267" t="s">
        <v>3158</v>
      </c>
      <c r="E267" t="s">
        <v>3159</v>
      </c>
      <c r="F267" t="s">
        <v>2127</v>
      </c>
      <c r="G267" t="s">
        <v>1941</v>
      </c>
      <c r="H267">
        <v>72204</v>
      </c>
      <c r="I267" t="s">
        <v>1942</v>
      </c>
    </row>
    <row r="268" spans="1:9" x14ac:dyDescent="0.25">
      <c r="A268" t="s">
        <v>548</v>
      </c>
      <c r="B268" t="s">
        <v>3160</v>
      </c>
      <c r="C268" t="s">
        <v>3161</v>
      </c>
      <c r="D268" t="s">
        <v>3162</v>
      </c>
      <c r="E268" t="s">
        <v>3163</v>
      </c>
      <c r="F268" t="s">
        <v>3164</v>
      </c>
      <c r="G268" t="s">
        <v>2116</v>
      </c>
      <c r="H268" t="s">
        <v>3165</v>
      </c>
      <c r="I268" t="s">
        <v>1951</v>
      </c>
    </row>
    <row r="269" spans="1:9" x14ac:dyDescent="0.25">
      <c r="A269" t="s">
        <v>550</v>
      </c>
      <c r="B269" t="s">
        <v>3166</v>
      </c>
      <c r="C269" t="s">
        <v>3167</v>
      </c>
      <c r="D269" t="s">
        <v>3168</v>
      </c>
      <c r="E269" t="s">
        <v>3169</v>
      </c>
      <c r="F269" t="s">
        <v>2748</v>
      </c>
      <c r="G269" t="s">
        <v>1941</v>
      </c>
      <c r="H269">
        <v>89436</v>
      </c>
      <c r="I269" t="s">
        <v>1942</v>
      </c>
    </row>
    <row r="270" spans="1:9" x14ac:dyDescent="0.25">
      <c r="A270" t="s">
        <v>3170</v>
      </c>
      <c r="B270" t="s">
        <v>3171</v>
      </c>
      <c r="D270" t="s">
        <v>3172</v>
      </c>
      <c r="E270" t="s">
        <v>3173</v>
      </c>
      <c r="F270" t="s">
        <v>3174</v>
      </c>
      <c r="G270" t="s">
        <v>1941</v>
      </c>
      <c r="H270">
        <v>77806</v>
      </c>
      <c r="I270" t="s">
        <v>1942</v>
      </c>
    </row>
    <row r="271" spans="1:9" x14ac:dyDescent="0.25">
      <c r="A271" t="s">
        <v>553</v>
      </c>
      <c r="B271" t="s">
        <v>3175</v>
      </c>
      <c r="C271" t="s">
        <v>3176</v>
      </c>
      <c r="D271" t="s">
        <v>3177</v>
      </c>
      <c r="E271" t="s">
        <v>3178</v>
      </c>
      <c r="F271" t="s">
        <v>3179</v>
      </c>
      <c r="G271" t="s">
        <v>1941</v>
      </c>
      <c r="H271">
        <v>76210</v>
      </c>
      <c r="I271" t="s">
        <v>1951</v>
      </c>
    </row>
    <row r="272" spans="1:9" x14ac:dyDescent="0.25">
      <c r="A272" t="s">
        <v>555</v>
      </c>
      <c r="B272" t="s">
        <v>3180</v>
      </c>
      <c r="E272" t="s">
        <v>3181</v>
      </c>
      <c r="F272" t="s">
        <v>3182</v>
      </c>
      <c r="G272" t="s">
        <v>1949</v>
      </c>
      <c r="H272" t="s">
        <v>3183</v>
      </c>
      <c r="I272" t="s">
        <v>1942</v>
      </c>
    </row>
    <row r="273" spans="1:9" x14ac:dyDescent="0.25">
      <c r="A273" t="s">
        <v>557</v>
      </c>
      <c r="B273" t="s">
        <v>3184</v>
      </c>
      <c r="C273" t="s">
        <v>3185</v>
      </c>
      <c r="D273" t="s">
        <v>3186</v>
      </c>
      <c r="E273" t="s">
        <v>3187</v>
      </c>
      <c r="F273" t="s">
        <v>3188</v>
      </c>
      <c r="G273" t="s">
        <v>1941</v>
      </c>
      <c r="H273">
        <v>27635</v>
      </c>
      <c r="I273" t="s">
        <v>1942</v>
      </c>
    </row>
    <row r="274" spans="1:9" x14ac:dyDescent="0.25">
      <c r="A274" t="s">
        <v>559</v>
      </c>
      <c r="B274" t="s">
        <v>3189</v>
      </c>
      <c r="C274" t="s">
        <v>3190</v>
      </c>
      <c r="D274" t="s">
        <v>3191</v>
      </c>
      <c r="E274" t="s">
        <v>3192</v>
      </c>
      <c r="F274" t="s">
        <v>3193</v>
      </c>
      <c r="G274" t="s">
        <v>1949</v>
      </c>
      <c r="H274" t="s">
        <v>3194</v>
      </c>
      <c r="I274" t="s">
        <v>1942</v>
      </c>
    </row>
    <row r="275" spans="1:9" x14ac:dyDescent="0.25">
      <c r="A275" t="s">
        <v>561</v>
      </c>
      <c r="B275" t="s">
        <v>3195</v>
      </c>
      <c r="C275" t="s">
        <v>3196</v>
      </c>
      <c r="D275" t="s">
        <v>3197</v>
      </c>
      <c r="E275" t="s">
        <v>3198</v>
      </c>
      <c r="F275" t="s">
        <v>2037</v>
      </c>
      <c r="G275" t="s">
        <v>1941</v>
      </c>
      <c r="H275">
        <v>10105</v>
      </c>
      <c r="I275" t="s">
        <v>1951</v>
      </c>
    </row>
    <row r="276" spans="1:9" x14ac:dyDescent="0.25">
      <c r="A276" t="s">
        <v>563</v>
      </c>
      <c r="B276" t="s">
        <v>3199</v>
      </c>
      <c r="C276" t="s">
        <v>3200</v>
      </c>
      <c r="D276" t="s">
        <v>3201</v>
      </c>
      <c r="E276" t="s">
        <v>3202</v>
      </c>
      <c r="F276" t="s">
        <v>2525</v>
      </c>
      <c r="G276" t="s">
        <v>1941</v>
      </c>
      <c r="H276">
        <v>6905</v>
      </c>
      <c r="I276" t="s">
        <v>1951</v>
      </c>
    </row>
    <row r="277" spans="1:9" x14ac:dyDescent="0.25">
      <c r="A277" t="s">
        <v>565</v>
      </c>
      <c r="B277" t="s">
        <v>3203</v>
      </c>
      <c r="C277" t="s">
        <v>3204</v>
      </c>
      <c r="D277" t="s">
        <v>3205</v>
      </c>
      <c r="E277" t="s">
        <v>3206</v>
      </c>
      <c r="F277" t="s">
        <v>2211</v>
      </c>
      <c r="G277" t="s">
        <v>1941</v>
      </c>
      <c r="H277">
        <v>43666</v>
      </c>
      <c r="I277" t="s">
        <v>1951</v>
      </c>
    </row>
    <row r="278" spans="1:9" x14ac:dyDescent="0.25">
      <c r="A278" t="s">
        <v>567</v>
      </c>
      <c r="B278" t="s">
        <v>3207</v>
      </c>
      <c r="C278" t="s">
        <v>3208</v>
      </c>
      <c r="D278" t="s">
        <v>3209</v>
      </c>
      <c r="E278" t="s">
        <v>3210</v>
      </c>
      <c r="F278" t="s">
        <v>3211</v>
      </c>
      <c r="G278" t="s">
        <v>1949</v>
      </c>
      <c r="H278" t="s">
        <v>3212</v>
      </c>
      <c r="I278" t="s">
        <v>1942</v>
      </c>
    </row>
    <row r="279" spans="1:9" x14ac:dyDescent="0.25">
      <c r="A279" t="s">
        <v>569</v>
      </c>
      <c r="B279" t="s">
        <v>3213</v>
      </c>
      <c r="C279" t="s">
        <v>3214</v>
      </c>
      <c r="D279" t="s">
        <v>3215</v>
      </c>
      <c r="E279" t="s">
        <v>3216</v>
      </c>
      <c r="F279" t="s">
        <v>3217</v>
      </c>
      <c r="G279" t="s">
        <v>1941</v>
      </c>
      <c r="H279">
        <v>65211</v>
      </c>
      <c r="I279" t="s">
        <v>1951</v>
      </c>
    </row>
    <row r="280" spans="1:9" x14ac:dyDescent="0.25">
      <c r="A280" t="s">
        <v>571</v>
      </c>
      <c r="B280" t="s">
        <v>3218</v>
      </c>
      <c r="C280" t="s">
        <v>3219</v>
      </c>
      <c r="D280" t="s">
        <v>3220</v>
      </c>
      <c r="E280" t="s">
        <v>3221</v>
      </c>
      <c r="F280" t="s">
        <v>2238</v>
      </c>
      <c r="G280" t="s">
        <v>1941</v>
      </c>
      <c r="H280">
        <v>46852</v>
      </c>
      <c r="I280" t="s">
        <v>1942</v>
      </c>
    </row>
    <row r="281" spans="1:9" x14ac:dyDescent="0.25">
      <c r="A281" t="s">
        <v>573</v>
      </c>
      <c r="B281" t="s">
        <v>3222</v>
      </c>
      <c r="C281" t="s">
        <v>3223</v>
      </c>
      <c r="D281" t="s">
        <v>3224</v>
      </c>
      <c r="E281" t="s">
        <v>3225</v>
      </c>
      <c r="F281" t="s">
        <v>2013</v>
      </c>
      <c r="G281" t="s">
        <v>1941</v>
      </c>
      <c r="H281">
        <v>63143</v>
      </c>
      <c r="I281" t="s">
        <v>1942</v>
      </c>
    </row>
    <row r="282" spans="1:9" x14ac:dyDescent="0.25">
      <c r="A282" t="s">
        <v>575</v>
      </c>
      <c r="B282" t="s">
        <v>3226</v>
      </c>
      <c r="D282" t="s">
        <v>3227</v>
      </c>
      <c r="E282" t="s">
        <v>3228</v>
      </c>
      <c r="F282" t="s">
        <v>2022</v>
      </c>
      <c r="G282" t="s">
        <v>1941</v>
      </c>
      <c r="H282">
        <v>97211</v>
      </c>
      <c r="I282" t="s">
        <v>1942</v>
      </c>
    </row>
    <row r="283" spans="1:9" x14ac:dyDescent="0.25">
      <c r="A283" t="s">
        <v>577</v>
      </c>
      <c r="B283" t="s">
        <v>3229</v>
      </c>
      <c r="C283" t="s">
        <v>3230</v>
      </c>
      <c r="D283" t="s">
        <v>3231</v>
      </c>
      <c r="E283" t="s">
        <v>3232</v>
      </c>
      <c r="F283" t="s">
        <v>3233</v>
      </c>
      <c r="G283" t="s">
        <v>1941</v>
      </c>
      <c r="H283">
        <v>80305</v>
      </c>
      <c r="I283" t="s">
        <v>1942</v>
      </c>
    </row>
    <row r="284" spans="1:9" x14ac:dyDescent="0.25">
      <c r="A284" t="s">
        <v>579</v>
      </c>
      <c r="B284" t="s">
        <v>3234</v>
      </c>
      <c r="C284" t="s">
        <v>3235</v>
      </c>
      <c r="D284" t="s">
        <v>3236</v>
      </c>
      <c r="E284" t="s">
        <v>3237</v>
      </c>
      <c r="F284" t="s">
        <v>3238</v>
      </c>
      <c r="G284" t="s">
        <v>2116</v>
      </c>
      <c r="H284" t="s">
        <v>3239</v>
      </c>
      <c r="I284" t="s">
        <v>1951</v>
      </c>
    </row>
    <row r="285" spans="1:9" x14ac:dyDescent="0.25">
      <c r="A285" t="s">
        <v>581</v>
      </c>
      <c r="B285" t="s">
        <v>3240</v>
      </c>
      <c r="C285" t="s">
        <v>3241</v>
      </c>
      <c r="D285" t="s">
        <v>3242</v>
      </c>
      <c r="E285" t="s">
        <v>3243</v>
      </c>
      <c r="F285" t="s">
        <v>3134</v>
      </c>
      <c r="G285" t="s">
        <v>2116</v>
      </c>
      <c r="H285" t="s">
        <v>3135</v>
      </c>
      <c r="I285" t="s">
        <v>1942</v>
      </c>
    </row>
    <row r="286" spans="1:9" x14ac:dyDescent="0.25">
      <c r="A286" t="s">
        <v>583</v>
      </c>
      <c r="B286" t="s">
        <v>3244</v>
      </c>
      <c r="D286" t="s">
        <v>3245</v>
      </c>
      <c r="E286" t="s">
        <v>3246</v>
      </c>
      <c r="F286" t="s">
        <v>3247</v>
      </c>
      <c r="G286" t="s">
        <v>1941</v>
      </c>
      <c r="H286">
        <v>40298</v>
      </c>
      <c r="I286" t="s">
        <v>1951</v>
      </c>
    </row>
    <row r="287" spans="1:9" x14ac:dyDescent="0.25">
      <c r="A287" t="s">
        <v>585</v>
      </c>
      <c r="B287" t="s">
        <v>3248</v>
      </c>
      <c r="D287" t="s">
        <v>3249</v>
      </c>
      <c r="E287" t="s">
        <v>3250</v>
      </c>
      <c r="F287" t="s">
        <v>2350</v>
      </c>
      <c r="G287" t="s">
        <v>1941</v>
      </c>
      <c r="H287">
        <v>14276</v>
      </c>
      <c r="I287" t="s">
        <v>1951</v>
      </c>
    </row>
    <row r="288" spans="1:9" x14ac:dyDescent="0.25">
      <c r="A288" t="s">
        <v>587</v>
      </c>
      <c r="B288" t="s">
        <v>3251</v>
      </c>
      <c r="C288" t="s">
        <v>3252</v>
      </c>
      <c r="E288" t="s">
        <v>3253</v>
      </c>
      <c r="F288" t="s">
        <v>3254</v>
      </c>
      <c r="G288" t="s">
        <v>1941</v>
      </c>
      <c r="H288">
        <v>44710</v>
      </c>
      <c r="I288" t="s">
        <v>1942</v>
      </c>
    </row>
    <row r="289" spans="1:9" x14ac:dyDescent="0.25">
      <c r="A289" t="s">
        <v>589</v>
      </c>
      <c r="B289" t="s">
        <v>3255</v>
      </c>
      <c r="C289" t="s">
        <v>3256</v>
      </c>
      <c r="D289" t="s">
        <v>3257</v>
      </c>
      <c r="E289" t="s">
        <v>3258</v>
      </c>
      <c r="F289" t="s">
        <v>2158</v>
      </c>
      <c r="G289" t="s">
        <v>1941</v>
      </c>
      <c r="H289">
        <v>2114</v>
      </c>
      <c r="I289" t="s">
        <v>1951</v>
      </c>
    </row>
    <row r="290" spans="1:9" x14ac:dyDescent="0.25">
      <c r="A290" t="s">
        <v>591</v>
      </c>
      <c r="B290" t="s">
        <v>3259</v>
      </c>
      <c r="D290" t="s">
        <v>3260</v>
      </c>
      <c r="E290" t="s">
        <v>3261</v>
      </c>
      <c r="F290" t="s">
        <v>3262</v>
      </c>
      <c r="G290" t="s">
        <v>1949</v>
      </c>
      <c r="H290" t="s">
        <v>3263</v>
      </c>
      <c r="I290" t="s">
        <v>1942</v>
      </c>
    </row>
    <row r="291" spans="1:9" x14ac:dyDescent="0.25">
      <c r="A291" t="s">
        <v>593</v>
      </c>
      <c r="B291" t="s">
        <v>3264</v>
      </c>
      <c r="E291" t="s">
        <v>3265</v>
      </c>
      <c r="F291" t="s">
        <v>3266</v>
      </c>
      <c r="G291" t="s">
        <v>1941</v>
      </c>
      <c r="H291">
        <v>24515</v>
      </c>
      <c r="I291" t="s">
        <v>1942</v>
      </c>
    </row>
    <row r="292" spans="1:9" x14ac:dyDescent="0.25">
      <c r="A292" t="s">
        <v>595</v>
      </c>
      <c r="B292" t="s">
        <v>3267</v>
      </c>
      <c r="C292" t="s">
        <v>3268</v>
      </c>
      <c r="D292" t="s">
        <v>3269</v>
      </c>
      <c r="E292" t="s">
        <v>3270</v>
      </c>
      <c r="F292" t="s">
        <v>1986</v>
      </c>
      <c r="G292" t="s">
        <v>1941</v>
      </c>
      <c r="H292">
        <v>90071</v>
      </c>
      <c r="I292" t="s">
        <v>1951</v>
      </c>
    </row>
    <row r="293" spans="1:9" x14ac:dyDescent="0.25">
      <c r="A293" t="s">
        <v>597</v>
      </c>
      <c r="B293" t="s">
        <v>3271</v>
      </c>
      <c r="E293" t="s">
        <v>3272</v>
      </c>
      <c r="F293" t="s">
        <v>2535</v>
      </c>
      <c r="G293" t="s">
        <v>1949</v>
      </c>
      <c r="H293" t="s">
        <v>2536</v>
      </c>
      <c r="I293" t="s">
        <v>1951</v>
      </c>
    </row>
    <row r="294" spans="1:9" x14ac:dyDescent="0.25">
      <c r="A294" t="s">
        <v>599</v>
      </c>
      <c r="B294" t="s">
        <v>3273</v>
      </c>
      <c r="C294" t="s">
        <v>3274</v>
      </c>
      <c r="E294" t="s">
        <v>3275</v>
      </c>
      <c r="F294" t="s">
        <v>2172</v>
      </c>
      <c r="G294" t="s">
        <v>1941</v>
      </c>
      <c r="H294">
        <v>35236</v>
      </c>
      <c r="I294" t="s">
        <v>1951</v>
      </c>
    </row>
    <row r="295" spans="1:9" x14ac:dyDescent="0.25">
      <c r="A295" t="s">
        <v>601</v>
      </c>
      <c r="B295" t="s">
        <v>3276</v>
      </c>
      <c r="C295" t="s">
        <v>3277</v>
      </c>
      <c r="D295" t="s">
        <v>3278</v>
      </c>
      <c r="E295" t="s">
        <v>3279</v>
      </c>
      <c r="F295" t="s">
        <v>2699</v>
      </c>
      <c r="G295" t="s">
        <v>1941</v>
      </c>
      <c r="H295">
        <v>22309</v>
      </c>
      <c r="I295" t="s">
        <v>1951</v>
      </c>
    </row>
    <row r="296" spans="1:9" x14ac:dyDescent="0.25">
      <c r="A296" t="s">
        <v>603</v>
      </c>
      <c r="B296" t="s">
        <v>3280</v>
      </c>
      <c r="D296" t="s">
        <v>3281</v>
      </c>
      <c r="E296" t="s">
        <v>3282</v>
      </c>
      <c r="F296" t="s">
        <v>3283</v>
      </c>
      <c r="G296" t="s">
        <v>1941</v>
      </c>
      <c r="H296">
        <v>6816</v>
      </c>
      <c r="I296" t="s">
        <v>1951</v>
      </c>
    </row>
    <row r="297" spans="1:9" x14ac:dyDescent="0.25">
      <c r="A297" t="s">
        <v>605</v>
      </c>
      <c r="B297" t="s">
        <v>3284</v>
      </c>
      <c r="E297" t="s">
        <v>3285</v>
      </c>
      <c r="F297" t="s">
        <v>2881</v>
      </c>
      <c r="G297" t="s">
        <v>1941</v>
      </c>
      <c r="H297">
        <v>12205</v>
      </c>
      <c r="I297" t="s">
        <v>1951</v>
      </c>
    </row>
    <row r="298" spans="1:9" x14ac:dyDescent="0.25">
      <c r="A298" t="s">
        <v>607</v>
      </c>
      <c r="B298" t="s">
        <v>3286</v>
      </c>
      <c r="C298" t="s">
        <v>3287</v>
      </c>
      <c r="D298" t="s">
        <v>3288</v>
      </c>
      <c r="E298" t="s">
        <v>3289</v>
      </c>
      <c r="F298" t="s">
        <v>2247</v>
      </c>
      <c r="G298" t="s">
        <v>1941</v>
      </c>
      <c r="H298">
        <v>34108</v>
      </c>
      <c r="I298" t="s">
        <v>1942</v>
      </c>
    </row>
    <row r="299" spans="1:9" x14ac:dyDescent="0.25">
      <c r="A299" t="s">
        <v>609</v>
      </c>
      <c r="B299" t="s">
        <v>3290</v>
      </c>
      <c r="C299" t="s">
        <v>3291</v>
      </c>
      <c r="D299" t="s">
        <v>3292</v>
      </c>
      <c r="E299" t="s">
        <v>3293</v>
      </c>
      <c r="F299" t="s">
        <v>3294</v>
      </c>
      <c r="G299" t="s">
        <v>1941</v>
      </c>
      <c r="H299">
        <v>33141</v>
      </c>
      <c r="I299" t="s">
        <v>1942</v>
      </c>
    </row>
    <row r="300" spans="1:9" x14ac:dyDescent="0.25">
      <c r="A300" t="s">
        <v>611</v>
      </c>
      <c r="B300" t="s">
        <v>3295</v>
      </c>
      <c r="C300" t="s">
        <v>3296</v>
      </c>
      <c r="D300" t="s">
        <v>3297</v>
      </c>
      <c r="E300" t="s">
        <v>3298</v>
      </c>
      <c r="F300" t="s">
        <v>3049</v>
      </c>
      <c r="G300" t="s">
        <v>1941</v>
      </c>
      <c r="H300">
        <v>30358</v>
      </c>
      <c r="I300" t="s">
        <v>1942</v>
      </c>
    </row>
    <row r="301" spans="1:9" x14ac:dyDescent="0.25">
      <c r="A301" t="s">
        <v>613</v>
      </c>
      <c r="B301" t="s">
        <v>3299</v>
      </c>
      <c r="C301" t="s">
        <v>3300</v>
      </c>
      <c r="D301" t="s">
        <v>3301</v>
      </c>
      <c r="E301" t="s">
        <v>3302</v>
      </c>
      <c r="F301" t="s">
        <v>3303</v>
      </c>
      <c r="G301" t="s">
        <v>1941</v>
      </c>
      <c r="H301">
        <v>78405</v>
      </c>
      <c r="I301" t="s">
        <v>1942</v>
      </c>
    </row>
    <row r="302" spans="1:9" x14ac:dyDescent="0.25">
      <c r="A302" t="s">
        <v>615</v>
      </c>
      <c r="B302" t="s">
        <v>3304</v>
      </c>
      <c r="C302" t="s">
        <v>3305</v>
      </c>
      <c r="D302" t="s">
        <v>3306</v>
      </c>
      <c r="E302" t="s">
        <v>3307</v>
      </c>
      <c r="F302" t="s">
        <v>2592</v>
      </c>
      <c r="G302" t="s">
        <v>1941</v>
      </c>
      <c r="H302">
        <v>96835</v>
      </c>
      <c r="I302" t="s">
        <v>1942</v>
      </c>
    </row>
    <row r="303" spans="1:9" x14ac:dyDescent="0.25">
      <c r="A303" t="s">
        <v>617</v>
      </c>
      <c r="B303" t="s">
        <v>3308</v>
      </c>
      <c r="C303" t="s">
        <v>3309</v>
      </c>
      <c r="D303" t="s">
        <v>3310</v>
      </c>
      <c r="E303" t="s">
        <v>3311</v>
      </c>
      <c r="F303" t="s">
        <v>2387</v>
      </c>
      <c r="G303" t="s">
        <v>1941</v>
      </c>
      <c r="H303">
        <v>78737</v>
      </c>
      <c r="I303" t="s">
        <v>1942</v>
      </c>
    </row>
    <row r="304" spans="1:9" x14ac:dyDescent="0.25">
      <c r="A304" t="s">
        <v>619</v>
      </c>
      <c r="B304" t="s">
        <v>3312</v>
      </c>
      <c r="C304" t="s">
        <v>3313</v>
      </c>
      <c r="D304" t="s">
        <v>3314</v>
      </c>
      <c r="E304" t="s">
        <v>3315</v>
      </c>
      <c r="F304" t="s">
        <v>3316</v>
      </c>
      <c r="G304" t="s">
        <v>1941</v>
      </c>
      <c r="H304">
        <v>21290</v>
      </c>
      <c r="I304" t="s">
        <v>1951</v>
      </c>
    </row>
    <row r="305" spans="1:9" x14ac:dyDescent="0.25">
      <c r="A305" t="s">
        <v>621</v>
      </c>
      <c r="B305" t="s">
        <v>3317</v>
      </c>
      <c r="C305" t="s">
        <v>3318</v>
      </c>
      <c r="E305" t="s">
        <v>3319</v>
      </c>
      <c r="F305" t="s">
        <v>3320</v>
      </c>
      <c r="G305" t="s">
        <v>1941</v>
      </c>
      <c r="H305">
        <v>40596</v>
      </c>
      <c r="I305" t="s">
        <v>1942</v>
      </c>
    </row>
    <row r="306" spans="1:9" x14ac:dyDescent="0.25">
      <c r="A306" t="s">
        <v>3321</v>
      </c>
      <c r="B306" t="s">
        <v>3322</v>
      </c>
      <c r="C306" t="s">
        <v>3323</v>
      </c>
      <c r="E306" t="s">
        <v>3324</v>
      </c>
      <c r="F306" t="s">
        <v>3325</v>
      </c>
      <c r="G306" t="s">
        <v>1941</v>
      </c>
      <c r="H306">
        <v>60435</v>
      </c>
      <c r="I306" t="s">
        <v>1942</v>
      </c>
    </row>
    <row r="307" spans="1:9" x14ac:dyDescent="0.25">
      <c r="A307" t="s">
        <v>625</v>
      </c>
      <c r="B307" t="s">
        <v>3326</v>
      </c>
      <c r="C307" t="s">
        <v>3327</v>
      </c>
      <c r="D307" t="s">
        <v>3328</v>
      </c>
      <c r="E307" t="s">
        <v>3329</v>
      </c>
      <c r="F307" t="s">
        <v>3330</v>
      </c>
      <c r="G307" t="s">
        <v>2116</v>
      </c>
      <c r="H307" t="s">
        <v>3331</v>
      </c>
      <c r="I307" t="s">
        <v>1951</v>
      </c>
    </row>
    <row r="308" spans="1:9" x14ac:dyDescent="0.25">
      <c r="A308" t="s">
        <v>627</v>
      </c>
      <c r="B308" t="s">
        <v>3332</v>
      </c>
      <c r="C308" t="s">
        <v>3333</v>
      </c>
      <c r="D308" t="s">
        <v>3334</v>
      </c>
      <c r="E308" t="s">
        <v>3335</v>
      </c>
      <c r="F308" t="s">
        <v>3336</v>
      </c>
      <c r="G308" t="s">
        <v>1941</v>
      </c>
      <c r="H308">
        <v>68505</v>
      </c>
      <c r="I308" t="s">
        <v>1951</v>
      </c>
    </row>
    <row r="309" spans="1:9" x14ac:dyDescent="0.25">
      <c r="A309" t="s">
        <v>629</v>
      </c>
      <c r="B309" t="s">
        <v>3337</v>
      </c>
      <c r="C309" t="s">
        <v>3338</v>
      </c>
      <c r="D309" t="s">
        <v>3339</v>
      </c>
      <c r="E309" t="s">
        <v>3340</v>
      </c>
      <c r="F309" t="s">
        <v>3037</v>
      </c>
      <c r="G309" t="s">
        <v>1941</v>
      </c>
      <c r="H309">
        <v>45254</v>
      </c>
      <c r="I309" t="s">
        <v>1942</v>
      </c>
    </row>
    <row r="310" spans="1:9" x14ac:dyDescent="0.25">
      <c r="A310" t="s">
        <v>631</v>
      </c>
      <c r="B310" t="s">
        <v>3341</v>
      </c>
      <c r="C310" t="s">
        <v>3342</v>
      </c>
      <c r="E310" t="s">
        <v>3343</v>
      </c>
      <c r="F310" t="s">
        <v>3134</v>
      </c>
      <c r="G310" t="s">
        <v>2116</v>
      </c>
      <c r="H310" t="s">
        <v>3135</v>
      </c>
      <c r="I310" t="s">
        <v>1951</v>
      </c>
    </row>
    <row r="311" spans="1:9" x14ac:dyDescent="0.25">
      <c r="A311" t="s">
        <v>633</v>
      </c>
      <c r="B311" t="s">
        <v>3344</v>
      </c>
      <c r="C311" t="s">
        <v>3345</v>
      </c>
      <c r="D311" t="s">
        <v>3346</v>
      </c>
      <c r="E311" t="s">
        <v>3347</v>
      </c>
      <c r="F311" t="s">
        <v>3348</v>
      </c>
      <c r="G311" t="s">
        <v>1941</v>
      </c>
      <c r="H311">
        <v>6127</v>
      </c>
      <c r="I311" t="s">
        <v>1942</v>
      </c>
    </row>
    <row r="312" spans="1:9" x14ac:dyDescent="0.25">
      <c r="A312" t="s">
        <v>635</v>
      </c>
      <c r="B312" t="s">
        <v>3349</v>
      </c>
      <c r="C312" t="s">
        <v>3350</v>
      </c>
      <c r="D312" t="s">
        <v>3351</v>
      </c>
      <c r="E312" t="s">
        <v>3352</v>
      </c>
      <c r="F312" t="s">
        <v>2309</v>
      </c>
      <c r="G312" t="s">
        <v>1949</v>
      </c>
      <c r="H312" t="s">
        <v>2310</v>
      </c>
      <c r="I312" t="s">
        <v>1951</v>
      </c>
    </row>
    <row r="313" spans="1:9" x14ac:dyDescent="0.25">
      <c r="A313" t="s">
        <v>623</v>
      </c>
      <c r="B313" t="s">
        <v>3353</v>
      </c>
      <c r="C313" t="s">
        <v>3354</v>
      </c>
      <c r="D313" t="s">
        <v>3355</v>
      </c>
      <c r="E313" t="s">
        <v>3356</v>
      </c>
      <c r="F313" t="s">
        <v>2300</v>
      </c>
      <c r="G313" t="s">
        <v>1941</v>
      </c>
      <c r="H313">
        <v>28299</v>
      </c>
      <c r="I313" t="s">
        <v>1942</v>
      </c>
    </row>
    <row r="314" spans="1:9" x14ac:dyDescent="0.25">
      <c r="A314" t="s">
        <v>638</v>
      </c>
      <c r="B314" t="s">
        <v>3357</v>
      </c>
      <c r="C314" t="s">
        <v>3358</v>
      </c>
      <c r="D314" t="s">
        <v>3359</v>
      </c>
      <c r="E314" t="s">
        <v>3360</v>
      </c>
      <c r="F314" t="s">
        <v>2699</v>
      </c>
      <c r="G314" t="s">
        <v>1941</v>
      </c>
      <c r="H314">
        <v>71307</v>
      </c>
      <c r="I314" t="s">
        <v>1942</v>
      </c>
    </row>
    <row r="315" spans="1:9" x14ac:dyDescent="0.25">
      <c r="A315" t="s">
        <v>640</v>
      </c>
      <c r="B315" t="s">
        <v>3361</v>
      </c>
      <c r="C315" t="s">
        <v>3362</v>
      </c>
      <c r="D315" t="s">
        <v>3363</v>
      </c>
      <c r="E315" t="s">
        <v>3364</v>
      </c>
      <c r="F315" t="s">
        <v>3365</v>
      </c>
      <c r="G315" t="s">
        <v>2116</v>
      </c>
      <c r="H315" t="s">
        <v>3366</v>
      </c>
      <c r="I315" t="s">
        <v>1942</v>
      </c>
    </row>
    <row r="316" spans="1:9" x14ac:dyDescent="0.25">
      <c r="A316" t="s">
        <v>642</v>
      </c>
      <c r="B316" t="s">
        <v>3367</v>
      </c>
      <c r="D316" t="s">
        <v>3368</v>
      </c>
      <c r="E316" t="s">
        <v>3369</v>
      </c>
      <c r="F316" t="s">
        <v>3370</v>
      </c>
      <c r="G316" t="s">
        <v>1941</v>
      </c>
      <c r="H316">
        <v>89115</v>
      </c>
      <c r="I316" t="s">
        <v>1951</v>
      </c>
    </row>
    <row r="317" spans="1:9" x14ac:dyDescent="0.25">
      <c r="A317" t="s">
        <v>644</v>
      </c>
      <c r="B317" t="s">
        <v>3371</v>
      </c>
      <c r="C317" t="s">
        <v>3372</v>
      </c>
      <c r="D317" t="s">
        <v>3373</v>
      </c>
      <c r="E317" t="s">
        <v>3374</v>
      </c>
      <c r="F317" t="s">
        <v>2647</v>
      </c>
      <c r="G317" t="s">
        <v>1941</v>
      </c>
      <c r="H317">
        <v>50369</v>
      </c>
      <c r="I317" t="s">
        <v>1942</v>
      </c>
    </row>
    <row r="318" spans="1:9" x14ac:dyDescent="0.25">
      <c r="A318" t="s">
        <v>646</v>
      </c>
      <c r="B318" t="s">
        <v>3375</v>
      </c>
      <c r="C318" t="s">
        <v>3376</v>
      </c>
      <c r="D318" t="s">
        <v>3377</v>
      </c>
      <c r="E318" t="s">
        <v>3378</v>
      </c>
      <c r="F318" t="s">
        <v>2600</v>
      </c>
      <c r="G318" t="s">
        <v>1949</v>
      </c>
      <c r="H318" t="s">
        <v>2545</v>
      </c>
      <c r="I318" t="s">
        <v>1951</v>
      </c>
    </row>
    <row r="319" spans="1:9" x14ac:dyDescent="0.25">
      <c r="A319" t="s">
        <v>648</v>
      </c>
      <c r="B319" t="s">
        <v>3379</v>
      </c>
      <c r="C319" t="s">
        <v>3380</v>
      </c>
      <c r="D319" t="s">
        <v>3381</v>
      </c>
      <c r="E319" t="s">
        <v>3382</v>
      </c>
      <c r="F319" t="s">
        <v>3383</v>
      </c>
      <c r="G319" t="s">
        <v>1941</v>
      </c>
      <c r="H319">
        <v>44315</v>
      </c>
      <c r="I319" t="s">
        <v>1951</v>
      </c>
    </row>
    <row r="320" spans="1:9" x14ac:dyDescent="0.25">
      <c r="A320" t="s">
        <v>650</v>
      </c>
      <c r="B320" t="s">
        <v>3384</v>
      </c>
      <c r="C320" t="s">
        <v>3385</v>
      </c>
      <c r="D320" t="s">
        <v>3386</v>
      </c>
      <c r="E320" t="s">
        <v>3387</v>
      </c>
      <c r="F320" t="s">
        <v>3388</v>
      </c>
      <c r="G320" t="s">
        <v>1941</v>
      </c>
      <c r="H320">
        <v>33405</v>
      </c>
      <c r="I320" t="s">
        <v>1942</v>
      </c>
    </row>
    <row r="321" spans="1:9" x14ac:dyDescent="0.25">
      <c r="A321" t="s">
        <v>652</v>
      </c>
      <c r="B321" t="s">
        <v>3389</v>
      </c>
      <c r="C321" t="s">
        <v>3390</v>
      </c>
      <c r="E321" t="s">
        <v>3391</v>
      </c>
      <c r="F321" t="s">
        <v>2355</v>
      </c>
      <c r="G321" t="s">
        <v>1941</v>
      </c>
      <c r="H321">
        <v>93715</v>
      </c>
      <c r="I321" t="s">
        <v>1942</v>
      </c>
    </row>
    <row r="322" spans="1:9" x14ac:dyDescent="0.25">
      <c r="A322" t="s">
        <v>3392</v>
      </c>
      <c r="B322" t="s">
        <v>3393</v>
      </c>
      <c r="C322" t="s">
        <v>3394</v>
      </c>
      <c r="D322" t="s">
        <v>3395</v>
      </c>
      <c r="E322" t="s">
        <v>3396</v>
      </c>
      <c r="F322" t="s">
        <v>3397</v>
      </c>
      <c r="G322" t="s">
        <v>1941</v>
      </c>
      <c r="H322">
        <v>52245</v>
      </c>
      <c r="I322" t="s">
        <v>1942</v>
      </c>
    </row>
    <row r="323" spans="1:9" x14ac:dyDescent="0.25">
      <c r="A323" t="s">
        <v>654</v>
      </c>
      <c r="B323" t="s">
        <v>3398</v>
      </c>
      <c r="C323" t="s">
        <v>3399</v>
      </c>
      <c r="D323" t="s">
        <v>3400</v>
      </c>
      <c r="E323" t="s">
        <v>3401</v>
      </c>
      <c r="F323" t="s">
        <v>3402</v>
      </c>
      <c r="G323" t="s">
        <v>1949</v>
      </c>
      <c r="H323" t="s">
        <v>2083</v>
      </c>
      <c r="I323" t="s">
        <v>1942</v>
      </c>
    </row>
    <row r="324" spans="1:9" x14ac:dyDescent="0.25">
      <c r="A324" t="s">
        <v>656</v>
      </c>
      <c r="B324" t="s">
        <v>3403</v>
      </c>
      <c r="C324" t="s">
        <v>3404</v>
      </c>
      <c r="D324" t="s">
        <v>3405</v>
      </c>
      <c r="E324" t="s">
        <v>3406</v>
      </c>
      <c r="F324" t="s">
        <v>3407</v>
      </c>
      <c r="G324" t="s">
        <v>1949</v>
      </c>
      <c r="H324" t="s">
        <v>2083</v>
      </c>
      <c r="I324" t="s">
        <v>1951</v>
      </c>
    </row>
    <row r="325" spans="1:9" x14ac:dyDescent="0.25">
      <c r="A325" t="s">
        <v>658</v>
      </c>
      <c r="B325" t="s">
        <v>3408</v>
      </c>
      <c r="C325" t="s">
        <v>3409</v>
      </c>
      <c r="D325" t="s">
        <v>3410</v>
      </c>
      <c r="E325" t="s">
        <v>3411</v>
      </c>
      <c r="F325" t="s">
        <v>3412</v>
      </c>
      <c r="G325" t="s">
        <v>1941</v>
      </c>
      <c r="H325">
        <v>37924</v>
      </c>
      <c r="I325" t="s">
        <v>1942</v>
      </c>
    </row>
    <row r="326" spans="1:9" x14ac:dyDescent="0.25">
      <c r="A326" t="s">
        <v>660</v>
      </c>
      <c r="B326" t="s">
        <v>3413</v>
      </c>
      <c r="D326" t="s">
        <v>3414</v>
      </c>
      <c r="E326" t="s">
        <v>3415</v>
      </c>
      <c r="F326" t="s">
        <v>2988</v>
      </c>
      <c r="G326" t="s">
        <v>1941</v>
      </c>
      <c r="H326">
        <v>66276</v>
      </c>
      <c r="I326" t="s">
        <v>1951</v>
      </c>
    </row>
    <row r="327" spans="1:9" x14ac:dyDescent="0.25">
      <c r="A327" t="s">
        <v>662</v>
      </c>
      <c r="B327" t="s">
        <v>3416</v>
      </c>
      <c r="C327" t="s">
        <v>3417</v>
      </c>
      <c r="D327" t="s">
        <v>3418</v>
      </c>
      <c r="E327" t="s">
        <v>3419</v>
      </c>
      <c r="F327" t="s">
        <v>3090</v>
      </c>
      <c r="G327" t="s">
        <v>1941</v>
      </c>
      <c r="H327">
        <v>94132</v>
      </c>
      <c r="I327" t="s">
        <v>1942</v>
      </c>
    </row>
    <row r="328" spans="1:9" x14ac:dyDescent="0.25">
      <c r="A328" t="s">
        <v>664</v>
      </c>
      <c r="B328" t="s">
        <v>3420</v>
      </c>
      <c r="D328" t="s">
        <v>3421</v>
      </c>
      <c r="E328" t="s">
        <v>3422</v>
      </c>
      <c r="F328" t="s">
        <v>2172</v>
      </c>
      <c r="G328" t="s">
        <v>1941</v>
      </c>
      <c r="H328">
        <v>35244</v>
      </c>
      <c r="I328" t="s">
        <v>1951</v>
      </c>
    </row>
    <row r="329" spans="1:9" x14ac:dyDescent="0.25">
      <c r="A329" t="s">
        <v>666</v>
      </c>
      <c r="B329" t="s">
        <v>3423</v>
      </c>
      <c r="C329" t="s">
        <v>3424</v>
      </c>
      <c r="D329" t="s">
        <v>3425</v>
      </c>
      <c r="E329" t="s">
        <v>3426</v>
      </c>
      <c r="F329" t="s">
        <v>2776</v>
      </c>
      <c r="G329" t="s">
        <v>1941</v>
      </c>
      <c r="H329">
        <v>11215</v>
      </c>
      <c r="I329" t="s">
        <v>1942</v>
      </c>
    </row>
    <row r="330" spans="1:9" x14ac:dyDescent="0.25">
      <c r="A330" t="s">
        <v>668</v>
      </c>
      <c r="B330" t="s">
        <v>3427</v>
      </c>
      <c r="D330" t="s">
        <v>3428</v>
      </c>
      <c r="E330" t="s">
        <v>3429</v>
      </c>
      <c r="F330" t="s">
        <v>2448</v>
      </c>
      <c r="G330" t="s">
        <v>1941</v>
      </c>
      <c r="H330">
        <v>79934</v>
      </c>
      <c r="I330" t="s">
        <v>1942</v>
      </c>
    </row>
    <row r="331" spans="1:9" x14ac:dyDescent="0.25">
      <c r="A331" t="s">
        <v>670</v>
      </c>
      <c r="B331" t="s">
        <v>3430</v>
      </c>
      <c r="C331" t="s">
        <v>3431</v>
      </c>
      <c r="E331" t="s">
        <v>3432</v>
      </c>
      <c r="F331" t="s">
        <v>2999</v>
      </c>
      <c r="G331" t="s">
        <v>1941</v>
      </c>
      <c r="H331">
        <v>94250</v>
      </c>
      <c r="I331" t="s">
        <v>1942</v>
      </c>
    </row>
    <row r="332" spans="1:9" x14ac:dyDescent="0.25">
      <c r="A332" t="s">
        <v>3433</v>
      </c>
      <c r="B332" t="s">
        <v>3434</v>
      </c>
      <c r="C332" t="s">
        <v>3435</v>
      </c>
      <c r="D332" t="s">
        <v>3436</v>
      </c>
      <c r="E332" t="s">
        <v>3437</v>
      </c>
      <c r="F332" t="s">
        <v>2186</v>
      </c>
      <c r="G332" t="s">
        <v>1941</v>
      </c>
      <c r="H332">
        <v>20220</v>
      </c>
      <c r="I332" t="s">
        <v>1951</v>
      </c>
    </row>
    <row r="333" spans="1:9" x14ac:dyDescent="0.25">
      <c r="A333" t="s">
        <v>673</v>
      </c>
      <c r="B333" t="s">
        <v>3438</v>
      </c>
      <c r="C333" t="s">
        <v>3439</v>
      </c>
      <c r="D333" t="s">
        <v>3440</v>
      </c>
      <c r="E333" t="s">
        <v>3441</v>
      </c>
      <c r="F333" t="s">
        <v>3442</v>
      </c>
      <c r="G333" t="s">
        <v>1941</v>
      </c>
      <c r="H333">
        <v>33436</v>
      </c>
      <c r="I333" t="s">
        <v>1942</v>
      </c>
    </row>
    <row r="334" spans="1:9" x14ac:dyDescent="0.25">
      <c r="A334" t="s">
        <v>675</v>
      </c>
      <c r="B334" t="s">
        <v>3443</v>
      </c>
      <c r="C334" t="s">
        <v>3444</v>
      </c>
      <c r="D334" t="s">
        <v>3445</v>
      </c>
      <c r="E334" t="s">
        <v>3446</v>
      </c>
      <c r="F334" t="s">
        <v>1986</v>
      </c>
      <c r="G334" t="s">
        <v>1941</v>
      </c>
      <c r="H334">
        <v>90094</v>
      </c>
      <c r="I334" t="s">
        <v>1942</v>
      </c>
    </row>
    <row r="335" spans="1:9" x14ac:dyDescent="0.25">
      <c r="A335" t="s">
        <v>677</v>
      </c>
      <c r="B335" t="s">
        <v>3447</v>
      </c>
      <c r="C335" t="s">
        <v>3448</v>
      </c>
      <c r="D335" t="s">
        <v>3449</v>
      </c>
      <c r="E335" t="s">
        <v>3450</v>
      </c>
      <c r="F335" t="s">
        <v>3316</v>
      </c>
      <c r="G335" t="s">
        <v>1941</v>
      </c>
      <c r="H335">
        <v>21275</v>
      </c>
      <c r="I335" t="s">
        <v>1942</v>
      </c>
    </row>
    <row r="336" spans="1:9" x14ac:dyDescent="0.25">
      <c r="A336" t="s">
        <v>679</v>
      </c>
      <c r="B336" t="s">
        <v>3451</v>
      </c>
      <c r="E336" t="s">
        <v>3452</v>
      </c>
      <c r="F336" t="s">
        <v>2938</v>
      </c>
      <c r="G336" t="s">
        <v>1941</v>
      </c>
      <c r="H336">
        <v>84125</v>
      </c>
      <c r="I336" t="s">
        <v>1951</v>
      </c>
    </row>
    <row r="337" spans="1:9" x14ac:dyDescent="0.25">
      <c r="A337" t="s">
        <v>681</v>
      </c>
      <c r="B337" t="s">
        <v>3453</v>
      </c>
      <c r="C337" t="s">
        <v>3454</v>
      </c>
      <c r="D337" t="s">
        <v>3455</v>
      </c>
      <c r="E337" t="s">
        <v>3456</v>
      </c>
      <c r="F337" t="s">
        <v>2791</v>
      </c>
      <c r="G337" t="s">
        <v>1941</v>
      </c>
      <c r="H337">
        <v>75049</v>
      </c>
      <c r="I337" t="s">
        <v>1942</v>
      </c>
    </row>
    <row r="338" spans="1:9" x14ac:dyDescent="0.25">
      <c r="A338" t="s">
        <v>683</v>
      </c>
      <c r="B338" t="s">
        <v>3457</v>
      </c>
      <c r="C338" t="s">
        <v>3458</v>
      </c>
      <c r="D338" t="s">
        <v>3459</v>
      </c>
      <c r="E338" t="s">
        <v>3460</v>
      </c>
      <c r="F338" t="s">
        <v>3461</v>
      </c>
      <c r="G338" t="s">
        <v>2116</v>
      </c>
      <c r="H338" t="s">
        <v>3462</v>
      </c>
      <c r="I338" t="s">
        <v>1951</v>
      </c>
    </row>
    <row r="339" spans="1:9" x14ac:dyDescent="0.25">
      <c r="A339" t="s">
        <v>3463</v>
      </c>
      <c r="B339" t="s">
        <v>3464</v>
      </c>
      <c r="D339" t="s">
        <v>3465</v>
      </c>
      <c r="E339" t="s">
        <v>3466</v>
      </c>
      <c r="F339" t="s">
        <v>2287</v>
      </c>
      <c r="G339" t="s">
        <v>1941</v>
      </c>
      <c r="H339">
        <v>43240</v>
      </c>
      <c r="I339" t="s">
        <v>1951</v>
      </c>
    </row>
    <row r="340" spans="1:9" x14ac:dyDescent="0.25">
      <c r="A340" t="s">
        <v>686</v>
      </c>
      <c r="B340" t="s">
        <v>3467</v>
      </c>
      <c r="C340" t="s">
        <v>3468</v>
      </c>
      <c r="D340" t="s">
        <v>3469</v>
      </c>
      <c r="E340" t="s">
        <v>3470</v>
      </c>
      <c r="F340" t="s">
        <v>2037</v>
      </c>
      <c r="G340" t="s">
        <v>1941</v>
      </c>
      <c r="H340">
        <v>10184</v>
      </c>
      <c r="I340" t="s">
        <v>1951</v>
      </c>
    </row>
    <row r="341" spans="1:9" x14ac:dyDescent="0.25">
      <c r="A341" t="s">
        <v>688</v>
      </c>
      <c r="B341" t="s">
        <v>3471</v>
      </c>
      <c r="C341" t="s">
        <v>3472</v>
      </c>
      <c r="D341" t="s">
        <v>3473</v>
      </c>
      <c r="E341" t="s">
        <v>3474</v>
      </c>
      <c r="F341" t="s">
        <v>2158</v>
      </c>
      <c r="G341" t="s">
        <v>1941</v>
      </c>
      <c r="H341">
        <v>2216</v>
      </c>
      <c r="I341" t="s">
        <v>1942</v>
      </c>
    </row>
    <row r="342" spans="1:9" x14ac:dyDescent="0.25">
      <c r="A342" t="s">
        <v>690</v>
      </c>
      <c r="B342" t="s">
        <v>3475</v>
      </c>
      <c r="C342" t="s">
        <v>3476</v>
      </c>
      <c r="D342" t="s">
        <v>3477</v>
      </c>
      <c r="E342" t="s">
        <v>3478</v>
      </c>
      <c r="F342" t="s">
        <v>3090</v>
      </c>
      <c r="G342" t="s">
        <v>1941</v>
      </c>
      <c r="H342">
        <v>94132</v>
      </c>
      <c r="I342" t="s">
        <v>1942</v>
      </c>
    </row>
    <row r="343" spans="1:9" x14ac:dyDescent="0.25">
      <c r="A343" t="s">
        <v>692</v>
      </c>
      <c r="B343" t="s">
        <v>3479</v>
      </c>
      <c r="C343" t="s">
        <v>3480</v>
      </c>
      <c r="D343" t="s">
        <v>3481</v>
      </c>
      <c r="E343" t="s">
        <v>3482</v>
      </c>
      <c r="F343" t="s">
        <v>3483</v>
      </c>
      <c r="G343" t="s">
        <v>1941</v>
      </c>
      <c r="H343">
        <v>46295</v>
      </c>
      <c r="I343" t="s">
        <v>1951</v>
      </c>
    </row>
    <row r="344" spans="1:9" x14ac:dyDescent="0.25">
      <c r="A344" t="s">
        <v>3484</v>
      </c>
      <c r="B344" t="s">
        <v>3485</v>
      </c>
      <c r="C344" t="s">
        <v>3486</v>
      </c>
      <c r="E344" t="s">
        <v>3487</v>
      </c>
      <c r="F344" t="s">
        <v>3488</v>
      </c>
      <c r="G344" t="s">
        <v>1941</v>
      </c>
      <c r="H344">
        <v>32209</v>
      </c>
      <c r="I344" t="s">
        <v>1951</v>
      </c>
    </row>
    <row r="345" spans="1:9" x14ac:dyDescent="0.25">
      <c r="A345" t="s">
        <v>694</v>
      </c>
      <c r="B345" t="s">
        <v>3489</v>
      </c>
      <c r="C345" t="s">
        <v>3490</v>
      </c>
      <c r="E345" t="s">
        <v>3491</v>
      </c>
      <c r="F345" t="s">
        <v>3492</v>
      </c>
      <c r="G345" t="s">
        <v>1941</v>
      </c>
      <c r="H345">
        <v>98148</v>
      </c>
      <c r="I345" t="s">
        <v>1951</v>
      </c>
    </row>
    <row r="346" spans="1:9" x14ac:dyDescent="0.25">
      <c r="A346" t="s">
        <v>696</v>
      </c>
      <c r="B346" t="s">
        <v>3493</v>
      </c>
      <c r="D346" t="s">
        <v>3494</v>
      </c>
      <c r="E346" t="s">
        <v>3495</v>
      </c>
      <c r="F346" t="s">
        <v>3496</v>
      </c>
      <c r="G346" t="s">
        <v>1949</v>
      </c>
      <c r="H346" t="s">
        <v>3497</v>
      </c>
      <c r="I346" t="s">
        <v>1942</v>
      </c>
    </row>
    <row r="347" spans="1:9" x14ac:dyDescent="0.25">
      <c r="A347" t="s">
        <v>698</v>
      </c>
      <c r="B347" t="s">
        <v>3498</v>
      </c>
      <c r="C347" t="s">
        <v>3499</v>
      </c>
      <c r="D347" t="s">
        <v>3500</v>
      </c>
      <c r="E347" t="s">
        <v>3501</v>
      </c>
      <c r="F347" t="s">
        <v>2744</v>
      </c>
      <c r="G347" t="s">
        <v>1941</v>
      </c>
      <c r="H347">
        <v>36109</v>
      </c>
      <c r="I347" t="s">
        <v>1951</v>
      </c>
    </row>
    <row r="348" spans="1:9" x14ac:dyDescent="0.25">
      <c r="A348" t="s">
        <v>700</v>
      </c>
      <c r="B348" t="s">
        <v>3502</v>
      </c>
      <c r="C348" t="s">
        <v>3503</v>
      </c>
      <c r="D348" t="s">
        <v>3504</v>
      </c>
      <c r="E348" t="s">
        <v>3505</v>
      </c>
      <c r="F348" t="s">
        <v>2325</v>
      </c>
      <c r="G348" t="s">
        <v>1941</v>
      </c>
      <c r="H348">
        <v>75372</v>
      </c>
      <c r="I348" t="s">
        <v>1942</v>
      </c>
    </row>
    <row r="349" spans="1:9" x14ac:dyDescent="0.25">
      <c r="A349" t="s">
        <v>702</v>
      </c>
      <c r="B349" t="s">
        <v>3506</v>
      </c>
      <c r="C349" t="s">
        <v>3507</v>
      </c>
      <c r="D349" t="s">
        <v>3508</v>
      </c>
      <c r="E349" t="s">
        <v>3509</v>
      </c>
      <c r="F349" t="s">
        <v>3510</v>
      </c>
      <c r="G349" t="s">
        <v>1941</v>
      </c>
      <c r="H349">
        <v>66622</v>
      </c>
      <c r="I349" t="s">
        <v>1951</v>
      </c>
    </row>
    <row r="350" spans="1:9" x14ac:dyDescent="0.25">
      <c r="A350" t="s">
        <v>704</v>
      </c>
      <c r="B350" t="s">
        <v>3511</v>
      </c>
      <c r="C350" t="s">
        <v>3512</v>
      </c>
      <c r="D350" t="s">
        <v>3513</v>
      </c>
      <c r="E350" t="s">
        <v>3514</v>
      </c>
      <c r="F350" t="s">
        <v>3515</v>
      </c>
      <c r="G350" t="s">
        <v>1941</v>
      </c>
      <c r="H350">
        <v>75799</v>
      </c>
      <c r="I350" t="s">
        <v>1951</v>
      </c>
    </row>
    <row r="351" spans="1:9" x14ac:dyDescent="0.25">
      <c r="A351" t="s">
        <v>706</v>
      </c>
      <c r="B351" t="s">
        <v>3516</v>
      </c>
      <c r="C351" t="s">
        <v>3517</v>
      </c>
      <c r="D351" t="s">
        <v>3518</v>
      </c>
      <c r="E351" t="s">
        <v>3519</v>
      </c>
      <c r="F351" t="s">
        <v>1986</v>
      </c>
      <c r="G351" t="s">
        <v>1941</v>
      </c>
      <c r="H351">
        <v>90065</v>
      </c>
      <c r="I351" t="s">
        <v>1951</v>
      </c>
    </row>
    <row r="352" spans="1:9" x14ac:dyDescent="0.25">
      <c r="A352" t="s">
        <v>708</v>
      </c>
      <c r="B352" t="s">
        <v>3520</v>
      </c>
      <c r="C352" t="s">
        <v>3521</v>
      </c>
      <c r="D352" t="s">
        <v>3522</v>
      </c>
      <c r="E352" t="s">
        <v>3523</v>
      </c>
      <c r="F352" t="s">
        <v>3524</v>
      </c>
      <c r="G352" t="s">
        <v>1941</v>
      </c>
      <c r="H352">
        <v>71137</v>
      </c>
      <c r="I352" t="s">
        <v>1951</v>
      </c>
    </row>
    <row r="353" spans="1:9" x14ac:dyDescent="0.25">
      <c r="A353" t="s">
        <v>710</v>
      </c>
      <c r="B353" t="s">
        <v>3525</v>
      </c>
      <c r="C353" t="s">
        <v>3526</v>
      </c>
      <c r="D353" t="s">
        <v>3527</v>
      </c>
      <c r="E353" t="s">
        <v>3528</v>
      </c>
      <c r="F353" t="s">
        <v>3529</v>
      </c>
      <c r="G353" t="s">
        <v>1941</v>
      </c>
      <c r="H353">
        <v>83722</v>
      </c>
      <c r="I353" t="s">
        <v>1951</v>
      </c>
    </row>
    <row r="354" spans="1:9" x14ac:dyDescent="0.25">
      <c r="A354" t="s">
        <v>3530</v>
      </c>
      <c r="B354" t="s">
        <v>3531</v>
      </c>
      <c r="C354" t="s">
        <v>3532</v>
      </c>
      <c r="D354" t="s">
        <v>3533</v>
      </c>
      <c r="E354" t="s">
        <v>3534</v>
      </c>
      <c r="F354" t="s">
        <v>2177</v>
      </c>
      <c r="G354" t="s">
        <v>1941</v>
      </c>
      <c r="H354">
        <v>92415</v>
      </c>
      <c r="I354" t="s">
        <v>1951</v>
      </c>
    </row>
    <row r="355" spans="1:9" x14ac:dyDescent="0.25">
      <c r="A355" t="s">
        <v>713</v>
      </c>
      <c r="B355" t="s">
        <v>3535</v>
      </c>
      <c r="D355" t="s">
        <v>3536</v>
      </c>
      <c r="E355" t="s">
        <v>3537</v>
      </c>
      <c r="F355" t="s">
        <v>2744</v>
      </c>
      <c r="G355" t="s">
        <v>1941</v>
      </c>
      <c r="H355">
        <v>36177</v>
      </c>
      <c r="I355" t="s">
        <v>1942</v>
      </c>
    </row>
    <row r="356" spans="1:9" x14ac:dyDescent="0.25">
      <c r="A356" t="s">
        <v>715</v>
      </c>
      <c r="B356" t="s">
        <v>3538</v>
      </c>
      <c r="C356" t="s">
        <v>3539</v>
      </c>
      <c r="E356" t="s">
        <v>3540</v>
      </c>
      <c r="F356" t="s">
        <v>3541</v>
      </c>
      <c r="G356" t="s">
        <v>1941</v>
      </c>
      <c r="H356">
        <v>34981</v>
      </c>
      <c r="I356" t="s">
        <v>1951</v>
      </c>
    </row>
    <row r="357" spans="1:9" x14ac:dyDescent="0.25">
      <c r="A357" t="s">
        <v>717</v>
      </c>
      <c r="B357" t="s">
        <v>3542</v>
      </c>
      <c r="C357" t="s">
        <v>3543</v>
      </c>
      <c r="D357" t="s">
        <v>3544</v>
      </c>
      <c r="E357" t="s">
        <v>3545</v>
      </c>
      <c r="F357" t="s">
        <v>2694</v>
      </c>
      <c r="G357" t="s">
        <v>1941</v>
      </c>
      <c r="H357">
        <v>27415</v>
      </c>
      <c r="I357" t="s">
        <v>1942</v>
      </c>
    </row>
    <row r="358" spans="1:9" x14ac:dyDescent="0.25">
      <c r="A358" t="s">
        <v>719</v>
      </c>
      <c r="B358" t="s">
        <v>3546</v>
      </c>
      <c r="C358" t="s">
        <v>3547</v>
      </c>
      <c r="D358" t="s">
        <v>3548</v>
      </c>
      <c r="E358" t="s">
        <v>3549</v>
      </c>
      <c r="F358" t="s">
        <v>2999</v>
      </c>
      <c r="G358" t="s">
        <v>1941</v>
      </c>
      <c r="H358">
        <v>94237</v>
      </c>
      <c r="I358" t="s">
        <v>1942</v>
      </c>
    </row>
    <row r="359" spans="1:9" x14ac:dyDescent="0.25">
      <c r="A359" t="s">
        <v>721</v>
      </c>
      <c r="B359" t="s">
        <v>3550</v>
      </c>
      <c r="D359" t="s">
        <v>3551</v>
      </c>
      <c r="E359" t="s">
        <v>3552</v>
      </c>
      <c r="F359" t="s">
        <v>3553</v>
      </c>
      <c r="G359" t="s">
        <v>1941</v>
      </c>
      <c r="H359">
        <v>78682</v>
      </c>
      <c r="I359" t="s">
        <v>1951</v>
      </c>
    </row>
    <row r="360" spans="1:9" x14ac:dyDescent="0.25">
      <c r="A360" t="s">
        <v>723</v>
      </c>
      <c r="B360" t="s">
        <v>3554</v>
      </c>
      <c r="C360" t="s">
        <v>3555</v>
      </c>
      <c r="D360" t="s">
        <v>3556</v>
      </c>
      <c r="E360" t="s">
        <v>3557</v>
      </c>
      <c r="F360" t="s">
        <v>3558</v>
      </c>
      <c r="G360" t="s">
        <v>1941</v>
      </c>
      <c r="H360">
        <v>22096</v>
      </c>
      <c r="I360" t="s">
        <v>1951</v>
      </c>
    </row>
    <row r="361" spans="1:9" x14ac:dyDescent="0.25">
      <c r="A361" t="s">
        <v>725</v>
      </c>
      <c r="B361" t="s">
        <v>3559</v>
      </c>
      <c r="C361" t="s">
        <v>3560</v>
      </c>
      <c r="D361" t="s">
        <v>3561</v>
      </c>
      <c r="E361" t="s">
        <v>3562</v>
      </c>
      <c r="F361" t="s">
        <v>3563</v>
      </c>
      <c r="G361" t="s">
        <v>2116</v>
      </c>
      <c r="H361" t="s">
        <v>3564</v>
      </c>
      <c r="I361" t="s">
        <v>1951</v>
      </c>
    </row>
    <row r="362" spans="1:9" x14ac:dyDescent="0.25">
      <c r="A362" t="s">
        <v>727</v>
      </c>
      <c r="B362" t="s">
        <v>3565</v>
      </c>
      <c r="C362" t="s">
        <v>3566</v>
      </c>
      <c r="D362" t="s">
        <v>3567</v>
      </c>
      <c r="E362" t="s">
        <v>3568</v>
      </c>
      <c r="F362" t="s">
        <v>3217</v>
      </c>
      <c r="G362" t="s">
        <v>1941</v>
      </c>
      <c r="H362">
        <v>29220</v>
      </c>
      <c r="I362" t="s">
        <v>1951</v>
      </c>
    </row>
    <row r="363" spans="1:9" x14ac:dyDescent="0.25">
      <c r="A363" t="s">
        <v>3569</v>
      </c>
      <c r="B363" t="s">
        <v>3570</v>
      </c>
      <c r="C363" t="s">
        <v>3571</v>
      </c>
      <c r="D363" t="s">
        <v>3572</v>
      </c>
      <c r="E363" t="s">
        <v>3573</v>
      </c>
      <c r="F363" t="s">
        <v>2506</v>
      </c>
      <c r="G363" t="s">
        <v>1941</v>
      </c>
      <c r="H363">
        <v>37215</v>
      </c>
      <c r="I363" t="s">
        <v>1942</v>
      </c>
    </row>
    <row r="364" spans="1:9" x14ac:dyDescent="0.25">
      <c r="A364" t="s">
        <v>729</v>
      </c>
      <c r="B364" t="s">
        <v>3574</v>
      </c>
      <c r="C364" t="s">
        <v>3575</v>
      </c>
      <c r="D364" t="s">
        <v>3576</v>
      </c>
      <c r="E364" t="s">
        <v>3577</v>
      </c>
      <c r="F364" t="s">
        <v>3099</v>
      </c>
      <c r="G364" t="s">
        <v>1941</v>
      </c>
      <c r="H364">
        <v>85025</v>
      </c>
      <c r="I364" t="s">
        <v>1942</v>
      </c>
    </row>
    <row r="365" spans="1:9" x14ac:dyDescent="0.25">
      <c r="A365" t="s">
        <v>731</v>
      </c>
      <c r="B365" t="s">
        <v>3578</v>
      </c>
      <c r="C365" t="s">
        <v>3579</v>
      </c>
      <c r="E365" t="s">
        <v>3580</v>
      </c>
      <c r="F365" t="s">
        <v>3581</v>
      </c>
      <c r="G365" t="s">
        <v>1941</v>
      </c>
      <c r="H365">
        <v>33233</v>
      </c>
      <c r="I365" t="s">
        <v>1951</v>
      </c>
    </row>
    <row r="366" spans="1:9" x14ac:dyDescent="0.25">
      <c r="A366" t="s">
        <v>733</v>
      </c>
      <c r="B366" t="s">
        <v>3582</v>
      </c>
      <c r="C366" t="s">
        <v>3583</v>
      </c>
      <c r="D366" t="s">
        <v>3584</v>
      </c>
      <c r="E366" t="s">
        <v>3585</v>
      </c>
      <c r="F366" t="s">
        <v>2355</v>
      </c>
      <c r="G366" t="s">
        <v>1941</v>
      </c>
      <c r="H366">
        <v>93762</v>
      </c>
      <c r="I366" t="s">
        <v>1942</v>
      </c>
    </row>
    <row r="367" spans="1:9" x14ac:dyDescent="0.25">
      <c r="A367" t="s">
        <v>735</v>
      </c>
      <c r="B367" t="s">
        <v>3586</v>
      </c>
      <c r="C367" t="s">
        <v>3587</v>
      </c>
      <c r="E367" t="s">
        <v>3588</v>
      </c>
      <c r="F367" t="s">
        <v>3589</v>
      </c>
      <c r="G367" t="s">
        <v>1941</v>
      </c>
      <c r="H367">
        <v>92825</v>
      </c>
      <c r="I367" t="s">
        <v>1951</v>
      </c>
    </row>
    <row r="368" spans="1:9" x14ac:dyDescent="0.25">
      <c r="A368" t="s">
        <v>737</v>
      </c>
      <c r="B368" t="s">
        <v>3590</v>
      </c>
      <c r="D368" t="s">
        <v>3591</v>
      </c>
      <c r="E368" t="s">
        <v>3592</v>
      </c>
      <c r="F368" t="s">
        <v>2530</v>
      </c>
      <c r="G368" t="s">
        <v>1941</v>
      </c>
      <c r="H368">
        <v>23605</v>
      </c>
      <c r="I368" t="s">
        <v>1951</v>
      </c>
    </row>
    <row r="369" spans="1:9" x14ac:dyDescent="0.25">
      <c r="A369" t="s">
        <v>739</v>
      </c>
      <c r="B369" t="s">
        <v>3593</v>
      </c>
      <c r="E369" t="s">
        <v>3594</v>
      </c>
      <c r="F369" t="s">
        <v>2886</v>
      </c>
      <c r="G369" t="s">
        <v>1941</v>
      </c>
      <c r="H369">
        <v>29305</v>
      </c>
      <c r="I369" t="s">
        <v>1942</v>
      </c>
    </row>
    <row r="370" spans="1:9" x14ac:dyDescent="0.25">
      <c r="A370" t="s">
        <v>741</v>
      </c>
      <c r="B370" t="s">
        <v>3595</v>
      </c>
      <c r="C370" t="s">
        <v>3596</v>
      </c>
      <c r="D370" t="s">
        <v>3597</v>
      </c>
      <c r="E370" t="s">
        <v>3598</v>
      </c>
      <c r="F370" t="s">
        <v>2890</v>
      </c>
      <c r="G370" t="s">
        <v>1941</v>
      </c>
      <c r="H370">
        <v>10305</v>
      </c>
      <c r="I370" t="s">
        <v>1951</v>
      </c>
    </row>
    <row r="371" spans="1:9" x14ac:dyDescent="0.25">
      <c r="A371" t="s">
        <v>743</v>
      </c>
      <c r="B371" t="s">
        <v>3599</v>
      </c>
      <c r="E371" t="s">
        <v>3600</v>
      </c>
      <c r="F371" t="s">
        <v>3370</v>
      </c>
      <c r="G371" t="s">
        <v>1941</v>
      </c>
      <c r="H371">
        <v>89115</v>
      </c>
      <c r="I371" t="s">
        <v>1942</v>
      </c>
    </row>
    <row r="372" spans="1:9" x14ac:dyDescent="0.25">
      <c r="A372" t="s">
        <v>745</v>
      </c>
      <c r="B372" t="s">
        <v>3601</v>
      </c>
      <c r="C372" t="s">
        <v>3602</v>
      </c>
      <c r="D372" t="s">
        <v>3603</v>
      </c>
      <c r="E372" t="s">
        <v>3604</v>
      </c>
      <c r="F372" t="s">
        <v>2938</v>
      </c>
      <c r="G372" t="s">
        <v>1941</v>
      </c>
      <c r="H372">
        <v>84105</v>
      </c>
      <c r="I372" t="s">
        <v>1942</v>
      </c>
    </row>
    <row r="373" spans="1:9" x14ac:dyDescent="0.25">
      <c r="A373" t="s">
        <v>747</v>
      </c>
      <c r="B373" t="s">
        <v>3605</v>
      </c>
      <c r="C373" t="s">
        <v>3606</v>
      </c>
      <c r="D373" t="s">
        <v>3607</v>
      </c>
      <c r="E373" t="s">
        <v>3608</v>
      </c>
      <c r="F373" t="s">
        <v>3492</v>
      </c>
      <c r="G373" t="s">
        <v>1941</v>
      </c>
      <c r="H373">
        <v>98109</v>
      </c>
      <c r="I373" t="s">
        <v>1942</v>
      </c>
    </row>
    <row r="374" spans="1:9" x14ac:dyDescent="0.25">
      <c r="A374" t="s">
        <v>749</v>
      </c>
      <c r="B374" t="s">
        <v>3609</v>
      </c>
      <c r="C374" t="s">
        <v>3610</v>
      </c>
      <c r="D374" t="s">
        <v>3611</v>
      </c>
      <c r="E374" t="s">
        <v>3612</v>
      </c>
      <c r="F374" t="s">
        <v>3613</v>
      </c>
      <c r="G374" t="s">
        <v>1941</v>
      </c>
      <c r="H374">
        <v>79764</v>
      </c>
      <c r="I374" t="s">
        <v>1951</v>
      </c>
    </row>
    <row r="375" spans="1:9" x14ac:dyDescent="0.25">
      <c r="A375" t="s">
        <v>751</v>
      </c>
      <c r="B375" t="s">
        <v>3614</v>
      </c>
      <c r="D375" t="s">
        <v>3615</v>
      </c>
      <c r="E375" t="s">
        <v>3616</v>
      </c>
      <c r="F375" t="s">
        <v>3617</v>
      </c>
      <c r="G375" t="s">
        <v>1949</v>
      </c>
      <c r="H375" t="s">
        <v>3618</v>
      </c>
      <c r="I375" t="s">
        <v>1942</v>
      </c>
    </row>
    <row r="376" spans="1:9" x14ac:dyDescent="0.25">
      <c r="A376" t="s">
        <v>753</v>
      </c>
      <c r="B376" t="s">
        <v>3619</v>
      </c>
      <c r="C376" t="s">
        <v>3620</v>
      </c>
      <c r="D376" t="s">
        <v>3621</v>
      </c>
      <c r="E376" t="s">
        <v>3622</v>
      </c>
      <c r="F376" t="s">
        <v>3623</v>
      </c>
      <c r="G376" t="s">
        <v>1941</v>
      </c>
      <c r="H376">
        <v>75037</v>
      </c>
      <c r="I376" t="s">
        <v>1942</v>
      </c>
    </row>
    <row r="377" spans="1:9" x14ac:dyDescent="0.25">
      <c r="A377" t="s">
        <v>755</v>
      </c>
      <c r="B377" t="s">
        <v>3624</v>
      </c>
      <c r="C377" t="s">
        <v>3625</v>
      </c>
      <c r="D377" t="s">
        <v>3626</v>
      </c>
      <c r="E377" t="s">
        <v>3627</v>
      </c>
      <c r="F377" t="s">
        <v>1976</v>
      </c>
      <c r="G377" t="s">
        <v>1941</v>
      </c>
      <c r="H377">
        <v>45426</v>
      </c>
      <c r="I377" t="s">
        <v>1942</v>
      </c>
    </row>
    <row r="378" spans="1:9" x14ac:dyDescent="0.25">
      <c r="A378" t="s">
        <v>757</v>
      </c>
      <c r="B378" t="s">
        <v>3628</v>
      </c>
      <c r="C378" t="s">
        <v>3629</v>
      </c>
      <c r="D378" t="s">
        <v>3630</v>
      </c>
      <c r="E378" t="s">
        <v>3631</v>
      </c>
      <c r="F378" t="s">
        <v>2048</v>
      </c>
      <c r="G378" t="s">
        <v>1941</v>
      </c>
      <c r="H378">
        <v>49560</v>
      </c>
      <c r="I378" t="s">
        <v>1942</v>
      </c>
    </row>
    <row r="379" spans="1:9" x14ac:dyDescent="0.25">
      <c r="A379" t="s">
        <v>759</v>
      </c>
      <c r="B379" t="s">
        <v>3632</v>
      </c>
      <c r="C379" t="s">
        <v>3633</v>
      </c>
      <c r="D379" t="s">
        <v>3634</v>
      </c>
      <c r="E379" t="s">
        <v>3635</v>
      </c>
      <c r="F379" t="s">
        <v>2933</v>
      </c>
      <c r="G379" t="s">
        <v>1949</v>
      </c>
      <c r="H379" t="s">
        <v>2083</v>
      </c>
      <c r="I379" t="s">
        <v>1951</v>
      </c>
    </row>
    <row r="380" spans="1:9" x14ac:dyDescent="0.25">
      <c r="A380" t="s">
        <v>761</v>
      </c>
      <c r="B380" t="s">
        <v>3636</v>
      </c>
      <c r="C380" t="s">
        <v>3637</v>
      </c>
      <c r="D380" t="s">
        <v>3638</v>
      </c>
      <c r="E380" t="s">
        <v>3639</v>
      </c>
      <c r="F380" t="s">
        <v>3640</v>
      </c>
      <c r="G380" t="s">
        <v>1949</v>
      </c>
      <c r="H380" t="s">
        <v>2425</v>
      </c>
      <c r="I380" t="s">
        <v>1942</v>
      </c>
    </row>
    <row r="381" spans="1:9" x14ac:dyDescent="0.25">
      <c r="A381" t="s">
        <v>763</v>
      </c>
      <c r="B381" t="s">
        <v>3641</v>
      </c>
      <c r="C381" t="s">
        <v>3642</v>
      </c>
      <c r="E381" t="s">
        <v>3643</v>
      </c>
      <c r="F381" t="s">
        <v>3644</v>
      </c>
      <c r="G381" t="s">
        <v>2116</v>
      </c>
      <c r="H381" t="s">
        <v>3645</v>
      </c>
      <c r="I381" t="s">
        <v>1942</v>
      </c>
    </row>
    <row r="382" spans="1:9" x14ac:dyDescent="0.25">
      <c r="A382" t="s">
        <v>3646</v>
      </c>
      <c r="B382" t="s">
        <v>3647</v>
      </c>
      <c r="C382" t="s">
        <v>3648</v>
      </c>
      <c r="D382" t="s">
        <v>3649</v>
      </c>
      <c r="E382" t="s">
        <v>3650</v>
      </c>
      <c r="F382" t="s">
        <v>1962</v>
      </c>
      <c r="G382" t="s">
        <v>1941</v>
      </c>
      <c r="H382">
        <v>62756</v>
      </c>
      <c r="I382" t="s">
        <v>1951</v>
      </c>
    </row>
    <row r="383" spans="1:9" x14ac:dyDescent="0.25">
      <c r="A383" t="s">
        <v>766</v>
      </c>
      <c r="B383" t="s">
        <v>3651</v>
      </c>
      <c r="C383" t="s">
        <v>3652</v>
      </c>
      <c r="D383" t="s">
        <v>3653</v>
      </c>
      <c r="E383" t="s">
        <v>3654</v>
      </c>
      <c r="F383" t="s">
        <v>1986</v>
      </c>
      <c r="G383" t="s">
        <v>1941</v>
      </c>
      <c r="H383">
        <v>90010</v>
      </c>
      <c r="I383" t="s">
        <v>1942</v>
      </c>
    </row>
    <row r="384" spans="1:9" x14ac:dyDescent="0.25">
      <c r="A384" t="s">
        <v>768</v>
      </c>
      <c r="B384" t="s">
        <v>3655</v>
      </c>
      <c r="C384" t="s">
        <v>3656</v>
      </c>
      <c r="D384" t="s">
        <v>3657</v>
      </c>
      <c r="E384" t="s">
        <v>3658</v>
      </c>
      <c r="F384" t="s">
        <v>3316</v>
      </c>
      <c r="G384" t="s">
        <v>1941</v>
      </c>
      <c r="H384">
        <v>21239</v>
      </c>
      <c r="I384" t="s">
        <v>1951</v>
      </c>
    </row>
    <row r="385" spans="1:9" x14ac:dyDescent="0.25">
      <c r="A385" t="s">
        <v>770</v>
      </c>
      <c r="B385" t="s">
        <v>3659</v>
      </c>
      <c r="D385" t="s">
        <v>3660</v>
      </c>
      <c r="E385" t="s">
        <v>3661</v>
      </c>
      <c r="F385" t="s">
        <v>3662</v>
      </c>
      <c r="G385" t="s">
        <v>1941</v>
      </c>
      <c r="H385">
        <v>17126</v>
      </c>
      <c r="I385" t="s">
        <v>1942</v>
      </c>
    </row>
    <row r="386" spans="1:9" x14ac:dyDescent="0.25">
      <c r="A386" t="s">
        <v>772</v>
      </c>
      <c r="B386" t="s">
        <v>3663</v>
      </c>
      <c r="D386" t="s">
        <v>3664</v>
      </c>
      <c r="E386" t="s">
        <v>3665</v>
      </c>
      <c r="F386" t="s">
        <v>2325</v>
      </c>
      <c r="G386" t="s">
        <v>1941</v>
      </c>
      <c r="H386">
        <v>75216</v>
      </c>
      <c r="I386" t="s">
        <v>1951</v>
      </c>
    </row>
    <row r="387" spans="1:9" x14ac:dyDescent="0.25">
      <c r="A387" t="s">
        <v>774</v>
      </c>
      <c r="B387" t="s">
        <v>3666</v>
      </c>
      <c r="C387" t="s">
        <v>3667</v>
      </c>
      <c r="D387" t="s">
        <v>3668</v>
      </c>
      <c r="E387" t="s">
        <v>3669</v>
      </c>
      <c r="F387" t="s">
        <v>2375</v>
      </c>
      <c r="G387" t="s">
        <v>1941</v>
      </c>
      <c r="H387">
        <v>64125</v>
      </c>
      <c r="I387" t="s">
        <v>1942</v>
      </c>
    </row>
    <row r="388" spans="1:9" x14ac:dyDescent="0.25">
      <c r="A388" t="s">
        <v>776</v>
      </c>
      <c r="B388" t="s">
        <v>3670</v>
      </c>
      <c r="D388" t="s">
        <v>3671</v>
      </c>
      <c r="E388" t="s">
        <v>3672</v>
      </c>
      <c r="F388" t="s">
        <v>1962</v>
      </c>
      <c r="G388" t="s">
        <v>1941</v>
      </c>
      <c r="H388">
        <v>62723</v>
      </c>
      <c r="I388" t="s">
        <v>1942</v>
      </c>
    </row>
    <row r="389" spans="1:9" x14ac:dyDescent="0.25">
      <c r="A389" t="s">
        <v>778</v>
      </c>
      <c r="B389" t="s">
        <v>3673</v>
      </c>
      <c r="C389" t="s">
        <v>3674</v>
      </c>
      <c r="D389" t="s">
        <v>3675</v>
      </c>
      <c r="E389" t="s">
        <v>3676</v>
      </c>
      <c r="F389" t="s">
        <v>3677</v>
      </c>
      <c r="G389" t="s">
        <v>1941</v>
      </c>
      <c r="H389">
        <v>6510</v>
      </c>
      <c r="I389" t="s">
        <v>1942</v>
      </c>
    </row>
    <row r="390" spans="1:9" x14ac:dyDescent="0.25">
      <c r="A390" t="s">
        <v>780</v>
      </c>
      <c r="B390" t="s">
        <v>3678</v>
      </c>
      <c r="C390" t="s">
        <v>3679</v>
      </c>
      <c r="D390" t="s">
        <v>3680</v>
      </c>
      <c r="E390" t="s">
        <v>3681</v>
      </c>
      <c r="F390" t="s">
        <v>3682</v>
      </c>
      <c r="G390" t="s">
        <v>1941</v>
      </c>
      <c r="H390">
        <v>30045</v>
      </c>
      <c r="I390" t="s">
        <v>1942</v>
      </c>
    </row>
    <row r="391" spans="1:9" x14ac:dyDescent="0.25">
      <c r="A391" t="s">
        <v>782</v>
      </c>
      <c r="B391" t="s">
        <v>3683</v>
      </c>
      <c r="C391" t="s">
        <v>3684</v>
      </c>
      <c r="D391" t="s">
        <v>3685</v>
      </c>
      <c r="E391" t="s">
        <v>3686</v>
      </c>
      <c r="F391" t="s">
        <v>3687</v>
      </c>
      <c r="G391" t="s">
        <v>1941</v>
      </c>
      <c r="H391">
        <v>28805</v>
      </c>
      <c r="I391" t="s">
        <v>1942</v>
      </c>
    </row>
    <row r="392" spans="1:9" x14ac:dyDescent="0.25">
      <c r="A392" t="s">
        <v>784</v>
      </c>
      <c r="B392" t="s">
        <v>3688</v>
      </c>
      <c r="C392" t="s">
        <v>3689</v>
      </c>
      <c r="E392" t="s">
        <v>3690</v>
      </c>
      <c r="F392" t="s">
        <v>2233</v>
      </c>
      <c r="G392" t="s">
        <v>1941</v>
      </c>
      <c r="H392">
        <v>55123</v>
      </c>
      <c r="I392" t="s">
        <v>1942</v>
      </c>
    </row>
    <row r="393" spans="1:9" x14ac:dyDescent="0.25">
      <c r="A393" t="s">
        <v>786</v>
      </c>
      <c r="B393" t="s">
        <v>3691</v>
      </c>
      <c r="C393" t="s">
        <v>3692</v>
      </c>
      <c r="E393" t="s">
        <v>3693</v>
      </c>
      <c r="F393" t="s">
        <v>2137</v>
      </c>
      <c r="G393" t="s">
        <v>1941</v>
      </c>
      <c r="H393">
        <v>55458</v>
      </c>
      <c r="I393" t="s">
        <v>1951</v>
      </c>
    </row>
    <row r="394" spans="1:9" x14ac:dyDescent="0.25">
      <c r="A394" t="s">
        <v>788</v>
      </c>
      <c r="B394" t="s">
        <v>3694</v>
      </c>
      <c r="C394" t="s">
        <v>3695</v>
      </c>
      <c r="D394" t="s">
        <v>3696</v>
      </c>
      <c r="E394" t="s">
        <v>3697</v>
      </c>
      <c r="F394" t="s">
        <v>2572</v>
      </c>
      <c r="G394" t="s">
        <v>1941</v>
      </c>
      <c r="H394">
        <v>92725</v>
      </c>
      <c r="I394" t="s">
        <v>1951</v>
      </c>
    </row>
    <row r="395" spans="1:9" x14ac:dyDescent="0.25">
      <c r="A395" t="s">
        <v>3698</v>
      </c>
      <c r="B395" t="s">
        <v>3699</v>
      </c>
      <c r="C395" t="s">
        <v>3700</v>
      </c>
      <c r="D395" t="s">
        <v>3701</v>
      </c>
      <c r="E395" t="s">
        <v>3702</v>
      </c>
      <c r="F395" t="s">
        <v>3703</v>
      </c>
      <c r="G395" t="s">
        <v>1941</v>
      </c>
      <c r="H395">
        <v>21747</v>
      </c>
      <c r="I395" t="s">
        <v>1942</v>
      </c>
    </row>
    <row r="396" spans="1:9" x14ac:dyDescent="0.25">
      <c r="A396" t="s">
        <v>790</v>
      </c>
      <c r="B396" t="s">
        <v>3704</v>
      </c>
      <c r="C396" t="s">
        <v>3705</v>
      </c>
      <c r="D396" t="s">
        <v>3706</v>
      </c>
      <c r="E396" t="s">
        <v>3707</v>
      </c>
      <c r="F396" t="s">
        <v>2137</v>
      </c>
      <c r="G396" t="s">
        <v>1941</v>
      </c>
      <c r="H396">
        <v>55458</v>
      </c>
      <c r="I396" t="s">
        <v>1951</v>
      </c>
    </row>
    <row r="397" spans="1:9" x14ac:dyDescent="0.25">
      <c r="A397" t="s">
        <v>792</v>
      </c>
      <c r="B397" t="s">
        <v>3708</v>
      </c>
      <c r="C397" t="s">
        <v>3709</v>
      </c>
      <c r="E397" t="s">
        <v>3710</v>
      </c>
      <c r="F397" t="s">
        <v>2186</v>
      </c>
      <c r="G397" t="s">
        <v>1941</v>
      </c>
      <c r="H397">
        <v>20420</v>
      </c>
      <c r="I397" t="s">
        <v>1942</v>
      </c>
    </row>
    <row r="398" spans="1:9" x14ac:dyDescent="0.25">
      <c r="A398" t="s">
        <v>794</v>
      </c>
      <c r="B398" t="s">
        <v>3711</v>
      </c>
      <c r="C398" t="s">
        <v>3712</v>
      </c>
      <c r="D398" t="s">
        <v>3713</v>
      </c>
      <c r="E398" t="s">
        <v>3714</v>
      </c>
      <c r="F398" t="s">
        <v>2177</v>
      </c>
      <c r="G398" t="s">
        <v>1941</v>
      </c>
      <c r="H398">
        <v>92415</v>
      </c>
      <c r="I398" t="s">
        <v>1951</v>
      </c>
    </row>
    <row r="399" spans="1:9" x14ac:dyDescent="0.25">
      <c r="A399" t="s">
        <v>796</v>
      </c>
      <c r="B399" t="s">
        <v>3715</v>
      </c>
      <c r="C399" t="s">
        <v>3716</v>
      </c>
      <c r="D399" t="s">
        <v>3717</v>
      </c>
      <c r="E399" t="s">
        <v>3718</v>
      </c>
      <c r="F399" t="s">
        <v>2163</v>
      </c>
      <c r="G399" t="s">
        <v>1941</v>
      </c>
      <c r="H399">
        <v>14609</v>
      </c>
      <c r="I399" t="s">
        <v>1942</v>
      </c>
    </row>
    <row r="400" spans="1:9" x14ac:dyDescent="0.25">
      <c r="A400" t="s">
        <v>798</v>
      </c>
      <c r="B400" t="s">
        <v>3719</v>
      </c>
      <c r="C400" t="s">
        <v>3720</v>
      </c>
      <c r="D400" t="s">
        <v>3721</v>
      </c>
      <c r="E400" t="s">
        <v>3722</v>
      </c>
      <c r="F400" t="s">
        <v>2058</v>
      </c>
      <c r="G400" t="s">
        <v>1941</v>
      </c>
      <c r="H400">
        <v>98664</v>
      </c>
      <c r="I400" t="s">
        <v>1942</v>
      </c>
    </row>
    <row r="401" spans="1:9" x14ac:dyDescent="0.25">
      <c r="A401" t="s">
        <v>800</v>
      </c>
      <c r="B401" t="s">
        <v>3723</v>
      </c>
      <c r="C401" t="s">
        <v>3724</v>
      </c>
      <c r="D401" t="s">
        <v>3725</v>
      </c>
      <c r="E401" t="s">
        <v>3726</v>
      </c>
      <c r="F401" t="s">
        <v>3727</v>
      </c>
      <c r="G401" t="s">
        <v>2116</v>
      </c>
      <c r="H401" t="s">
        <v>3728</v>
      </c>
      <c r="I401" t="s">
        <v>1951</v>
      </c>
    </row>
    <row r="402" spans="1:9" x14ac:dyDescent="0.25">
      <c r="A402" t="s">
        <v>802</v>
      </c>
      <c r="B402" t="s">
        <v>3729</v>
      </c>
      <c r="C402" t="s">
        <v>3730</v>
      </c>
      <c r="D402" t="s">
        <v>3731</v>
      </c>
      <c r="E402" t="s">
        <v>3732</v>
      </c>
      <c r="F402" t="s">
        <v>2186</v>
      </c>
      <c r="G402" t="s">
        <v>1941</v>
      </c>
      <c r="H402">
        <v>20057</v>
      </c>
      <c r="I402" t="s">
        <v>1951</v>
      </c>
    </row>
    <row r="403" spans="1:9" x14ac:dyDescent="0.25">
      <c r="A403" t="s">
        <v>804</v>
      </c>
      <c r="B403" t="s">
        <v>3733</v>
      </c>
      <c r="C403" t="s">
        <v>3734</v>
      </c>
      <c r="D403" t="s">
        <v>3735</v>
      </c>
      <c r="E403" t="s">
        <v>3736</v>
      </c>
      <c r="F403" t="s">
        <v>3412</v>
      </c>
      <c r="G403" t="s">
        <v>1941</v>
      </c>
      <c r="H403">
        <v>37924</v>
      </c>
      <c r="I403" t="s">
        <v>1942</v>
      </c>
    </row>
    <row r="404" spans="1:9" x14ac:dyDescent="0.25">
      <c r="A404" t="s">
        <v>806</v>
      </c>
      <c r="B404" t="s">
        <v>3737</v>
      </c>
      <c r="C404" t="s">
        <v>3738</v>
      </c>
      <c r="D404" t="s">
        <v>3739</v>
      </c>
      <c r="E404" t="s">
        <v>3740</v>
      </c>
      <c r="F404" t="s">
        <v>2122</v>
      </c>
      <c r="G404" t="s">
        <v>1941</v>
      </c>
      <c r="H404">
        <v>25336</v>
      </c>
      <c r="I404" t="s">
        <v>1942</v>
      </c>
    </row>
    <row r="405" spans="1:9" x14ac:dyDescent="0.25">
      <c r="A405" t="s">
        <v>808</v>
      </c>
      <c r="B405" t="s">
        <v>3741</v>
      </c>
      <c r="C405" t="s">
        <v>3742</v>
      </c>
      <c r="D405" t="s">
        <v>3743</v>
      </c>
      <c r="E405" t="s">
        <v>3744</v>
      </c>
      <c r="F405" t="s">
        <v>2325</v>
      </c>
      <c r="G405" t="s">
        <v>1941</v>
      </c>
      <c r="H405">
        <v>75372</v>
      </c>
      <c r="I405" t="s">
        <v>1951</v>
      </c>
    </row>
    <row r="406" spans="1:9" x14ac:dyDescent="0.25">
      <c r="A406" t="s">
        <v>810</v>
      </c>
      <c r="B406" t="s">
        <v>3745</v>
      </c>
      <c r="C406" t="s">
        <v>3746</v>
      </c>
      <c r="D406" t="s">
        <v>3747</v>
      </c>
      <c r="E406" t="s">
        <v>3748</v>
      </c>
      <c r="F406" t="s">
        <v>3749</v>
      </c>
      <c r="G406" t="s">
        <v>1949</v>
      </c>
      <c r="H406" t="s">
        <v>3750</v>
      </c>
      <c r="I406" t="s">
        <v>1951</v>
      </c>
    </row>
    <row r="407" spans="1:9" x14ac:dyDescent="0.25">
      <c r="A407" t="s">
        <v>812</v>
      </c>
      <c r="B407" t="s">
        <v>3751</v>
      </c>
      <c r="C407" t="s">
        <v>3752</v>
      </c>
      <c r="D407" t="s">
        <v>3753</v>
      </c>
      <c r="E407" t="s">
        <v>3754</v>
      </c>
      <c r="F407" t="s">
        <v>3755</v>
      </c>
      <c r="G407" t="s">
        <v>1941</v>
      </c>
      <c r="H407">
        <v>95973</v>
      </c>
      <c r="I407" t="s">
        <v>1942</v>
      </c>
    </row>
    <row r="408" spans="1:9" x14ac:dyDescent="0.25">
      <c r="A408" t="s">
        <v>814</v>
      </c>
      <c r="B408" t="s">
        <v>3756</v>
      </c>
      <c r="C408" t="s">
        <v>3757</v>
      </c>
      <c r="D408" t="s">
        <v>3758</v>
      </c>
      <c r="E408" t="s">
        <v>3759</v>
      </c>
      <c r="F408" t="s">
        <v>2127</v>
      </c>
      <c r="G408" t="s">
        <v>1941</v>
      </c>
      <c r="H408">
        <v>72215</v>
      </c>
      <c r="I408" t="s">
        <v>1942</v>
      </c>
    </row>
    <row r="409" spans="1:9" x14ac:dyDescent="0.25">
      <c r="A409" t="s">
        <v>816</v>
      </c>
      <c r="B409" t="s">
        <v>3760</v>
      </c>
      <c r="D409" t="s">
        <v>3761</v>
      </c>
      <c r="E409" t="s">
        <v>3762</v>
      </c>
      <c r="F409" t="s">
        <v>3763</v>
      </c>
      <c r="G409" t="s">
        <v>1949</v>
      </c>
      <c r="H409" t="s">
        <v>3764</v>
      </c>
      <c r="I409" t="s">
        <v>1951</v>
      </c>
    </row>
    <row r="410" spans="1:9" x14ac:dyDescent="0.25">
      <c r="A410" t="s">
        <v>818</v>
      </c>
      <c r="B410" t="s">
        <v>3765</v>
      </c>
      <c r="C410" t="s">
        <v>3766</v>
      </c>
      <c r="D410" t="s">
        <v>3767</v>
      </c>
      <c r="E410" t="s">
        <v>3768</v>
      </c>
      <c r="F410" t="s">
        <v>3769</v>
      </c>
      <c r="G410" t="s">
        <v>1941</v>
      </c>
      <c r="H410">
        <v>8922</v>
      </c>
      <c r="I410" t="s">
        <v>1942</v>
      </c>
    </row>
    <row r="411" spans="1:9" x14ac:dyDescent="0.25">
      <c r="A411" t="s">
        <v>820</v>
      </c>
      <c r="B411" t="s">
        <v>3770</v>
      </c>
      <c r="D411" t="s">
        <v>3771</v>
      </c>
      <c r="E411" t="s">
        <v>3772</v>
      </c>
      <c r="F411" t="s">
        <v>3773</v>
      </c>
      <c r="G411" t="s">
        <v>1949</v>
      </c>
      <c r="H411" t="s">
        <v>3774</v>
      </c>
      <c r="I411" t="s">
        <v>1942</v>
      </c>
    </row>
    <row r="412" spans="1:9" x14ac:dyDescent="0.25">
      <c r="A412" t="s">
        <v>822</v>
      </c>
      <c r="B412" t="s">
        <v>3775</v>
      </c>
      <c r="D412" t="s">
        <v>3776</v>
      </c>
      <c r="E412" t="s">
        <v>3777</v>
      </c>
      <c r="F412" t="s">
        <v>3090</v>
      </c>
      <c r="G412" t="s">
        <v>1941</v>
      </c>
      <c r="H412">
        <v>94132</v>
      </c>
      <c r="I412" t="s">
        <v>1951</v>
      </c>
    </row>
    <row r="413" spans="1:9" x14ac:dyDescent="0.25">
      <c r="A413" t="s">
        <v>824</v>
      </c>
      <c r="B413" t="s">
        <v>3778</v>
      </c>
      <c r="D413" t="s">
        <v>3779</v>
      </c>
      <c r="E413" t="s">
        <v>3780</v>
      </c>
      <c r="F413" t="s">
        <v>3781</v>
      </c>
      <c r="G413" t="s">
        <v>1941</v>
      </c>
      <c r="H413">
        <v>70505</v>
      </c>
      <c r="I413" t="s">
        <v>1942</v>
      </c>
    </row>
    <row r="414" spans="1:9" x14ac:dyDescent="0.25">
      <c r="A414" t="s">
        <v>826</v>
      </c>
      <c r="B414" t="s">
        <v>3782</v>
      </c>
      <c r="D414" t="s">
        <v>3783</v>
      </c>
      <c r="E414" t="s">
        <v>3784</v>
      </c>
      <c r="F414" t="s">
        <v>3785</v>
      </c>
      <c r="G414" t="s">
        <v>1941</v>
      </c>
      <c r="H414">
        <v>92191</v>
      </c>
      <c r="I414" t="s">
        <v>1942</v>
      </c>
    </row>
    <row r="415" spans="1:9" x14ac:dyDescent="0.25">
      <c r="A415" t="s">
        <v>828</v>
      </c>
      <c r="B415" t="s">
        <v>3786</v>
      </c>
      <c r="C415" t="s">
        <v>3787</v>
      </c>
      <c r="D415" t="s">
        <v>3788</v>
      </c>
      <c r="E415" t="s">
        <v>3789</v>
      </c>
      <c r="F415" t="s">
        <v>3790</v>
      </c>
      <c r="G415" t="s">
        <v>1941</v>
      </c>
      <c r="H415">
        <v>91841</v>
      </c>
      <c r="I415" t="s">
        <v>1942</v>
      </c>
    </row>
    <row r="416" spans="1:9" x14ac:dyDescent="0.25">
      <c r="A416" t="s">
        <v>830</v>
      </c>
      <c r="B416" t="s">
        <v>3791</v>
      </c>
      <c r="D416" t="s">
        <v>3792</v>
      </c>
      <c r="E416" t="s">
        <v>3793</v>
      </c>
      <c r="F416" t="s">
        <v>3515</v>
      </c>
      <c r="G416" t="s">
        <v>1941</v>
      </c>
      <c r="H416">
        <v>75799</v>
      </c>
      <c r="I416" t="s">
        <v>1942</v>
      </c>
    </row>
    <row r="417" spans="1:9" x14ac:dyDescent="0.25">
      <c r="A417" t="s">
        <v>832</v>
      </c>
      <c r="B417" t="s">
        <v>3794</v>
      </c>
      <c r="C417" t="s">
        <v>3795</v>
      </c>
      <c r="E417" t="s">
        <v>3796</v>
      </c>
      <c r="F417" t="s">
        <v>3781</v>
      </c>
      <c r="G417" t="s">
        <v>1941</v>
      </c>
      <c r="H417">
        <v>70593</v>
      </c>
      <c r="I417" t="s">
        <v>1951</v>
      </c>
    </row>
    <row r="418" spans="1:9" x14ac:dyDescent="0.25">
      <c r="A418" t="s">
        <v>834</v>
      </c>
      <c r="B418" t="s">
        <v>3797</v>
      </c>
      <c r="D418" t="s">
        <v>3798</v>
      </c>
      <c r="E418" t="s">
        <v>3799</v>
      </c>
      <c r="F418" t="s">
        <v>1976</v>
      </c>
      <c r="G418" t="s">
        <v>1941</v>
      </c>
      <c r="H418">
        <v>45426</v>
      </c>
      <c r="I418" t="s">
        <v>1942</v>
      </c>
    </row>
    <row r="419" spans="1:9" x14ac:dyDescent="0.25">
      <c r="A419" t="s">
        <v>836</v>
      </c>
      <c r="B419" t="s">
        <v>3800</v>
      </c>
      <c r="D419" t="s">
        <v>3801</v>
      </c>
      <c r="E419" t="s">
        <v>3802</v>
      </c>
      <c r="F419" t="s">
        <v>3099</v>
      </c>
      <c r="G419" t="s">
        <v>1941</v>
      </c>
      <c r="H419">
        <v>85072</v>
      </c>
      <c r="I419" t="s">
        <v>1942</v>
      </c>
    </row>
    <row r="420" spans="1:9" x14ac:dyDescent="0.25">
      <c r="A420" t="s">
        <v>838</v>
      </c>
      <c r="B420" t="s">
        <v>3803</v>
      </c>
      <c r="C420" t="s">
        <v>3804</v>
      </c>
      <c r="E420" t="s">
        <v>3805</v>
      </c>
      <c r="F420" t="s">
        <v>2999</v>
      </c>
      <c r="G420" t="s">
        <v>1941</v>
      </c>
      <c r="H420">
        <v>94263</v>
      </c>
      <c r="I420" t="s">
        <v>1942</v>
      </c>
    </row>
    <row r="421" spans="1:9" x14ac:dyDescent="0.25">
      <c r="A421" t="s">
        <v>840</v>
      </c>
      <c r="B421" t="s">
        <v>3806</v>
      </c>
      <c r="C421" t="s">
        <v>3807</v>
      </c>
      <c r="D421" t="s">
        <v>3808</v>
      </c>
      <c r="E421" t="s">
        <v>3809</v>
      </c>
      <c r="F421" t="s">
        <v>3336</v>
      </c>
      <c r="G421" t="s">
        <v>1941</v>
      </c>
      <c r="H421">
        <v>68505</v>
      </c>
      <c r="I421" t="s">
        <v>1942</v>
      </c>
    </row>
    <row r="422" spans="1:9" x14ac:dyDescent="0.25">
      <c r="A422" t="s">
        <v>3810</v>
      </c>
      <c r="B422" t="s">
        <v>3811</v>
      </c>
      <c r="C422" t="s">
        <v>3812</v>
      </c>
      <c r="D422" t="s">
        <v>3813</v>
      </c>
      <c r="E422" t="s">
        <v>3814</v>
      </c>
      <c r="F422" t="s">
        <v>3662</v>
      </c>
      <c r="G422" t="s">
        <v>1941</v>
      </c>
      <c r="H422">
        <v>17126</v>
      </c>
      <c r="I422" t="s">
        <v>1951</v>
      </c>
    </row>
    <row r="423" spans="1:9" x14ac:dyDescent="0.25">
      <c r="A423" t="s">
        <v>3815</v>
      </c>
      <c r="B423" t="s">
        <v>3816</v>
      </c>
      <c r="C423" t="s">
        <v>3817</v>
      </c>
      <c r="D423" t="s">
        <v>3818</v>
      </c>
      <c r="E423" t="s">
        <v>3819</v>
      </c>
      <c r="F423" t="s">
        <v>2144</v>
      </c>
      <c r="G423" t="s">
        <v>1941</v>
      </c>
      <c r="H423">
        <v>70174</v>
      </c>
      <c r="I423" t="s">
        <v>1942</v>
      </c>
    </row>
    <row r="424" spans="1:9" x14ac:dyDescent="0.25">
      <c r="A424" t="s">
        <v>843</v>
      </c>
      <c r="B424" t="s">
        <v>3820</v>
      </c>
      <c r="D424" t="s">
        <v>3821</v>
      </c>
      <c r="E424" t="s">
        <v>3822</v>
      </c>
      <c r="F424" t="s">
        <v>3823</v>
      </c>
      <c r="G424" t="s">
        <v>1941</v>
      </c>
      <c r="H424">
        <v>53726</v>
      </c>
      <c r="I424" t="s">
        <v>1951</v>
      </c>
    </row>
    <row r="425" spans="1:9" x14ac:dyDescent="0.25">
      <c r="A425" t="s">
        <v>845</v>
      </c>
      <c r="B425" t="s">
        <v>3824</v>
      </c>
      <c r="D425" t="s">
        <v>3825</v>
      </c>
      <c r="E425" t="s">
        <v>3826</v>
      </c>
      <c r="F425" t="s">
        <v>2122</v>
      </c>
      <c r="G425" t="s">
        <v>1941</v>
      </c>
      <c r="H425">
        <v>25336</v>
      </c>
      <c r="I425" t="s">
        <v>1951</v>
      </c>
    </row>
    <row r="426" spans="1:9" x14ac:dyDescent="0.25">
      <c r="A426" t="s">
        <v>847</v>
      </c>
      <c r="B426" t="s">
        <v>3827</v>
      </c>
      <c r="C426" t="s">
        <v>3828</v>
      </c>
      <c r="D426" t="s">
        <v>3829</v>
      </c>
      <c r="E426" t="s">
        <v>3830</v>
      </c>
      <c r="F426" t="s">
        <v>2127</v>
      </c>
      <c r="G426" t="s">
        <v>1941</v>
      </c>
      <c r="H426">
        <v>72204</v>
      </c>
      <c r="I426" t="s">
        <v>1942</v>
      </c>
    </row>
    <row r="427" spans="1:9" x14ac:dyDescent="0.25">
      <c r="A427" t="s">
        <v>849</v>
      </c>
      <c r="B427" t="s">
        <v>3831</v>
      </c>
      <c r="C427" t="s">
        <v>3832</v>
      </c>
      <c r="D427" t="s">
        <v>3833</v>
      </c>
      <c r="E427" t="s">
        <v>3834</v>
      </c>
      <c r="F427" t="s">
        <v>2501</v>
      </c>
      <c r="G427" t="s">
        <v>1941</v>
      </c>
      <c r="H427">
        <v>99507</v>
      </c>
      <c r="I427" t="s">
        <v>1951</v>
      </c>
    </row>
    <row r="428" spans="1:9" x14ac:dyDescent="0.25">
      <c r="A428" t="s">
        <v>851</v>
      </c>
      <c r="B428" t="s">
        <v>3835</v>
      </c>
      <c r="C428" t="s">
        <v>3836</v>
      </c>
      <c r="D428" t="s">
        <v>3837</v>
      </c>
      <c r="E428" t="s">
        <v>3838</v>
      </c>
      <c r="F428" t="s">
        <v>3839</v>
      </c>
      <c r="G428" t="s">
        <v>1949</v>
      </c>
      <c r="H428" t="s">
        <v>3840</v>
      </c>
      <c r="I428" t="s">
        <v>1942</v>
      </c>
    </row>
    <row r="429" spans="1:9" x14ac:dyDescent="0.25">
      <c r="A429" t="s">
        <v>853</v>
      </c>
      <c r="B429" t="s">
        <v>3841</v>
      </c>
      <c r="D429" t="s">
        <v>3842</v>
      </c>
      <c r="E429" t="s">
        <v>3843</v>
      </c>
      <c r="F429" t="s">
        <v>3090</v>
      </c>
      <c r="G429" t="s">
        <v>1941</v>
      </c>
      <c r="H429">
        <v>94110</v>
      </c>
      <c r="I429" t="s">
        <v>1942</v>
      </c>
    </row>
    <row r="430" spans="1:9" x14ac:dyDescent="0.25">
      <c r="A430" t="s">
        <v>855</v>
      </c>
      <c r="B430" t="s">
        <v>3844</v>
      </c>
      <c r="C430" t="s">
        <v>3845</v>
      </c>
      <c r="D430" t="s">
        <v>3846</v>
      </c>
      <c r="E430" t="s">
        <v>3847</v>
      </c>
      <c r="F430" t="s">
        <v>2840</v>
      </c>
      <c r="G430" t="s">
        <v>1941</v>
      </c>
      <c r="H430">
        <v>44485</v>
      </c>
      <c r="I430" t="s">
        <v>1951</v>
      </c>
    </row>
    <row r="431" spans="1:9" x14ac:dyDescent="0.25">
      <c r="A431" t="s">
        <v>3848</v>
      </c>
      <c r="B431" t="s">
        <v>3849</v>
      </c>
      <c r="C431" t="s">
        <v>3850</v>
      </c>
      <c r="D431" t="s">
        <v>3851</v>
      </c>
      <c r="E431" t="s">
        <v>3852</v>
      </c>
      <c r="F431" t="s">
        <v>3853</v>
      </c>
      <c r="G431" t="s">
        <v>1941</v>
      </c>
      <c r="H431">
        <v>23324</v>
      </c>
      <c r="I431" t="s">
        <v>1951</v>
      </c>
    </row>
    <row r="432" spans="1:9" x14ac:dyDescent="0.25">
      <c r="A432" t="s">
        <v>858</v>
      </c>
      <c r="B432" t="s">
        <v>3854</v>
      </c>
      <c r="C432" t="s">
        <v>3855</v>
      </c>
      <c r="D432" t="s">
        <v>3856</v>
      </c>
      <c r="E432" t="s">
        <v>3857</v>
      </c>
      <c r="F432" t="s">
        <v>3858</v>
      </c>
      <c r="G432" t="s">
        <v>1941</v>
      </c>
      <c r="H432">
        <v>39236</v>
      </c>
      <c r="I432" t="s">
        <v>1942</v>
      </c>
    </row>
    <row r="433" spans="1:9" x14ac:dyDescent="0.25">
      <c r="A433" t="s">
        <v>860</v>
      </c>
      <c r="B433" t="s">
        <v>3859</v>
      </c>
      <c r="C433" t="s">
        <v>3860</v>
      </c>
      <c r="D433" t="s">
        <v>3861</v>
      </c>
      <c r="E433" t="s">
        <v>3862</v>
      </c>
      <c r="F433" t="s">
        <v>3863</v>
      </c>
      <c r="G433" t="s">
        <v>1949</v>
      </c>
      <c r="H433" t="s">
        <v>3864</v>
      </c>
      <c r="I433" t="s">
        <v>1942</v>
      </c>
    </row>
    <row r="434" spans="1:9" x14ac:dyDescent="0.25">
      <c r="A434" t="s">
        <v>862</v>
      </c>
      <c r="B434" t="s">
        <v>3865</v>
      </c>
      <c r="D434" t="s">
        <v>3866</v>
      </c>
      <c r="E434" t="s">
        <v>3867</v>
      </c>
      <c r="F434" t="s">
        <v>3121</v>
      </c>
      <c r="G434" t="s">
        <v>1941</v>
      </c>
      <c r="H434">
        <v>53277</v>
      </c>
      <c r="I434" t="s">
        <v>1951</v>
      </c>
    </row>
    <row r="435" spans="1:9" x14ac:dyDescent="0.25">
      <c r="A435" t="s">
        <v>864</v>
      </c>
      <c r="B435" t="s">
        <v>3868</v>
      </c>
      <c r="C435" t="s">
        <v>3869</v>
      </c>
      <c r="D435" t="s">
        <v>3870</v>
      </c>
      <c r="E435" t="s">
        <v>3871</v>
      </c>
      <c r="F435" t="s">
        <v>2999</v>
      </c>
      <c r="G435" t="s">
        <v>1941</v>
      </c>
      <c r="H435">
        <v>94250</v>
      </c>
      <c r="I435" t="s">
        <v>1942</v>
      </c>
    </row>
    <row r="436" spans="1:9" x14ac:dyDescent="0.25">
      <c r="A436" t="s">
        <v>866</v>
      </c>
      <c r="B436" t="s">
        <v>3872</v>
      </c>
      <c r="D436" t="s">
        <v>3873</v>
      </c>
      <c r="E436" t="s">
        <v>3874</v>
      </c>
      <c r="F436" t="s">
        <v>2158</v>
      </c>
      <c r="G436" t="s">
        <v>1941</v>
      </c>
      <c r="H436">
        <v>2298</v>
      </c>
      <c r="I436" t="s">
        <v>1951</v>
      </c>
    </row>
    <row r="437" spans="1:9" x14ac:dyDescent="0.25">
      <c r="A437" t="s">
        <v>868</v>
      </c>
      <c r="B437" t="s">
        <v>3875</v>
      </c>
      <c r="C437" t="s">
        <v>3876</v>
      </c>
      <c r="D437" t="s">
        <v>3877</v>
      </c>
      <c r="E437" t="s">
        <v>3878</v>
      </c>
      <c r="F437" t="s">
        <v>3510</v>
      </c>
      <c r="G437" t="s">
        <v>1941</v>
      </c>
      <c r="H437">
        <v>66622</v>
      </c>
      <c r="I437" t="s">
        <v>1951</v>
      </c>
    </row>
    <row r="438" spans="1:9" x14ac:dyDescent="0.25">
      <c r="A438" t="s">
        <v>870</v>
      </c>
      <c r="B438" t="s">
        <v>3879</v>
      </c>
      <c r="C438" t="s">
        <v>3880</v>
      </c>
      <c r="D438" t="s">
        <v>3881</v>
      </c>
      <c r="E438" t="s">
        <v>3882</v>
      </c>
      <c r="F438" t="s">
        <v>2550</v>
      </c>
      <c r="G438" t="s">
        <v>1941</v>
      </c>
      <c r="H438">
        <v>58122</v>
      </c>
      <c r="I438" t="s">
        <v>1942</v>
      </c>
    </row>
    <row r="439" spans="1:9" x14ac:dyDescent="0.25">
      <c r="A439" t="s">
        <v>872</v>
      </c>
      <c r="B439" t="s">
        <v>3883</v>
      </c>
      <c r="D439" t="s">
        <v>3884</v>
      </c>
      <c r="E439" t="s">
        <v>3885</v>
      </c>
      <c r="F439" t="s">
        <v>2027</v>
      </c>
      <c r="G439" t="s">
        <v>1941</v>
      </c>
      <c r="H439">
        <v>77095</v>
      </c>
      <c r="I439" t="s">
        <v>1951</v>
      </c>
    </row>
    <row r="440" spans="1:9" x14ac:dyDescent="0.25">
      <c r="A440" t="s">
        <v>3886</v>
      </c>
      <c r="B440" t="s">
        <v>3887</v>
      </c>
      <c r="C440" t="s">
        <v>3888</v>
      </c>
      <c r="D440" t="s">
        <v>3889</v>
      </c>
      <c r="E440" t="s">
        <v>3890</v>
      </c>
      <c r="F440" t="s">
        <v>2362</v>
      </c>
      <c r="G440" t="s">
        <v>1941</v>
      </c>
      <c r="H440">
        <v>73190</v>
      </c>
      <c r="I440" t="s">
        <v>1951</v>
      </c>
    </row>
    <row r="441" spans="1:9" x14ac:dyDescent="0.25">
      <c r="A441" t="s">
        <v>876</v>
      </c>
      <c r="B441" t="s">
        <v>3891</v>
      </c>
      <c r="C441" t="s">
        <v>3892</v>
      </c>
      <c r="D441" t="s">
        <v>3893</v>
      </c>
      <c r="E441" t="s">
        <v>3894</v>
      </c>
      <c r="F441" t="s">
        <v>2031</v>
      </c>
      <c r="G441" t="s">
        <v>1949</v>
      </c>
      <c r="H441" t="s">
        <v>2032</v>
      </c>
      <c r="I441" t="s">
        <v>1951</v>
      </c>
    </row>
    <row r="442" spans="1:9" x14ac:dyDescent="0.25">
      <c r="A442" t="s">
        <v>878</v>
      </c>
      <c r="B442" t="s">
        <v>3895</v>
      </c>
      <c r="C442" t="s">
        <v>3896</v>
      </c>
      <c r="D442" t="s">
        <v>3897</v>
      </c>
      <c r="E442" t="s">
        <v>3898</v>
      </c>
      <c r="F442" t="s">
        <v>2350</v>
      </c>
      <c r="G442" t="s">
        <v>1941</v>
      </c>
      <c r="H442">
        <v>14205</v>
      </c>
      <c r="I442" t="s">
        <v>1942</v>
      </c>
    </row>
    <row r="443" spans="1:9" x14ac:dyDescent="0.25">
      <c r="A443" t="s">
        <v>880</v>
      </c>
      <c r="B443" t="s">
        <v>3899</v>
      </c>
      <c r="C443" t="s">
        <v>3900</v>
      </c>
      <c r="D443" t="s">
        <v>3901</v>
      </c>
      <c r="E443" t="s">
        <v>3902</v>
      </c>
      <c r="F443" t="s">
        <v>3193</v>
      </c>
      <c r="G443" t="s">
        <v>1949</v>
      </c>
      <c r="H443" t="s">
        <v>3194</v>
      </c>
      <c r="I443" t="s">
        <v>1942</v>
      </c>
    </row>
    <row r="444" spans="1:9" x14ac:dyDescent="0.25">
      <c r="A444" t="s">
        <v>882</v>
      </c>
      <c r="B444" t="s">
        <v>3903</v>
      </c>
      <c r="C444" t="s">
        <v>3904</v>
      </c>
      <c r="D444" t="s">
        <v>3905</v>
      </c>
      <c r="E444" t="s">
        <v>3906</v>
      </c>
      <c r="F444" t="s">
        <v>3907</v>
      </c>
      <c r="G444" t="s">
        <v>1941</v>
      </c>
      <c r="H444">
        <v>18018</v>
      </c>
      <c r="I444" t="s">
        <v>1951</v>
      </c>
    </row>
    <row r="445" spans="1:9" x14ac:dyDescent="0.25">
      <c r="A445" t="s">
        <v>884</v>
      </c>
      <c r="B445" t="s">
        <v>3908</v>
      </c>
      <c r="C445" t="s">
        <v>3909</v>
      </c>
      <c r="D445" t="s">
        <v>3910</v>
      </c>
      <c r="E445" t="s">
        <v>3911</v>
      </c>
      <c r="F445" t="s">
        <v>3912</v>
      </c>
      <c r="G445" t="s">
        <v>1949</v>
      </c>
      <c r="H445" t="s">
        <v>3913</v>
      </c>
      <c r="I445" t="s">
        <v>1942</v>
      </c>
    </row>
    <row r="446" spans="1:9" x14ac:dyDescent="0.25">
      <c r="A446" t="s">
        <v>886</v>
      </c>
      <c r="B446" t="s">
        <v>3914</v>
      </c>
      <c r="C446" t="s">
        <v>3915</v>
      </c>
      <c r="D446" t="s">
        <v>3916</v>
      </c>
      <c r="E446" t="s">
        <v>3917</v>
      </c>
      <c r="F446" t="s">
        <v>3918</v>
      </c>
      <c r="G446" t="s">
        <v>1949</v>
      </c>
      <c r="H446" t="s">
        <v>3919</v>
      </c>
      <c r="I446" t="s">
        <v>1951</v>
      </c>
    </row>
    <row r="447" spans="1:9" x14ac:dyDescent="0.25">
      <c r="A447" t="s">
        <v>888</v>
      </c>
      <c r="B447" t="s">
        <v>3920</v>
      </c>
      <c r="C447" t="s">
        <v>3921</v>
      </c>
      <c r="E447" t="s">
        <v>3922</v>
      </c>
      <c r="F447" t="s">
        <v>3402</v>
      </c>
      <c r="G447" t="s">
        <v>1949</v>
      </c>
      <c r="H447" t="s">
        <v>2083</v>
      </c>
      <c r="I447" t="s">
        <v>1942</v>
      </c>
    </row>
    <row r="448" spans="1:9" x14ac:dyDescent="0.25">
      <c r="A448" t="s">
        <v>890</v>
      </c>
      <c r="B448" t="s">
        <v>3923</v>
      </c>
      <c r="C448" t="s">
        <v>3924</v>
      </c>
      <c r="D448" t="s">
        <v>3925</v>
      </c>
      <c r="E448" t="s">
        <v>3926</v>
      </c>
      <c r="F448" t="s">
        <v>2172</v>
      </c>
      <c r="G448" t="s">
        <v>2116</v>
      </c>
      <c r="H448" t="s">
        <v>3927</v>
      </c>
      <c r="I448" t="s">
        <v>1942</v>
      </c>
    </row>
    <row r="449" spans="1:9" x14ac:dyDescent="0.25">
      <c r="A449" t="s">
        <v>892</v>
      </c>
      <c r="B449" t="s">
        <v>3928</v>
      </c>
      <c r="C449" t="s">
        <v>3929</v>
      </c>
      <c r="E449" t="s">
        <v>3930</v>
      </c>
      <c r="F449" t="s">
        <v>3099</v>
      </c>
      <c r="G449" t="s">
        <v>1941</v>
      </c>
      <c r="H449">
        <v>85099</v>
      </c>
      <c r="I449" t="s">
        <v>1951</v>
      </c>
    </row>
    <row r="450" spans="1:9" x14ac:dyDescent="0.25">
      <c r="A450" t="s">
        <v>894</v>
      </c>
      <c r="B450" t="s">
        <v>3931</v>
      </c>
      <c r="C450" t="s">
        <v>3932</v>
      </c>
      <c r="D450" t="s">
        <v>3933</v>
      </c>
      <c r="E450" t="s">
        <v>3934</v>
      </c>
      <c r="F450" t="s">
        <v>3935</v>
      </c>
      <c r="G450" t="s">
        <v>1949</v>
      </c>
      <c r="H450" t="s">
        <v>3936</v>
      </c>
      <c r="I450" t="s">
        <v>1951</v>
      </c>
    </row>
    <row r="451" spans="1:9" x14ac:dyDescent="0.25">
      <c r="A451" t="s">
        <v>896</v>
      </c>
      <c r="B451" t="s">
        <v>3937</v>
      </c>
      <c r="C451" t="s">
        <v>3938</v>
      </c>
      <c r="D451" t="s">
        <v>3939</v>
      </c>
      <c r="E451" t="s">
        <v>3940</v>
      </c>
      <c r="F451" t="s">
        <v>2211</v>
      </c>
      <c r="G451" t="s">
        <v>1941</v>
      </c>
      <c r="H451">
        <v>43610</v>
      </c>
      <c r="I451" t="s">
        <v>1951</v>
      </c>
    </row>
    <row r="452" spans="1:9" x14ac:dyDescent="0.25">
      <c r="A452" t="s">
        <v>898</v>
      </c>
      <c r="B452" t="s">
        <v>3941</v>
      </c>
      <c r="C452" t="s">
        <v>3942</v>
      </c>
      <c r="D452" t="s">
        <v>3943</v>
      </c>
      <c r="E452" t="s">
        <v>3944</v>
      </c>
      <c r="F452" t="s">
        <v>3945</v>
      </c>
      <c r="G452" t="s">
        <v>1949</v>
      </c>
      <c r="H452" t="s">
        <v>3946</v>
      </c>
      <c r="I452" t="s">
        <v>1951</v>
      </c>
    </row>
    <row r="453" spans="1:9" x14ac:dyDescent="0.25">
      <c r="A453" t="s">
        <v>900</v>
      </c>
      <c r="B453" t="s">
        <v>3947</v>
      </c>
      <c r="C453" t="s">
        <v>3948</v>
      </c>
      <c r="D453" t="s">
        <v>3949</v>
      </c>
      <c r="E453" t="s">
        <v>3950</v>
      </c>
      <c r="F453" t="s">
        <v>2300</v>
      </c>
      <c r="G453" t="s">
        <v>1941</v>
      </c>
      <c r="H453">
        <v>28210</v>
      </c>
      <c r="I453" t="s">
        <v>1942</v>
      </c>
    </row>
    <row r="454" spans="1:9" x14ac:dyDescent="0.25">
      <c r="A454" t="s">
        <v>874</v>
      </c>
      <c r="B454" t="s">
        <v>3951</v>
      </c>
      <c r="C454" t="s">
        <v>3952</v>
      </c>
      <c r="D454" t="s">
        <v>3953</v>
      </c>
      <c r="E454" t="s">
        <v>3954</v>
      </c>
      <c r="F454" t="s">
        <v>3492</v>
      </c>
      <c r="G454" t="s">
        <v>1941</v>
      </c>
      <c r="H454">
        <v>98109</v>
      </c>
      <c r="I454" t="s">
        <v>1951</v>
      </c>
    </row>
    <row r="455" spans="1:9" x14ac:dyDescent="0.25">
      <c r="A455" t="s">
        <v>903</v>
      </c>
      <c r="B455" t="s">
        <v>3955</v>
      </c>
      <c r="C455" t="s">
        <v>3956</v>
      </c>
      <c r="D455" t="s">
        <v>3957</v>
      </c>
      <c r="E455" t="s">
        <v>3958</v>
      </c>
      <c r="F455" t="s">
        <v>3004</v>
      </c>
      <c r="G455" t="s">
        <v>1941</v>
      </c>
      <c r="H455">
        <v>18706</v>
      </c>
      <c r="I455" t="s">
        <v>1951</v>
      </c>
    </row>
    <row r="456" spans="1:9" x14ac:dyDescent="0.25">
      <c r="A456" t="s">
        <v>905</v>
      </c>
      <c r="B456" t="s">
        <v>3959</v>
      </c>
      <c r="C456" t="s">
        <v>3960</v>
      </c>
      <c r="E456" t="s">
        <v>3961</v>
      </c>
      <c r="F456" t="s">
        <v>3962</v>
      </c>
      <c r="G456" t="s">
        <v>1949</v>
      </c>
      <c r="H456" t="s">
        <v>1950</v>
      </c>
      <c r="I456" t="s">
        <v>1942</v>
      </c>
    </row>
    <row r="457" spans="1:9" x14ac:dyDescent="0.25">
      <c r="A457" t="s">
        <v>907</v>
      </c>
      <c r="B457" t="s">
        <v>3963</v>
      </c>
      <c r="C457" t="s">
        <v>3964</v>
      </c>
      <c r="D457" t="s">
        <v>3965</v>
      </c>
      <c r="E457" t="s">
        <v>3966</v>
      </c>
      <c r="F457" t="s">
        <v>3967</v>
      </c>
      <c r="G457" t="s">
        <v>1949</v>
      </c>
      <c r="H457" t="s">
        <v>2771</v>
      </c>
      <c r="I457" t="s">
        <v>1942</v>
      </c>
    </row>
    <row r="458" spans="1:9" x14ac:dyDescent="0.25">
      <c r="A458" t="s">
        <v>909</v>
      </c>
      <c r="B458" t="s">
        <v>3968</v>
      </c>
      <c r="C458" t="s">
        <v>3969</v>
      </c>
      <c r="D458" t="s">
        <v>3970</v>
      </c>
      <c r="E458" t="s">
        <v>3971</v>
      </c>
      <c r="F458" t="s">
        <v>2281</v>
      </c>
      <c r="G458" t="s">
        <v>2116</v>
      </c>
      <c r="H458" t="s">
        <v>3972</v>
      </c>
      <c r="I458" t="s">
        <v>1951</v>
      </c>
    </row>
    <row r="459" spans="1:9" x14ac:dyDescent="0.25">
      <c r="A459" t="s">
        <v>911</v>
      </c>
      <c r="B459" t="s">
        <v>3973</v>
      </c>
      <c r="C459" t="s">
        <v>3974</v>
      </c>
      <c r="D459" t="s">
        <v>3975</v>
      </c>
      <c r="E459" t="s">
        <v>3976</v>
      </c>
      <c r="F459" t="s">
        <v>2163</v>
      </c>
      <c r="G459" t="s">
        <v>1941</v>
      </c>
      <c r="H459">
        <v>14652</v>
      </c>
      <c r="I459" t="s">
        <v>1951</v>
      </c>
    </row>
    <row r="460" spans="1:9" x14ac:dyDescent="0.25">
      <c r="A460" t="s">
        <v>913</v>
      </c>
      <c r="B460" t="s">
        <v>3977</v>
      </c>
      <c r="C460" t="s">
        <v>3978</v>
      </c>
      <c r="D460" t="s">
        <v>3979</v>
      </c>
      <c r="E460" t="s">
        <v>3980</v>
      </c>
      <c r="F460" t="s">
        <v>2140</v>
      </c>
      <c r="G460" t="s">
        <v>1941</v>
      </c>
      <c r="H460">
        <v>85754</v>
      </c>
      <c r="I460" t="s">
        <v>1951</v>
      </c>
    </row>
    <row r="461" spans="1:9" x14ac:dyDescent="0.25">
      <c r="A461" t="s">
        <v>915</v>
      </c>
      <c r="B461" t="s">
        <v>3981</v>
      </c>
      <c r="C461" t="s">
        <v>3982</v>
      </c>
      <c r="D461" t="s">
        <v>3983</v>
      </c>
      <c r="E461" t="s">
        <v>3984</v>
      </c>
      <c r="F461" t="s">
        <v>2137</v>
      </c>
      <c r="G461" t="s">
        <v>1941</v>
      </c>
      <c r="H461">
        <v>55480</v>
      </c>
      <c r="I461" t="s">
        <v>1951</v>
      </c>
    </row>
    <row r="462" spans="1:9" x14ac:dyDescent="0.25">
      <c r="A462" t="s">
        <v>917</v>
      </c>
      <c r="B462" t="s">
        <v>3985</v>
      </c>
      <c r="C462" t="s">
        <v>3986</v>
      </c>
      <c r="D462" t="s">
        <v>3987</v>
      </c>
      <c r="E462" t="s">
        <v>3988</v>
      </c>
      <c r="F462" t="s">
        <v>3989</v>
      </c>
      <c r="G462" t="s">
        <v>1949</v>
      </c>
      <c r="H462" t="s">
        <v>3990</v>
      </c>
      <c r="I462" t="s">
        <v>1942</v>
      </c>
    </row>
    <row r="463" spans="1:9" x14ac:dyDescent="0.25">
      <c r="A463" t="s">
        <v>919</v>
      </c>
      <c r="B463" t="s">
        <v>3991</v>
      </c>
      <c r="C463" t="s">
        <v>3992</v>
      </c>
      <c r="D463" t="s">
        <v>3993</v>
      </c>
      <c r="E463" t="s">
        <v>3994</v>
      </c>
      <c r="F463" t="s">
        <v>3995</v>
      </c>
      <c r="G463" t="s">
        <v>2116</v>
      </c>
      <c r="H463" t="s">
        <v>3996</v>
      </c>
      <c r="I463" t="s">
        <v>1942</v>
      </c>
    </row>
    <row r="464" spans="1:9" x14ac:dyDescent="0.25">
      <c r="A464" t="s">
        <v>921</v>
      </c>
      <c r="B464" t="s">
        <v>3997</v>
      </c>
      <c r="C464" t="s">
        <v>3998</v>
      </c>
      <c r="D464" t="s">
        <v>3999</v>
      </c>
      <c r="E464" t="s">
        <v>4000</v>
      </c>
      <c r="F464" t="s">
        <v>3049</v>
      </c>
      <c r="G464" t="s">
        <v>1941</v>
      </c>
      <c r="H464">
        <v>31119</v>
      </c>
      <c r="I464" t="s">
        <v>1942</v>
      </c>
    </row>
    <row r="465" spans="1:9" x14ac:dyDescent="0.25">
      <c r="A465" t="s">
        <v>923</v>
      </c>
      <c r="B465" t="s">
        <v>4001</v>
      </c>
      <c r="C465" t="s">
        <v>4002</v>
      </c>
      <c r="D465" t="s">
        <v>4003</v>
      </c>
      <c r="E465" t="s">
        <v>4004</v>
      </c>
      <c r="F465" t="s">
        <v>4005</v>
      </c>
      <c r="G465" t="s">
        <v>1949</v>
      </c>
      <c r="H465" t="s">
        <v>4006</v>
      </c>
      <c r="I465" t="s">
        <v>1951</v>
      </c>
    </row>
    <row r="466" spans="1:9" x14ac:dyDescent="0.25">
      <c r="A466" t="s">
        <v>925</v>
      </c>
      <c r="B466" t="s">
        <v>4007</v>
      </c>
      <c r="C466" t="s">
        <v>4008</v>
      </c>
      <c r="D466" t="s">
        <v>4009</v>
      </c>
      <c r="E466" t="s">
        <v>4010</v>
      </c>
      <c r="F466" t="s">
        <v>2872</v>
      </c>
      <c r="G466" t="s">
        <v>2116</v>
      </c>
      <c r="H466" t="s">
        <v>2873</v>
      </c>
      <c r="I466" t="s">
        <v>1951</v>
      </c>
    </row>
    <row r="467" spans="1:9" x14ac:dyDescent="0.25">
      <c r="A467" t="s">
        <v>927</v>
      </c>
      <c r="B467" t="s">
        <v>4011</v>
      </c>
      <c r="C467" t="s">
        <v>4012</v>
      </c>
      <c r="D467" t="s">
        <v>4013</v>
      </c>
      <c r="E467" t="s">
        <v>4014</v>
      </c>
      <c r="F467" t="s">
        <v>3412</v>
      </c>
      <c r="G467" t="s">
        <v>1941</v>
      </c>
      <c r="H467">
        <v>37939</v>
      </c>
      <c r="I467" t="s">
        <v>1942</v>
      </c>
    </row>
    <row r="468" spans="1:9" x14ac:dyDescent="0.25">
      <c r="A468" t="s">
        <v>929</v>
      </c>
      <c r="B468" t="s">
        <v>4015</v>
      </c>
      <c r="C468" t="s">
        <v>4016</v>
      </c>
      <c r="D468" t="s">
        <v>4017</v>
      </c>
      <c r="E468" t="s">
        <v>4018</v>
      </c>
      <c r="F468" t="s">
        <v>4019</v>
      </c>
      <c r="G468" t="s">
        <v>1941</v>
      </c>
      <c r="H468">
        <v>48604</v>
      </c>
      <c r="I468" t="s">
        <v>1942</v>
      </c>
    </row>
    <row r="469" spans="1:9" x14ac:dyDescent="0.25">
      <c r="A469" t="s">
        <v>931</v>
      </c>
      <c r="B469" t="s">
        <v>4020</v>
      </c>
      <c r="C469" t="s">
        <v>4021</v>
      </c>
      <c r="D469" t="s">
        <v>4022</v>
      </c>
      <c r="E469" t="s">
        <v>4023</v>
      </c>
      <c r="F469" t="s">
        <v>4024</v>
      </c>
      <c r="G469" t="s">
        <v>1941</v>
      </c>
      <c r="H469">
        <v>32092</v>
      </c>
      <c r="I469" t="s">
        <v>1951</v>
      </c>
    </row>
    <row r="470" spans="1:9" x14ac:dyDescent="0.25">
      <c r="A470" t="s">
        <v>933</v>
      </c>
      <c r="B470" t="s">
        <v>4025</v>
      </c>
      <c r="C470" t="s">
        <v>4026</v>
      </c>
      <c r="E470" t="s">
        <v>4027</v>
      </c>
      <c r="F470" t="s">
        <v>4028</v>
      </c>
      <c r="G470" t="s">
        <v>1941</v>
      </c>
      <c r="H470">
        <v>94913</v>
      </c>
      <c r="I470" t="s">
        <v>1942</v>
      </c>
    </row>
    <row r="471" spans="1:9" x14ac:dyDescent="0.25">
      <c r="A471" t="s">
        <v>4029</v>
      </c>
      <c r="B471" t="s">
        <v>4030</v>
      </c>
      <c r="C471" t="s">
        <v>4031</v>
      </c>
      <c r="D471" t="s">
        <v>4032</v>
      </c>
      <c r="E471" t="s">
        <v>4033</v>
      </c>
      <c r="F471" t="s">
        <v>1995</v>
      </c>
      <c r="G471" t="s">
        <v>1941</v>
      </c>
      <c r="H471">
        <v>95113</v>
      </c>
      <c r="I471" t="s">
        <v>1942</v>
      </c>
    </row>
    <row r="472" spans="1:9" x14ac:dyDescent="0.25">
      <c r="A472" t="s">
        <v>937</v>
      </c>
      <c r="B472" t="s">
        <v>4034</v>
      </c>
      <c r="C472" t="s">
        <v>4035</v>
      </c>
      <c r="D472" t="s">
        <v>4036</v>
      </c>
      <c r="E472" t="s">
        <v>4037</v>
      </c>
      <c r="F472" t="s">
        <v>3682</v>
      </c>
      <c r="G472" t="s">
        <v>1941</v>
      </c>
      <c r="H472">
        <v>30045</v>
      </c>
      <c r="I472" t="s">
        <v>1942</v>
      </c>
    </row>
    <row r="473" spans="1:9" x14ac:dyDescent="0.25">
      <c r="A473" t="s">
        <v>939</v>
      </c>
      <c r="B473" t="s">
        <v>4038</v>
      </c>
      <c r="D473" t="s">
        <v>4039</v>
      </c>
      <c r="E473" t="s">
        <v>4040</v>
      </c>
      <c r="F473" t="s">
        <v>3510</v>
      </c>
      <c r="G473" t="s">
        <v>1941</v>
      </c>
      <c r="H473">
        <v>66622</v>
      </c>
      <c r="I473" t="s">
        <v>1942</v>
      </c>
    </row>
    <row r="474" spans="1:9" x14ac:dyDescent="0.25">
      <c r="A474" t="s">
        <v>941</v>
      </c>
      <c r="B474" t="s">
        <v>4041</v>
      </c>
      <c r="C474" t="s">
        <v>4042</v>
      </c>
      <c r="D474" t="s">
        <v>4043</v>
      </c>
      <c r="E474" t="s">
        <v>4044</v>
      </c>
      <c r="F474" t="s">
        <v>2988</v>
      </c>
      <c r="G474" t="s">
        <v>1941</v>
      </c>
      <c r="H474">
        <v>66276</v>
      </c>
      <c r="I474" t="s">
        <v>1951</v>
      </c>
    </row>
    <row r="475" spans="1:9" x14ac:dyDescent="0.25">
      <c r="A475" t="s">
        <v>943</v>
      </c>
      <c r="B475" t="s">
        <v>4045</v>
      </c>
      <c r="C475" t="s">
        <v>4046</v>
      </c>
      <c r="D475" t="s">
        <v>4047</v>
      </c>
      <c r="E475" t="s">
        <v>4048</v>
      </c>
      <c r="F475" t="s">
        <v>3492</v>
      </c>
      <c r="G475" t="s">
        <v>1941</v>
      </c>
      <c r="H475">
        <v>98148</v>
      </c>
      <c r="I475" t="s">
        <v>1951</v>
      </c>
    </row>
    <row r="476" spans="1:9" x14ac:dyDescent="0.25">
      <c r="A476" t="s">
        <v>945</v>
      </c>
      <c r="B476" t="s">
        <v>4049</v>
      </c>
      <c r="C476" t="s">
        <v>4050</v>
      </c>
      <c r="D476" t="s">
        <v>4051</v>
      </c>
      <c r="E476" t="s">
        <v>4052</v>
      </c>
      <c r="F476" t="s">
        <v>3080</v>
      </c>
      <c r="G476" t="s">
        <v>1949</v>
      </c>
      <c r="H476" t="s">
        <v>3081</v>
      </c>
      <c r="I476" t="s">
        <v>1942</v>
      </c>
    </row>
    <row r="477" spans="1:9" x14ac:dyDescent="0.25">
      <c r="A477" t="s">
        <v>947</v>
      </c>
      <c r="B477" t="s">
        <v>4053</v>
      </c>
      <c r="C477" t="s">
        <v>4054</v>
      </c>
      <c r="E477" t="s">
        <v>4055</v>
      </c>
      <c r="F477" t="s">
        <v>4056</v>
      </c>
      <c r="G477" t="s">
        <v>1941</v>
      </c>
      <c r="H477">
        <v>34745</v>
      </c>
      <c r="I477" t="s">
        <v>1951</v>
      </c>
    </row>
    <row r="478" spans="1:9" x14ac:dyDescent="0.25">
      <c r="A478" t="s">
        <v>949</v>
      </c>
      <c r="B478" t="s">
        <v>4057</v>
      </c>
      <c r="C478" t="s">
        <v>4058</v>
      </c>
      <c r="D478" t="s">
        <v>4059</v>
      </c>
      <c r="E478" t="s">
        <v>4060</v>
      </c>
      <c r="F478" t="s">
        <v>2163</v>
      </c>
      <c r="G478" t="s">
        <v>1941</v>
      </c>
      <c r="H478">
        <v>14683</v>
      </c>
      <c r="I478" t="s">
        <v>1942</v>
      </c>
    </row>
    <row r="479" spans="1:9" x14ac:dyDescent="0.25">
      <c r="A479" t="s">
        <v>951</v>
      </c>
      <c r="B479" t="s">
        <v>4061</v>
      </c>
      <c r="C479" t="s">
        <v>4062</v>
      </c>
      <c r="D479" t="s">
        <v>4063</v>
      </c>
      <c r="E479" t="s">
        <v>4064</v>
      </c>
      <c r="F479" t="s">
        <v>3515</v>
      </c>
      <c r="G479" t="s">
        <v>1941</v>
      </c>
      <c r="H479">
        <v>75799</v>
      </c>
      <c r="I479" t="s">
        <v>1951</v>
      </c>
    </row>
    <row r="480" spans="1:9" x14ac:dyDescent="0.25">
      <c r="A480" t="s">
        <v>935</v>
      </c>
      <c r="B480" t="s">
        <v>4065</v>
      </c>
      <c r="C480" t="s">
        <v>4066</v>
      </c>
      <c r="D480" t="s">
        <v>4067</v>
      </c>
      <c r="E480" t="s">
        <v>4068</v>
      </c>
      <c r="F480" t="s">
        <v>4069</v>
      </c>
      <c r="G480" t="s">
        <v>1941</v>
      </c>
      <c r="H480">
        <v>11388</v>
      </c>
      <c r="I480" t="s">
        <v>1942</v>
      </c>
    </row>
    <row r="481" spans="1:9" x14ac:dyDescent="0.25">
      <c r="A481" t="s">
        <v>4070</v>
      </c>
      <c r="B481" t="s">
        <v>4071</v>
      </c>
      <c r="D481" t="s">
        <v>4072</v>
      </c>
      <c r="E481" t="s">
        <v>4073</v>
      </c>
      <c r="F481" t="s">
        <v>4074</v>
      </c>
      <c r="G481" t="s">
        <v>1941</v>
      </c>
      <c r="H481">
        <v>20167</v>
      </c>
      <c r="I481" t="s">
        <v>1942</v>
      </c>
    </row>
    <row r="482" spans="1:9" x14ac:dyDescent="0.25">
      <c r="A482" t="s">
        <v>4075</v>
      </c>
      <c r="B482" t="s">
        <v>4076</v>
      </c>
      <c r="C482" t="s">
        <v>4077</v>
      </c>
      <c r="D482" t="s">
        <v>4078</v>
      </c>
      <c r="E482" t="s">
        <v>4079</v>
      </c>
      <c r="F482" t="s">
        <v>2004</v>
      </c>
      <c r="G482" t="s">
        <v>1941</v>
      </c>
      <c r="H482">
        <v>23203</v>
      </c>
      <c r="I482" t="s">
        <v>1951</v>
      </c>
    </row>
    <row r="483" spans="1:9" x14ac:dyDescent="0.25">
      <c r="A483" t="s">
        <v>954</v>
      </c>
      <c r="B483" t="s">
        <v>4080</v>
      </c>
      <c r="C483" t="s">
        <v>4081</v>
      </c>
      <c r="D483" t="s">
        <v>4082</v>
      </c>
      <c r="E483" t="s">
        <v>4083</v>
      </c>
      <c r="F483" t="s">
        <v>4084</v>
      </c>
      <c r="G483" t="s">
        <v>2116</v>
      </c>
      <c r="H483" t="s">
        <v>2393</v>
      </c>
      <c r="I483" t="s">
        <v>1951</v>
      </c>
    </row>
    <row r="484" spans="1:9" x14ac:dyDescent="0.25">
      <c r="A484" t="s">
        <v>956</v>
      </c>
      <c r="B484" t="s">
        <v>4085</v>
      </c>
      <c r="C484" t="s">
        <v>4086</v>
      </c>
      <c r="D484" t="s">
        <v>4087</v>
      </c>
      <c r="E484" t="s">
        <v>4088</v>
      </c>
      <c r="F484" t="s">
        <v>2699</v>
      </c>
      <c r="G484" t="s">
        <v>1941</v>
      </c>
      <c r="H484">
        <v>22309</v>
      </c>
      <c r="I484" t="s">
        <v>1942</v>
      </c>
    </row>
    <row r="485" spans="1:9" x14ac:dyDescent="0.25">
      <c r="A485" t="s">
        <v>958</v>
      </c>
      <c r="B485" t="s">
        <v>4089</v>
      </c>
      <c r="D485" t="s">
        <v>4090</v>
      </c>
      <c r="E485" t="s">
        <v>4091</v>
      </c>
      <c r="F485" t="s">
        <v>2938</v>
      </c>
      <c r="G485" t="s">
        <v>1941</v>
      </c>
      <c r="H485">
        <v>84115</v>
      </c>
      <c r="I485" t="s">
        <v>1942</v>
      </c>
    </row>
    <row r="486" spans="1:9" x14ac:dyDescent="0.25">
      <c r="A486" t="s">
        <v>960</v>
      </c>
      <c r="B486" t="s">
        <v>4092</v>
      </c>
      <c r="C486" t="s">
        <v>4093</v>
      </c>
      <c r="E486" t="s">
        <v>4094</v>
      </c>
      <c r="F486" t="s">
        <v>1995</v>
      </c>
      <c r="G486" t="s">
        <v>1941</v>
      </c>
      <c r="H486">
        <v>95108</v>
      </c>
      <c r="I486" t="s">
        <v>1951</v>
      </c>
    </row>
    <row r="487" spans="1:9" x14ac:dyDescent="0.25">
      <c r="A487" t="s">
        <v>962</v>
      </c>
      <c r="B487" t="s">
        <v>4095</v>
      </c>
      <c r="C487" t="s">
        <v>4096</v>
      </c>
      <c r="D487" t="s">
        <v>4097</v>
      </c>
      <c r="E487" t="s">
        <v>4098</v>
      </c>
      <c r="F487" t="s">
        <v>4099</v>
      </c>
      <c r="G487" t="s">
        <v>1949</v>
      </c>
      <c r="H487" t="s">
        <v>4100</v>
      </c>
      <c r="I487" t="s">
        <v>1942</v>
      </c>
    </row>
    <row r="488" spans="1:9" x14ac:dyDescent="0.25">
      <c r="A488" t="s">
        <v>964</v>
      </c>
      <c r="B488" t="s">
        <v>4101</v>
      </c>
      <c r="C488" t="s">
        <v>4102</v>
      </c>
      <c r="D488" t="s">
        <v>4103</v>
      </c>
      <c r="E488" t="s">
        <v>4104</v>
      </c>
      <c r="F488" t="s">
        <v>4105</v>
      </c>
      <c r="G488" t="s">
        <v>1949</v>
      </c>
      <c r="H488" t="s">
        <v>2545</v>
      </c>
      <c r="I488" t="s">
        <v>1942</v>
      </c>
    </row>
    <row r="489" spans="1:9" x14ac:dyDescent="0.25">
      <c r="A489" t="s">
        <v>966</v>
      </c>
      <c r="B489" t="s">
        <v>4106</v>
      </c>
      <c r="C489" t="s">
        <v>4107</v>
      </c>
      <c r="D489" t="s">
        <v>4108</v>
      </c>
      <c r="E489" t="s">
        <v>4109</v>
      </c>
      <c r="F489" t="s">
        <v>4105</v>
      </c>
      <c r="G489" t="s">
        <v>1949</v>
      </c>
      <c r="H489" t="s">
        <v>2545</v>
      </c>
      <c r="I489" t="s">
        <v>1951</v>
      </c>
    </row>
    <row r="490" spans="1:9" x14ac:dyDescent="0.25">
      <c r="A490" t="s">
        <v>968</v>
      </c>
      <c r="B490" t="s">
        <v>4110</v>
      </c>
      <c r="C490" t="s">
        <v>4111</v>
      </c>
      <c r="D490" t="s">
        <v>4112</v>
      </c>
      <c r="E490" t="s">
        <v>4113</v>
      </c>
      <c r="F490" t="s">
        <v>4114</v>
      </c>
      <c r="G490" t="s">
        <v>1949</v>
      </c>
      <c r="H490" t="s">
        <v>2855</v>
      </c>
      <c r="I490" t="s">
        <v>1942</v>
      </c>
    </row>
    <row r="491" spans="1:9" x14ac:dyDescent="0.25">
      <c r="A491" t="s">
        <v>970</v>
      </c>
      <c r="B491" t="s">
        <v>4115</v>
      </c>
      <c r="C491" t="s">
        <v>4116</v>
      </c>
      <c r="D491" t="s">
        <v>4117</v>
      </c>
      <c r="E491" t="s">
        <v>4118</v>
      </c>
      <c r="F491" t="s">
        <v>2448</v>
      </c>
      <c r="G491" t="s">
        <v>1941</v>
      </c>
      <c r="H491">
        <v>79945</v>
      </c>
      <c r="I491" t="s">
        <v>1951</v>
      </c>
    </row>
    <row r="492" spans="1:9" x14ac:dyDescent="0.25">
      <c r="A492" t="s">
        <v>972</v>
      </c>
      <c r="B492" t="s">
        <v>4119</v>
      </c>
      <c r="C492" t="s">
        <v>4120</v>
      </c>
      <c r="D492" t="s">
        <v>4121</v>
      </c>
      <c r="E492" t="s">
        <v>4122</v>
      </c>
      <c r="F492" t="s">
        <v>2191</v>
      </c>
      <c r="G492" t="s">
        <v>1941</v>
      </c>
      <c r="H492">
        <v>33355</v>
      </c>
      <c r="I492" t="s">
        <v>1951</v>
      </c>
    </row>
    <row r="493" spans="1:9" x14ac:dyDescent="0.25">
      <c r="A493" t="s">
        <v>974</v>
      </c>
      <c r="B493" t="s">
        <v>4123</v>
      </c>
      <c r="D493" t="s">
        <v>4124</v>
      </c>
      <c r="E493" t="s">
        <v>4125</v>
      </c>
      <c r="F493" t="s">
        <v>3483</v>
      </c>
      <c r="G493" t="s">
        <v>1941</v>
      </c>
      <c r="H493">
        <v>46295</v>
      </c>
      <c r="I493" t="s">
        <v>1951</v>
      </c>
    </row>
    <row r="494" spans="1:9" x14ac:dyDescent="0.25">
      <c r="A494" t="s">
        <v>976</v>
      </c>
      <c r="B494" t="s">
        <v>4126</v>
      </c>
      <c r="C494" t="s">
        <v>4127</v>
      </c>
      <c r="D494" t="s">
        <v>4128</v>
      </c>
      <c r="E494" t="s">
        <v>4129</v>
      </c>
      <c r="F494" t="s">
        <v>3121</v>
      </c>
      <c r="G494" t="s">
        <v>1941</v>
      </c>
      <c r="H494">
        <v>53234</v>
      </c>
      <c r="I494" t="s">
        <v>1942</v>
      </c>
    </row>
    <row r="495" spans="1:9" x14ac:dyDescent="0.25">
      <c r="A495" t="s">
        <v>978</v>
      </c>
      <c r="B495" t="s">
        <v>4130</v>
      </c>
      <c r="C495" t="s">
        <v>4131</v>
      </c>
      <c r="D495" t="s">
        <v>4132</v>
      </c>
      <c r="E495" t="s">
        <v>4133</v>
      </c>
      <c r="F495" t="s">
        <v>3330</v>
      </c>
      <c r="G495" t="s">
        <v>2116</v>
      </c>
      <c r="H495" t="s">
        <v>3331</v>
      </c>
      <c r="I495" t="s">
        <v>1951</v>
      </c>
    </row>
    <row r="496" spans="1:9" x14ac:dyDescent="0.25">
      <c r="A496" t="s">
        <v>980</v>
      </c>
      <c r="B496" t="s">
        <v>4134</v>
      </c>
      <c r="C496" t="s">
        <v>4135</v>
      </c>
      <c r="D496" t="s">
        <v>4136</v>
      </c>
      <c r="E496" t="s">
        <v>4137</v>
      </c>
      <c r="F496" t="s">
        <v>3070</v>
      </c>
      <c r="G496" t="s">
        <v>1941</v>
      </c>
      <c r="H496">
        <v>70836</v>
      </c>
      <c r="I496" t="s">
        <v>1951</v>
      </c>
    </row>
    <row r="497" spans="1:9" x14ac:dyDescent="0.25">
      <c r="A497" t="s">
        <v>982</v>
      </c>
      <c r="B497" t="s">
        <v>4138</v>
      </c>
      <c r="D497" t="s">
        <v>4139</v>
      </c>
      <c r="E497" t="s">
        <v>4140</v>
      </c>
      <c r="F497" t="s">
        <v>3283</v>
      </c>
      <c r="G497" t="s">
        <v>1941</v>
      </c>
      <c r="H497">
        <v>6816</v>
      </c>
      <c r="I497" t="s">
        <v>1942</v>
      </c>
    </row>
    <row r="498" spans="1:9" x14ac:dyDescent="0.25">
      <c r="A498" t="s">
        <v>984</v>
      </c>
      <c r="B498" t="s">
        <v>4141</v>
      </c>
      <c r="C498" t="s">
        <v>4142</v>
      </c>
      <c r="D498" t="s">
        <v>4143</v>
      </c>
      <c r="E498" t="s">
        <v>4144</v>
      </c>
      <c r="F498" t="s">
        <v>2225</v>
      </c>
      <c r="G498" t="s">
        <v>1941</v>
      </c>
      <c r="H498">
        <v>32590</v>
      </c>
      <c r="I498" t="s">
        <v>1951</v>
      </c>
    </row>
    <row r="499" spans="1:9" x14ac:dyDescent="0.25">
      <c r="A499" t="s">
        <v>986</v>
      </c>
      <c r="B499" t="s">
        <v>4145</v>
      </c>
      <c r="C499" t="s">
        <v>4146</v>
      </c>
      <c r="D499" t="s">
        <v>4147</v>
      </c>
      <c r="E499" t="s">
        <v>4148</v>
      </c>
      <c r="F499" t="s">
        <v>4149</v>
      </c>
      <c r="G499" t="s">
        <v>1949</v>
      </c>
      <c r="H499" t="s">
        <v>2083</v>
      </c>
      <c r="I499" t="s">
        <v>1951</v>
      </c>
    </row>
    <row r="500" spans="1:9" x14ac:dyDescent="0.25">
      <c r="A500" t="s">
        <v>4150</v>
      </c>
      <c r="B500" t="s">
        <v>4151</v>
      </c>
      <c r="C500" t="s">
        <v>4152</v>
      </c>
      <c r="D500" t="s">
        <v>4153</v>
      </c>
      <c r="E500" t="s">
        <v>4154</v>
      </c>
      <c r="F500" t="s">
        <v>3238</v>
      </c>
      <c r="G500" t="s">
        <v>2116</v>
      </c>
      <c r="H500" t="s">
        <v>3239</v>
      </c>
      <c r="I500" t="s">
        <v>1942</v>
      </c>
    </row>
    <row r="501" spans="1:9" x14ac:dyDescent="0.25">
      <c r="A501" t="s">
        <v>990</v>
      </c>
      <c r="B501" t="s">
        <v>4155</v>
      </c>
      <c r="D501" t="s">
        <v>4156</v>
      </c>
      <c r="E501" t="s">
        <v>4157</v>
      </c>
      <c r="F501" t="s">
        <v>2933</v>
      </c>
      <c r="G501" t="s">
        <v>1949</v>
      </c>
      <c r="H501" t="s">
        <v>2083</v>
      </c>
      <c r="I501" t="s">
        <v>1942</v>
      </c>
    </row>
    <row r="502" spans="1:9" x14ac:dyDescent="0.25">
      <c r="A502" t="s">
        <v>992</v>
      </c>
      <c r="B502" t="s">
        <v>4158</v>
      </c>
      <c r="D502" t="s">
        <v>4159</v>
      </c>
      <c r="E502" t="s">
        <v>4160</v>
      </c>
      <c r="F502" t="s">
        <v>2048</v>
      </c>
      <c r="G502" t="s">
        <v>1941</v>
      </c>
      <c r="H502">
        <v>49518</v>
      </c>
      <c r="I502" t="s">
        <v>1951</v>
      </c>
    </row>
    <row r="503" spans="1:9" x14ac:dyDescent="0.25">
      <c r="A503" t="s">
        <v>994</v>
      </c>
      <c r="B503" t="s">
        <v>4161</v>
      </c>
      <c r="C503" t="s">
        <v>4162</v>
      </c>
      <c r="D503" t="s">
        <v>4163</v>
      </c>
      <c r="E503" t="s">
        <v>4164</v>
      </c>
      <c r="F503" t="s">
        <v>3365</v>
      </c>
      <c r="G503" t="s">
        <v>2116</v>
      </c>
      <c r="H503" t="s">
        <v>3366</v>
      </c>
      <c r="I503" t="s">
        <v>1951</v>
      </c>
    </row>
    <row r="504" spans="1:9" x14ac:dyDescent="0.25">
      <c r="A504" t="s">
        <v>4165</v>
      </c>
      <c r="B504" t="s">
        <v>4166</v>
      </c>
      <c r="C504" t="s">
        <v>4167</v>
      </c>
      <c r="D504" t="s">
        <v>4168</v>
      </c>
      <c r="E504" t="s">
        <v>4169</v>
      </c>
      <c r="F504" t="s">
        <v>2375</v>
      </c>
      <c r="G504" t="s">
        <v>1941</v>
      </c>
      <c r="H504">
        <v>66160</v>
      </c>
      <c r="I504" t="s">
        <v>1951</v>
      </c>
    </row>
    <row r="505" spans="1:9" x14ac:dyDescent="0.25">
      <c r="A505" t="s">
        <v>4170</v>
      </c>
      <c r="B505" t="s">
        <v>4171</v>
      </c>
      <c r="D505" t="s">
        <v>4172</v>
      </c>
      <c r="E505" t="s">
        <v>4173</v>
      </c>
      <c r="F505" t="s">
        <v>4174</v>
      </c>
      <c r="G505" t="s">
        <v>1941</v>
      </c>
      <c r="H505">
        <v>14905</v>
      </c>
      <c r="I505" t="s">
        <v>1951</v>
      </c>
    </row>
    <row r="506" spans="1:9" x14ac:dyDescent="0.25">
      <c r="A506" t="s">
        <v>4175</v>
      </c>
      <c r="B506" t="s">
        <v>4176</v>
      </c>
      <c r="C506" t="s">
        <v>4177</v>
      </c>
      <c r="D506" t="s">
        <v>4178</v>
      </c>
      <c r="E506" t="s">
        <v>4179</v>
      </c>
      <c r="F506" t="s">
        <v>3121</v>
      </c>
      <c r="G506" t="s">
        <v>1941</v>
      </c>
      <c r="H506">
        <v>53205</v>
      </c>
      <c r="I506" t="s">
        <v>1942</v>
      </c>
    </row>
    <row r="507" spans="1:9" x14ac:dyDescent="0.25">
      <c r="A507" t="s">
        <v>996</v>
      </c>
      <c r="B507" t="s">
        <v>4180</v>
      </c>
      <c r="C507" t="s">
        <v>4181</v>
      </c>
      <c r="D507" t="s">
        <v>4182</v>
      </c>
      <c r="E507" t="s">
        <v>4183</v>
      </c>
      <c r="F507" t="s">
        <v>4184</v>
      </c>
      <c r="G507" t="s">
        <v>1941</v>
      </c>
      <c r="H507">
        <v>27264</v>
      </c>
      <c r="I507" t="s">
        <v>1951</v>
      </c>
    </row>
    <row r="508" spans="1:9" x14ac:dyDescent="0.25">
      <c r="A508" t="s">
        <v>998</v>
      </c>
      <c r="B508" t="s">
        <v>4185</v>
      </c>
      <c r="C508" t="s">
        <v>4186</v>
      </c>
      <c r="D508" t="s">
        <v>4187</v>
      </c>
      <c r="E508" t="s">
        <v>4188</v>
      </c>
      <c r="F508" t="s">
        <v>2448</v>
      </c>
      <c r="G508" t="s">
        <v>1941</v>
      </c>
      <c r="H508">
        <v>88546</v>
      </c>
      <c r="I508" t="s">
        <v>1942</v>
      </c>
    </row>
    <row r="509" spans="1:9" x14ac:dyDescent="0.25">
      <c r="A509" t="s">
        <v>1000</v>
      </c>
      <c r="B509" t="s">
        <v>4189</v>
      </c>
      <c r="C509" t="s">
        <v>4190</v>
      </c>
      <c r="D509" t="s">
        <v>4191</v>
      </c>
      <c r="E509" t="s">
        <v>4192</v>
      </c>
      <c r="F509" t="s">
        <v>4193</v>
      </c>
      <c r="G509" t="s">
        <v>1941</v>
      </c>
      <c r="H509">
        <v>44185</v>
      </c>
      <c r="I509" t="s">
        <v>1942</v>
      </c>
    </row>
    <row r="510" spans="1:9" x14ac:dyDescent="0.25">
      <c r="A510" t="s">
        <v>1002</v>
      </c>
      <c r="B510" t="s">
        <v>4194</v>
      </c>
      <c r="C510" t="s">
        <v>4195</v>
      </c>
      <c r="D510" t="s">
        <v>4196</v>
      </c>
      <c r="E510" t="s">
        <v>4197</v>
      </c>
      <c r="F510" t="s">
        <v>4198</v>
      </c>
      <c r="G510" t="s">
        <v>1949</v>
      </c>
      <c r="H510" t="s">
        <v>4199</v>
      </c>
      <c r="I510" t="s">
        <v>1951</v>
      </c>
    </row>
    <row r="511" spans="1:9" x14ac:dyDescent="0.25">
      <c r="A511" t="s">
        <v>988</v>
      </c>
      <c r="B511" t="s">
        <v>4200</v>
      </c>
      <c r="C511" t="s">
        <v>4201</v>
      </c>
      <c r="D511" t="s">
        <v>4202</v>
      </c>
      <c r="E511" t="s">
        <v>4203</v>
      </c>
      <c r="F511" t="s">
        <v>4204</v>
      </c>
      <c r="G511" t="s">
        <v>1949</v>
      </c>
      <c r="H511" t="s">
        <v>4205</v>
      </c>
      <c r="I511" t="s">
        <v>1942</v>
      </c>
    </row>
    <row r="512" spans="1:9" x14ac:dyDescent="0.25">
      <c r="A512" t="s">
        <v>1005</v>
      </c>
      <c r="B512" t="s">
        <v>4206</v>
      </c>
      <c r="C512" t="s">
        <v>4207</v>
      </c>
      <c r="D512" t="s">
        <v>4208</v>
      </c>
      <c r="E512" t="s">
        <v>4209</v>
      </c>
      <c r="F512" t="s">
        <v>3749</v>
      </c>
      <c r="G512" t="s">
        <v>1949</v>
      </c>
      <c r="H512" t="s">
        <v>3750</v>
      </c>
      <c r="I512" t="s">
        <v>1942</v>
      </c>
    </row>
    <row r="513" spans="1:9" x14ac:dyDescent="0.25">
      <c r="A513" t="s">
        <v>1007</v>
      </c>
      <c r="B513" t="s">
        <v>4210</v>
      </c>
      <c r="C513" t="s">
        <v>4211</v>
      </c>
      <c r="D513" t="s">
        <v>4212</v>
      </c>
      <c r="E513" t="s">
        <v>4213</v>
      </c>
      <c r="F513" t="s">
        <v>2172</v>
      </c>
      <c r="G513" t="s">
        <v>1941</v>
      </c>
      <c r="H513">
        <v>35244</v>
      </c>
      <c r="I513" t="s">
        <v>1942</v>
      </c>
    </row>
    <row r="514" spans="1:9" x14ac:dyDescent="0.25">
      <c r="A514" t="s">
        <v>1009</v>
      </c>
      <c r="B514" t="s">
        <v>4214</v>
      </c>
      <c r="C514" t="s">
        <v>4215</v>
      </c>
      <c r="D514" t="s">
        <v>4216</v>
      </c>
      <c r="E514" t="s">
        <v>4217</v>
      </c>
      <c r="F514" t="s">
        <v>4218</v>
      </c>
      <c r="G514" t="s">
        <v>1941</v>
      </c>
      <c r="H514">
        <v>56372</v>
      </c>
      <c r="I514" t="s">
        <v>1951</v>
      </c>
    </row>
    <row r="515" spans="1:9" x14ac:dyDescent="0.25">
      <c r="A515" t="s">
        <v>1011</v>
      </c>
      <c r="B515" t="s">
        <v>4219</v>
      </c>
      <c r="C515" t="s">
        <v>4220</v>
      </c>
      <c r="E515" t="s">
        <v>4221</v>
      </c>
      <c r="F515" t="s">
        <v>2017</v>
      </c>
      <c r="G515" t="s">
        <v>1941</v>
      </c>
      <c r="H515">
        <v>19191</v>
      </c>
      <c r="I515" t="s">
        <v>1951</v>
      </c>
    </row>
    <row r="516" spans="1:9" x14ac:dyDescent="0.25">
      <c r="A516" t="s">
        <v>1013</v>
      </c>
      <c r="B516" t="s">
        <v>4222</v>
      </c>
      <c r="C516" t="s">
        <v>4223</v>
      </c>
      <c r="D516" t="s">
        <v>4224</v>
      </c>
      <c r="E516" t="s">
        <v>4225</v>
      </c>
      <c r="F516" t="s">
        <v>2821</v>
      </c>
      <c r="G516" t="s">
        <v>1941</v>
      </c>
      <c r="H516">
        <v>48211</v>
      </c>
      <c r="I516" t="s">
        <v>1942</v>
      </c>
    </row>
    <row r="517" spans="1:9" x14ac:dyDescent="0.25">
      <c r="A517" t="s">
        <v>1015</v>
      </c>
      <c r="B517" t="s">
        <v>4226</v>
      </c>
      <c r="C517" t="s">
        <v>4227</v>
      </c>
      <c r="D517" t="s">
        <v>4228</v>
      </c>
      <c r="E517" t="s">
        <v>4229</v>
      </c>
      <c r="F517" t="s">
        <v>2013</v>
      </c>
      <c r="G517" t="s">
        <v>1941</v>
      </c>
      <c r="H517">
        <v>63180</v>
      </c>
      <c r="I517" t="s">
        <v>1951</v>
      </c>
    </row>
    <row r="518" spans="1:9" x14ac:dyDescent="0.25">
      <c r="A518" t="s">
        <v>1017</v>
      </c>
      <c r="B518" t="s">
        <v>4230</v>
      </c>
      <c r="D518" t="s">
        <v>4231</v>
      </c>
      <c r="E518" t="s">
        <v>4232</v>
      </c>
      <c r="F518" t="s">
        <v>4233</v>
      </c>
      <c r="G518" t="s">
        <v>1941</v>
      </c>
      <c r="H518">
        <v>12305</v>
      </c>
      <c r="I518" t="s">
        <v>1942</v>
      </c>
    </row>
    <row r="519" spans="1:9" x14ac:dyDescent="0.25">
      <c r="A519" t="s">
        <v>1019</v>
      </c>
      <c r="B519" t="s">
        <v>4234</v>
      </c>
      <c r="D519" t="s">
        <v>4235</v>
      </c>
      <c r="E519" t="s">
        <v>4236</v>
      </c>
      <c r="F519" t="s">
        <v>4237</v>
      </c>
      <c r="G519" t="s">
        <v>1941</v>
      </c>
      <c r="H519">
        <v>33805</v>
      </c>
      <c r="I519" t="s">
        <v>1951</v>
      </c>
    </row>
    <row r="520" spans="1:9" x14ac:dyDescent="0.25">
      <c r="A520" t="s">
        <v>1021</v>
      </c>
      <c r="B520" t="s">
        <v>4238</v>
      </c>
      <c r="C520" t="s">
        <v>4239</v>
      </c>
      <c r="D520" t="s">
        <v>4240</v>
      </c>
      <c r="E520" t="s">
        <v>4241</v>
      </c>
      <c r="F520" t="s">
        <v>4242</v>
      </c>
      <c r="G520" t="s">
        <v>1941</v>
      </c>
      <c r="H520">
        <v>32941</v>
      </c>
      <c r="I520" t="s">
        <v>1951</v>
      </c>
    </row>
    <row r="521" spans="1:9" x14ac:dyDescent="0.25">
      <c r="A521" t="s">
        <v>4243</v>
      </c>
      <c r="B521" t="s">
        <v>4244</v>
      </c>
      <c r="C521" t="s">
        <v>4245</v>
      </c>
      <c r="D521" t="s">
        <v>4246</v>
      </c>
      <c r="E521" t="s">
        <v>4247</v>
      </c>
      <c r="F521" t="s">
        <v>2027</v>
      </c>
      <c r="G521" t="s">
        <v>1941</v>
      </c>
      <c r="H521">
        <v>77075</v>
      </c>
      <c r="I521" t="s">
        <v>1951</v>
      </c>
    </row>
    <row r="522" spans="1:9" x14ac:dyDescent="0.25">
      <c r="A522" t="s">
        <v>1024</v>
      </c>
      <c r="B522" t="s">
        <v>4248</v>
      </c>
      <c r="C522" t="s">
        <v>4249</v>
      </c>
      <c r="D522" t="s">
        <v>4250</v>
      </c>
      <c r="E522" t="s">
        <v>4251</v>
      </c>
      <c r="F522" t="s">
        <v>2144</v>
      </c>
      <c r="G522" t="s">
        <v>1941</v>
      </c>
      <c r="H522">
        <v>70179</v>
      </c>
      <c r="I522" t="s">
        <v>1951</v>
      </c>
    </row>
    <row r="523" spans="1:9" x14ac:dyDescent="0.25">
      <c r="A523" t="s">
        <v>4252</v>
      </c>
      <c r="B523" t="s">
        <v>4253</v>
      </c>
      <c r="C523" t="s">
        <v>4254</v>
      </c>
      <c r="D523" t="s">
        <v>4255</v>
      </c>
      <c r="E523" t="s">
        <v>4256</v>
      </c>
      <c r="F523" t="s">
        <v>2362</v>
      </c>
      <c r="G523" t="s">
        <v>1941</v>
      </c>
      <c r="H523">
        <v>73142</v>
      </c>
      <c r="I523" t="s">
        <v>1951</v>
      </c>
    </row>
    <row r="524" spans="1:9" x14ac:dyDescent="0.25">
      <c r="A524" t="s">
        <v>1026</v>
      </c>
      <c r="B524" t="s">
        <v>4257</v>
      </c>
      <c r="C524" t="s">
        <v>4258</v>
      </c>
      <c r="D524" t="s">
        <v>4259</v>
      </c>
      <c r="E524" t="s">
        <v>4260</v>
      </c>
      <c r="F524" t="s">
        <v>3510</v>
      </c>
      <c r="G524" t="s">
        <v>1941</v>
      </c>
      <c r="H524">
        <v>66617</v>
      </c>
      <c r="I524" t="s">
        <v>1951</v>
      </c>
    </row>
    <row r="525" spans="1:9" x14ac:dyDescent="0.25">
      <c r="A525" t="s">
        <v>1028</v>
      </c>
      <c r="B525" t="s">
        <v>4261</v>
      </c>
      <c r="C525" t="s">
        <v>4262</v>
      </c>
      <c r="D525" t="s">
        <v>4263</v>
      </c>
      <c r="E525" t="s">
        <v>4264</v>
      </c>
      <c r="F525" t="s">
        <v>4265</v>
      </c>
      <c r="G525" t="s">
        <v>1949</v>
      </c>
      <c r="H525" t="s">
        <v>3618</v>
      </c>
      <c r="I525" t="s">
        <v>1951</v>
      </c>
    </row>
    <row r="526" spans="1:9" x14ac:dyDescent="0.25">
      <c r="A526" t="s">
        <v>1030</v>
      </c>
      <c r="B526" t="s">
        <v>4266</v>
      </c>
      <c r="D526" t="s">
        <v>4267</v>
      </c>
      <c r="E526" t="s">
        <v>4268</v>
      </c>
      <c r="F526" t="s">
        <v>1962</v>
      </c>
      <c r="G526" t="s">
        <v>1941</v>
      </c>
      <c r="H526">
        <v>62723</v>
      </c>
      <c r="I526" t="s">
        <v>1951</v>
      </c>
    </row>
    <row r="527" spans="1:9" x14ac:dyDescent="0.25">
      <c r="A527" t="s">
        <v>1032</v>
      </c>
      <c r="B527" t="s">
        <v>4269</v>
      </c>
      <c r="D527" t="s">
        <v>4270</v>
      </c>
      <c r="E527" t="s">
        <v>4271</v>
      </c>
      <c r="F527" t="s">
        <v>4272</v>
      </c>
      <c r="G527" t="s">
        <v>1941</v>
      </c>
      <c r="H527">
        <v>8104</v>
      </c>
      <c r="I527" t="s">
        <v>1942</v>
      </c>
    </row>
    <row r="528" spans="1:9" x14ac:dyDescent="0.25">
      <c r="A528" t="s">
        <v>1034</v>
      </c>
      <c r="B528" t="s">
        <v>4273</v>
      </c>
      <c r="C528" t="s">
        <v>4274</v>
      </c>
      <c r="D528" t="s">
        <v>4275</v>
      </c>
      <c r="E528" t="s">
        <v>4276</v>
      </c>
      <c r="F528" t="s">
        <v>3492</v>
      </c>
      <c r="G528" t="s">
        <v>1941</v>
      </c>
      <c r="H528">
        <v>98185</v>
      </c>
      <c r="I528" t="s">
        <v>1942</v>
      </c>
    </row>
    <row r="529" spans="1:9" x14ac:dyDescent="0.25">
      <c r="A529" t="s">
        <v>1036</v>
      </c>
      <c r="B529" t="s">
        <v>4277</v>
      </c>
      <c r="C529" t="s">
        <v>4278</v>
      </c>
      <c r="D529" t="s">
        <v>4279</v>
      </c>
      <c r="E529" t="s">
        <v>4280</v>
      </c>
      <c r="F529" t="s">
        <v>2242</v>
      </c>
      <c r="G529" t="s">
        <v>2116</v>
      </c>
      <c r="H529" t="s">
        <v>2243</v>
      </c>
      <c r="I529" t="s">
        <v>1951</v>
      </c>
    </row>
    <row r="530" spans="1:9" x14ac:dyDescent="0.25">
      <c r="A530" t="s">
        <v>1038</v>
      </c>
      <c r="B530" t="s">
        <v>4281</v>
      </c>
      <c r="C530" t="s">
        <v>4282</v>
      </c>
      <c r="D530" t="s">
        <v>4283</v>
      </c>
      <c r="E530" t="s">
        <v>4284</v>
      </c>
      <c r="F530" t="s">
        <v>4285</v>
      </c>
      <c r="G530" t="s">
        <v>1941</v>
      </c>
      <c r="H530">
        <v>76711</v>
      </c>
      <c r="I530" t="s">
        <v>1951</v>
      </c>
    </row>
    <row r="531" spans="1:9" x14ac:dyDescent="0.25">
      <c r="A531" t="s">
        <v>1040</v>
      </c>
      <c r="B531" t="s">
        <v>4286</v>
      </c>
      <c r="C531" t="s">
        <v>4287</v>
      </c>
      <c r="D531" t="s">
        <v>4288</v>
      </c>
      <c r="E531" t="s">
        <v>4289</v>
      </c>
      <c r="F531" t="s">
        <v>2004</v>
      </c>
      <c r="G531" t="s">
        <v>1941</v>
      </c>
      <c r="H531">
        <v>23242</v>
      </c>
      <c r="I531" t="s">
        <v>1951</v>
      </c>
    </row>
    <row r="532" spans="1:9" x14ac:dyDescent="0.25">
      <c r="A532" t="s">
        <v>1042</v>
      </c>
      <c r="B532" t="s">
        <v>4290</v>
      </c>
      <c r="C532" t="s">
        <v>4291</v>
      </c>
      <c r="D532" t="s">
        <v>4292</v>
      </c>
      <c r="E532" t="s">
        <v>4293</v>
      </c>
      <c r="F532" t="s">
        <v>2211</v>
      </c>
      <c r="G532" t="s">
        <v>1941</v>
      </c>
      <c r="H532">
        <v>43610</v>
      </c>
      <c r="I532" t="s">
        <v>1951</v>
      </c>
    </row>
    <row r="533" spans="1:9" x14ac:dyDescent="0.25">
      <c r="A533" t="s">
        <v>1044</v>
      </c>
      <c r="B533" t="s">
        <v>4294</v>
      </c>
      <c r="C533" t="s">
        <v>4295</v>
      </c>
      <c r="D533" t="s">
        <v>4296</v>
      </c>
      <c r="E533" t="s">
        <v>4297</v>
      </c>
      <c r="F533" t="s">
        <v>2481</v>
      </c>
      <c r="G533" t="s">
        <v>1941</v>
      </c>
      <c r="H533">
        <v>25705</v>
      </c>
      <c r="I533" t="s">
        <v>1951</v>
      </c>
    </row>
    <row r="534" spans="1:9" x14ac:dyDescent="0.25">
      <c r="A534" t="s">
        <v>1046</v>
      </c>
      <c r="B534" t="s">
        <v>4298</v>
      </c>
      <c r="C534" t="s">
        <v>4299</v>
      </c>
      <c r="D534" t="s">
        <v>4300</v>
      </c>
      <c r="E534" t="s">
        <v>4301</v>
      </c>
      <c r="F534" t="s">
        <v>4302</v>
      </c>
      <c r="G534" t="s">
        <v>1941</v>
      </c>
      <c r="H534">
        <v>33884</v>
      </c>
      <c r="I534" t="s">
        <v>1942</v>
      </c>
    </row>
    <row r="535" spans="1:9" x14ac:dyDescent="0.25">
      <c r="A535" t="s">
        <v>1048</v>
      </c>
      <c r="B535" t="s">
        <v>4303</v>
      </c>
      <c r="D535" t="s">
        <v>4304</v>
      </c>
      <c r="E535" t="s">
        <v>4305</v>
      </c>
      <c r="F535" t="s">
        <v>2325</v>
      </c>
      <c r="G535" t="s">
        <v>1941</v>
      </c>
      <c r="H535">
        <v>75323</v>
      </c>
      <c r="I535" t="s">
        <v>1951</v>
      </c>
    </row>
    <row r="536" spans="1:9" x14ac:dyDescent="0.25">
      <c r="A536" t="s">
        <v>1050</v>
      </c>
      <c r="B536" t="s">
        <v>4306</v>
      </c>
      <c r="C536" t="s">
        <v>4307</v>
      </c>
      <c r="D536" t="s">
        <v>4308</v>
      </c>
      <c r="E536" t="s">
        <v>4309</v>
      </c>
      <c r="F536" t="s">
        <v>2345</v>
      </c>
      <c r="G536" t="s">
        <v>1949</v>
      </c>
      <c r="H536" t="s">
        <v>2346</v>
      </c>
      <c r="I536" t="s">
        <v>1942</v>
      </c>
    </row>
    <row r="537" spans="1:9" x14ac:dyDescent="0.25">
      <c r="A537" t="s">
        <v>1052</v>
      </c>
      <c r="B537" t="s">
        <v>4310</v>
      </c>
      <c r="D537" t="s">
        <v>4311</v>
      </c>
      <c r="E537" t="s">
        <v>4312</v>
      </c>
      <c r="F537" t="s">
        <v>2600</v>
      </c>
      <c r="G537" t="s">
        <v>1949</v>
      </c>
      <c r="H537" t="s">
        <v>2545</v>
      </c>
      <c r="I537" t="s">
        <v>1951</v>
      </c>
    </row>
    <row r="538" spans="1:9" x14ac:dyDescent="0.25">
      <c r="A538" t="s">
        <v>4313</v>
      </c>
      <c r="B538" t="s">
        <v>4314</v>
      </c>
      <c r="C538" t="s">
        <v>4315</v>
      </c>
      <c r="D538" t="s">
        <v>4316</v>
      </c>
      <c r="E538" t="s">
        <v>4317</v>
      </c>
      <c r="F538" t="s">
        <v>2287</v>
      </c>
      <c r="G538" t="s">
        <v>1941</v>
      </c>
      <c r="H538">
        <v>43231</v>
      </c>
      <c r="I538" t="s">
        <v>1951</v>
      </c>
    </row>
    <row r="539" spans="1:9" x14ac:dyDescent="0.25">
      <c r="A539" t="s">
        <v>1055</v>
      </c>
      <c r="B539" t="s">
        <v>4318</v>
      </c>
      <c r="C539" t="s">
        <v>4319</v>
      </c>
      <c r="E539" t="s">
        <v>4320</v>
      </c>
      <c r="F539" t="s">
        <v>2555</v>
      </c>
      <c r="G539" t="s">
        <v>1941</v>
      </c>
      <c r="H539">
        <v>47747</v>
      </c>
      <c r="I539" t="s">
        <v>1942</v>
      </c>
    </row>
    <row r="540" spans="1:9" x14ac:dyDescent="0.25">
      <c r="A540" t="s">
        <v>1057</v>
      </c>
      <c r="B540" t="s">
        <v>4321</v>
      </c>
      <c r="C540" t="s">
        <v>4322</v>
      </c>
      <c r="E540" t="s">
        <v>4323</v>
      </c>
      <c r="F540" t="s">
        <v>4324</v>
      </c>
      <c r="G540" t="s">
        <v>1941</v>
      </c>
      <c r="H540">
        <v>60567</v>
      </c>
      <c r="I540" t="s">
        <v>1942</v>
      </c>
    </row>
    <row r="541" spans="1:9" x14ac:dyDescent="0.25">
      <c r="A541" t="s">
        <v>1059</v>
      </c>
      <c r="B541" t="s">
        <v>4325</v>
      </c>
      <c r="C541" t="s">
        <v>4326</v>
      </c>
      <c r="E541" t="s">
        <v>4327</v>
      </c>
      <c r="F541" t="s">
        <v>2122</v>
      </c>
      <c r="G541" t="s">
        <v>1941</v>
      </c>
      <c r="H541">
        <v>29424</v>
      </c>
      <c r="I541" t="s">
        <v>1951</v>
      </c>
    </row>
    <row r="542" spans="1:9" x14ac:dyDescent="0.25">
      <c r="A542" t="s">
        <v>1061</v>
      </c>
      <c r="B542" t="s">
        <v>4328</v>
      </c>
      <c r="C542" t="s">
        <v>4329</v>
      </c>
      <c r="D542" t="s">
        <v>4330</v>
      </c>
      <c r="E542" t="s">
        <v>4331</v>
      </c>
      <c r="F542" t="s">
        <v>2800</v>
      </c>
      <c r="G542" t="s">
        <v>1941</v>
      </c>
      <c r="H542">
        <v>48930</v>
      </c>
      <c r="I542" t="s">
        <v>1942</v>
      </c>
    </row>
    <row r="543" spans="1:9" x14ac:dyDescent="0.25">
      <c r="A543" t="s">
        <v>1063</v>
      </c>
      <c r="B543" t="s">
        <v>4332</v>
      </c>
      <c r="D543" t="s">
        <v>4333</v>
      </c>
      <c r="E543" t="s">
        <v>4334</v>
      </c>
      <c r="F543" t="s">
        <v>4335</v>
      </c>
      <c r="G543" t="s">
        <v>1949</v>
      </c>
      <c r="H543" t="s">
        <v>4199</v>
      </c>
      <c r="I543" t="s">
        <v>1942</v>
      </c>
    </row>
    <row r="544" spans="1:9" x14ac:dyDescent="0.25">
      <c r="A544" t="s">
        <v>1065</v>
      </c>
      <c r="B544" t="s">
        <v>4336</v>
      </c>
      <c r="C544" t="s">
        <v>4337</v>
      </c>
      <c r="D544" t="s">
        <v>4338</v>
      </c>
      <c r="E544" t="s">
        <v>4339</v>
      </c>
      <c r="F544" t="s">
        <v>3524</v>
      </c>
      <c r="G544" t="s">
        <v>1941</v>
      </c>
      <c r="H544">
        <v>71115</v>
      </c>
      <c r="I544" t="s">
        <v>1951</v>
      </c>
    </row>
    <row r="545" spans="1:9" x14ac:dyDescent="0.25">
      <c r="A545" t="s">
        <v>1067</v>
      </c>
      <c r="B545" t="s">
        <v>4340</v>
      </c>
      <c r="C545" t="s">
        <v>4341</v>
      </c>
      <c r="D545" t="s">
        <v>4342</v>
      </c>
      <c r="E545" t="s">
        <v>4343</v>
      </c>
      <c r="F545" t="s">
        <v>1995</v>
      </c>
      <c r="G545" t="s">
        <v>1941</v>
      </c>
      <c r="H545">
        <v>95194</v>
      </c>
      <c r="I545" t="s">
        <v>1951</v>
      </c>
    </row>
    <row r="546" spans="1:9" x14ac:dyDescent="0.25">
      <c r="A546" t="s">
        <v>1069</v>
      </c>
      <c r="B546" t="s">
        <v>4344</v>
      </c>
      <c r="C546" t="s">
        <v>4345</v>
      </c>
      <c r="D546" t="s">
        <v>4346</v>
      </c>
      <c r="E546" t="s">
        <v>4347</v>
      </c>
      <c r="F546" t="s">
        <v>2017</v>
      </c>
      <c r="G546" t="s">
        <v>1941</v>
      </c>
      <c r="H546">
        <v>19104</v>
      </c>
      <c r="I546" t="s">
        <v>1951</v>
      </c>
    </row>
    <row r="547" spans="1:9" x14ac:dyDescent="0.25">
      <c r="A547" t="s">
        <v>1071</v>
      </c>
      <c r="B547" t="s">
        <v>4348</v>
      </c>
      <c r="C547" t="s">
        <v>4349</v>
      </c>
      <c r="D547" t="s">
        <v>4350</v>
      </c>
      <c r="E547" t="s">
        <v>4351</v>
      </c>
      <c r="F547" t="s">
        <v>3134</v>
      </c>
      <c r="G547" t="s">
        <v>2116</v>
      </c>
      <c r="H547" t="s">
        <v>3135</v>
      </c>
      <c r="I547" t="s">
        <v>1951</v>
      </c>
    </row>
    <row r="548" spans="1:9" x14ac:dyDescent="0.25">
      <c r="A548" t="s">
        <v>1073</v>
      </c>
      <c r="B548" t="s">
        <v>4352</v>
      </c>
      <c r="D548" t="s">
        <v>4353</v>
      </c>
      <c r="E548" t="s">
        <v>4354</v>
      </c>
      <c r="F548" t="s">
        <v>4355</v>
      </c>
      <c r="G548" t="s">
        <v>1949</v>
      </c>
      <c r="H548" t="s">
        <v>4356</v>
      </c>
      <c r="I548" t="s">
        <v>1951</v>
      </c>
    </row>
    <row r="549" spans="1:9" x14ac:dyDescent="0.25">
      <c r="A549" t="s">
        <v>4357</v>
      </c>
      <c r="B549" t="s">
        <v>4358</v>
      </c>
      <c r="D549" t="s">
        <v>4359</v>
      </c>
      <c r="E549" t="s">
        <v>4360</v>
      </c>
      <c r="F549" t="s">
        <v>3316</v>
      </c>
      <c r="G549" t="s">
        <v>1941</v>
      </c>
      <c r="H549">
        <v>21229</v>
      </c>
      <c r="I549" t="s">
        <v>1942</v>
      </c>
    </row>
    <row r="550" spans="1:9" x14ac:dyDescent="0.25">
      <c r="A550" t="s">
        <v>1077</v>
      </c>
      <c r="B550" t="s">
        <v>4361</v>
      </c>
      <c r="C550" t="s">
        <v>4362</v>
      </c>
      <c r="D550" t="s">
        <v>4363</v>
      </c>
      <c r="E550" t="s">
        <v>4364</v>
      </c>
      <c r="F550" t="s">
        <v>2362</v>
      </c>
      <c r="G550" t="s">
        <v>1941</v>
      </c>
      <c r="H550">
        <v>73119</v>
      </c>
      <c r="I550" t="s">
        <v>1942</v>
      </c>
    </row>
    <row r="551" spans="1:9" x14ac:dyDescent="0.25">
      <c r="A551" t="s">
        <v>1075</v>
      </c>
      <c r="B551" t="s">
        <v>4365</v>
      </c>
      <c r="C551" t="s">
        <v>4366</v>
      </c>
      <c r="D551" t="s">
        <v>4367</v>
      </c>
      <c r="E551" t="s">
        <v>4368</v>
      </c>
      <c r="F551" t="s">
        <v>2037</v>
      </c>
      <c r="G551" t="s">
        <v>1941</v>
      </c>
      <c r="H551">
        <v>10060</v>
      </c>
      <c r="I551" t="s">
        <v>1942</v>
      </c>
    </row>
    <row r="552" spans="1:9" x14ac:dyDescent="0.25">
      <c r="A552" t="s">
        <v>1080</v>
      </c>
      <c r="B552" t="s">
        <v>4369</v>
      </c>
      <c r="C552" t="s">
        <v>4370</v>
      </c>
      <c r="D552" t="s">
        <v>4371</v>
      </c>
      <c r="E552" t="s">
        <v>4372</v>
      </c>
      <c r="F552" t="s">
        <v>2256</v>
      </c>
      <c r="G552" t="s">
        <v>1941</v>
      </c>
      <c r="H552">
        <v>7112</v>
      </c>
      <c r="I552" t="s">
        <v>1942</v>
      </c>
    </row>
    <row r="553" spans="1:9" x14ac:dyDescent="0.25">
      <c r="A553" t="s">
        <v>1082</v>
      </c>
      <c r="B553" t="s">
        <v>4373</v>
      </c>
      <c r="C553" t="s">
        <v>4374</v>
      </c>
      <c r="D553" t="s">
        <v>4375</v>
      </c>
      <c r="E553" t="s">
        <v>4376</v>
      </c>
      <c r="F553" t="s">
        <v>3677</v>
      </c>
      <c r="G553" t="s">
        <v>1941</v>
      </c>
      <c r="H553">
        <v>6510</v>
      </c>
      <c r="I553" t="s">
        <v>1951</v>
      </c>
    </row>
    <row r="554" spans="1:9" x14ac:dyDescent="0.25">
      <c r="A554" t="s">
        <v>1084</v>
      </c>
      <c r="B554" t="s">
        <v>4377</v>
      </c>
      <c r="C554" t="s">
        <v>4378</v>
      </c>
      <c r="D554" t="s">
        <v>4379</v>
      </c>
      <c r="E554" t="s">
        <v>4380</v>
      </c>
      <c r="F554" t="s">
        <v>3365</v>
      </c>
      <c r="G554" t="s">
        <v>2116</v>
      </c>
      <c r="H554" t="s">
        <v>3366</v>
      </c>
      <c r="I554" t="s">
        <v>1942</v>
      </c>
    </row>
    <row r="555" spans="1:9" x14ac:dyDescent="0.25">
      <c r="A555" t="s">
        <v>1086</v>
      </c>
      <c r="B555" t="s">
        <v>4381</v>
      </c>
      <c r="C555" t="s">
        <v>4382</v>
      </c>
      <c r="E555" t="s">
        <v>4383</v>
      </c>
      <c r="F555" t="s">
        <v>2211</v>
      </c>
      <c r="G555" t="s">
        <v>1941</v>
      </c>
      <c r="H555">
        <v>43610</v>
      </c>
      <c r="I555" t="s">
        <v>1951</v>
      </c>
    </row>
    <row r="556" spans="1:9" x14ac:dyDescent="0.25">
      <c r="A556" t="s">
        <v>1088</v>
      </c>
      <c r="B556" t="s">
        <v>4384</v>
      </c>
      <c r="D556" t="s">
        <v>4385</v>
      </c>
      <c r="E556" t="s">
        <v>4386</v>
      </c>
      <c r="F556" t="s">
        <v>3164</v>
      </c>
      <c r="G556" t="s">
        <v>2116</v>
      </c>
      <c r="H556" t="s">
        <v>4387</v>
      </c>
      <c r="I556" t="s">
        <v>1942</v>
      </c>
    </row>
    <row r="557" spans="1:9" x14ac:dyDescent="0.25">
      <c r="A557" t="s">
        <v>1090</v>
      </c>
      <c r="B557" t="s">
        <v>4388</v>
      </c>
      <c r="C557" t="s">
        <v>4389</v>
      </c>
      <c r="D557" t="s">
        <v>4390</v>
      </c>
      <c r="E557" t="s">
        <v>4391</v>
      </c>
      <c r="F557" t="s">
        <v>4392</v>
      </c>
      <c r="G557" t="s">
        <v>1949</v>
      </c>
      <c r="H557" t="s">
        <v>4393</v>
      </c>
      <c r="I557" t="s">
        <v>1951</v>
      </c>
    </row>
    <row r="558" spans="1:9" x14ac:dyDescent="0.25">
      <c r="A558" t="s">
        <v>1092</v>
      </c>
      <c r="B558" t="s">
        <v>4394</v>
      </c>
      <c r="C558" t="s">
        <v>4395</v>
      </c>
      <c r="E558" t="s">
        <v>4396</v>
      </c>
      <c r="F558" t="s">
        <v>3524</v>
      </c>
      <c r="G558" t="s">
        <v>1941</v>
      </c>
      <c r="H558">
        <v>71161</v>
      </c>
      <c r="I558" t="s">
        <v>1942</v>
      </c>
    </row>
    <row r="559" spans="1:9" x14ac:dyDescent="0.25">
      <c r="A559" t="s">
        <v>4397</v>
      </c>
      <c r="B559" t="s">
        <v>4398</v>
      </c>
      <c r="D559" t="s">
        <v>4399</v>
      </c>
      <c r="E559" t="s">
        <v>4400</v>
      </c>
      <c r="F559" t="s">
        <v>4401</v>
      </c>
      <c r="G559" t="s">
        <v>1941</v>
      </c>
      <c r="H559">
        <v>32835</v>
      </c>
      <c r="I559" t="s">
        <v>1951</v>
      </c>
    </row>
    <row r="560" spans="1:9" x14ac:dyDescent="0.25">
      <c r="A560" t="s">
        <v>1095</v>
      </c>
      <c r="B560" t="s">
        <v>4402</v>
      </c>
      <c r="D560" t="s">
        <v>4403</v>
      </c>
      <c r="E560" t="s">
        <v>4404</v>
      </c>
      <c r="F560" t="s">
        <v>3320</v>
      </c>
      <c r="G560" t="s">
        <v>1941</v>
      </c>
      <c r="H560">
        <v>40515</v>
      </c>
      <c r="I560" t="s">
        <v>1942</v>
      </c>
    </row>
    <row r="561" spans="1:9" x14ac:dyDescent="0.25">
      <c r="A561" t="s">
        <v>1097</v>
      </c>
      <c r="B561" t="s">
        <v>4405</v>
      </c>
      <c r="C561" t="s">
        <v>4406</v>
      </c>
      <c r="D561" t="s">
        <v>4407</v>
      </c>
      <c r="E561" t="s">
        <v>4408</v>
      </c>
      <c r="F561" t="s">
        <v>3121</v>
      </c>
      <c r="G561" t="s">
        <v>1941</v>
      </c>
      <c r="H561">
        <v>53263</v>
      </c>
      <c r="I561" t="s">
        <v>1942</v>
      </c>
    </row>
    <row r="562" spans="1:9" x14ac:dyDescent="0.25">
      <c r="A562" t="s">
        <v>1099</v>
      </c>
      <c r="B562" t="s">
        <v>4409</v>
      </c>
      <c r="D562" t="s">
        <v>4410</v>
      </c>
      <c r="E562" t="s">
        <v>4411</v>
      </c>
      <c r="F562" t="s">
        <v>4412</v>
      </c>
      <c r="G562" t="s">
        <v>1941</v>
      </c>
      <c r="H562">
        <v>79176</v>
      </c>
      <c r="I562" t="s">
        <v>1942</v>
      </c>
    </row>
    <row r="563" spans="1:9" x14ac:dyDescent="0.25">
      <c r="A563" t="s">
        <v>1101</v>
      </c>
      <c r="B563" t="s">
        <v>4413</v>
      </c>
      <c r="D563" t="s">
        <v>4414</v>
      </c>
      <c r="E563" t="s">
        <v>4415</v>
      </c>
      <c r="F563" t="s">
        <v>4416</v>
      </c>
      <c r="G563" t="s">
        <v>1949</v>
      </c>
      <c r="H563" t="s">
        <v>4417</v>
      </c>
      <c r="I563" t="s">
        <v>1942</v>
      </c>
    </row>
    <row r="564" spans="1:9" x14ac:dyDescent="0.25">
      <c r="A564" t="s">
        <v>1103</v>
      </c>
      <c r="B564" t="s">
        <v>4418</v>
      </c>
      <c r="C564" t="s">
        <v>4419</v>
      </c>
      <c r="D564" t="s">
        <v>4420</v>
      </c>
      <c r="E564" t="s">
        <v>4421</v>
      </c>
      <c r="F564" t="s">
        <v>4422</v>
      </c>
      <c r="G564" t="s">
        <v>2116</v>
      </c>
      <c r="H564" t="s">
        <v>4423</v>
      </c>
      <c r="I564" t="s">
        <v>1951</v>
      </c>
    </row>
    <row r="565" spans="1:9" x14ac:dyDescent="0.25">
      <c r="A565" t="s">
        <v>4424</v>
      </c>
      <c r="B565" t="s">
        <v>4425</v>
      </c>
      <c r="C565" t="s">
        <v>4426</v>
      </c>
      <c r="D565" t="s">
        <v>4427</v>
      </c>
      <c r="E565" t="s">
        <v>4428</v>
      </c>
      <c r="F565" t="s">
        <v>3049</v>
      </c>
      <c r="G565" t="s">
        <v>1941</v>
      </c>
      <c r="H565">
        <v>30323</v>
      </c>
      <c r="I565" t="s">
        <v>1951</v>
      </c>
    </row>
    <row r="566" spans="1:9" x14ac:dyDescent="0.25">
      <c r="A566" t="s">
        <v>1107</v>
      </c>
      <c r="B566" t="s">
        <v>4429</v>
      </c>
      <c r="C566" t="s">
        <v>4430</v>
      </c>
      <c r="D566" t="s">
        <v>4431</v>
      </c>
      <c r="E566" t="s">
        <v>4432</v>
      </c>
      <c r="F566" t="s">
        <v>3412</v>
      </c>
      <c r="G566" t="s">
        <v>1941</v>
      </c>
      <c r="H566">
        <v>37924</v>
      </c>
      <c r="I566" t="s">
        <v>1951</v>
      </c>
    </row>
    <row r="567" spans="1:9" x14ac:dyDescent="0.25">
      <c r="A567" t="s">
        <v>1109</v>
      </c>
      <c r="B567" t="s">
        <v>4433</v>
      </c>
      <c r="C567" t="s">
        <v>4434</v>
      </c>
      <c r="D567" t="s">
        <v>4435</v>
      </c>
      <c r="E567" t="s">
        <v>4436</v>
      </c>
      <c r="F567" t="s">
        <v>2988</v>
      </c>
      <c r="G567" t="s">
        <v>1941</v>
      </c>
      <c r="H567">
        <v>66225</v>
      </c>
      <c r="I567" t="s">
        <v>1951</v>
      </c>
    </row>
    <row r="568" spans="1:9" x14ac:dyDescent="0.25">
      <c r="A568" t="s">
        <v>1111</v>
      </c>
      <c r="B568" t="s">
        <v>4437</v>
      </c>
      <c r="C568" t="s">
        <v>4438</v>
      </c>
      <c r="D568" t="s">
        <v>4439</v>
      </c>
      <c r="E568" t="s">
        <v>4440</v>
      </c>
      <c r="F568" t="s">
        <v>2191</v>
      </c>
      <c r="G568" t="s">
        <v>1941</v>
      </c>
      <c r="H568">
        <v>33330</v>
      </c>
      <c r="I568" t="s">
        <v>1942</v>
      </c>
    </row>
    <row r="569" spans="1:9" x14ac:dyDescent="0.25">
      <c r="A569" t="s">
        <v>1113</v>
      </c>
      <c r="B569" t="s">
        <v>4441</v>
      </c>
      <c r="D569" t="s">
        <v>4442</v>
      </c>
      <c r="E569" t="s">
        <v>4443</v>
      </c>
      <c r="F569" t="s">
        <v>2076</v>
      </c>
      <c r="G569" t="s">
        <v>1949</v>
      </c>
      <c r="H569" t="s">
        <v>2077</v>
      </c>
      <c r="I569" t="s">
        <v>1951</v>
      </c>
    </row>
    <row r="570" spans="1:9" x14ac:dyDescent="0.25">
      <c r="A570" t="s">
        <v>1115</v>
      </c>
      <c r="B570" t="s">
        <v>4444</v>
      </c>
      <c r="C570" t="s">
        <v>4445</v>
      </c>
      <c r="D570" t="s">
        <v>4446</v>
      </c>
      <c r="E570" t="s">
        <v>4447</v>
      </c>
      <c r="F570" t="s">
        <v>2387</v>
      </c>
      <c r="G570" t="s">
        <v>1941</v>
      </c>
      <c r="H570">
        <v>78715</v>
      </c>
      <c r="I570" t="s">
        <v>1942</v>
      </c>
    </row>
    <row r="571" spans="1:9" x14ac:dyDescent="0.25">
      <c r="A571" t="s">
        <v>4448</v>
      </c>
      <c r="B571" t="s">
        <v>4449</v>
      </c>
      <c r="C571" t="s">
        <v>4450</v>
      </c>
      <c r="D571" t="s">
        <v>4451</v>
      </c>
      <c r="E571" t="s">
        <v>4452</v>
      </c>
      <c r="F571" t="s">
        <v>4193</v>
      </c>
      <c r="G571" t="s">
        <v>1941</v>
      </c>
      <c r="H571">
        <v>44105</v>
      </c>
      <c r="I571" t="s">
        <v>1951</v>
      </c>
    </row>
    <row r="572" spans="1:9" x14ac:dyDescent="0.25">
      <c r="A572" t="s">
        <v>1118</v>
      </c>
      <c r="B572" t="s">
        <v>4453</v>
      </c>
      <c r="C572" t="s">
        <v>4454</v>
      </c>
      <c r="D572" t="s">
        <v>4455</v>
      </c>
      <c r="E572" t="s">
        <v>4456</v>
      </c>
      <c r="F572" t="s">
        <v>4457</v>
      </c>
      <c r="G572" t="s">
        <v>1941</v>
      </c>
      <c r="H572">
        <v>20784</v>
      </c>
      <c r="I572" t="s">
        <v>1951</v>
      </c>
    </row>
    <row r="573" spans="1:9" x14ac:dyDescent="0.25">
      <c r="A573" t="s">
        <v>1120</v>
      </c>
      <c r="B573" t="s">
        <v>4458</v>
      </c>
      <c r="C573" t="s">
        <v>4459</v>
      </c>
      <c r="D573" t="s">
        <v>4460</v>
      </c>
      <c r="E573" t="s">
        <v>4461</v>
      </c>
      <c r="F573" t="s">
        <v>4462</v>
      </c>
      <c r="G573" t="s">
        <v>2116</v>
      </c>
      <c r="H573" t="s">
        <v>4463</v>
      </c>
      <c r="I573" t="s">
        <v>1951</v>
      </c>
    </row>
    <row r="574" spans="1:9" x14ac:dyDescent="0.25">
      <c r="A574" t="s">
        <v>1122</v>
      </c>
      <c r="B574" t="s">
        <v>4464</v>
      </c>
      <c r="E574" t="s">
        <v>4465</v>
      </c>
      <c r="F574" t="s">
        <v>2947</v>
      </c>
      <c r="G574" t="s">
        <v>1941</v>
      </c>
      <c r="H574">
        <v>91103</v>
      </c>
      <c r="I574" t="s">
        <v>1942</v>
      </c>
    </row>
    <row r="575" spans="1:9" x14ac:dyDescent="0.25">
      <c r="A575" t="s">
        <v>1124</v>
      </c>
      <c r="B575" t="s">
        <v>4466</v>
      </c>
      <c r="C575" t="s">
        <v>4467</v>
      </c>
      <c r="D575" t="s">
        <v>4468</v>
      </c>
      <c r="E575" t="s">
        <v>4469</v>
      </c>
      <c r="F575" t="s">
        <v>3524</v>
      </c>
      <c r="G575" t="s">
        <v>1941</v>
      </c>
      <c r="H575">
        <v>71161</v>
      </c>
      <c r="I575" t="s">
        <v>1951</v>
      </c>
    </row>
    <row r="576" spans="1:9" x14ac:dyDescent="0.25">
      <c r="A576" t="s">
        <v>1126</v>
      </c>
      <c r="B576" t="s">
        <v>4470</v>
      </c>
      <c r="C576" t="s">
        <v>4471</v>
      </c>
      <c r="E576" t="s">
        <v>4472</v>
      </c>
      <c r="F576" t="s">
        <v>2225</v>
      </c>
      <c r="G576" t="s">
        <v>1941</v>
      </c>
      <c r="H576">
        <v>32590</v>
      </c>
      <c r="I576" t="s">
        <v>1942</v>
      </c>
    </row>
    <row r="577" spans="1:9" x14ac:dyDescent="0.25">
      <c r="A577" t="s">
        <v>1128</v>
      </c>
      <c r="B577" t="s">
        <v>4473</v>
      </c>
      <c r="C577" t="s">
        <v>4474</v>
      </c>
      <c r="D577" t="s">
        <v>4475</v>
      </c>
      <c r="E577" t="s">
        <v>4476</v>
      </c>
      <c r="F577" t="s">
        <v>1986</v>
      </c>
      <c r="G577" t="s">
        <v>1941</v>
      </c>
      <c r="H577">
        <v>90035</v>
      </c>
      <c r="I577" t="s">
        <v>1951</v>
      </c>
    </row>
    <row r="578" spans="1:9" x14ac:dyDescent="0.25">
      <c r="A578" t="s">
        <v>1130</v>
      </c>
      <c r="B578" t="s">
        <v>4477</v>
      </c>
      <c r="C578" t="s">
        <v>4478</v>
      </c>
      <c r="D578" t="s">
        <v>4479</v>
      </c>
      <c r="E578" t="s">
        <v>4480</v>
      </c>
      <c r="F578" t="s">
        <v>4481</v>
      </c>
      <c r="G578" t="s">
        <v>1941</v>
      </c>
      <c r="H578">
        <v>27705</v>
      </c>
      <c r="I578" t="s">
        <v>1951</v>
      </c>
    </row>
    <row r="579" spans="1:9" x14ac:dyDescent="0.25">
      <c r="A579" t="s">
        <v>1105</v>
      </c>
      <c r="B579" t="s">
        <v>4482</v>
      </c>
      <c r="C579" t="s">
        <v>4483</v>
      </c>
      <c r="E579" t="s">
        <v>4484</v>
      </c>
      <c r="F579" t="s">
        <v>4485</v>
      </c>
      <c r="G579" t="s">
        <v>2116</v>
      </c>
      <c r="H579" t="s">
        <v>4486</v>
      </c>
      <c r="I579" t="s">
        <v>1951</v>
      </c>
    </row>
    <row r="580" spans="1:9" x14ac:dyDescent="0.25">
      <c r="A580" t="s">
        <v>1133</v>
      </c>
      <c r="B580" t="s">
        <v>4487</v>
      </c>
      <c r="C580" t="s">
        <v>4488</v>
      </c>
      <c r="D580" t="s">
        <v>4489</v>
      </c>
      <c r="E580" t="s">
        <v>4490</v>
      </c>
      <c r="F580" t="s">
        <v>4491</v>
      </c>
      <c r="G580" t="s">
        <v>1949</v>
      </c>
      <c r="H580" t="s">
        <v>4492</v>
      </c>
      <c r="I580" t="s">
        <v>1951</v>
      </c>
    </row>
    <row r="581" spans="1:9" x14ac:dyDescent="0.25">
      <c r="A581" t="s">
        <v>4493</v>
      </c>
      <c r="B581" t="s">
        <v>4494</v>
      </c>
      <c r="C581" t="s">
        <v>4495</v>
      </c>
      <c r="D581" t="s">
        <v>4496</v>
      </c>
      <c r="E581" t="s">
        <v>4497</v>
      </c>
      <c r="F581" t="s">
        <v>4416</v>
      </c>
      <c r="G581" t="s">
        <v>1949</v>
      </c>
      <c r="H581" t="s">
        <v>4417</v>
      </c>
      <c r="I581" t="s">
        <v>1951</v>
      </c>
    </row>
    <row r="582" spans="1:9" x14ac:dyDescent="0.25">
      <c r="A582" t="s">
        <v>1135</v>
      </c>
      <c r="B582" t="s">
        <v>4498</v>
      </c>
      <c r="C582" t="s">
        <v>4499</v>
      </c>
      <c r="D582" t="s">
        <v>4500</v>
      </c>
      <c r="E582" t="s">
        <v>4501</v>
      </c>
      <c r="F582" t="s">
        <v>2758</v>
      </c>
      <c r="G582" t="s">
        <v>1941</v>
      </c>
      <c r="H582">
        <v>90605</v>
      </c>
      <c r="I582" t="s">
        <v>1942</v>
      </c>
    </row>
    <row r="583" spans="1:9" x14ac:dyDescent="0.25">
      <c r="A583" t="s">
        <v>1137</v>
      </c>
      <c r="B583" t="s">
        <v>4502</v>
      </c>
      <c r="C583" t="s">
        <v>4503</v>
      </c>
      <c r="E583" t="s">
        <v>4504</v>
      </c>
      <c r="F583" t="s">
        <v>2172</v>
      </c>
      <c r="G583" t="s">
        <v>2116</v>
      </c>
      <c r="H583" t="s">
        <v>2486</v>
      </c>
      <c r="I583" t="s">
        <v>1942</v>
      </c>
    </row>
    <row r="584" spans="1:9" x14ac:dyDescent="0.25">
      <c r="A584" t="s">
        <v>1139</v>
      </c>
      <c r="B584" t="s">
        <v>4505</v>
      </c>
      <c r="C584" t="s">
        <v>4506</v>
      </c>
      <c r="D584" t="s">
        <v>4507</v>
      </c>
      <c r="E584" t="s">
        <v>4508</v>
      </c>
      <c r="F584" t="s">
        <v>2004</v>
      </c>
      <c r="G584" t="s">
        <v>1941</v>
      </c>
      <c r="H584">
        <v>23237</v>
      </c>
      <c r="I584" t="s">
        <v>1951</v>
      </c>
    </row>
    <row r="585" spans="1:9" x14ac:dyDescent="0.25">
      <c r="A585" t="s">
        <v>1141</v>
      </c>
      <c r="B585" t="s">
        <v>4509</v>
      </c>
      <c r="C585" t="s">
        <v>4510</v>
      </c>
      <c r="D585" t="s">
        <v>4511</v>
      </c>
      <c r="E585" t="s">
        <v>4512</v>
      </c>
      <c r="F585" t="s">
        <v>4074</v>
      </c>
      <c r="G585" t="s">
        <v>1941</v>
      </c>
      <c r="H585">
        <v>20167</v>
      </c>
      <c r="I585" t="s">
        <v>1942</v>
      </c>
    </row>
    <row r="586" spans="1:9" x14ac:dyDescent="0.25">
      <c r="A586" t="s">
        <v>1143</v>
      </c>
      <c r="B586" t="s">
        <v>4513</v>
      </c>
      <c r="C586" t="s">
        <v>4514</v>
      </c>
      <c r="D586" t="s">
        <v>4515</v>
      </c>
      <c r="E586" t="s">
        <v>4516</v>
      </c>
      <c r="F586" t="s">
        <v>2625</v>
      </c>
      <c r="G586" t="s">
        <v>1941</v>
      </c>
      <c r="H586">
        <v>89706</v>
      </c>
      <c r="I586" t="s">
        <v>1951</v>
      </c>
    </row>
    <row r="587" spans="1:9" x14ac:dyDescent="0.25">
      <c r="A587" t="s">
        <v>4517</v>
      </c>
      <c r="B587" t="s">
        <v>4518</v>
      </c>
      <c r="C587" t="s">
        <v>4519</v>
      </c>
      <c r="D587" t="s">
        <v>4520</v>
      </c>
      <c r="E587" t="s">
        <v>4521</v>
      </c>
      <c r="F587" t="s">
        <v>2673</v>
      </c>
      <c r="G587" t="s">
        <v>1949</v>
      </c>
      <c r="H587" t="s">
        <v>2674</v>
      </c>
      <c r="I587" t="s">
        <v>1942</v>
      </c>
    </row>
    <row r="588" spans="1:9" x14ac:dyDescent="0.25">
      <c r="A588" t="s">
        <v>1147</v>
      </c>
      <c r="B588" t="s">
        <v>4522</v>
      </c>
      <c r="D588" t="s">
        <v>4523</v>
      </c>
      <c r="E588" t="s">
        <v>4524</v>
      </c>
      <c r="F588" t="s">
        <v>2233</v>
      </c>
      <c r="G588" t="s">
        <v>1941</v>
      </c>
      <c r="H588">
        <v>55123</v>
      </c>
      <c r="I588" t="s">
        <v>1951</v>
      </c>
    </row>
    <row r="589" spans="1:9" x14ac:dyDescent="0.25">
      <c r="A589" t="s">
        <v>1149</v>
      </c>
      <c r="B589" t="s">
        <v>4525</v>
      </c>
      <c r="C589" t="s">
        <v>4526</v>
      </c>
      <c r="E589" t="s">
        <v>4527</v>
      </c>
      <c r="F589" t="s">
        <v>2567</v>
      </c>
      <c r="G589" t="s">
        <v>1941</v>
      </c>
      <c r="H589">
        <v>35895</v>
      </c>
      <c r="I589" t="s">
        <v>1942</v>
      </c>
    </row>
    <row r="590" spans="1:9" x14ac:dyDescent="0.25">
      <c r="A590" t="s">
        <v>1151</v>
      </c>
      <c r="B590" t="s">
        <v>4528</v>
      </c>
      <c r="C590" t="s">
        <v>4529</v>
      </c>
      <c r="D590" t="s">
        <v>4530</v>
      </c>
      <c r="E590" t="s">
        <v>4531</v>
      </c>
      <c r="F590" t="s">
        <v>2448</v>
      </c>
      <c r="G590" t="s">
        <v>1941</v>
      </c>
      <c r="H590">
        <v>88553</v>
      </c>
      <c r="I590" t="s">
        <v>1942</v>
      </c>
    </row>
    <row r="591" spans="1:9" x14ac:dyDescent="0.25">
      <c r="A591" t="s">
        <v>1153</v>
      </c>
      <c r="B591" t="s">
        <v>4532</v>
      </c>
      <c r="C591" t="s">
        <v>4533</v>
      </c>
      <c r="E591" t="s">
        <v>4534</v>
      </c>
      <c r="F591" t="s">
        <v>4535</v>
      </c>
      <c r="G591" t="s">
        <v>1941</v>
      </c>
      <c r="H591">
        <v>30033</v>
      </c>
      <c r="I591" t="s">
        <v>1951</v>
      </c>
    </row>
    <row r="592" spans="1:9" x14ac:dyDescent="0.25">
      <c r="A592" t="s">
        <v>1155</v>
      </c>
      <c r="B592" t="s">
        <v>4536</v>
      </c>
      <c r="C592" t="s">
        <v>4537</v>
      </c>
      <c r="D592" t="s">
        <v>4538</v>
      </c>
      <c r="E592" t="s">
        <v>4539</v>
      </c>
      <c r="F592" t="s">
        <v>2616</v>
      </c>
      <c r="G592" t="s">
        <v>1941</v>
      </c>
      <c r="H592">
        <v>92668</v>
      </c>
      <c r="I592" t="s">
        <v>1942</v>
      </c>
    </row>
    <row r="593" spans="1:9" x14ac:dyDescent="0.25">
      <c r="A593" t="s">
        <v>1157</v>
      </c>
      <c r="B593" t="s">
        <v>4540</v>
      </c>
      <c r="C593" t="s">
        <v>4541</v>
      </c>
      <c r="E593" t="s">
        <v>4542</v>
      </c>
      <c r="F593" t="s">
        <v>4543</v>
      </c>
      <c r="G593" t="s">
        <v>1941</v>
      </c>
      <c r="H593">
        <v>92648</v>
      </c>
      <c r="I593" t="s">
        <v>1942</v>
      </c>
    </row>
    <row r="594" spans="1:9" x14ac:dyDescent="0.25">
      <c r="A594" t="s">
        <v>1159</v>
      </c>
      <c r="B594" t="s">
        <v>4544</v>
      </c>
      <c r="D594" t="s">
        <v>4545</v>
      </c>
      <c r="E594" t="s">
        <v>4546</v>
      </c>
      <c r="F594" t="s">
        <v>3121</v>
      </c>
      <c r="G594" t="s">
        <v>1941</v>
      </c>
      <c r="H594">
        <v>53285</v>
      </c>
      <c r="I594" t="s">
        <v>1951</v>
      </c>
    </row>
    <row r="595" spans="1:9" x14ac:dyDescent="0.25">
      <c r="A595" t="s">
        <v>1145</v>
      </c>
      <c r="B595" t="s">
        <v>4547</v>
      </c>
      <c r="C595" t="s">
        <v>4548</v>
      </c>
      <c r="E595" t="s">
        <v>4549</v>
      </c>
      <c r="F595" t="s">
        <v>2115</v>
      </c>
      <c r="G595" t="s">
        <v>2116</v>
      </c>
      <c r="H595" t="s">
        <v>2117</v>
      </c>
      <c r="I595" t="s">
        <v>1942</v>
      </c>
    </row>
    <row r="596" spans="1:9" x14ac:dyDescent="0.25">
      <c r="A596" t="s">
        <v>1162</v>
      </c>
      <c r="B596" t="s">
        <v>4550</v>
      </c>
      <c r="C596" t="s">
        <v>4551</v>
      </c>
      <c r="D596" t="s">
        <v>4552</v>
      </c>
      <c r="E596" t="s">
        <v>4553</v>
      </c>
      <c r="F596" t="s">
        <v>2678</v>
      </c>
      <c r="G596" t="s">
        <v>1941</v>
      </c>
      <c r="H596">
        <v>37416</v>
      </c>
      <c r="I596" t="s">
        <v>1951</v>
      </c>
    </row>
    <row r="597" spans="1:9" x14ac:dyDescent="0.25">
      <c r="A597" t="s">
        <v>1164</v>
      </c>
      <c r="B597" t="s">
        <v>4554</v>
      </c>
      <c r="E597" t="s">
        <v>4555</v>
      </c>
      <c r="F597" t="s">
        <v>4556</v>
      </c>
      <c r="G597" t="s">
        <v>2116</v>
      </c>
      <c r="H597" t="s">
        <v>4557</v>
      </c>
      <c r="I597" t="s">
        <v>1951</v>
      </c>
    </row>
    <row r="598" spans="1:9" x14ac:dyDescent="0.25">
      <c r="A598" t="s">
        <v>1166</v>
      </c>
      <c r="B598" t="s">
        <v>4558</v>
      </c>
      <c r="C598" t="s">
        <v>4559</v>
      </c>
      <c r="D598" t="s">
        <v>4560</v>
      </c>
      <c r="E598" t="s">
        <v>4561</v>
      </c>
      <c r="F598" t="s">
        <v>2287</v>
      </c>
      <c r="G598" t="s">
        <v>1941</v>
      </c>
      <c r="H598">
        <v>43268</v>
      </c>
      <c r="I598" t="s">
        <v>1951</v>
      </c>
    </row>
    <row r="599" spans="1:9" x14ac:dyDescent="0.25">
      <c r="A599" t="s">
        <v>1168</v>
      </c>
      <c r="B599" t="s">
        <v>4562</v>
      </c>
      <c r="C599" t="s">
        <v>4563</v>
      </c>
      <c r="D599" t="s">
        <v>4564</v>
      </c>
      <c r="E599" t="s">
        <v>4565</v>
      </c>
      <c r="F599" t="s">
        <v>2947</v>
      </c>
      <c r="G599" t="s">
        <v>1941</v>
      </c>
      <c r="H599">
        <v>91186</v>
      </c>
      <c r="I599" t="s">
        <v>1942</v>
      </c>
    </row>
    <row r="600" spans="1:9" x14ac:dyDescent="0.25">
      <c r="A600" t="s">
        <v>1170</v>
      </c>
      <c r="B600" t="s">
        <v>4566</v>
      </c>
      <c r="C600" t="s">
        <v>4567</v>
      </c>
      <c r="D600" t="s">
        <v>4568</v>
      </c>
      <c r="E600" t="s">
        <v>4569</v>
      </c>
      <c r="F600" t="s">
        <v>3090</v>
      </c>
      <c r="G600" t="s">
        <v>1941</v>
      </c>
      <c r="H600">
        <v>94159</v>
      </c>
      <c r="I600" t="s">
        <v>1942</v>
      </c>
    </row>
    <row r="601" spans="1:9" x14ac:dyDescent="0.25">
      <c r="A601" t="s">
        <v>1172</v>
      </c>
      <c r="B601" t="s">
        <v>4570</v>
      </c>
      <c r="C601" t="s">
        <v>4571</v>
      </c>
      <c r="E601" t="s">
        <v>4572</v>
      </c>
      <c r="F601" t="s">
        <v>3524</v>
      </c>
      <c r="G601" t="s">
        <v>1941</v>
      </c>
      <c r="H601">
        <v>71137</v>
      </c>
      <c r="I601" t="s">
        <v>1942</v>
      </c>
    </row>
    <row r="602" spans="1:9" x14ac:dyDescent="0.25">
      <c r="A602" t="s">
        <v>1174</v>
      </c>
      <c r="B602" t="s">
        <v>4573</v>
      </c>
      <c r="C602" t="s">
        <v>4574</v>
      </c>
      <c r="D602" t="s">
        <v>4575</v>
      </c>
      <c r="E602" t="s">
        <v>4576</v>
      </c>
      <c r="F602" t="s">
        <v>2017</v>
      </c>
      <c r="G602" t="s">
        <v>1941</v>
      </c>
      <c r="H602">
        <v>19141</v>
      </c>
      <c r="I602" t="s">
        <v>1951</v>
      </c>
    </row>
    <row r="603" spans="1:9" x14ac:dyDescent="0.25">
      <c r="A603" t="s">
        <v>1176</v>
      </c>
      <c r="B603" t="s">
        <v>4577</v>
      </c>
      <c r="C603" t="s">
        <v>4578</v>
      </c>
      <c r="D603" t="s">
        <v>4579</v>
      </c>
      <c r="E603" t="s">
        <v>4580</v>
      </c>
      <c r="F603" t="s">
        <v>2008</v>
      </c>
      <c r="G603" t="s">
        <v>1941</v>
      </c>
      <c r="H603">
        <v>41905</v>
      </c>
      <c r="I603" t="s">
        <v>1942</v>
      </c>
    </row>
    <row r="604" spans="1:9" x14ac:dyDescent="0.25">
      <c r="A604" t="s">
        <v>1178</v>
      </c>
      <c r="B604" t="s">
        <v>4581</v>
      </c>
      <c r="C604" t="s">
        <v>4582</v>
      </c>
      <c r="D604" t="s">
        <v>4583</v>
      </c>
      <c r="E604" t="s">
        <v>4584</v>
      </c>
      <c r="F604" t="s">
        <v>2211</v>
      </c>
      <c r="G604" t="s">
        <v>1941</v>
      </c>
      <c r="H604">
        <v>43666</v>
      </c>
      <c r="I604" t="s">
        <v>1942</v>
      </c>
    </row>
    <row r="605" spans="1:9" x14ac:dyDescent="0.25">
      <c r="A605" t="s">
        <v>1180</v>
      </c>
      <c r="B605" t="s">
        <v>4585</v>
      </c>
      <c r="C605" t="s">
        <v>4586</v>
      </c>
      <c r="E605" t="s">
        <v>4587</v>
      </c>
      <c r="F605" t="s">
        <v>2340</v>
      </c>
      <c r="G605" t="s">
        <v>1941</v>
      </c>
      <c r="H605">
        <v>80945</v>
      </c>
      <c r="I605" t="s">
        <v>1951</v>
      </c>
    </row>
    <row r="606" spans="1:9" x14ac:dyDescent="0.25">
      <c r="A606" t="s">
        <v>1182</v>
      </c>
      <c r="B606" t="s">
        <v>4588</v>
      </c>
      <c r="D606" t="s">
        <v>4589</v>
      </c>
      <c r="E606" t="s">
        <v>4590</v>
      </c>
      <c r="F606" t="s">
        <v>3839</v>
      </c>
      <c r="G606" t="s">
        <v>1949</v>
      </c>
      <c r="H606" t="s">
        <v>3840</v>
      </c>
      <c r="I606" t="s">
        <v>1951</v>
      </c>
    </row>
    <row r="607" spans="1:9" x14ac:dyDescent="0.25">
      <c r="A607" t="s">
        <v>1184</v>
      </c>
      <c r="B607" t="s">
        <v>4591</v>
      </c>
      <c r="C607" t="s">
        <v>4592</v>
      </c>
      <c r="D607" t="s">
        <v>4593</v>
      </c>
      <c r="E607" t="s">
        <v>4594</v>
      </c>
      <c r="F607" t="s">
        <v>4595</v>
      </c>
      <c r="G607" t="s">
        <v>1941</v>
      </c>
      <c r="H607">
        <v>15274</v>
      </c>
      <c r="I607" t="s">
        <v>1942</v>
      </c>
    </row>
    <row r="608" spans="1:9" x14ac:dyDescent="0.25">
      <c r="A608" t="s">
        <v>4596</v>
      </c>
      <c r="B608" t="s">
        <v>4597</v>
      </c>
      <c r="C608" t="s">
        <v>4598</v>
      </c>
      <c r="D608" t="s">
        <v>4599</v>
      </c>
      <c r="E608" t="s">
        <v>4600</v>
      </c>
      <c r="F608" t="s">
        <v>3388</v>
      </c>
      <c r="G608" t="s">
        <v>1941</v>
      </c>
      <c r="H608">
        <v>33411</v>
      </c>
      <c r="I608" t="s">
        <v>1951</v>
      </c>
    </row>
    <row r="609" spans="1:9" x14ac:dyDescent="0.25">
      <c r="A609" t="s">
        <v>1187</v>
      </c>
      <c r="B609" t="s">
        <v>4601</v>
      </c>
      <c r="C609" t="s">
        <v>4602</v>
      </c>
      <c r="D609" t="s">
        <v>4603</v>
      </c>
      <c r="E609" t="s">
        <v>4604</v>
      </c>
      <c r="F609" t="s">
        <v>3524</v>
      </c>
      <c r="G609" t="s">
        <v>1941</v>
      </c>
      <c r="H609">
        <v>71115</v>
      </c>
      <c r="I609" t="s">
        <v>1942</v>
      </c>
    </row>
    <row r="610" spans="1:9" x14ac:dyDescent="0.25">
      <c r="A610" t="s">
        <v>1189</v>
      </c>
      <c r="B610" t="s">
        <v>4605</v>
      </c>
      <c r="E610" t="s">
        <v>4606</v>
      </c>
      <c r="F610" t="s">
        <v>4193</v>
      </c>
      <c r="G610" t="s">
        <v>1941</v>
      </c>
      <c r="H610">
        <v>44105</v>
      </c>
      <c r="I610" t="s">
        <v>1951</v>
      </c>
    </row>
    <row r="611" spans="1:9" x14ac:dyDescent="0.25">
      <c r="A611" t="s">
        <v>1191</v>
      </c>
      <c r="B611" t="s">
        <v>4607</v>
      </c>
      <c r="C611" t="s">
        <v>4608</v>
      </c>
      <c r="D611" t="s">
        <v>4609</v>
      </c>
      <c r="E611" t="s">
        <v>4610</v>
      </c>
      <c r="F611" t="s">
        <v>3121</v>
      </c>
      <c r="G611" t="s">
        <v>1941</v>
      </c>
      <c r="H611">
        <v>53234</v>
      </c>
      <c r="I611" t="s">
        <v>1942</v>
      </c>
    </row>
    <row r="612" spans="1:9" x14ac:dyDescent="0.25">
      <c r="A612" t="s">
        <v>1193</v>
      </c>
      <c r="B612" t="s">
        <v>4611</v>
      </c>
      <c r="C612" t="s">
        <v>4612</v>
      </c>
      <c r="D612" t="s">
        <v>4613</v>
      </c>
      <c r="E612" t="s">
        <v>4614</v>
      </c>
      <c r="F612" t="s">
        <v>2191</v>
      </c>
      <c r="G612" t="s">
        <v>1941</v>
      </c>
      <c r="H612">
        <v>33345</v>
      </c>
      <c r="I612" t="s">
        <v>1951</v>
      </c>
    </row>
    <row r="613" spans="1:9" x14ac:dyDescent="0.25">
      <c r="A613" t="s">
        <v>1195</v>
      </c>
      <c r="B613" t="s">
        <v>4615</v>
      </c>
      <c r="C613" t="s">
        <v>4616</v>
      </c>
      <c r="D613" t="s">
        <v>4617</v>
      </c>
      <c r="E613" t="s">
        <v>4618</v>
      </c>
      <c r="F613" t="s">
        <v>3524</v>
      </c>
      <c r="G613" t="s">
        <v>1941</v>
      </c>
      <c r="H613">
        <v>71105</v>
      </c>
      <c r="I613" t="s">
        <v>1951</v>
      </c>
    </row>
    <row r="614" spans="1:9" x14ac:dyDescent="0.25">
      <c r="A614" t="s">
        <v>1197</v>
      </c>
      <c r="B614" t="s">
        <v>4619</v>
      </c>
      <c r="D614" t="s">
        <v>4620</v>
      </c>
      <c r="E614" t="s">
        <v>4621</v>
      </c>
      <c r="F614" t="s">
        <v>2366</v>
      </c>
      <c r="G614" t="s">
        <v>1949</v>
      </c>
      <c r="H614" t="s">
        <v>2545</v>
      </c>
      <c r="I614" t="s">
        <v>1951</v>
      </c>
    </row>
    <row r="615" spans="1:9" x14ac:dyDescent="0.25">
      <c r="A615" t="s">
        <v>1199</v>
      </c>
      <c r="B615" t="s">
        <v>4622</v>
      </c>
      <c r="D615" t="s">
        <v>4623</v>
      </c>
      <c r="E615" t="s">
        <v>4624</v>
      </c>
      <c r="F615" t="s">
        <v>2999</v>
      </c>
      <c r="G615" t="s">
        <v>1941</v>
      </c>
      <c r="H615">
        <v>94207</v>
      </c>
      <c r="I615" t="s">
        <v>1951</v>
      </c>
    </row>
    <row r="616" spans="1:9" x14ac:dyDescent="0.25">
      <c r="A616" t="s">
        <v>4625</v>
      </c>
      <c r="B616" t="s">
        <v>4626</v>
      </c>
      <c r="D616" t="s">
        <v>4627</v>
      </c>
      <c r="E616" t="s">
        <v>4628</v>
      </c>
      <c r="F616" t="s">
        <v>2506</v>
      </c>
      <c r="G616" t="s">
        <v>1941</v>
      </c>
      <c r="H616">
        <v>37240</v>
      </c>
      <c r="I616" t="s">
        <v>1951</v>
      </c>
    </row>
    <row r="617" spans="1:9" x14ac:dyDescent="0.25">
      <c r="A617" t="s">
        <v>1202</v>
      </c>
      <c r="B617" t="s">
        <v>4629</v>
      </c>
      <c r="C617" t="s">
        <v>4630</v>
      </c>
      <c r="D617" t="s">
        <v>4631</v>
      </c>
      <c r="E617" t="s">
        <v>4632</v>
      </c>
      <c r="F617" t="s">
        <v>2550</v>
      </c>
      <c r="G617" t="s">
        <v>1941</v>
      </c>
      <c r="H617">
        <v>58122</v>
      </c>
      <c r="I617" t="s">
        <v>1942</v>
      </c>
    </row>
    <row r="618" spans="1:9" x14ac:dyDescent="0.25">
      <c r="A618" t="s">
        <v>1204</v>
      </c>
      <c r="B618" t="s">
        <v>4633</v>
      </c>
      <c r="C618" t="s">
        <v>4634</v>
      </c>
      <c r="D618" t="s">
        <v>4635</v>
      </c>
      <c r="E618" t="s">
        <v>4636</v>
      </c>
      <c r="F618" t="s">
        <v>4637</v>
      </c>
      <c r="G618" t="s">
        <v>2116</v>
      </c>
      <c r="H618" t="s">
        <v>4638</v>
      </c>
      <c r="I618" t="s">
        <v>1951</v>
      </c>
    </row>
    <row r="619" spans="1:9" x14ac:dyDescent="0.25">
      <c r="A619" t="s">
        <v>1206</v>
      </c>
      <c r="B619" t="s">
        <v>4639</v>
      </c>
      <c r="C619" t="s">
        <v>4640</v>
      </c>
      <c r="D619" t="s">
        <v>4641</v>
      </c>
      <c r="E619" t="s">
        <v>4642</v>
      </c>
      <c r="F619" t="s">
        <v>2816</v>
      </c>
      <c r="G619" t="s">
        <v>1941</v>
      </c>
      <c r="H619">
        <v>74184</v>
      </c>
      <c r="I619" t="s">
        <v>1951</v>
      </c>
    </row>
    <row r="620" spans="1:9" x14ac:dyDescent="0.25">
      <c r="A620" t="s">
        <v>1208</v>
      </c>
      <c r="B620" t="s">
        <v>4643</v>
      </c>
      <c r="C620" t="s">
        <v>4644</v>
      </c>
      <c r="D620" t="s">
        <v>4645</v>
      </c>
      <c r="E620" t="s">
        <v>4646</v>
      </c>
      <c r="F620" t="s">
        <v>2037</v>
      </c>
      <c r="G620" t="s">
        <v>1941</v>
      </c>
      <c r="H620">
        <v>10045</v>
      </c>
      <c r="I620" t="s">
        <v>1942</v>
      </c>
    </row>
    <row r="621" spans="1:9" x14ac:dyDescent="0.25">
      <c r="A621" t="s">
        <v>1210</v>
      </c>
      <c r="B621" t="s">
        <v>4647</v>
      </c>
      <c r="C621" t="s">
        <v>4648</v>
      </c>
      <c r="D621" t="s">
        <v>4649</v>
      </c>
      <c r="E621" t="s">
        <v>4650</v>
      </c>
      <c r="F621" t="s">
        <v>4651</v>
      </c>
      <c r="G621" t="s">
        <v>1941</v>
      </c>
      <c r="H621">
        <v>34642</v>
      </c>
      <c r="I621" t="s">
        <v>1942</v>
      </c>
    </row>
    <row r="622" spans="1:9" x14ac:dyDescent="0.25">
      <c r="A622" t="s">
        <v>4652</v>
      </c>
      <c r="B622" t="s">
        <v>4653</v>
      </c>
      <c r="C622" t="s">
        <v>4654</v>
      </c>
      <c r="D622" t="s">
        <v>4655</v>
      </c>
      <c r="E622" t="s">
        <v>4656</v>
      </c>
      <c r="F622" t="s">
        <v>3918</v>
      </c>
      <c r="G622" t="s">
        <v>1949</v>
      </c>
      <c r="H622" t="s">
        <v>3919</v>
      </c>
      <c r="I622" t="s">
        <v>1951</v>
      </c>
    </row>
    <row r="623" spans="1:9" x14ac:dyDescent="0.25">
      <c r="A623" t="s">
        <v>1214</v>
      </c>
      <c r="B623" t="s">
        <v>4657</v>
      </c>
      <c r="C623" t="s">
        <v>4658</v>
      </c>
      <c r="D623" t="s">
        <v>4659</v>
      </c>
      <c r="E623" t="s">
        <v>4660</v>
      </c>
      <c r="F623" t="s">
        <v>2022</v>
      </c>
      <c r="G623" t="s">
        <v>1941</v>
      </c>
      <c r="H623">
        <v>97296</v>
      </c>
      <c r="I623" t="s">
        <v>1951</v>
      </c>
    </row>
    <row r="624" spans="1:9" x14ac:dyDescent="0.25">
      <c r="A624" t="s">
        <v>1216</v>
      </c>
      <c r="B624" t="s">
        <v>4661</v>
      </c>
      <c r="C624" t="s">
        <v>4662</v>
      </c>
      <c r="E624" t="s">
        <v>4663</v>
      </c>
      <c r="F624" t="s">
        <v>3370</v>
      </c>
      <c r="G624" t="s">
        <v>1941</v>
      </c>
      <c r="H624">
        <v>89115</v>
      </c>
      <c r="I624" t="s">
        <v>1951</v>
      </c>
    </row>
    <row r="625" spans="1:9" x14ac:dyDescent="0.25">
      <c r="A625" t="s">
        <v>1218</v>
      </c>
      <c r="B625" t="s">
        <v>4664</v>
      </c>
      <c r="D625" t="s">
        <v>4665</v>
      </c>
      <c r="E625" t="s">
        <v>4666</v>
      </c>
      <c r="F625" t="s">
        <v>4667</v>
      </c>
      <c r="G625" t="s">
        <v>2116</v>
      </c>
      <c r="H625" t="s">
        <v>4668</v>
      </c>
      <c r="I625" t="s">
        <v>1951</v>
      </c>
    </row>
    <row r="626" spans="1:9" x14ac:dyDescent="0.25">
      <c r="A626" t="s">
        <v>1220</v>
      </c>
      <c r="B626" t="s">
        <v>4669</v>
      </c>
      <c r="C626" t="s">
        <v>4670</v>
      </c>
      <c r="E626" t="s">
        <v>4671</v>
      </c>
      <c r="F626" t="s">
        <v>4672</v>
      </c>
      <c r="G626" t="s">
        <v>1949</v>
      </c>
      <c r="H626" t="s">
        <v>4673</v>
      </c>
      <c r="I626" t="s">
        <v>1942</v>
      </c>
    </row>
    <row r="627" spans="1:9" x14ac:dyDescent="0.25">
      <c r="A627" t="s">
        <v>1222</v>
      </c>
      <c r="B627" t="s">
        <v>4674</v>
      </c>
      <c r="C627" t="s">
        <v>4675</v>
      </c>
      <c r="D627" t="s">
        <v>4676</v>
      </c>
      <c r="E627" t="s">
        <v>4677</v>
      </c>
      <c r="F627" t="s">
        <v>3090</v>
      </c>
      <c r="G627" t="s">
        <v>1941</v>
      </c>
      <c r="H627">
        <v>94159</v>
      </c>
      <c r="I627" t="s">
        <v>1951</v>
      </c>
    </row>
    <row r="628" spans="1:9" x14ac:dyDescent="0.25">
      <c r="A628" t="s">
        <v>1224</v>
      </c>
      <c r="B628" t="s">
        <v>4678</v>
      </c>
      <c r="C628" t="s">
        <v>4679</v>
      </c>
      <c r="D628" t="s">
        <v>4680</v>
      </c>
      <c r="E628" t="s">
        <v>4681</v>
      </c>
      <c r="F628" t="s">
        <v>4595</v>
      </c>
      <c r="G628" t="s">
        <v>1941</v>
      </c>
      <c r="H628">
        <v>15274</v>
      </c>
      <c r="I628" t="s">
        <v>1951</v>
      </c>
    </row>
    <row r="629" spans="1:9" x14ac:dyDescent="0.25">
      <c r="A629" t="s">
        <v>1226</v>
      </c>
      <c r="B629" t="s">
        <v>4682</v>
      </c>
      <c r="C629" t="s">
        <v>4683</v>
      </c>
      <c r="D629" t="s">
        <v>4684</v>
      </c>
      <c r="E629" t="s">
        <v>4685</v>
      </c>
      <c r="F629" t="s">
        <v>2027</v>
      </c>
      <c r="G629" t="s">
        <v>1941</v>
      </c>
      <c r="H629">
        <v>77281</v>
      </c>
      <c r="I629" t="s">
        <v>1942</v>
      </c>
    </row>
    <row r="630" spans="1:9" x14ac:dyDescent="0.25">
      <c r="A630" t="s">
        <v>1228</v>
      </c>
      <c r="B630" t="s">
        <v>4686</v>
      </c>
      <c r="C630" t="s">
        <v>4687</v>
      </c>
      <c r="D630" t="s">
        <v>4688</v>
      </c>
      <c r="E630" t="s">
        <v>4689</v>
      </c>
      <c r="F630" t="s">
        <v>4690</v>
      </c>
      <c r="G630" t="s">
        <v>1949</v>
      </c>
      <c r="H630" t="s">
        <v>2032</v>
      </c>
      <c r="I630" t="s">
        <v>1942</v>
      </c>
    </row>
    <row r="631" spans="1:9" x14ac:dyDescent="0.25">
      <c r="A631" t="s">
        <v>1212</v>
      </c>
      <c r="B631" t="s">
        <v>4691</v>
      </c>
      <c r="C631" t="s">
        <v>4692</v>
      </c>
      <c r="E631" t="s">
        <v>4693</v>
      </c>
      <c r="F631" t="s">
        <v>2191</v>
      </c>
      <c r="G631" t="s">
        <v>1941</v>
      </c>
      <c r="H631">
        <v>33345</v>
      </c>
      <c r="I631" t="s">
        <v>1951</v>
      </c>
    </row>
    <row r="632" spans="1:9" x14ac:dyDescent="0.25">
      <c r="A632" t="s">
        <v>4694</v>
      </c>
      <c r="B632" t="s">
        <v>4695</v>
      </c>
      <c r="C632" t="s">
        <v>4696</v>
      </c>
      <c r="D632" t="s">
        <v>4697</v>
      </c>
      <c r="E632" t="s">
        <v>4698</v>
      </c>
      <c r="F632" t="s">
        <v>3179</v>
      </c>
      <c r="G632" t="s">
        <v>1941</v>
      </c>
      <c r="H632">
        <v>76210</v>
      </c>
      <c r="I632" t="s">
        <v>1951</v>
      </c>
    </row>
    <row r="633" spans="1:9" x14ac:dyDescent="0.25">
      <c r="A633" t="s">
        <v>4699</v>
      </c>
      <c r="B633" t="s">
        <v>4700</v>
      </c>
      <c r="C633" t="s">
        <v>4701</v>
      </c>
      <c r="D633" t="s">
        <v>4702</v>
      </c>
      <c r="E633" t="s">
        <v>4703</v>
      </c>
      <c r="F633" t="s">
        <v>3967</v>
      </c>
      <c r="G633" t="s">
        <v>1949</v>
      </c>
      <c r="H633" t="s">
        <v>2771</v>
      </c>
      <c r="I633" t="s">
        <v>1942</v>
      </c>
    </row>
    <row r="634" spans="1:9" x14ac:dyDescent="0.25">
      <c r="A634" t="s">
        <v>1230</v>
      </c>
      <c r="B634" t="s">
        <v>4704</v>
      </c>
      <c r="C634" t="s">
        <v>4705</v>
      </c>
      <c r="D634" t="s">
        <v>4706</v>
      </c>
      <c r="E634" t="s">
        <v>4707</v>
      </c>
      <c r="F634" t="s">
        <v>1986</v>
      </c>
      <c r="G634" t="s">
        <v>1941</v>
      </c>
      <c r="H634">
        <v>90005</v>
      </c>
      <c r="I634" t="s">
        <v>1951</v>
      </c>
    </row>
    <row r="635" spans="1:9" x14ac:dyDescent="0.25">
      <c r="A635" t="s">
        <v>1232</v>
      </c>
      <c r="B635" t="s">
        <v>4708</v>
      </c>
      <c r="C635" t="s">
        <v>4709</v>
      </c>
      <c r="D635" t="s">
        <v>4710</v>
      </c>
      <c r="E635" t="s">
        <v>4711</v>
      </c>
      <c r="F635" t="s">
        <v>3004</v>
      </c>
      <c r="G635" t="s">
        <v>1941</v>
      </c>
      <c r="H635">
        <v>18706</v>
      </c>
      <c r="I635" t="s">
        <v>1951</v>
      </c>
    </row>
    <row r="636" spans="1:9" x14ac:dyDescent="0.25">
      <c r="A636" t="s">
        <v>1234</v>
      </c>
      <c r="B636" t="s">
        <v>4712</v>
      </c>
      <c r="C636" t="s">
        <v>4713</v>
      </c>
      <c r="D636" t="s">
        <v>4714</v>
      </c>
      <c r="E636" t="s">
        <v>4715</v>
      </c>
      <c r="F636" t="s">
        <v>3179</v>
      </c>
      <c r="G636" t="s">
        <v>1941</v>
      </c>
      <c r="H636">
        <v>76205</v>
      </c>
      <c r="I636" t="s">
        <v>1951</v>
      </c>
    </row>
    <row r="637" spans="1:9" x14ac:dyDescent="0.25">
      <c r="A637" t="s">
        <v>1236</v>
      </c>
      <c r="B637" t="s">
        <v>4716</v>
      </c>
      <c r="C637" t="s">
        <v>4717</v>
      </c>
      <c r="D637" t="s">
        <v>4718</v>
      </c>
      <c r="E637" t="s">
        <v>4719</v>
      </c>
      <c r="F637" t="s">
        <v>2957</v>
      </c>
      <c r="G637" t="s">
        <v>1941</v>
      </c>
      <c r="H637">
        <v>64082</v>
      </c>
      <c r="I637" t="s">
        <v>1942</v>
      </c>
    </row>
    <row r="638" spans="1:9" x14ac:dyDescent="0.25">
      <c r="A638" t="s">
        <v>1238</v>
      </c>
      <c r="B638" t="s">
        <v>4720</v>
      </c>
      <c r="C638" t="s">
        <v>4721</v>
      </c>
      <c r="D638" t="s">
        <v>4722</v>
      </c>
      <c r="E638" t="s">
        <v>4723</v>
      </c>
      <c r="F638" t="s">
        <v>2127</v>
      </c>
      <c r="G638" t="s">
        <v>1941</v>
      </c>
      <c r="H638">
        <v>72209</v>
      </c>
      <c r="I638" t="s">
        <v>1942</v>
      </c>
    </row>
    <row r="639" spans="1:9" x14ac:dyDescent="0.25">
      <c r="A639" t="s">
        <v>1240</v>
      </c>
      <c r="B639" t="s">
        <v>4724</v>
      </c>
      <c r="C639" t="s">
        <v>4725</v>
      </c>
      <c r="D639" t="s">
        <v>4726</v>
      </c>
      <c r="E639" t="s">
        <v>4727</v>
      </c>
      <c r="F639" t="s">
        <v>4728</v>
      </c>
      <c r="G639" t="s">
        <v>1949</v>
      </c>
      <c r="H639" t="s">
        <v>2831</v>
      </c>
      <c r="I639" t="s">
        <v>1942</v>
      </c>
    </row>
    <row r="640" spans="1:9" x14ac:dyDescent="0.25">
      <c r="A640" t="s">
        <v>1242</v>
      </c>
      <c r="B640" t="s">
        <v>4729</v>
      </c>
      <c r="D640" t="s">
        <v>4730</v>
      </c>
      <c r="E640" t="s">
        <v>4731</v>
      </c>
      <c r="F640" t="s">
        <v>4416</v>
      </c>
      <c r="G640" t="s">
        <v>1949</v>
      </c>
      <c r="H640" t="s">
        <v>4417</v>
      </c>
      <c r="I640" t="s">
        <v>1942</v>
      </c>
    </row>
    <row r="641" spans="1:9" x14ac:dyDescent="0.25">
      <c r="A641" t="s">
        <v>1244</v>
      </c>
      <c r="B641" t="s">
        <v>4732</v>
      </c>
      <c r="C641" t="s">
        <v>4733</v>
      </c>
      <c r="D641" t="s">
        <v>4734</v>
      </c>
      <c r="E641" t="s">
        <v>4735</v>
      </c>
      <c r="F641" t="s">
        <v>3143</v>
      </c>
      <c r="G641" t="s">
        <v>1941</v>
      </c>
      <c r="H641">
        <v>16534</v>
      </c>
      <c r="I641" t="s">
        <v>1942</v>
      </c>
    </row>
    <row r="642" spans="1:9" x14ac:dyDescent="0.25">
      <c r="A642" t="s">
        <v>4736</v>
      </c>
      <c r="B642" t="s">
        <v>4737</v>
      </c>
      <c r="D642" t="s">
        <v>4738</v>
      </c>
      <c r="E642" t="s">
        <v>4739</v>
      </c>
      <c r="F642" t="s">
        <v>3164</v>
      </c>
      <c r="G642" t="s">
        <v>2116</v>
      </c>
      <c r="H642" t="s">
        <v>3165</v>
      </c>
      <c r="I642" t="s">
        <v>1951</v>
      </c>
    </row>
    <row r="643" spans="1:9" x14ac:dyDescent="0.25">
      <c r="A643" t="s">
        <v>1248</v>
      </c>
      <c r="B643" t="s">
        <v>4740</v>
      </c>
      <c r="C643" t="s">
        <v>4741</v>
      </c>
      <c r="D643" t="s">
        <v>4742</v>
      </c>
      <c r="E643" t="s">
        <v>4743</v>
      </c>
      <c r="F643" t="s">
        <v>4595</v>
      </c>
      <c r="G643" t="s">
        <v>1941</v>
      </c>
      <c r="H643">
        <v>15255</v>
      </c>
      <c r="I643" t="s">
        <v>1942</v>
      </c>
    </row>
    <row r="644" spans="1:9" x14ac:dyDescent="0.25">
      <c r="A644" t="s">
        <v>1250</v>
      </c>
      <c r="B644" t="s">
        <v>4744</v>
      </c>
      <c r="C644" t="s">
        <v>4745</v>
      </c>
      <c r="D644" t="s">
        <v>4746</v>
      </c>
      <c r="E644" t="s">
        <v>4747</v>
      </c>
      <c r="F644" t="s">
        <v>4748</v>
      </c>
      <c r="G644" t="s">
        <v>2116</v>
      </c>
      <c r="H644" t="s">
        <v>4749</v>
      </c>
      <c r="I644" t="s">
        <v>1942</v>
      </c>
    </row>
    <row r="645" spans="1:9" x14ac:dyDescent="0.25">
      <c r="A645" t="s">
        <v>1252</v>
      </c>
      <c r="B645" t="s">
        <v>4750</v>
      </c>
      <c r="C645" t="s">
        <v>4751</v>
      </c>
      <c r="E645" t="s">
        <v>4752</v>
      </c>
      <c r="F645" t="s">
        <v>2325</v>
      </c>
      <c r="G645" t="s">
        <v>1941</v>
      </c>
      <c r="H645">
        <v>75260</v>
      </c>
      <c r="I645" t="s">
        <v>1942</v>
      </c>
    </row>
    <row r="646" spans="1:9" x14ac:dyDescent="0.25">
      <c r="A646" t="s">
        <v>1254</v>
      </c>
      <c r="B646" t="s">
        <v>4753</v>
      </c>
      <c r="D646" t="s">
        <v>4754</v>
      </c>
      <c r="E646" t="s">
        <v>4755</v>
      </c>
      <c r="F646" t="s">
        <v>3581</v>
      </c>
      <c r="G646" t="s">
        <v>1941</v>
      </c>
      <c r="H646">
        <v>33233</v>
      </c>
      <c r="I646" t="s">
        <v>1951</v>
      </c>
    </row>
    <row r="647" spans="1:9" x14ac:dyDescent="0.25">
      <c r="A647" t="s">
        <v>1256</v>
      </c>
      <c r="B647" t="s">
        <v>4756</v>
      </c>
      <c r="C647" t="s">
        <v>4757</v>
      </c>
      <c r="D647" t="s">
        <v>4758</v>
      </c>
      <c r="E647" t="s">
        <v>4759</v>
      </c>
      <c r="F647" t="s">
        <v>4760</v>
      </c>
      <c r="G647" t="s">
        <v>1941</v>
      </c>
      <c r="H647">
        <v>76905</v>
      </c>
      <c r="I647" t="s">
        <v>1942</v>
      </c>
    </row>
    <row r="648" spans="1:9" x14ac:dyDescent="0.25">
      <c r="A648" t="s">
        <v>1258</v>
      </c>
      <c r="B648" t="s">
        <v>4761</v>
      </c>
      <c r="C648" t="s">
        <v>4762</v>
      </c>
      <c r="D648" t="s">
        <v>4763</v>
      </c>
      <c r="E648" t="s">
        <v>4764</v>
      </c>
      <c r="F648" t="s">
        <v>2881</v>
      </c>
      <c r="G648" t="s">
        <v>1941</v>
      </c>
      <c r="H648">
        <v>12205</v>
      </c>
      <c r="I648" t="s">
        <v>1942</v>
      </c>
    </row>
    <row r="649" spans="1:9" x14ac:dyDescent="0.25">
      <c r="A649" t="s">
        <v>1260</v>
      </c>
      <c r="B649" t="s">
        <v>4765</v>
      </c>
      <c r="C649" t="s">
        <v>4766</v>
      </c>
      <c r="D649" t="s">
        <v>4767</v>
      </c>
      <c r="E649" t="s">
        <v>4768</v>
      </c>
      <c r="F649" t="s">
        <v>4769</v>
      </c>
      <c r="G649" t="s">
        <v>2116</v>
      </c>
      <c r="H649" t="s">
        <v>4770</v>
      </c>
      <c r="I649" t="s">
        <v>1942</v>
      </c>
    </row>
    <row r="650" spans="1:9" x14ac:dyDescent="0.25">
      <c r="A650" t="s">
        <v>1246</v>
      </c>
      <c r="B650" t="s">
        <v>4771</v>
      </c>
      <c r="C650" t="s">
        <v>4772</v>
      </c>
      <c r="D650" t="s">
        <v>4773</v>
      </c>
      <c r="E650" t="s">
        <v>4774</v>
      </c>
      <c r="F650" t="s">
        <v>2287</v>
      </c>
      <c r="G650" t="s">
        <v>1941</v>
      </c>
      <c r="H650">
        <v>43240</v>
      </c>
      <c r="I650" t="s">
        <v>1951</v>
      </c>
    </row>
    <row r="651" spans="1:9" x14ac:dyDescent="0.25">
      <c r="A651" t="s">
        <v>1263</v>
      </c>
      <c r="B651" t="s">
        <v>4775</v>
      </c>
      <c r="C651" t="s">
        <v>4776</v>
      </c>
      <c r="D651" t="s">
        <v>4777</v>
      </c>
      <c r="E651" t="s">
        <v>4778</v>
      </c>
      <c r="F651" t="s">
        <v>4779</v>
      </c>
      <c r="G651" t="s">
        <v>2116</v>
      </c>
      <c r="H651" t="s">
        <v>4780</v>
      </c>
      <c r="I651" t="s">
        <v>1951</v>
      </c>
    </row>
    <row r="652" spans="1:9" x14ac:dyDescent="0.25">
      <c r="A652" t="s">
        <v>1265</v>
      </c>
      <c r="B652" t="s">
        <v>4781</v>
      </c>
      <c r="C652" t="s">
        <v>4782</v>
      </c>
      <c r="D652" t="s">
        <v>4783</v>
      </c>
      <c r="E652" t="s">
        <v>4784</v>
      </c>
      <c r="F652" t="s">
        <v>2383</v>
      </c>
      <c r="G652" t="s">
        <v>1941</v>
      </c>
      <c r="H652">
        <v>92883</v>
      </c>
      <c r="I652" t="s">
        <v>1942</v>
      </c>
    </row>
    <row r="653" spans="1:9" x14ac:dyDescent="0.25">
      <c r="A653" t="s">
        <v>1267</v>
      </c>
      <c r="B653" t="s">
        <v>4785</v>
      </c>
      <c r="D653" t="s">
        <v>4786</v>
      </c>
      <c r="E653" t="s">
        <v>4787</v>
      </c>
      <c r="F653" t="s">
        <v>2186</v>
      </c>
      <c r="G653" t="s">
        <v>1941</v>
      </c>
      <c r="H653">
        <v>20436</v>
      </c>
      <c r="I653" t="s">
        <v>1951</v>
      </c>
    </row>
    <row r="654" spans="1:9" x14ac:dyDescent="0.25">
      <c r="A654" t="s">
        <v>1269</v>
      </c>
      <c r="B654" t="s">
        <v>4788</v>
      </c>
      <c r="C654" t="s">
        <v>4789</v>
      </c>
      <c r="E654" t="s">
        <v>4790</v>
      </c>
      <c r="F654" t="s">
        <v>4791</v>
      </c>
      <c r="G654" t="s">
        <v>1949</v>
      </c>
      <c r="H654" t="s">
        <v>1950</v>
      </c>
      <c r="I654" t="s">
        <v>1951</v>
      </c>
    </row>
    <row r="655" spans="1:9" x14ac:dyDescent="0.25">
      <c r="A655" t="s">
        <v>1271</v>
      </c>
      <c r="B655" t="s">
        <v>4792</v>
      </c>
      <c r="C655" t="s">
        <v>4793</v>
      </c>
      <c r="D655" t="s">
        <v>4794</v>
      </c>
      <c r="E655" t="s">
        <v>4795</v>
      </c>
      <c r="F655" t="s">
        <v>2211</v>
      </c>
      <c r="G655" t="s">
        <v>1941</v>
      </c>
      <c r="H655">
        <v>43610</v>
      </c>
      <c r="I655" t="s">
        <v>1951</v>
      </c>
    </row>
    <row r="656" spans="1:9" x14ac:dyDescent="0.25">
      <c r="A656" t="s">
        <v>1273</v>
      </c>
      <c r="B656" t="s">
        <v>4796</v>
      </c>
      <c r="C656" t="s">
        <v>4797</v>
      </c>
      <c r="D656" t="s">
        <v>4798</v>
      </c>
      <c r="E656" t="s">
        <v>4799</v>
      </c>
      <c r="F656" t="s">
        <v>2186</v>
      </c>
      <c r="G656" t="s">
        <v>1941</v>
      </c>
      <c r="H656">
        <v>20088</v>
      </c>
      <c r="I656" t="s">
        <v>1951</v>
      </c>
    </row>
    <row r="657" spans="1:9" x14ac:dyDescent="0.25">
      <c r="A657" t="s">
        <v>1275</v>
      </c>
      <c r="B657" t="s">
        <v>4800</v>
      </c>
      <c r="C657" t="s">
        <v>4801</v>
      </c>
      <c r="E657" t="s">
        <v>4802</v>
      </c>
      <c r="F657" t="s">
        <v>4803</v>
      </c>
      <c r="G657" t="s">
        <v>1941</v>
      </c>
      <c r="H657">
        <v>52405</v>
      </c>
      <c r="I657" t="s">
        <v>1942</v>
      </c>
    </row>
    <row r="658" spans="1:9" x14ac:dyDescent="0.25">
      <c r="A658" t="s">
        <v>1277</v>
      </c>
      <c r="B658" t="s">
        <v>4804</v>
      </c>
      <c r="C658" t="s">
        <v>4805</v>
      </c>
      <c r="E658" t="s">
        <v>4806</v>
      </c>
      <c r="F658" t="s">
        <v>2093</v>
      </c>
      <c r="G658" t="s">
        <v>1941</v>
      </c>
      <c r="H658">
        <v>80045</v>
      </c>
      <c r="I658" t="s">
        <v>1951</v>
      </c>
    </row>
    <row r="659" spans="1:9" x14ac:dyDescent="0.25">
      <c r="A659" t="s">
        <v>1279</v>
      </c>
      <c r="B659" t="s">
        <v>4807</v>
      </c>
      <c r="C659" t="s">
        <v>4808</v>
      </c>
      <c r="D659" t="s">
        <v>4809</v>
      </c>
      <c r="E659" t="s">
        <v>4810</v>
      </c>
      <c r="F659" t="s">
        <v>4811</v>
      </c>
      <c r="G659" t="s">
        <v>1941</v>
      </c>
      <c r="H659">
        <v>94089</v>
      </c>
      <c r="I659" t="s">
        <v>1942</v>
      </c>
    </row>
    <row r="660" spans="1:9" x14ac:dyDescent="0.25">
      <c r="A660" t="s">
        <v>4812</v>
      </c>
      <c r="B660" t="s">
        <v>4813</v>
      </c>
      <c r="E660" t="s">
        <v>4814</v>
      </c>
      <c r="F660" t="s">
        <v>4355</v>
      </c>
      <c r="G660" t="s">
        <v>1949</v>
      </c>
      <c r="H660" t="s">
        <v>4356</v>
      </c>
      <c r="I660" t="s">
        <v>1942</v>
      </c>
    </row>
    <row r="661" spans="1:9" x14ac:dyDescent="0.25">
      <c r="A661" t="s">
        <v>1283</v>
      </c>
      <c r="B661" t="s">
        <v>4815</v>
      </c>
      <c r="C661" t="s">
        <v>4816</v>
      </c>
      <c r="D661" t="s">
        <v>4817</v>
      </c>
      <c r="E661" t="s">
        <v>4818</v>
      </c>
      <c r="F661" t="s">
        <v>4819</v>
      </c>
      <c r="G661" t="s">
        <v>1949</v>
      </c>
      <c r="H661" t="s">
        <v>4417</v>
      </c>
      <c r="I661" t="s">
        <v>1942</v>
      </c>
    </row>
    <row r="662" spans="1:9" x14ac:dyDescent="0.25">
      <c r="A662" t="s">
        <v>1285</v>
      </c>
      <c r="B662" t="s">
        <v>4820</v>
      </c>
      <c r="C662" t="s">
        <v>4821</v>
      </c>
      <c r="D662" t="s">
        <v>4822</v>
      </c>
      <c r="E662" t="s">
        <v>4823</v>
      </c>
      <c r="F662" t="s">
        <v>2800</v>
      </c>
      <c r="G662" t="s">
        <v>1941</v>
      </c>
      <c r="H662">
        <v>48930</v>
      </c>
      <c r="I662" t="s">
        <v>1951</v>
      </c>
    </row>
    <row r="663" spans="1:9" x14ac:dyDescent="0.25">
      <c r="A663" t="s">
        <v>1287</v>
      </c>
      <c r="B663" t="s">
        <v>4824</v>
      </c>
      <c r="C663" t="s">
        <v>4825</v>
      </c>
      <c r="D663" t="s">
        <v>4826</v>
      </c>
      <c r="E663" t="s">
        <v>4827</v>
      </c>
      <c r="F663" t="s">
        <v>2027</v>
      </c>
      <c r="G663" t="s">
        <v>1941</v>
      </c>
      <c r="H663">
        <v>77281</v>
      </c>
      <c r="I663" t="s">
        <v>1942</v>
      </c>
    </row>
    <row r="664" spans="1:9" x14ac:dyDescent="0.25">
      <c r="A664" t="s">
        <v>1289</v>
      </c>
      <c r="B664" t="s">
        <v>4828</v>
      </c>
      <c r="C664" t="s">
        <v>4829</v>
      </c>
      <c r="E664" t="s">
        <v>4830</v>
      </c>
      <c r="F664" t="s">
        <v>4831</v>
      </c>
      <c r="G664" t="s">
        <v>1941</v>
      </c>
      <c r="H664">
        <v>37131</v>
      </c>
      <c r="I664" t="s">
        <v>1951</v>
      </c>
    </row>
    <row r="665" spans="1:9" x14ac:dyDescent="0.25">
      <c r="A665" t="s">
        <v>1291</v>
      </c>
      <c r="B665" t="s">
        <v>4832</v>
      </c>
      <c r="C665" t="s">
        <v>4833</v>
      </c>
      <c r="E665" t="s">
        <v>4834</v>
      </c>
      <c r="F665" t="s">
        <v>2122</v>
      </c>
      <c r="G665" t="s">
        <v>1941</v>
      </c>
      <c r="H665">
        <v>25362</v>
      </c>
      <c r="I665" t="s">
        <v>1951</v>
      </c>
    </row>
    <row r="666" spans="1:9" x14ac:dyDescent="0.25">
      <c r="A666" t="s">
        <v>1293</v>
      </c>
      <c r="B666" t="s">
        <v>4835</v>
      </c>
      <c r="C666" t="s">
        <v>4836</v>
      </c>
      <c r="D666" t="s">
        <v>4837</v>
      </c>
      <c r="E666" t="s">
        <v>4838</v>
      </c>
      <c r="F666" t="s">
        <v>3143</v>
      </c>
      <c r="G666" t="s">
        <v>1941</v>
      </c>
      <c r="H666">
        <v>16534</v>
      </c>
      <c r="I666" t="s">
        <v>1951</v>
      </c>
    </row>
    <row r="667" spans="1:9" x14ac:dyDescent="0.25">
      <c r="A667" t="s">
        <v>4839</v>
      </c>
      <c r="B667" t="s">
        <v>4840</v>
      </c>
      <c r="C667" t="s">
        <v>4841</v>
      </c>
      <c r="D667" t="s">
        <v>4842</v>
      </c>
      <c r="E667" t="s">
        <v>4843</v>
      </c>
      <c r="F667" t="s">
        <v>3858</v>
      </c>
      <c r="G667" t="s">
        <v>1941</v>
      </c>
      <c r="H667">
        <v>39204</v>
      </c>
      <c r="I667" t="s">
        <v>1942</v>
      </c>
    </row>
    <row r="668" spans="1:9" x14ac:dyDescent="0.25">
      <c r="A668" t="s">
        <v>1295</v>
      </c>
      <c r="B668" t="s">
        <v>4844</v>
      </c>
      <c r="C668" t="s">
        <v>4845</v>
      </c>
      <c r="D668" t="s">
        <v>4846</v>
      </c>
      <c r="E668" t="s">
        <v>4847</v>
      </c>
      <c r="F668" t="s">
        <v>2901</v>
      </c>
      <c r="G668" t="s">
        <v>1941</v>
      </c>
      <c r="H668">
        <v>79491</v>
      </c>
      <c r="I668" t="s">
        <v>1951</v>
      </c>
    </row>
    <row r="669" spans="1:9" x14ac:dyDescent="0.25">
      <c r="A669" t="s">
        <v>1297</v>
      </c>
      <c r="B669" t="s">
        <v>4848</v>
      </c>
      <c r="C669" t="s">
        <v>4849</v>
      </c>
      <c r="D669" t="s">
        <v>4850</v>
      </c>
      <c r="E669" t="s">
        <v>4851</v>
      </c>
      <c r="F669" t="s">
        <v>4852</v>
      </c>
      <c r="G669" t="s">
        <v>1949</v>
      </c>
      <c r="H669" t="s">
        <v>2089</v>
      </c>
      <c r="I669" t="s">
        <v>1951</v>
      </c>
    </row>
    <row r="670" spans="1:9" x14ac:dyDescent="0.25">
      <c r="A670" t="s">
        <v>1281</v>
      </c>
      <c r="B670" t="s">
        <v>4853</v>
      </c>
      <c r="C670" t="s">
        <v>4854</v>
      </c>
      <c r="D670" t="s">
        <v>4855</v>
      </c>
      <c r="E670" t="s">
        <v>4856</v>
      </c>
      <c r="F670" t="s">
        <v>4481</v>
      </c>
      <c r="G670" t="s">
        <v>1941</v>
      </c>
      <c r="H670">
        <v>27717</v>
      </c>
      <c r="I670" t="s">
        <v>1942</v>
      </c>
    </row>
    <row r="671" spans="1:9" x14ac:dyDescent="0.25">
      <c r="A671" t="s">
        <v>1300</v>
      </c>
      <c r="B671" t="s">
        <v>4857</v>
      </c>
      <c r="C671" t="s">
        <v>4858</v>
      </c>
      <c r="D671" t="s">
        <v>4859</v>
      </c>
      <c r="E671" t="s">
        <v>4860</v>
      </c>
      <c r="F671" t="s">
        <v>4861</v>
      </c>
      <c r="G671" t="s">
        <v>1941</v>
      </c>
      <c r="H671">
        <v>29505</v>
      </c>
      <c r="I671" t="s">
        <v>1951</v>
      </c>
    </row>
    <row r="672" spans="1:9" x14ac:dyDescent="0.25">
      <c r="A672" t="s">
        <v>1302</v>
      </c>
      <c r="B672" t="s">
        <v>4862</v>
      </c>
      <c r="C672" t="s">
        <v>4863</v>
      </c>
      <c r="D672" t="s">
        <v>4864</v>
      </c>
      <c r="E672" t="s">
        <v>4865</v>
      </c>
      <c r="F672" t="s">
        <v>4866</v>
      </c>
      <c r="G672" t="s">
        <v>1941</v>
      </c>
      <c r="H672">
        <v>13205</v>
      </c>
      <c r="I672" t="s">
        <v>1942</v>
      </c>
    </row>
    <row r="673" spans="1:9" x14ac:dyDescent="0.25">
      <c r="A673" t="s">
        <v>1304</v>
      </c>
      <c r="B673" t="s">
        <v>4867</v>
      </c>
      <c r="C673" t="s">
        <v>4868</v>
      </c>
      <c r="D673" t="s">
        <v>4869</v>
      </c>
      <c r="E673" t="s">
        <v>4870</v>
      </c>
      <c r="F673" t="s">
        <v>3682</v>
      </c>
      <c r="G673" t="s">
        <v>1941</v>
      </c>
      <c r="H673">
        <v>30245</v>
      </c>
      <c r="I673" t="s">
        <v>1951</v>
      </c>
    </row>
    <row r="674" spans="1:9" x14ac:dyDescent="0.25">
      <c r="A674" t="s">
        <v>1306</v>
      </c>
      <c r="B674" t="s">
        <v>4871</v>
      </c>
      <c r="C674" t="s">
        <v>4872</v>
      </c>
      <c r="E674" t="s">
        <v>4873</v>
      </c>
      <c r="F674" t="s">
        <v>2027</v>
      </c>
      <c r="G674" t="s">
        <v>1941</v>
      </c>
      <c r="H674">
        <v>77070</v>
      </c>
      <c r="I674" t="s">
        <v>1942</v>
      </c>
    </row>
    <row r="675" spans="1:9" x14ac:dyDescent="0.25">
      <c r="A675" t="s">
        <v>1308</v>
      </c>
      <c r="B675" t="s">
        <v>4874</v>
      </c>
      <c r="C675" t="s">
        <v>4875</v>
      </c>
      <c r="D675" t="s">
        <v>4876</v>
      </c>
      <c r="E675" t="s">
        <v>4877</v>
      </c>
      <c r="F675" t="s">
        <v>2375</v>
      </c>
      <c r="G675" t="s">
        <v>1941</v>
      </c>
      <c r="H675">
        <v>66160</v>
      </c>
      <c r="I675" t="s">
        <v>1942</v>
      </c>
    </row>
    <row r="676" spans="1:9" x14ac:dyDescent="0.25">
      <c r="A676" t="s">
        <v>1310</v>
      </c>
      <c r="B676" t="s">
        <v>4878</v>
      </c>
      <c r="C676" t="s">
        <v>4879</v>
      </c>
      <c r="D676" t="s">
        <v>4880</v>
      </c>
      <c r="E676" t="s">
        <v>4881</v>
      </c>
      <c r="F676" t="s">
        <v>4882</v>
      </c>
      <c r="G676" t="s">
        <v>1941</v>
      </c>
      <c r="H676">
        <v>34282</v>
      </c>
      <c r="I676" t="s">
        <v>1942</v>
      </c>
    </row>
    <row r="677" spans="1:9" x14ac:dyDescent="0.25">
      <c r="A677" t="s">
        <v>1312</v>
      </c>
      <c r="B677" t="s">
        <v>4883</v>
      </c>
      <c r="D677" t="s">
        <v>4884</v>
      </c>
      <c r="E677" t="s">
        <v>4885</v>
      </c>
      <c r="F677" t="s">
        <v>4886</v>
      </c>
      <c r="G677" t="s">
        <v>1941</v>
      </c>
      <c r="H677">
        <v>18105</v>
      </c>
      <c r="I677" t="s">
        <v>1942</v>
      </c>
    </row>
    <row r="678" spans="1:9" x14ac:dyDescent="0.25">
      <c r="A678" t="s">
        <v>1314</v>
      </c>
      <c r="B678" t="s">
        <v>4887</v>
      </c>
      <c r="D678" t="s">
        <v>4888</v>
      </c>
      <c r="E678" t="s">
        <v>4889</v>
      </c>
      <c r="F678" t="s">
        <v>4890</v>
      </c>
      <c r="G678" t="s">
        <v>1941</v>
      </c>
      <c r="H678">
        <v>23663</v>
      </c>
      <c r="I678" t="s">
        <v>1951</v>
      </c>
    </row>
    <row r="679" spans="1:9" x14ac:dyDescent="0.25">
      <c r="A679" t="s">
        <v>1316</v>
      </c>
      <c r="B679" t="s">
        <v>4891</v>
      </c>
      <c r="C679" t="s">
        <v>4892</v>
      </c>
      <c r="D679" t="s">
        <v>4893</v>
      </c>
      <c r="E679" t="s">
        <v>4894</v>
      </c>
      <c r="F679" t="s">
        <v>3749</v>
      </c>
      <c r="G679" t="s">
        <v>1949</v>
      </c>
      <c r="H679" t="s">
        <v>3750</v>
      </c>
      <c r="I679" t="s">
        <v>1951</v>
      </c>
    </row>
    <row r="680" spans="1:9" x14ac:dyDescent="0.25">
      <c r="A680" t="s">
        <v>1318</v>
      </c>
      <c r="B680" t="s">
        <v>4895</v>
      </c>
      <c r="C680" t="s">
        <v>4896</v>
      </c>
      <c r="D680" t="s">
        <v>4897</v>
      </c>
      <c r="E680" t="s">
        <v>4898</v>
      </c>
      <c r="F680" t="s">
        <v>4899</v>
      </c>
      <c r="G680" t="s">
        <v>1941</v>
      </c>
      <c r="H680">
        <v>67260</v>
      </c>
      <c r="I680" t="s">
        <v>1942</v>
      </c>
    </row>
    <row r="681" spans="1:9" x14ac:dyDescent="0.25">
      <c r="A681" t="s">
        <v>1320</v>
      </c>
      <c r="B681" t="s">
        <v>4900</v>
      </c>
      <c r="C681" t="s">
        <v>4901</v>
      </c>
      <c r="D681" t="s">
        <v>4902</v>
      </c>
      <c r="E681" t="s">
        <v>4903</v>
      </c>
      <c r="F681" t="s">
        <v>4769</v>
      </c>
      <c r="G681" t="s">
        <v>2116</v>
      </c>
      <c r="H681" t="s">
        <v>4770</v>
      </c>
      <c r="I681" t="s">
        <v>1951</v>
      </c>
    </row>
    <row r="682" spans="1:9" x14ac:dyDescent="0.25">
      <c r="A682" t="s">
        <v>1322</v>
      </c>
      <c r="B682" t="s">
        <v>4904</v>
      </c>
      <c r="C682" t="s">
        <v>4905</v>
      </c>
      <c r="E682" t="s">
        <v>4906</v>
      </c>
      <c r="F682" t="s">
        <v>3283</v>
      </c>
      <c r="G682" t="s">
        <v>1941</v>
      </c>
      <c r="H682">
        <v>6816</v>
      </c>
      <c r="I682" t="s">
        <v>1951</v>
      </c>
    </row>
    <row r="683" spans="1:9" x14ac:dyDescent="0.25">
      <c r="A683" t="s">
        <v>1324</v>
      </c>
      <c r="B683" t="s">
        <v>4907</v>
      </c>
      <c r="C683" t="s">
        <v>4908</v>
      </c>
      <c r="D683" t="s">
        <v>4909</v>
      </c>
      <c r="E683" t="s">
        <v>4910</v>
      </c>
      <c r="F683" t="s">
        <v>2199</v>
      </c>
      <c r="G683" t="s">
        <v>2116</v>
      </c>
      <c r="H683" t="s">
        <v>2200</v>
      </c>
      <c r="I683" t="s">
        <v>1942</v>
      </c>
    </row>
    <row r="684" spans="1:9" x14ac:dyDescent="0.25">
      <c r="A684" t="s">
        <v>1326</v>
      </c>
      <c r="B684" t="s">
        <v>4911</v>
      </c>
      <c r="C684" t="s">
        <v>4912</v>
      </c>
      <c r="D684" t="s">
        <v>4913</v>
      </c>
      <c r="E684" t="s">
        <v>4914</v>
      </c>
      <c r="F684" t="s">
        <v>3488</v>
      </c>
      <c r="G684" t="s">
        <v>1941</v>
      </c>
      <c r="H684">
        <v>32209</v>
      </c>
      <c r="I684" t="s">
        <v>1942</v>
      </c>
    </row>
    <row r="685" spans="1:9" x14ac:dyDescent="0.25">
      <c r="A685" t="s">
        <v>1328</v>
      </c>
      <c r="B685" t="s">
        <v>4915</v>
      </c>
      <c r="C685" t="s">
        <v>4916</v>
      </c>
      <c r="D685" t="s">
        <v>4917</v>
      </c>
      <c r="E685" t="s">
        <v>4918</v>
      </c>
      <c r="F685" t="s">
        <v>2027</v>
      </c>
      <c r="G685" t="s">
        <v>1941</v>
      </c>
      <c r="H685">
        <v>77299</v>
      </c>
      <c r="I685" t="s">
        <v>1951</v>
      </c>
    </row>
    <row r="686" spans="1:9" x14ac:dyDescent="0.25">
      <c r="A686" t="s">
        <v>1330</v>
      </c>
      <c r="B686" t="s">
        <v>4919</v>
      </c>
      <c r="D686" t="s">
        <v>4920</v>
      </c>
      <c r="E686" t="s">
        <v>4921</v>
      </c>
      <c r="F686" t="s">
        <v>2022</v>
      </c>
      <c r="G686" t="s">
        <v>1941</v>
      </c>
      <c r="H686">
        <v>97255</v>
      </c>
      <c r="I686" t="s">
        <v>1951</v>
      </c>
    </row>
    <row r="687" spans="1:9" x14ac:dyDescent="0.25">
      <c r="A687" t="s">
        <v>1332</v>
      </c>
      <c r="B687" t="s">
        <v>4922</v>
      </c>
      <c r="C687" t="s">
        <v>4923</v>
      </c>
      <c r="D687" t="s">
        <v>4924</v>
      </c>
      <c r="E687" t="s">
        <v>4925</v>
      </c>
      <c r="F687" t="s">
        <v>2947</v>
      </c>
      <c r="G687" t="s">
        <v>1941</v>
      </c>
      <c r="H687">
        <v>91186</v>
      </c>
      <c r="I687" t="s">
        <v>1942</v>
      </c>
    </row>
    <row r="688" spans="1:9" x14ac:dyDescent="0.25">
      <c r="A688" t="s">
        <v>1334</v>
      </c>
      <c r="B688" t="s">
        <v>4926</v>
      </c>
      <c r="C688" t="s">
        <v>4927</v>
      </c>
      <c r="D688" t="s">
        <v>4928</v>
      </c>
      <c r="E688" t="s">
        <v>4929</v>
      </c>
      <c r="F688" t="s">
        <v>2572</v>
      </c>
      <c r="G688" t="s">
        <v>1941</v>
      </c>
      <c r="H688">
        <v>92725</v>
      </c>
      <c r="I688" t="s">
        <v>1942</v>
      </c>
    </row>
    <row r="689" spans="1:9" x14ac:dyDescent="0.25">
      <c r="A689" t="s">
        <v>1336</v>
      </c>
      <c r="B689" t="s">
        <v>4930</v>
      </c>
      <c r="C689" t="s">
        <v>4931</v>
      </c>
      <c r="D689" t="s">
        <v>4932</v>
      </c>
      <c r="E689" t="s">
        <v>4933</v>
      </c>
      <c r="F689" t="s">
        <v>1995</v>
      </c>
      <c r="G689" t="s">
        <v>1941</v>
      </c>
      <c r="H689">
        <v>95160</v>
      </c>
      <c r="I689" t="s">
        <v>1951</v>
      </c>
    </row>
    <row r="690" spans="1:9" x14ac:dyDescent="0.25">
      <c r="A690" t="s">
        <v>1338</v>
      </c>
      <c r="B690" t="s">
        <v>4934</v>
      </c>
      <c r="C690" t="s">
        <v>4935</v>
      </c>
      <c r="D690" t="s">
        <v>4936</v>
      </c>
      <c r="E690" t="s">
        <v>4937</v>
      </c>
      <c r="F690" t="s">
        <v>4938</v>
      </c>
      <c r="G690" t="s">
        <v>1949</v>
      </c>
      <c r="H690" t="s">
        <v>2043</v>
      </c>
      <c r="I690" t="s">
        <v>1951</v>
      </c>
    </row>
    <row r="691" spans="1:9" x14ac:dyDescent="0.25">
      <c r="A691" t="s">
        <v>1340</v>
      </c>
      <c r="B691" t="s">
        <v>4939</v>
      </c>
      <c r="C691" t="s">
        <v>4940</v>
      </c>
      <c r="D691" t="s">
        <v>4941</v>
      </c>
      <c r="E691" t="s">
        <v>4942</v>
      </c>
      <c r="F691" t="s">
        <v>2340</v>
      </c>
      <c r="G691" t="s">
        <v>1941</v>
      </c>
      <c r="H691">
        <v>80935</v>
      </c>
      <c r="I691" t="s">
        <v>1951</v>
      </c>
    </row>
    <row r="692" spans="1:9" x14ac:dyDescent="0.25">
      <c r="A692" t="s">
        <v>1342</v>
      </c>
      <c r="B692" t="s">
        <v>4943</v>
      </c>
      <c r="E692" t="s">
        <v>4944</v>
      </c>
      <c r="F692" t="s">
        <v>2211</v>
      </c>
      <c r="G692" t="s">
        <v>1941</v>
      </c>
      <c r="H692">
        <v>43605</v>
      </c>
      <c r="I692" t="s">
        <v>1951</v>
      </c>
    </row>
    <row r="693" spans="1:9" x14ac:dyDescent="0.25">
      <c r="A693" t="s">
        <v>4945</v>
      </c>
      <c r="B693" t="s">
        <v>4946</v>
      </c>
      <c r="C693" t="s">
        <v>4947</v>
      </c>
      <c r="D693" t="s">
        <v>4948</v>
      </c>
      <c r="E693" t="s">
        <v>4949</v>
      </c>
      <c r="F693" t="s">
        <v>3442</v>
      </c>
      <c r="G693" t="s">
        <v>1941</v>
      </c>
      <c r="H693">
        <v>33436</v>
      </c>
      <c r="I693" t="s">
        <v>1942</v>
      </c>
    </row>
    <row r="694" spans="1:9" x14ac:dyDescent="0.25">
      <c r="A694" t="s">
        <v>1346</v>
      </c>
      <c r="B694" t="s">
        <v>4950</v>
      </c>
      <c r="C694" t="s">
        <v>4951</v>
      </c>
      <c r="D694" t="s">
        <v>4952</v>
      </c>
      <c r="E694" t="s">
        <v>4953</v>
      </c>
      <c r="F694" t="s">
        <v>3037</v>
      </c>
      <c r="G694" t="s">
        <v>1941</v>
      </c>
      <c r="H694">
        <v>45999</v>
      </c>
      <c r="I694" t="s">
        <v>1951</v>
      </c>
    </row>
    <row r="695" spans="1:9" x14ac:dyDescent="0.25">
      <c r="A695" t="s">
        <v>1348</v>
      </c>
      <c r="B695" t="s">
        <v>4954</v>
      </c>
      <c r="C695" t="s">
        <v>4955</v>
      </c>
      <c r="D695" t="s">
        <v>4956</v>
      </c>
      <c r="E695" t="s">
        <v>4957</v>
      </c>
      <c r="F695" t="s">
        <v>2013</v>
      </c>
      <c r="G695" t="s">
        <v>1941</v>
      </c>
      <c r="H695">
        <v>63121</v>
      </c>
      <c r="I695" t="s">
        <v>1942</v>
      </c>
    </row>
    <row r="696" spans="1:9" x14ac:dyDescent="0.25">
      <c r="A696" t="s">
        <v>1350</v>
      </c>
      <c r="B696" t="s">
        <v>4958</v>
      </c>
      <c r="C696" t="s">
        <v>4959</v>
      </c>
      <c r="D696" t="s">
        <v>4960</v>
      </c>
      <c r="E696" t="s">
        <v>4961</v>
      </c>
      <c r="F696" t="s">
        <v>4962</v>
      </c>
      <c r="G696" t="s">
        <v>1941</v>
      </c>
      <c r="H696">
        <v>10705</v>
      </c>
      <c r="I696" t="s">
        <v>1951</v>
      </c>
    </row>
    <row r="697" spans="1:9" x14ac:dyDescent="0.25">
      <c r="A697" t="s">
        <v>1352</v>
      </c>
      <c r="B697" t="s">
        <v>4963</v>
      </c>
      <c r="C697" t="s">
        <v>4964</v>
      </c>
      <c r="D697" t="s">
        <v>4965</v>
      </c>
      <c r="E697" t="s">
        <v>4966</v>
      </c>
      <c r="F697" t="s">
        <v>3316</v>
      </c>
      <c r="G697" t="s">
        <v>1941</v>
      </c>
      <c r="H697">
        <v>21290</v>
      </c>
      <c r="I697" t="s">
        <v>1942</v>
      </c>
    </row>
    <row r="698" spans="1:9" x14ac:dyDescent="0.25">
      <c r="A698" t="s">
        <v>1354</v>
      </c>
      <c r="B698" t="s">
        <v>4967</v>
      </c>
      <c r="C698" t="s">
        <v>4968</v>
      </c>
      <c r="D698" t="s">
        <v>4969</v>
      </c>
      <c r="E698" t="s">
        <v>4970</v>
      </c>
      <c r="F698" t="s">
        <v>3488</v>
      </c>
      <c r="G698" t="s">
        <v>1941</v>
      </c>
      <c r="H698">
        <v>32230</v>
      </c>
      <c r="I698" t="s">
        <v>1951</v>
      </c>
    </row>
    <row r="699" spans="1:9" x14ac:dyDescent="0.25">
      <c r="A699" t="s">
        <v>1356</v>
      </c>
      <c r="B699" t="s">
        <v>4971</v>
      </c>
      <c r="E699" t="s">
        <v>4972</v>
      </c>
      <c r="F699" t="s">
        <v>4973</v>
      </c>
      <c r="G699" t="s">
        <v>1949</v>
      </c>
      <c r="H699" t="s">
        <v>4974</v>
      </c>
      <c r="I699" t="s">
        <v>1951</v>
      </c>
    </row>
    <row r="700" spans="1:9" x14ac:dyDescent="0.25">
      <c r="A700" t="s">
        <v>1344</v>
      </c>
      <c r="B700" t="s">
        <v>4975</v>
      </c>
      <c r="C700" t="s">
        <v>4976</v>
      </c>
      <c r="D700" t="s">
        <v>4977</v>
      </c>
      <c r="E700" t="s">
        <v>4978</v>
      </c>
      <c r="F700" t="s">
        <v>2366</v>
      </c>
      <c r="G700" t="s">
        <v>1949</v>
      </c>
      <c r="H700" t="s">
        <v>2545</v>
      </c>
      <c r="I700" t="s">
        <v>1951</v>
      </c>
    </row>
    <row r="701" spans="1:9" x14ac:dyDescent="0.25">
      <c r="A701" t="s">
        <v>1359</v>
      </c>
      <c r="B701" t="s">
        <v>4979</v>
      </c>
      <c r="C701" t="s">
        <v>4980</v>
      </c>
      <c r="D701" t="s">
        <v>4981</v>
      </c>
      <c r="E701" t="s">
        <v>4982</v>
      </c>
      <c r="F701" t="s">
        <v>3581</v>
      </c>
      <c r="G701" t="s">
        <v>1941</v>
      </c>
      <c r="H701">
        <v>33196</v>
      </c>
      <c r="I701" t="s">
        <v>1942</v>
      </c>
    </row>
    <row r="702" spans="1:9" x14ac:dyDescent="0.25">
      <c r="A702" t="s">
        <v>1361</v>
      </c>
      <c r="B702" t="s">
        <v>4983</v>
      </c>
      <c r="C702" t="s">
        <v>4984</v>
      </c>
      <c r="E702" t="s">
        <v>4985</v>
      </c>
      <c r="F702" t="s">
        <v>3090</v>
      </c>
      <c r="G702" t="s">
        <v>1941</v>
      </c>
      <c r="H702">
        <v>94121</v>
      </c>
      <c r="I702" t="s">
        <v>1951</v>
      </c>
    </row>
    <row r="703" spans="1:9" x14ac:dyDescent="0.25">
      <c r="A703" t="s">
        <v>1363</v>
      </c>
      <c r="B703" t="s">
        <v>4986</v>
      </c>
      <c r="C703" t="s">
        <v>4987</v>
      </c>
      <c r="D703" t="s">
        <v>4988</v>
      </c>
      <c r="E703" t="s">
        <v>4989</v>
      </c>
      <c r="F703" t="s">
        <v>3402</v>
      </c>
      <c r="G703" t="s">
        <v>1949</v>
      </c>
      <c r="H703" t="s">
        <v>2083</v>
      </c>
      <c r="I703" t="s">
        <v>1942</v>
      </c>
    </row>
    <row r="704" spans="1:9" x14ac:dyDescent="0.25">
      <c r="A704" t="s">
        <v>1365</v>
      </c>
      <c r="B704" t="s">
        <v>4990</v>
      </c>
      <c r="C704" t="s">
        <v>4991</v>
      </c>
      <c r="E704" t="s">
        <v>4992</v>
      </c>
      <c r="F704" t="s">
        <v>2053</v>
      </c>
      <c r="G704" t="s">
        <v>1941</v>
      </c>
      <c r="H704">
        <v>33982</v>
      </c>
      <c r="I704" t="s">
        <v>1942</v>
      </c>
    </row>
    <row r="705" spans="1:9" x14ac:dyDescent="0.25">
      <c r="A705" t="s">
        <v>1367</v>
      </c>
      <c r="B705" t="s">
        <v>4993</v>
      </c>
      <c r="D705" t="s">
        <v>4994</v>
      </c>
      <c r="E705" t="s">
        <v>4995</v>
      </c>
      <c r="F705" t="s">
        <v>2600</v>
      </c>
      <c r="G705" t="s">
        <v>1949</v>
      </c>
      <c r="H705" t="s">
        <v>2545</v>
      </c>
      <c r="I705" t="s">
        <v>1942</v>
      </c>
    </row>
    <row r="706" spans="1:9" x14ac:dyDescent="0.25">
      <c r="A706" t="s">
        <v>1369</v>
      </c>
      <c r="B706" t="s">
        <v>4996</v>
      </c>
      <c r="D706" t="s">
        <v>4997</v>
      </c>
      <c r="E706" t="s">
        <v>4998</v>
      </c>
      <c r="F706" t="s">
        <v>2037</v>
      </c>
      <c r="G706" t="s">
        <v>1941</v>
      </c>
      <c r="H706">
        <v>10125</v>
      </c>
      <c r="I706" t="s">
        <v>1942</v>
      </c>
    </row>
    <row r="707" spans="1:9" x14ac:dyDescent="0.25">
      <c r="A707" t="s">
        <v>1371</v>
      </c>
      <c r="B707" t="s">
        <v>4999</v>
      </c>
      <c r="C707" t="s">
        <v>5000</v>
      </c>
      <c r="D707" t="s">
        <v>5001</v>
      </c>
      <c r="E707" t="s">
        <v>5002</v>
      </c>
      <c r="F707" t="s">
        <v>2886</v>
      </c>
      <c r="G707" t="s">
        <v>1941</v>
      </c>
      <c r="H707">
        <v>29305</v>
      </c>
      <c r="I707" t="s">
        <v>1951</v>
      </c>
    </row>
    <row r="708" spans="1:9" x14ac:dyDescent="0.25">
      <c r="A708" t="s">
        <v>1373</v>
      </c>
      <c r="B708" t="s">
        <v>5003</v>
      </c>
      <c r="C708" t="s">
        <v>5004</v>
      </c>
      <c r="D708" t="s">
        <v>5005</v>
      </c>
      <c r="E708" t="s">
        <v>5006</v>
      </c>
      <c r="F708" t="s">
        <v>5007</v>
      </c>
      <c r="G708" t="s">
        <v>1941</v>
      </c>
      <c r="H708">
        <v>93305</v>
      </c>
      <c r="I708" t="s">
        <v>1951</v>
      </c>
    </row>
    <row r="709" spans="1:9" x14ac:dyDescent="0.25">
      <c r="A709" t="s">
        <v>1375</v>
      </c>
      <c r="B709" t="s">
        <v>5008</v>
      </c>
      <c r="D709" t="s">
        <v>5009</v>
      </c>
      <c r="E709" t="s">
        <v>5010</v>
      </c>
      <c r="F709" t="s">
        <v>5011</v>
      </c>
      <c r="G709" t="s">
        <v>1949</v>
      </c>
      <c r="H709" t="s">
        <v>3913</v>
      </c>
      <c r="I709" t="s">
        <v>1951</v>
      </c>
    </row>
    <row r="710" spans="1:9" x14ac:dyDescent="0.25">
      <c r="A710" t="s">
        <v>1377</v>
      </c>
      <c r="B710" t="s">
        <v>5012</v>
      </c>
      <c r="C710" t="s">
        <v>5013</v>
      </c>
      <c r="D710" t="s">
        <v>5014</v>
      </c>
      <c r="E710" t="s">
        <v>5015</v>
      </c>
      <c r="F710" t="s">
        <v>2013</v>
      </c>
      <c r="G710" t="s">
        <v>1941</v>
      </c>
      <c r="H710">
        <v>63169</v>
      </c>
      <c r="I710" t="s">
        <v>1942</v>
      </c>
    </row>
    <row r="711" spans="1:9" x14ac:dyDescent="0.25">
      <c r="A711" t="s">
        <v>1379</v>
      </c>
      <c r="B711" t="s">
        <v>5016</v>
      </c>
      <c r="D711" t="s">
        <v>5017</v>
      </c>
      <c r="E711" t="s">
        <v>5018</v>
      </c>
      <c r="F711" t="s">
        <v>2238</v>
      </c>
      <c r="G711" t="s">
        <v>1941</v>
      </c>
      <c r="H711">
        <v>46896</v>
      </c>
      <c r="I711" t="s">
        <v>1942</v>
      </c>
    </row>
    <row r="712" spans="1:9" x14ac:dyDescent="0.25">
      <c r="A712" t="s">
        <v>1381</v>
      </c>
      <c r="B712" t="s">
        <v>5019</v>
      </c>
      <c r="C712" t="s">
        <v>5020</v>
      </c>
      <c r="D712" t="s">
        <v>5021</v>
      </c>
      <c r="E712" t="s">
        <v>5022</v>
      </c>
      <c r="F712" t="s">
        <v>5023</v>
      </c>
      <c r="G712" t="s">
        <v>1941</v>
      </c>
      <c r="H712">
        <v>55564</v>
      </c>
      <c r="I712" t="s">
        <v>1951</v>
      </c>
    </row>
    <row r="713" spans="1:9" x14ac:dyDescent="0.25">
      <c r="A713" t="s">
        <v>1383</v>
      </c>
      <c r="B713" t="s">
        <v>5024</v>
      </c>
      <c r="C713" t="s">
        <v>5025</v>
      </c>
      <c r="D713" t="s">
        <v>5026</v>
      </c>
      <c r="E713" t="s">
        <v>5027</v>
      </c>
      <c r="F713" t="s">
        <v>5028</v>
      </c>
      <c r="G713" t="s">
        <v>1941</v>
      </c>
      <c r="H713">
        <v>72905</v>
      </c>
      <c r="I713" t="s">
        <v>1951</v>
      </c>
    </row>
    <row r="714" spans="1:9" x14ac:dyDescent="0.25">
      <c r="A714" t="s">
        <v>1385</v>
      </c>
      <c r="B714" t="s">
        <v>5029</v>
      </c>
      <c r="E714" t="s">
        <v>5030</v>
      </c>
      <c r="F714" t="s">
        <v>3563</v>
      </c>
      <c r="G714" t="s">
        <v>2116</v>
      </c>
      <c r="H714" t="s">
        <v>3564</v>
      </c>
      <c r="I714" t="s">
        <v>1951</v>
      </c>
    </row>
    <row r="715" spans="1:9" x14ac:dyDescent="0.25">
      <c r="A715" t="s">
        <v>1387</v>
      </c>
      <c r="B715" t="s">
        <v>5031</v>
      </c>
      <c r="C715" t="s">
        <v>5032</v>
      </c>
      <c r="D715" t="s">
        <v>5033</v>
      </c>
      <c r="E715" t="s">
        <v>5034</v>
      </c>
      <c r="F715" t="s">
        <v>2419</v>
      </c>
      <c r="G715" t="s">
        <v>1941</v>
      </c>
      <c r="H715">
        <v>95210</v>
      </c>
      <c r="I715" t="s">
        <v>1951</v>
      </c>
    </row>
    <row r="716" spans="1:9" x14ac:dyDescent="0.25">
      <c r="A716" t="s">
        <v>1389</v>
      </c>
      <c r="B716" t="s">
        <v>5035</v>
      </c>
      <c r="C716" t="s">
        <v>5036</v>
      </c>
      <c r="D716" t="s">
        <v>5037</v>
      </c>
      <c r="E716" t="s">
        <v>5038</v>
      </c>
      <c r="F716" t="s">
        <v>5039</v>
      </c>
      <c r="G716" t="s">
        <v>1949</v>
      </c>
      <c r="H716" t="s">
        <v>2536</v>
      </c>
      <c r="I716" t="s">
        <v>1942</v>
      </c>
    </row>
    <row r="717" spans="1:9" x14ac:dyDescent="0.25">
      <c r="A717" t="s">
        <v>1391</v>
      </c>
      <c r="B717" t="s">
        <v>5040</v>
      </c>
      <c r="C717" t="s">
        <v>5041</v>
      </c>
      <c r="E717" t="s">
        <v>5042</v>
      </c>
      <c r="F717" t="s">
        <v>2220</v>
      </c>
      <c r="G717" t="s">
        <v>1941</v>
      </c>
      <c r="H717">
        <v>33686</v>
      </c>
      <c r="I717" t="s">
        <v>1951</v>
      </c>
    </row>
    <row r="718" spans="1:9" x14ac:dyDescent="0.25">
      <c r="A718" t="s">
        <v>5043</v>
      </c>
      <c r="B718" t="s">
        <v>5044</v>
      </c>
      <c r="C718" t="s">
        <v>5045</v>
      </c>
      <c r="D718" t="s">
        <v>5046</v>
      </c>
      <c r="E718" t="s">
        <v>5047</v>
      </c>
      <c r="F718" t="s">
        <v>2725</v>
      </c>
      <c r="G718" t="s">
        <v>1949</v>
      </c>
      <c r="H718" t="s">
        <v>2726</v>
      </c>
      <c r="I718" t="s">
        <v>1951</v>
      </c>
    </row>
    <row r="719" spans="1:9" x14ac:dyDescent="0.25">
      <c r="A719" t="s">
        <v>1394</v>
      </c>
      <c r="B719" t="s">
        <v>5048</v>
      </c>
      <c r="C719" t="s">
        <v>5049</v>
      </c>
      <c r="D719" t="s">
        <v>5050</v>
      </c>
      <c r="E719" t="s">
        <v>5051</v>
      </c>
      <c r="F719" t="s">
        <v>2017</v>
      </c>
      <c r="G719" t="s">
        <v>1941</v>
      </c>
      <c r="H719">
        <v>19104</v>
      </c>
      <c r="I719" t="s">
        <v>1951</v>
      </c>
    </row>
    <row r="720" spans="1:9" x14ac:dyDescent="0.25">
      <c r="A720" t="s">
        <v>1396</v>
      </c>
      <c r="B720" t="s">
        <v>5052</v>
      </c>
      <c r="C720" t="s">
        <v>5053</v>
      </c>
      <c r="D720" t="s">
        <v>5054</v>
      </c>
      <c r="E720" t="s">
        <v>5055</v>
      </c>
      <c r="F720" t="s">
        <v>4760</v>
      </c>
      <c r="G720" t="s">
        <v>1941</v>
      </c>
      <c r="H720">
        <v>76905</v>
      </c>
      <c r="I720" t="s">
        <v>1951</v>
      </c>
    </row>
    <row r="721" spans="1:9" x14ac:dyDescent="0.25">
      <c r="A721" t="s">
        <v>1398</v>
      </c>
      <c r="B721" t="s">
        <v>5056</v>
      </c>
      <c r="C721" t="s">
        <v>5057</v>
      </c>
      <c r="D721" t="s">
        <v>5058</v>
      </c>
      <c r="E721" t="s">
        <v>5059</v>
      </c>
      <c r="F721" t="s">
        <v>1986</v>
      </c>
      <c r="G721" t="s">
        <v>1941</v>
      </c>
      <c r="H721">
        <v>90035</v>
      </c>
      <c r="I721" t="s">
        <v>1942</v>
      </c>
    </row>
    <row r="722" spans="1:9" x14ac:dyDescent="0.25">
      <c r="A722" t="s">
        <v>1400</v>
      </c>
      <c r="B722" t="s">
        <v>5060</v>
      </c>
      <c r="C722" t="s">
        <v>5061</v>
      </c>
      <c r="D722" t="s">
        <v>5062</v>
      </c>
      <c r="E722" t="s">
        <v>5063</v>
      </c>
      <c r="F722" t="s">
        <v>2800</v>
      </c>
      <c r="G722" t="s">
        <v>1941</v>
      </c>
      <c r="H722">
        <v>48912</v>
      </c>
      <c r="I722" t="s">
        <v>1942</v>
      </c>
    </row>
    <row r="723" spans="1:9" x14ac:dyDescent="0.25">
      <c r="A723" t="s">
        <v>1402</v>
      </c>
      <c r="B723" t="s">
        <v>5064</v>
      </c>
      <c r="C723" t="s">
        <v>5065</v>
      </c>
      <c r="D723" t="s">
        <v>5066</v>
      </c>
      <c r="E723" t="s">
        <v>5067</v>
      </c>
      <c r="F723" t="s">
        <v>2713</v>
      </c>
      <c r="G723" t="s">
        <v>1941</v>
      </c>
      <c r="H723">
        <v>34615</v>
      </c>
      <c r="I723" t="s">
        <v>1942</v>
      </c>
    </row>
    <row r="724" spans="1:9" x14ac:dyDescent="0.25">
      <c r="A724" t="s">
        <v>1404</v>
      </c>
      <c r="B724" t="s">
        <v>5068</v>
      </c>
      <c r="D724" t="s">
        <v>5069</v>
      </c>
      <c r="E724" t="s">
        <v>5070</v>
      </c>
      <c r="F724" t="s">
        <v>2758</v>
      </c>
      <c r="G724" t="s">
        <v>1941</v>
      </c>
      <c r="H724">
        <v>90605</v>
      </c>
      <c r="I724" t="s">
        <v>1951</v>
      </c>
    </row>
    <row r="725" spans="1:9" x14ac:dyDescent="0.25">
      <c r="A725" t="s">
        <v>1406</v>
      </c>
      <c r="B725" t="s">
        <v>5071</v>
      </c>
      <c r="C725" t="s">
        <v>5072</v>
      </c>
      <c r="D725" t="s">
        <v>5073</v>
      </c>
      <c r="E725" t="s">
        <v>5074</v>
      </c>
      <c r="F725" t="s">
        <v>2355</v>
      </c>
      <c r="G725" t="s">
        <v>1941</v>
      </c>
      <c r="H725">
        <v>93773</v>
      </c>
      <c r="I725" t="s">
        <v>1951</v>
      </c>
    </row>
    <row r="726" spans="1:9" x14ac:dyDescent="0.25">
      <c r="A726" t="s">
        <v>1408</v>
      </c>
      <c r="B726" t="s">
        <v>5075</v>
      </c>
      <c r="D726" t="s">
        <v>5076</v>
      </c>
      <c r="E726" t="s">
        <v>5077</v>
      </c>
      <c r="F726" t="s">
        <v>2037</v>
      </c>
      <c r="G726" t="s">
        <v>1941</v>
      </c>
      <c r="H726">
        <v>10155</v>
      </c>
      <c r="I726" t="s">
        <v>1942</v>
      </c>
    </row>
    <row r="727" spans="1:9" x14ac:dyDescent="0.25">
      <c r="A727" t="s">
        <v>1410</v>
      </c>
      <c r="B727" t="s">
        <v>5078</v>
      </c>
      <c r="C727" t="s">
        <v>5079</v>
      </c>
      <c r="D727" t="s">
        <v>5080</v>
      </c>
      <c r="E727" t="s">
        <v>5081</v>
      </c>
      <c r="F727" t="s">
        <v>2340</v>
      </c>
      <c r="G727" t="s">
        <v>1941</v>
      </c>
      <c r="H727">
        <v>80935</v>
      </c>
      <c r="I727" t="s">
        <v>1951</v>
      </c>
    </row>
    <row r="728" spans="1:9" x14ac:dyDescent="0.25">
      <c r="A728" t="s">
        <v>1412</v>
      </c>
      <c r="B728" t="s">
        <v>5082</v>
      </c>
      <c r="D728" t="s">
        <v>5083</v>
      </c>
      <c r="E728" t="s">
        <v>5084</v>
      </c>
      <c r="F728" t="s">
        <v>5085</v>
      </c>
      <c r="G728" t="s">
        <v>1941</v>
      </c>
      <c r="H728">
        <v>90831</v>
      </c>
      <c r="I728" t="s">
        <v>1951</v>
      </c>
    </row>
    <row r="729" spans="1:9" x14ac:dyDescent="0.25">
      <c r="A729" t="s">
        <v>1414</v>
      </c>
      <c r="B729" t="s">
        <v>5086</v>
      </c>
      <c r="C729" t="s">
        <v>5087</v>
      </c>
      <c r="D729" t="s">
        <v>5088</v>
      </c>
      <c r="E729" t="s">
        <v>5089</v>
      </c>
      <c r="F729" t="s">
        <v>5090</v>
      </c>
      <c r="G729" t="s">
        <v>1949</v>
      </c>
      <c r="H729" t="s">
        <v>5091</v>
      </c>
      <c r="I729" t="s">
        <v>1942</v>
      </c>
    </row>
    <row r="730" spans="1:9" x14ac:dyDescent="0.25">
      <c r="A730" t="s">
        <v>1416</v>
      </c>
      <c r="B730" t="s">
        <v>5092</v>
      </c>
      <c r="C730" t="s">
        <v>5093</v>
      </c>
      <c r="D730" t="s">
        <v>5094</v>
      </c>
      <c r="E730" t="s">
        <v>5095</v>
      </c>
      <c r="F730" t="s">
        <v>2370</v>
      </c>
      <c r="G730" t="s">
        <v>1941</v>
      </c>
      <c r="H730">
        <v>89510</v>
      </c>
      <c r="I730" t="s">
        <v>1942</v>
      </c>
    </row>
    <row r="731" spans="1:9" x14ac:dyDescent="0.25">
      <c r="A731" t="s">
        <v>1418</v>
      </c>
      <c r="B731" t="s">
        <v>5096</v>
      </c>
      <c r="C731" t="s">
        <v>5097</v>
      </c>
      <c r="D731" t="s">
        <v>5098</v>
      </c>
      <c r="E731" t="s">
        <v>5099</v>
      </c>
      <c r="F731" t="s">
        <v>2115</v>
      </c>
      <c r="G731" t="s">
        <v>2116</v>
      </c>
      <c r="H731" t="s">
        <v>2117</v>
      </c>
      <c r="I731" t="s">
        <v>1951</v>
      </c>
    </row>
    <row r="732" spans="1:9" x14ac:dyDescent="0.25">
      <c r="A732" t="s">
        <v>1420</v>
      </c>
      <c r="B732" t="s">
        <v>5100</v>
      </c>
      <c r="C732" t="s">
        <v>5101</v>
      </c>
      <c r="D732" t="s">
        <v>5102</v>
      </c>
      <c r="E732" t="s">
        <v>5103</v>
      </c>
      <c r="F732" t="s">
        <v>3370</v>
      </c>
      <c r="G732" t="s">
        <v>1941</v>
      </c>
      <c r="H732">
        <v>89155</v>
      </c>
      <c r="I732" t="s">
        <v>1951</v>
      </c>
    </row>
    <row r="733" spans="1:9" x14ac:dyDescent="0.25">
      <c r="A733" t="s">
        <v>1422</v>
      </c>
      <c r="B733" t="s">
        <v>5104</v>
      </c>
      <c r="D733" t="s">
        <v>5105</v>
      </c>
      <c r="E733" t="s">
        <v>5106</v>
      </c>
      <c r="F733" t="s">
        <v>5107</v>
      </c>
      <c r="G733" t="s">
        <v>1941</v>
      </c>
      <c r="H733">
        <v>19805</v>
      </c>
      <c r="I733" t="s">
        <v>1942</v>
      </c>
    </row>
    <row r="734" spans="1:9" x14ac:dyDescent="0.25">
      <c r="A734" t="s">
        <v>1424</v>
      </c>
      <c r="B734" t="s">
        <v>5108</v>
      </c>
      <c r="C734" t="s">
        <v>5109</v>
      </c>
      <c r="D734" t="s">
        <v>5110</v>
      </c>
      <c r="E734" t="s">
        <v>5111</v>
      </c>
      <c r="F734" t="s">
        <v>2370</v>
      </c>
      <c r="G734" t="s">
        <v>1941</v>
      </c>
      <c r="H734">
        <v>89550</v>
      </c>
      <c r="I734" t="s">
        <v>1951</v>
      </c>
    </row>
    <row r="735" spans="1:9" x14ac:dyDescent="0.25">
      <c r="A735" t="s">
        <v>1426</v>
      </c>
      <c r="B735" t="s">
        <v>5112</v>
      </c>
      <c r="C735" t="s">
        <v>5113</v>
      </c>
      <c r="D735" t="s">
        <v>5114</v>
      </c>
      <c r="E735" t="s">
        <v>5115</v>
      </c>
      <c r="F735" t="s">
        <v>2439</v>
      </c>
      <c r="G735" t="s">
        <v>1941</v>
      </c>
      <c r="H735">
        <v>35487</v>
      </c>
      <c r="I735" t="s">
        <v>1942</v>
      </c>
    </row>
    <row r="736" spans="1:9" x14ac:dyDescent="0.25">
      <c r="A736" t="s">
        <v>1428</v>
      </c>
      <c r="B736" t="s">
        <v>5116</v>
      </c>
      <c r="D736" t="s">
        <v>5117</v>
      </c>
      <c r="E736" t="s">
        <v>5118</v>
      </c>
      <c r="F736" t="s">
        <v>5119</v>
      </c>
      <c r="G736" t="s">
        <v>1941</v>
      </c>
      <c r="H736">
        <v>92645</v>
      </c>
      <c r="I736" t="s">
        <v>1951</v>
      </c>
    </row>
    <row r="737" spans="1:9" x14ac:dyDescent="0.25">
      <c r="A737" t="s">
        <v>1430</v>
      </c>
      <c r="B737" t="s">
        <v>5120</v>
      </c>
      <c r="C737" t="s">
        <v>5121</v>
      </c>
      <c r="E737" t="s">
        <v>5122</v>
      </c>
      <c r="F737" t="s">
        <v>2988</v>
      </c>
      <c r="G737" t="s">
        <v>1941</v>
      </c>
      <c r="H737">
        <v>66225</v>
      </c>
      <c r="I737" t="s">
        <v>1951</v>
      </c>
    </row>
    <row r="738" spans="1:9" x14ac:dyDescent="0.25">
      <c r="A738" t="s">
        <v>1432</v>
      </c>
      <c r="B738" t="s">
        <v>5123</v>
      </c>
      <c r="C738" t="s">
        <v>5124</v>
      </c>
      <c r="D738" t="s">
        <v>5125</v>
      </c>
      <c r="E738" t="s">
        <v>5126</v>
      </c>
      <c r="F738" t="s">
        <v>2600</v>
      </c>
      <c r="G738" t="s">
        <v>1949</v>
      </c>
      <c r="H738" t="s">
        <v>2545</v>
      </c>
      <c r="I738" t="s">
        <v>1942</v>
      </c>
    </row>
    <row r="739" spans="1:9" x14ac:dyDescent="0.25">
      <c r="A739" t="s">
        <v>1434</v>
      </c>
      <c r="B739" t="s">
        <v>5127</v>
      </c>
      <c r="C739" t="s">
        <v>5128</v>
      </c>
      <c r="D739" t="s">
        <v>5129</v>
      </c>
      <c r="E739" t="s">
        <v>5130</v>
      </c>
      <c r="F739" t="s">
        <v>3037</v>
      </c>
      <c r="G739" t="s">
        <v>1941</v>
      </c>
      <c r="H739">
        <v>45228</v>
      </c>
      <c r="I739" t="s">
        <v>1951</v>
      </c>
    </row>
    <row r="740" spans="1:9" x14ac:dyDescent="0.25">
      <c r="A740" t="s">
        <v>1436</v>
      </c>
      <c r="B740" t="s">
        <v>5131</v>
      </c>
      <c r="C740" t="s">
        <v>5132</v>
      </c>
      <c r="D740" t="s">
        <v>5133</v>
      </c>
      <c r="E740" t="s">
        <v>5134</v>
      </c>
      <c r="F740" t="s">
        <v>2912</v>
      </c>
      <c r="G740" t="s">
        <v>2116</v>
      </c>
      <c r="H740" t="s">
        <v>2913</v>
      </c>
      <c r="I740" t="s">
        <v>1951</v>
      </c>
    </row>
    <row r="741" spans="1:9" x14ac:dyDescent="0.25">
      <c r="A741" t="s">
        <v>5135</v>
      </c>
      <c r="B741" t="s">
        <v>5136</v>
      </c>
      <c r="D741" t="s">
        <v>5137</v>
      </c>
      <c r="E741" t="s">
        <v>5138</v>
      </c>
      <c r="F741" t="s">
        <v>2022</v>
      </c>
      <c r="G741" t="s">
        <v>1941</v>
      </c>
      <c r="H741">
        <v>97296</v>
      </c>
      <c r="I741" t="s">
        <v>1942</v>
      </c>
    </row>
    <row r="742" spans="1:9" x14ac:dyDescent="0.25">
      <c r="A742" t="s">
        <v>1439</v>
      </c>
      <c r="B742" t="s">
        <v>5139</v>
      </c>
      <c r="C742" t="s">
        <v>5140</v>
      </c>
      <c r="D742" t="s">
        <v>5141</v>
      </c>
      <c r="E742" t="s">
        <v>5142</v>
      </c>
      <c r="F742" t="s">
        <v>5011</v>
      </c>
      <c r="G742" t="s">
        <v>1949</v>
      </c>
      <c r="H742" t="s">
        <v>3913</v>
      </c>
      <c r="I742" t="s">
        <v>1951</v>
      </c>
    </row>
    <row r="743" spans="1:9" x14ac:dyDescent="0.25">
      <c r="A743" t="s">
        <v>1441</v>
      </c>
      <c r="B743" t="s">
        <v>5143</v>
      </c>
      <c r="C743" t="s">
        <v>5144</v>
      </c>
      <c r="D743" t="s">
        <v>5145</v>
      </c>
      <c r="E743" t="s">
        <v>5146</v>
      </c>
      <c r="F743" t="s">
        <v>4811</v>
      </c>
      <c r="G743" t="s">
        <v>1941</v>
      </c>
      <c r="H743">
        <v>94089</v>
      </c>
      <c r="I743" t="s">
        <v>1951</v>
      </c>
    </row>
    <row r="744" spans="1:9" x14ac:dyDescent="0.25">
      <c r="A744" t="s">
        <v>1443</v>
      </c>
      <c r="B744" t="s">
        <v>5147</v>
      </c>
      <c r="C744" t="s">
        <v>5148</v>
      </c>
      <c r="D744" t="s">
        <v>5149</v>
      </c>
      <c r="E744" t="s">
        <v>5150</v>
      </c>
      <c r="F744" t="s">
        <v>2845</v>
      </c>
      <c r="G744" t="s">
        <v>1941</v>
      </c>
      <c r="H744">
        <v>38188</v>
      </c>
      <c r="I744" t="s">
        <v>1951</v>
      </c>
    </row>
    <row r="745" spans="1:9" x14ac:dyDescent="0.25">
      <c r="A745" t="s">
        <v>1445</v>
      </c>
      <c r="B745" t="s">
        <v>5151</v>
      </c>
      <c r="C745" t="s">
        <v>5152</v>
      </c>
      <c r="D745" t="s">
        <v>5153</v>
      </c>
      <c r="E745" t="s">
        <v>5154</v>
      </c>
      <c r="F745" t="s">
        <v>4401</v>
      </c>
      <c r="G745" t="s">
        <v>1941</v>
      </c>
      <c r="H745">
        <v>32868</v>
      </c>
      <c r="I745" t="s">
        <v>1951</v>
      </c>
    </row>
    <row r="746" spans="1:9" x14ac:dyDescent="0.25">
      <c r="A746" t="s">
        <v>1447</v>
      </c>
      <c r="B746" t="s">
        <v>5155</v>
      </c>
      <c r="D746" t="s">
        <v>5156</v>
      </c>
      <c r="E746" t="s">
        <v>5157</v>
      </c>
      <c r="F746" t="s">
        <v>2821</v>
      </c>
      <c r="G746" t="s">
        <v>1941</v>
      </c>
      <c r="H746">
        <v>48232</v>
      </c>
      <c r="I746" t="s">
        <v>1942</v>
      </c>
    </row>
    <row r="747" spans="1:9" x14ac:dyDescent="0.25">
      <c r="A747" t="s">
        <v>1449</v>
      </c>
      <c r="B747" t="s">
        <v>5158</v>
      </c>
      <c r="C747" t="s">
        <v>5159</v>
      </c>
      <c r="D747" t="s">
        <v>5160</v>
      </c>
      <c r="E747" t="s">
        <v>5161</v>
      </c>
      <c r="F747" t="s">
        <v>5162</v>
      </c>
      <c r="G747" t="s">
        <v>1949</v>
      </c>
      <c r="H747" t="s">
        <v>5163</v>
      </c>
      <c r="I747" t="s">
        <v>1951</v>
      </c>
    </row>
    <row r="748" spans="1:9" x14ac:dyDescent="0.25">
      <c r="A748" t="s">
        <v>1451</v>
      </c>
      <c r="B748" t="s">
        <v>5164</v>
      </c>
      <c r="C748" t="s">
        <v>5165</v>
      </c>
      <c r="D748" t="s">
        <v>5166</v>
      </c>
      <c r="E748" t="s">
        <v>5167</v>
      </c>
      <c r="F748" t="s">
        <v>5168</v>
      </c>
      <c r="G748" t="s">
        <v>1949</v>
      </c>
      <c r="H748" t="s">
        <v>2726</v>
      </c>
      <c r="I748" t="s">
        <v>1951</v>
      </c>
    </row>
    <row r="749" spans="1:9" x14ac:dyDescent="0.25">
      <c r="A749" t="s">
        <v>1453</v>
      </c>
      <c r="B749" t="s">
        <v>5169</v>
      </c>
      <c r="C749" t="s">
        <v>5170</v>
      </c>
      <c r="D749" t="s">
        <v>5171</v>
      </c>
      <c r="E749" t="s">
        <v>5172</v>
      </c>
      <c r="F749" t="s">
        <v>5173</v>
      </c>
      <c r="G749" t="s">
        <v>1949</v>
      </c>
      <c r="H749" t="s">
        <v>5174</v>
      </c>
      <c r="I749" t="s">
        <v>1942</v>
      </c>
    </row>
    <row r="750" spans="1:9" x14ac:dyDescent="0.25">
      <c r="A750" t="s">
        <v>1455</v>
      </c>
      <c r="B750" t="s">
        <v>5175</v>
      </c>
      <c r="C750" t="s">
        <v>5176</v>
      </c>
      <c r="D750" t="s">
        <v>5177</v>
      </c>
      <c r="E750" t="s">
        <v>5178</v>
      </c>
      <c r="F750" t="s">
        <v>2004</v>
      </c>
      <c r="G750" t="s">
        <v>1941</v>
      </c>
      <c r="H750">
        <v>23203</v>
      </c>
      <c r="I750" t="s">
        <v>1951</v>
      </c>
    </row>
    <row r="751" spans="1:9" x14ac:dyDescent="0.25">
      <c r="A751" t="s">
        <v>1457</v>
      </c>
      <c r="B751" t="s">
        <v>5179</v>
      </c>
      <c r="C751" t="s">
        <v>5180</v>
      </c>
      <c r="D751" t="s">
        <v>5181</v>
      </c>
      <c r="E751" t="s">
        <v>5182</v>
      </c>
      <c r="F751" t="s">
        <v>5183</v>
      </c>
      <c r="G751" t="s">
        <v>1949</v>
      </c>
      <c r="H751" t="s">
        <v>2536</v>
      </c>
      <c r="I751" t="s">
        <v>1942</v>
      </c>
    </row>
    <row r="752" spans="1:9" x14ac:dyDescent="0.25">
      <c r="A752" t="s">
        <v>1459</v>
      </c>
      <c r="B752" t="s">
        <v>5184</v>
      </c>
      <c r="D752" t="s">
        <v>5185</v>
      </c>
      <c r="E752" t="s">
        <v>5186</v>
      </c>
      <c r="F752" t="s">
        <v>2266</v>
      </c>
      <c r="G752" t="s">
        <v>1941</v>
      </c>
      <c r="H752">
        <v>76178</v>
      </c>
      <c r="I752" t="s">
        <v>1942</v>
      </c>
    </row>
    <row r="753" spans="1:9" x14ac:dyDescent="0.25">
      <c r="A753" t="s">
        <v>1461</v>
      </c>
      <c r="B753" t="s">
        <v>5187</v>
      </c>
      <c r="C753" t="s">
        <v>5188</v>
      </c>
      <c r="D753" t="s">
        <v>5189</v>
      </c>
      <c r="E753" t="s">
        <v>5190</v>
      </c>
      <c r="F753" t="s">
        <v>2776</v>
      </c>
      <c r="G753" t="s">
        <v>1941</v>
      </c>
      <c r="H753">
        <v>11254</v>
      </c>
      <c r="I753" t="s">
        <v>1951</v>
      </c>
    </row>
    <row r="754" spans="1:9" x14ac:dyDescent="0.25">
      <c r="A754" t="s">
        <v>1463</v>
      </c>
      <c r="B754" t="s">
        <v>5191</v>
      </c>
      <c r="C754" t="s">
        <v>5192</v>
      </c>
      <c r="D754" t="s">
        <v>5193</v>
      </c>
      <c r="E754" t="s">
        <v>5194</v>
      </c>
      <c r="F754" t="s">
        <v>2266</v>
      </c>
      <c r="G754" t="s">
        <v>1941</v>
      </c>
      <c r="H754">
        <v>76198</v>
      </c>
      <c r="I754" t="s">
        <v>1942</v>
      </c>
    </row>
    <row r="755" spans="1:9" x14ac:dyDescent="0.25">
      <c r="A755" t="s">
        <v>1465</v>
      </c>
      <c r="B755" t="s">
        <v>5195</v>
      </c>
      <c r="C755" t="s">
        <v>5196</v>
      </c>
      <c r="D755" t="s">
        <v>5197</v>
      </c>
      <c r="E755" t="s">
        <v>5198</v>
      </c>
      <c r="F755" t="s">
        <v>3099</v>
      </c>
      <c r="G755" t="s">
        <v>1941</v>
      </c>
      <c r="H755">
        <v>85053</v>
      </c>
      <c r="I755" t="s">
        <v>1951</v>
      </c>
    </row>
    <row r="756" spans="1:9" x14ac:dyDescent="0.25">
      <c r="A756" t="s">
        <v>5199</v>
      </c>
      <c r="B756" t="s">
        <v>5200</v>
      </c>
      <c r="C756" t="s">
        <v>5201</v>
      </c>
      <c r="E756" t="s">
        <v>5202</v>
      </c>
      <c r="F756" t="s">
        <v>2186</v>
      </c>
      <c r="G756" t="s">
        <v>1941</v>
      </c>
      <c r="H756">
        <v>20470</v>
      </c>
      <c r="I756" t="s">
        <v>1951</v>
      </c>
    </row>
    <row r="757" spans="1:9" x14ac:dyDescent="0.25">
      <c r="A757" t="s">
        <v>1468</v>
      </c>
      <c r="B757" t="s">
        <v>5203</v>
      </c>
      <c r="C757" t="s">
        <v>5204</v>
      </c>
      <c r="D757" t="s">
        <v>5205</v>
      </c>
      <c r="E757" t="s">
        <v>5206</v>
      </c>
      <c r="F757" t="s">
        <v>2325</v>
      </c>
      <c r="G757" t="s">
        <v>1941</v>
      </c>
      <c r="H757">
        <v>75287</v>
      </c>
      <c r="I757" t="s">
        <v>1951</v>
      </c>
    </row>
    <row r="758" spans="1:9" x14ac:dyDescent="0.25">
      <c r="A758" t="s">
        <v>1470</v>
      </c>
      <c r="B758" t="s">
        <v>5207</v>
      </c>
      <c r="C758" t="s">
        <v>5208</v>
      </c>
      <c r="D758" t="s">
        <v>5209</v>
      </c>
      <c r="E758" t="s">
        <v>5210</v>
      </c>
      <c r="F758" t="s">
        <v>3687</v>
      </c>
      <c r="G758" t="s">
        <v>1941</v>
      </c>
      <c r="H758">
        <v>28805</v>
      </c>
      <c r="I758" t="s">
        <v>1942</v>
      </c>
    </row>
    <row r="759" spans="1:9" x14ac:dyDescent="0.25">
      <c r="A759" t="s">
        <v>1472</v>
      </c>
      <c r="B759" t="s">
        <v>5211</v>
      </c>
      <c r="C759" t="s">
        <v>5212</v>
      </c>
      <c r="D759" t="s">
        <v>5213</v>
      </c>
      <c r="E759" t="s">
        <v>5214</v>
      </c>
      <c r="F759" t="s">
        <v>5215</v>
      </c>
      <c r="G759" t="s">
        <v>1941</v>
      </c>
      <c r="H759">
        <v>59112</v>
      </c>
      <c r="I759" t="s">
        <v>1942</v>
      </c>
    </row>
    <row r="760" spans="1:9" x14ac:dyDescent="0.25">
      <c r="A760" t="s">
        <v>1474</v>
      </c>
      <c r="B760" t="s">
        <v>5216</v>
      </c>
      <c r="C760" t="s">
        <v>5217</v>
      </c>
      <c r="E760" t="s">
        <v>5218</v>
      </c>
      <c r="F760" t="s">
        <v>2013</v>
      </c>
      <c r="G760" t="s">
        <v>1941</v>
      </c>
      <c r="H760">
        <v>63126</v>
      </c>
      <c r="I760" t="s">
        <v>1951</v>
      </c>
    </row>
    <row r="761" spans="1:9" x14ac:dyDescent="0.25">
      <c r="A761" t="s">
        <v>1476</v>
      </c>
      <c r="B761" t="s">
        <v>5219</v>
      </c>
      <c r="C761" t="s">
        <v>5220</v>
      </c>
      <c r="D761" t="s">
        <v>5221</v>
      </c>
      <c r="E761" t="s">
        <v>5222</v>
      </c>
      <c r="F761" t="s">
        <v>5223</v>
      </c>
      <c r="G761" t="s">
        <v>1941</v>
      </c>
      <c r="H761">
        <v>64054</v>
      </c>
      <c r="I761" t="s">
        <v>1942</v>
      </c>
    </row>
    <row r="762" spans="1:9" x14ac:dyDescent="0.25">
      <c r="A762" t="s">
        <v>1478</v>
      </c>
      <c r="B762" t="s">
        <v>5224</v>
      </c>
      <c r="C762" t="s">
        <v>5225</v>
      </c>
      <c r="E762" t="s">
        <v>5226</v>
      </c>
      <c r="F762" t="s">
        <v>2694</v>
      </c>
      <c r="G762" t="s">
        <v>1941</v>
      </c>
      <c r="H762">
        <v>27404</v>
      </c>
      <c r="I762" t="s">
        <v>1951</v>
      </c>
    </row>
    <row r="763" spans="1:9" x14ac:dyDescent="0.25">
      <c r="A763" t="s">
        <v>1480</v>
      </c>
      <c r="B763" t="s">
        <v>5227</v>
      </c>
      <c r="C763" t="s">
        <v>5228</v>
      </c>
      <c r="E763" t="s">
        <v>5229</v>
      </c>
      <c r="F763" t="s">
        <v>5230</v>
      </c>
      <c r="G763" t="s">
        <v>1941</v>
      </c>
      <c r="H763">
        <v>71213</v>
      </c>
      <c r="I763" t="s">
        <v>1942</v>
      </c>
    </row>
    <row r="764" spans="1:9" x14ac:dyDescent="0.25">
      <c r="A764" t="s">
        <v>1482</v>
      </c>
      <c r="B764" t="s">
        <v>5231</v>
      </c>
      <c r="C764" t="s">
        <v>5232</v>
      </c>
      <c r="D764" t="s">
        <v>5233</v>
      </c>
      <c r="E764" t="s">
        <v>5234</v>
      </c>
      <c r="F764" t="s">
        <v>4422</v>
      </c>
      <c r="G764" t="s">
        <v>2116</v>
      </c>
      <c r="H764" t="s">
        <v>4423</v>
      </c>
      <c r="I764" t="s">
        <v>1951</v>
      </c>
    </row>
    <row r="765" spans="1:9" x14ac:dyDescent="0.25">
      <c r="A765" t="s">
        <v>1484</v>
      </c>
      <c r="B765" t="s">
        <v>5235</v>
      </c>
      <c r="D765" t="s">
        <v>5236</v>
      </c>
      <c r="E765" t="s">
        <v>5237</v>
      </c>
      <c r="F765" t="s">
        <v>2266</v>
      </c>
      <c r="G765" t="s">
        <v>1941</v>
      </c>
      <c r="H765">
        <v>76129</v>
      </c>
      <c r="I765" t="s">
        <v>1951</v>
      </c>
    </row>
    <row r="766" spans="1:9" x14ac:dyDescent="0.25">
      <c r="A766" t="s">
        <v>1486</v>
      </c>
      <c r="B766" t="s">
        <v>5238</v>
      </c>
      <c r="C766" t="s">
        <v>5239</v>
      </c>
      <c r="D766" t="s">
        <v>5240</v>
      </c>
      <c r="E766" t="s">
        <v>5241</v>
      </c>
      <c r="F766" t="s">
        <v>2550</v>
      </c>
      <c r="G766" t="s">
        <v>1941</v>
      </c>
      <c r="H766">
        <v>58122</v>
      </c>
      <c r="I766" t="s">
        <v>1942</v>
      </c>
    </row>
    <row r="767" spans="1:9" x14ac:dyDescent="0.25">
      <c r="A767" t="s">
        <v>1488</v>
      </c>
      <c r="B767" t="s">
        <v>5242</v>
      </c>
      <c r="C767" t="s">
        <v>5243</v>
      </c>
      <c r="D767" t="s">
        <v>5244</v>
      </c>
      <c r="E767" t="s">
        <v>5245</v>
      </c>
      <c r="F767" t="s">
        <v>2791</v>
      </c>
      <c r="G767" t="s">
        <v>1941</v>
      </c>
      <c r="H767">
        <v>75044</v>
      </c>
      <c r="I767" t="s">
        <v>1942</v>
      </c>
    </row>
    <row r="768" spans="1:9" x14ac:dyDescent="0.25">
      <c r="A768" t="s">
        <v>5246</v>
      </c>
      <c r="B768" t="s">
        <v>5247</v>
      </c>
      <c r="C768" t="s">
        <v>5248</v>
      </c>
      <c r="D768" t="s">
        <v>5249</v>
      </c>
      <c r="E768" t="s">
        <v>5250</v>
      </c>
      <c r="F768" t="s">
        <v>2287</v>
      </c>
      <c r="G768" t="s">
        <v>1941</v>
      </c>
      <c r="H768">
        <v>43231</v>
      </c>
      <c r="I768" t="s">
        <v>1951</v>
      </c>
    </row>
    <row r="769" spans="1:9" x14ac:dyDescent="0.25">
      <c r="A769" t="s">
        <v>5251</v>
      </c>
      <c r="B769" t="s">
        <v>5252</v>
      </c>
      <c r="C769" t="s">
        <v>5253</v>
      </c>
      <c r="D769" t="s">
        <v>5254</v>
      </c>
      <c r="E769" t="s">
        <v>5255</v>
      </c>
      <c r="F769" t="s">
        <v>2387</v>
      </c>
      <c r="G769" t="s">
        <v>1941</v>
      </c>
      <c r="H769">
        <v>78737</v>
      </c>
      <c r="I769" t="s">
        <v>1951</v>
      </c>
    </row>
    <row r="770" spans="1:9" x14ac:dyDescent="0.25">
      <c r="A770" t="s">
        <v>5256</v>
      </c>
      <c r="B770" t="s">
        <v>5257</v>
      </c>
      <c r="D770" t="s">
        <v>5258</v>
      </c>
      <c r="E770" t="s">
        <v>5259</v>
      </c>
      <c r="F770" t="s">
        <v>2744</v>
      </c>
      <c r="G770" t="s">
        <v>1941</v>
      </c>
      <c r="H770">
        <v>36104</v>
      </c>
      <c r="I770" t="s">
        <v>1942</v>
      </c>
    </row>
    <row r="771" spans="1:9" x14ac:dyDescent="0.25">
      <c r="A771" t="s">
        <v>1492</v>
      </c>
      <c r="B771" t="s">
        <v>5260</v>
      </c>
      <c r="C771" t="s">
        <v>5261</v>
      </c>
      <c r="D771" t="s">
        <v>5262</v>
      </c>
      <c r="E771" t="s">
        <v>5263</v>
      </c>
      <c r="F771" t="s">
        <v>2172</v>
      </c>
      <c r="G771" t="s">
        <v>2116</v>
      </c>
      <c r="H771" t="s">
        <v>3927</v>
      </c>
      <c r="I771" t="s">
        <v>1951</v>
      </c>
    </row>
    <row r="772" spans="1:9" x14ac:dyDescent="0.25">
      <c r="A772" t="s">
        <v>1494</v>
      </c>
      <c r="B772" t="s">
        <v>5264</v>
      </c>
      <c r="C772" t="s">
        <v>5265</v>
      </c>
      <c r="E772" t="s">
        <v>5266</v>
      </c>
      <c r="F772" t="s">
        <v>1962</v>
      </c>
      <c r="G772" t="s">
        <v>1941</v>
      </c>
      <c r="H772">
        <v>22156</v>
      </c>
      <c r="I772" t="s">
        <v>1951</v>
      </c>
    </row>
    <row r="773" spans="1:9" x14ac:dyDescent="0.25">
      <c r="A773" t="s">
        <v>1496</v>
      </c>
      <c r="B773" t="s">
        <v>5267</v>
      </c>
      <c r="C773" t="s">
        <v>5268</v>
      </c>
      <c r="D773" t="s">
        <v>5269</v>
      </c>
      <c r="E773" t="s">
        <v>5270</v>
      </c>
      <c r="F773" t="s">
        <v>5271</v>
      </c>
      <c r="G773" t="s">
        <v>1941</v>
      </c>
      <c r="H773">
        <v>80126</v>
      </c>
      <c r="I773" t="s">
        <v>1951</v>
      </c>
    </row>
    <row r="774" spans="1:9" x14ac:dyDescent="0.25">
      <c r="A774" t="s">
        <v>1498</v>
      </c>
      <c r="B774" t="s">
        <v>5272</v>
      </c>
      <c r="D774" t="s">
        <v>5273</v>
      </c>
      <c r="E774" t="s">
        <v>5274</v>
      </c>
      <c r="F774" t="s">
        <v>3316</v>
      </c>
      <c r="G774" t="s">
        <v>1941</v>
      </c>
      <c r="H774">
        <v>21275</v>
      </c>
      <c r="I774" t="s">
        <v>1951</v>
      </c>
    </row>
    <row r="775" spans="1:9" x14ac:dyDescent="0.25">
      <c r="A775" t="s">
        <v>1500</v>
      </c>
      <c r="B775" t="s">
        <v>5275</v>
      </c>
      <c r="C775" t="s">
        <v>5276</v>
      </c>
      <c r="D775" t="s">
        <v>5277</v>
      </c>
      <c r="E775" t="s">
        <v>5278</v>
      </c>
      <c r="F775" t="s">
        <v>2314</v>
      </c>
      <c r="G775" t="s">
        <v>1949</v>
      </c>
      <c r="H775" t="s">
        <v>2315</v>
      </c>
      <c r="I775" t="s">
        <v>1951</v>
      </c>
    </row>
    <row r="776" spans="1:9" x14ac:dyDescent="0.25">
      <c r="A776" t="s">
        <v>1502</v>
      </c>
      <c r="B776" t="s">
        <v>5279</v>
      </c>
      <c r="D776" t="s">
        <v>5280</v>
      </c>
      <c r="E776" t="s">
        <v>5281</v>
      </c>
      <c r="F776" t="s">
        <v>2191</v>
      </c>
      <c r="G776" t="s">
        <v>1941</v>
      </c>
      <c r="H776">
        <v>33345</v>
      </c>
      <c r="I776" t="s">
        <v>1942</v>
      </c>
    </row>
    <row r="777" spans="1:9" x14ac:dyDescent="0.25">
      <c r="A777" t="s">
        <v>1504</v>
      </c>
      <c r="B777" t="s">
        <v>5282</v>
      </c>
      <c r="C777" t="s">
        <v>5283</v>
      </c>
      <c r="D777" t="s">
        <v>5284</v>
      </c>
      <c r="E777" t="s">
        <v>5285</v>
      </c>
      <c r="F777" t="s">
        <v>3785</v>
      </c>
      <c r="G777" t="s">
        <v>1941</v>
      </c>
      <c r="H777">
        <v>92191</v>
      </c>
      <c r="I777" t="s">
        <v>1942</v>
      </c>
    </row>
    <row r="778" spans="1:9" x14ac:dyDescent="0.25">
      <c r="A778" t="s">
        <v>1506</v>
      </c>
      <c r="B778" t="s">
        <v>5286</v>
      </c>
      <c r="C778" t="s">
        <v>5287</v>
      </c>
      <c r="D778" t="s">
        <v>5288</v>
      </c>
      <c r="E778" t="s">
        <v>5289</v>
      </c>
      <c r="F778" t="s">
        <v>2325</v>
      </c>
      <c r="G778" t="s">
        <v>1941</v>
      </c>
      <c r="H778">
        <v>75216</v>
      </c>
      <c r="I778" t="s">
        <v>1951</v>
      </c>
    </row>
    <row r="779" spans="1:9" x14ac:dyDescent="0.25">
      <c r="A779" t="s">
        <v>1508</v>
      </c>
      <c r="B779" t="s">
        <v>5290</v>
      </c>
      <c r="C779" t="s">
        <v>5291</v>
      </c>
      <c r="E779" t="s">
        <v>5292</v>
      </c>
      <c r="F779" t="s">
        <v>3325</v>
      </c>
      <c r="G779" t="s">
        <v>1941</v>
      </c>
      <c r="H779">
        <v>60435</v>
      </c>
      <c r="I779" t="s">
        <v>1951</v>
      </c>
    </row>
    <row r="780" spans="1:9" x14ac:dyDescent="0.25">
      <c r="A780" t="s">
        <v>5293</v>
      </c>
      <c r="B780" t="s">
        <v>5294</v>
      </c>
      <c r="C780" t="s">
        <v>5295</v>
      </c>
      <c r="D780" t="s">
        <v>5296</v>
      </c>
      <c r="E780" t="s">
        <v>5297</v>
      </c>
      <c r="F780" t="s">
        <v>2048</v>
      </c>
      <c r="G780" t="s">
        <v>1941</v>
      </c>
      <c r="H780">
        <v>49510</v>
      </c>
      <c r="I780" t="s">
        <v>1942</v>
      </c>
    </row>
    <row r="781" spans="1:9" x14ac:dyDescent="0.25">
      <c r="A781" t="s">
        <v>1512</v>
      </c>
      <c r="B781" t="s">
        <v>5298</v>
      </c>
      <c r="C781" t="s">
        <v>5299</v>
      </c>
      <c r="D781" t="s">
        <v>5300</v>
      </c>
      <c r="E781" t="s">
        <v>5301</v>
      </c>
      <c r="F781" t="s">
        <v>2713</v>
      </c>
      <c r="G781" t="s">
        <v>1941</v>
      </c>
      <c r="H781">
        <v>34620</v>
      </c>
      <c r="I781" t="s">
        <v>1942</v>
      </c>
    </row>
    <row r="782" spans="1:9" x14ac:dyDescent="0.25">
      <c r="A782" t="s">
        <v>1514</v>
      </c>
      <c r="B782" t="s">
        <v>5302</v>
      </c>
      <c r="D782" t="s">
        <v>5303</v>
      </c>
      <c r="E782" t="s">
        <v>5304</v>
      </c>
      <c r="F782" t="s">
        <v>2137</v>
      </c>
      <c r="G782" t="s">
        <v>1941</v>
      </c>
      <c r="H782">
        <v>55441</v>
      </c>
      <c r="I782" t="s">
        <v>1951</v>
      </c>
    </row>
    <row r="783" spans="1:9" x14ac:dyDescent="0.25">
      <c r="A783" t="s">
        <v>1516</v>
      </c>
      <c r="B783" t="s">
        <v>5305</v>
      </c>
      <c r="C783" t="s">
        <v>5306</v>
      </c>
      <c r="D783" t="s">
        <v>5307</v>
      </c>
      <c r="E783" t="s">
        <v>5308</v>
      </c>
      <c r="F783" t="s">
        <v>3682</v>
      </c>
      <c r="G783" t="s">
        <v>1941</v>
      </c>
      <c r="H783">
        <v>30045</v>
      </c>
      <c r="I783" t="s">
        <v>1951</v>
      </c>
    </row>
    <row r="784" spans="1:9" x14ac:dyDescent="0.25">
      <c r="A784" t="s">
        <v>1518</v>
      </c>
      <c r="B784" t="s">
        <v>5309</v>
      </c>
      <c r="C784" t="s">
        <v>5310</v>
      </c>
      <c r="D784" t="s">
        <v>5311</v>
      </c>
      <c r="E784" t="s">
        <v>5312</v>
      </c>
      <c r="F784" t="s">
        <v>5313</v>
      </c>
      <c r="G784" t="s">
        <v>1949</v>
      </c>
      <c r="H784" t="s">
        <v>5314</v>
      </c>
      <c r="I784" t="s">
        <v>1951</v>
      </c>
    </row>
    <row r="785" spans="1:9" x14ac:dyDescent="0.25">
      <c r="A785" t="s">
        <v>1520</v>
      </c>
      <c r="B785" t="s">
        <v>5315</v>
      </c>
      <c r="C785" t="s">
        <v>5316</v>
      </c>
      <c r="D785" t="s">
        <v>5317</v>
      </c>
      <c r="E785" t="s">
        <v>5318</v>
      </c>
      <c r="F785" t="s">
        <v>2220</v>
      </c>
      <c r="G785" t="s">
        <v>1941</v>
      </c>
      <c r="H785">
        <v>33673</v>
      </c>
      <c r="I785" t="s">
        <v>1942</v>
      </c>
    </row>
    <row r="786" spans="1:9" x14ac:dyDescent="0.25">
      <c r="A786" t="s">
        <v>1522</v>
      </c>
      <c r="B786" t="s">
        <v>5319</v>
      </c>
      <c r="C786" t="s">
        <v>5320</v>
      </c>
      <c r="E786" t="s">
        <v>5321</v>
      </c>
      <c r="F786" t="s">
        <v>2506</v>
      </c>
      <c r="G786" t="s">
        <v>1941</v>
      </c>
      <c r="H786">
        <v>37240</v>
      </c>
      <c r="I786" t="s">
        <v>1951</v>
      </c>
    </row>
    <row r="787" spans="1:9" x14ac:dyDescent="0.25">
      <c r="A787" t="s">
        <v>1524</v>
      </c>
      <c r="B787" t="s">
        <v>5322</v>
      </c>
      <c r="C787" t="s">
        <v>5323</v>
      </c>
      <c r="D787" t="s">
        <v>5324</v>
      </c>
      <c r="E787" t="s">
        <v>5325</v>
      </c>
      <c r="F787" t="s">
        <v>3581</v>
      </c>
      <c r="G787" t="s">
        <v>1941</v>
      </c>
      <c r="H787">
        <v>33175</v>
      </c>
      <c r="I787" t="s">
        <v>1951</v>
      </c>
    </row>
    <row r="788" spans="1:9" x14ac:dyDescent="0.25">
      <c r="A788" t="s">
        <v>1510</v>
      </c>
      <c r="B788" t="s">
        <v>5326</v>
      </c>
      <c r="C788" t="s">
        <v>5327</v>
      </c>
      <c r="D788" t="s">
        <v>5328</v>
      </c>
      <c r="E788" t="s">
        <v>5329</v>
      </c>
      <c r="F788" t="s">
        <v>1976</v>
      </c>
      <c r="G788" t="s">
        <v>1941</v>
      </c>
      <c r="H788">
        <v>45426</v>
      </c>
      <c r="I788" t="s">
        <v>1942</v>
      </c>
    </row>
    <row r="789" spans="1:9" x14ac:dyDescent="0.25">
      <c r="A789" t="s">
        <v>1527</v>
      </c>
      <c r="B789" t="s">
        <v>5330</v>
      </c>
      <c r="D789" t="s">
        <v>5331</v>
      </c>
      <c r="E789" t="s">
        <v>5332</v>
      </c>
      <c r="F789" t="s">
        <v>2252</v>
      </c>
      <c r="G789" t="s">
        <v>1941</v>
      </c>
      <c r="H789">
        <v>60686</v>
      </c>
      <c r="I789" t="s">
        <v>1942</v>
      </c>
    </row>
    <row r="790" spans="1:9" x14ac:dyDescent="0.25">
      <c r="A790" t="s">
        <v>1529</v>
      </c>
      <c r="B790" t="s">
        <v>5333</v>
      </c>
      <c r="C790" t="s">
        <v>5334</v>
      </c>
      <c r="D790" t="s">
        <v>5335</v>
      </c>
      <c r="E790" t="s">
        <v>5336</v>
      </c>
      <c r="F790" t="s">
        <v>5337</v>
      </c>
      <c r="G790" t="s">
        <v>1949</v>
      </c>
      <c r="H790" t="s">
        <v>5338</v>
      </c>
      <c r="I790" t="s">
        <v>1942</v>
      </c>
    </row>
    <row r="791" spans="1:9" x14ac:dyDescent="0.25">
      <c r="A791" t="s">
        <v>1531</v>
      </c>
      <c r="B791" t="s">
        <v>5339</v>
      </c>
      <c r="C791" t="s">
        <v>5340</v>
      </c>
      <c r="D791" t="s">
        <v>5341</v>
      </c>
      <c r="E791" t="s">
        <v>5342</v>
      </c>
      <c r="F791" t="s">
        <v>2004</v>
      </c>
      <c r="G791" t="s">
        <v>1941</v>
      </c>
      <c r="H791">
        <v>94807</v>
      </c>
      <c r="I791" t="s">
        <v>1951</v>
      </c>
    </row>
    <row r="792" spans="1:9" x14ac:dyDescent="0.25">
      <c r="A792" t="s">
        <v>1533</v>
      </c>
      <c r="B792" t="s">
        <v>5343</v>
      </c>
      <c r="C792" t="s">
        <v>5344</v>
      </c>
      <c r="D792" t="s">
        <v>5345</v>
      </c>
      <c r="E792" t="s">
        <v>5346</v>
      </c>
      <c r="F792" t="s">
        <v>5347</v>
      </c>
      <c r="G792" t="s">
        <v>1941</v>
      </c>
      <c r="H792">
        <v>98506</v>
      </c>
      <c r="I792" t="s">
        <v>1951</v>
      </c>
    </row>
    <row r="793" spans="1:9" x14ac:dyDescent="0.25">
      <c r="A793" t="s">
        <v>1535</v>
      </c>
      <c r="B793" t="s">
        <v>5348</v>
      </c>
      <c r="C793" t="s">
        <v>5349</v>
      </c>
      <c r="D793" t="s">
        <v>5350</v>
      </c>
      <c r="E793" t="s">
        <v>5351</v>
      </c>
      <c r="F793" t="s">
        <v>2668</v>
      </c>
      <c r="G793" t="s">
        <v>1941</v>
      </c>
      <c r="H793">
        <v>76011</v>
      </c>
      <c r="I793" t="s">
        <v>1942</v>
      </c>
    </row>
    <row r="794" spans="1:9" x14ac:dyDescent="0.25">
      <c r="A794" t="s">
        <v>1537</v>
      </c>
      <c r="B794" t="s">
        <v>5352</v>
      </c>
      <c r="C794" t="s">
        <v>5353</v>
      </c>
      <c r="D794" t="s">
        <v>5354</v>
      </c>
      <c r="E794" t="s">
        <v>5355</v>
      </c>
      <c r="F794" t="s">
        <v>5356</v>
      </c>
      <c r="G794" t="s">
        <v>2116</v>
      </c>
      <c r="H794" t="s">
        <v>5357</v>
      </c>
      <c r="I794" t="s">
        <v>1942</v>
      </c>
    </row>
    <row r="795" spans="1:9" x14ac:dyDescent="0.25">
      <c r="A795" t="s">
        <v>1539</v>
      </c>
      <c r="B795" t="s">
        <v>5358</v>
      </c>
      <c r="C795" t="s">
        <v>5359</v>
      </c>
      <c r="D795" t="s">
        <v>5360</v>
      </c>
      <c r="E795" t="s">
        <v>5361</v>
      </c>
      <c r="F795" t="s">
        <v>2643</v>
      </c>
      <c r="G795" t="s">
        <v>1941</v>
      </c>
      <c r="H795">
        <v>24009</v>
      </c>
      <c r="I795" t="s">
        <v>1951</v>
      </c>
    </row>
    <row r="796" spans="1:9" x14ac:dyDescent="0.25">
      <c r="A796" t="s">
        <v>1541</v>
      </c>
      <c r="B796" t="s">
        <v>5362</v>
      </c>
      <c r="C796" t="s">
        <v>5363</v>
      </c>
      <c r="D796" t="s">
        <v>5364</v>
      </c>
      <c r="E796" t="s">
        <v>5365</v>
      </c>
      <c r="F796" t="s">
        <v>5366</v>
      </c>
      <c r="G796" t="s">
        <v>1941</v>
      </c>
      <c r="H796">
        <v>11044</v>
      </c>
      <c r="I796" t="s">
        <v>1951</v>
      </c>
    </row>
    <row r="797" spans="1:9" x14ac:dyDescent="0.25">
      <c r="A797" t="s">
        <v>1543</v>
      </c>
      <c r="B797" t="s">
        <v>5367</v>
      </c>
      <c r="C797" t="s">
        <v>5368</v>
      </c>
      <c r="D797" t="s">
        <v>5369</v>
      </c>
      <c r="E797" t="s">
        <v>5370</v>
      </c>
      <c r="F797" t="s">
        <v>3589</v>
      </c>
      <c r="G797" t="s">
        <v>1941</v>
      </c>
      <c r="H797">
        <v>92825</v>
      </c>
      <c r="I797" t="s">
        <v>1951</v>
      </c>
    </row>
    <row r="798" spans="1:9" x14ac:dyDescent="0.25">
      <c r="A798" t="s">
        <v>1545</v>
      </c>
      <c r="B798" t="s">
        <v>5371</v>
      </c>
      <c r="D798" t="s">
        <v>5372</v>
      </c>
      <c r="E798" t="s">
        <v>5373</v>
      </c>
      <c r="F798" t="s">
        <v>3320</v>
      </c>
      <c r="G798" t="s">
        <v>1941</v>
      </c>
      <c r="H798">
        <v>40596</v>
      </c>
      <c r="I798" t="s">
        <v>1951</v>
      </c>
    </row>
    <row r="799" spans="1:9" x14ac:dyDescent="0.25">
      <c r="A799" t="s">
        <v>1547</v>
      </c>
      <c r="B799" t="s">
        <v>5374</v>
      </c>
      <c r="C799" t="s">
        <v>5375</v>
      </c>
      <c r="D799" t="s">
        <v>5376</v>
      </c>
      <c r="E799" t="s">
        <v>5377</v>
      </c>
      <c r="F799" t="s">
        <v>2220</v>
      </c>
      <c r="G799" t="s">
        <v>1941</v>
      </c>
      <c r="H799">
        <v>33673</v>
      </c>
      <c r="I799" t="s">
        <v>1951</v>
      </c>
    </row>
    <row r="800" spans="1:9" x14ac:dyDescent="0.25">
      <c r="A800" t="s">
        <v>1549</v>
      </c>
      <c r="B800" t="s">
        <v>5378</v>
      </c>
      <c r="C800" t="s">
        <v>5379</v>
      </c>
      <c r="D800" t="s">
        <v>5380</v>
      </c>
      <c r="E800" t="s">
        <v>5381</v>
      </c>
      <c r="F800" t="s">
        <v>1995</v>
      </c>
      <c r="G800" t="s">
        <v>1941</v>
      </c>
      <c r="H800">
        <v>95138</v>
      </c>
      <c r="I800" t="s">
        <v>1942</v>
      </c>
    </row>
    <row r="801" spans="1:9" x14ac:dyDescent="0.25">
      <c r="A801" t="s">
        <v>1551</v>
      </c>
      <c r="B801" t="s">
        <v>5382</v>
      </c>
      <c r="E801" t="s">
        <v>5383</v>
      </c>
      <c r="F801" t="s">
        <v>2186</v>
      </c>
      <c r="G801" t="s">
        <v>1941</v>
      </c>
      <c r="H801">
        <v>20470</v>
      </c>
      <c r="I801" t="s">
        <v>1942</v>
      </c>
    </row>
    <row r="802" spans="1:9" x14ac:dyDescent="0.25">
      <c r="A802" t="s">
        <v>1553</v>
      </c>
      <c r="B802" t="s">
        <v>5384</v>
      </c>
      <c r="C802" t="s">
        <v>5385</v>
      </c>
      <c r="D802" t="s">
        <v>5386</v>
      </c>
      <c r="E802" t="s">
        <v>5387</v>
      </c>
      <c r="F802" t="s">
        <v>4416</v>
      </c>
      <c r="G802" t="s">
        <v>1949</v>
      </c>
      <c r="H802" t="s">
        <v>4417</v>
      </c>
      <c r="I802" t="s">
        <v>1951</v>
      </c>
    </row>
    <row r="803" spans="1:9" x14ac:dyDescent="0.25">
      <c r="A803" t="s">
        <v>1555</v>
      </c>
      <c r="B803" t="s">
        <v>5388</v>
      </c>
      <c r="C803" t="s">
        <v>5389</v>
      </c>
      <c r="D803" t="s">
        <v>5390</v>
      </c>
      <c r="E803" t="s">
        <v>5391</v>
      </c>
      <c r="F803" t="s">
        <v>5347</v>
      </c>
      <c r="G803" t="s">
        <v>1941</v>
      </c>
      <c r="H803">
        <v>98506</v>
      </c>
      <c r="I803" t="s">
        <v>1942</v>
      </c>
    </row>
    <row r="804" spans="1:9" x14ac:dyDescent="0.25">
      <c r="A804" t="s">
        <v>1557</v>
      </c>
      <c r="B804" t="s">
        <v>5392</v>
      </c>
      <c r="C804" t="s">
        <v>5393</v>
      </c>
      <c r="D804" t="s">
        <v>5394</v>
      </c>
      <c r="E804" t="s">
        <v>5395</v>
      </c>
      <c r="F804" t="s">
        <v>5396</v>
      </c>
      <c r="G804" t="s">
        <v>1941</v>
      </c>
      <c r="H804">
        <v>75185</v>
      </c>
      <c r="I804" t="s">
        <v>1951</v>
      </c>
    </row>
    <row r="805" spans="1:9" x14ac:dyDescent="0.25">
      <c r="A805" t="s">
        <v>1559</v>
      </c>
      <c r="B805" t="s">
        <v>5397</v>
      </c>
      <c r="C805" t="s">
        <v>5398</v>
      </c>
      <c r="E805" t="s">
        <v>5399</v>
      </c>
      <c r="F805" t="s">
        <v>2999</v>
      </c>
      <c r="G805" t="s">
        <v>1941</v>
      </c>
      <c r="H805">
        <v>94207</v>
      </c>
      <c r="I805" t="s">
        <v>1951</v>
      </c>
    </row>
    <row r="806" spans="1:9" x14ac:dyDescent="0.25">
      <c r="A806" t="s">
        <v>1561</v>
      </c>
      <c r="B806" t="s">
        <v>5400</v>
      </c>
      <c r="D806" t="s">
        <v>5401</v>
      </c>
      <c r="E806" t="s">
        <v>5402</v>
      </c>
      <c r="F806" t="s">
        <v>3164</v>
      </c>
      <c r="G806" t="s">
        <v>2116</v>
      </c>
      <c r="H806" t="s">
        <v>3165</v>
      </c>
      <c r="I806" t="s">
        <v>1951</v>
      </c>
    </row>
    <row r="807" spans="1:9" x14ac:dyDescent="0.25">
      <c r="A807" t="s">
        <v>1563</v>
      </c>
      <c r="B807" t="s">
        <v>5403</v>
      </c>
      <c r="D807" t="s">
        <v>5404</v>
      </c>
      <c r="E807" t="s">
        <v>5405</v>
      </c>
      <c r="F807" t="s">
        <v>5406</v>
      </c>
      <c r="G807" t="s">
        <v>1941</v>
      </c>
      <c r="H807">
        <v>55590</v>
      </c>
      <c r="I807" t="s">
        <v>1951</v>
      </c>
    </row>
    <row r="808" spans="1:9" x14ac:dyDescent="0.25">
      <c r="A808" t="s">
        <v>1565</v>
      </c>
      <c r="B808" t="s">
        <v>5407</v>
      </c>
      <c r="E808" t="s">
        <v>5408</v>
      </c>
      <c r="F808" t="s">
        <v>2199</v>
      </c>
      <c r="G808" t="s">
        <v>2116</v>
      </c>
      <c r="H808" t="s">
        <v>2200</v>
      </c>
      <c r="I808" t="s">
        <v>1942</v>
      </c>
    </row>
    <row r="809" spans="1:9" x14ac:dyDescent="0.25">
      <c r="A809" t="s">
        <v>1567</v>
      </c>
      <c r="B809" t="s">
        <v>5409</v>
      </c>
      <c r="C809" t="s">
        <v>5410</v>
      </c>
      <c r="D809" t="s">
        <v>5411</v>
      </c>
      <c r="E809" t="s">
        <v>5412</v>
      </c>
      <c r="F809" t="s">
        <v>3763</v>
      </c>
      <c r="G809" t="s">
        <v>1949</v>
      </c>
      <c r="H809" t="s">
        <v>3764</v>
      </c>
      <c r="I809" t="s">
        <v>1951</v>
      </c>
    </row>
    <row r="810" spans="1:9" x14ac:dyDescent="0.25">
      <c r="A810" t="s">
        <v>5413</v>
      </c>
      <c r="B810" t="s">
        <v>5414</v>
      </c>
      <c r="C810" t="s">
        <v>5415</v>
      </c>
      <c r="D810" t="s">
        <v>5416</v>
      </c>
      <c r="E810" t="s">
        <v>5417</v>
      </c>
      <c r="F810" t="s">
        <v>2099</v>
      </c>
      <c r="G810" t="s">
        <v>1941</v>
      </c>
      <c r="H810">
        <v>11499</v>
      </c>
      <c r="I810" t="s">
        <v>1942</v>
      </c>
    </row>
    <row r="811" spans="1:9" x14ac:dyDescent="0.25">
      <c r="A811" t="s">
        <v>1571</v>
      </c>
      <c r="B811" t="s">
        <v>5418</v>
      </c>
      <c r="D811" t="s">
        <v>5419</v>
      </c>
      <c r="E811" t="s">
        <v>5420</v>
      </c>
      <c r="F811" t="s">
        <v>2448</v>
      </c>
      <c r="G811" t="s">
        <v>1941</v>
      </c>
      <c r="H811">
        <v>79934</v>
      </c>
      <c r="I811" t="s">
        <v>1942</v>
      </c>
    </row>
    <row r="812" spans="1:9" x14ac:dyDescent="0.25">
      <c r="A812" t="s">
        <v>1573</v>
      </c>
      <c r="B812" t="s">
        <v>5421</v>
      </c>
      <c r="C812" t="s">
        <v>5422</v>
      </c>
      <c r="D812" t="s">
        <v>5423</v>
      </c>
      <c r="E812" t="s">
        <v>5424</v>
      </c>
      <c r="F812" t="s">
        <v>5425</v>
      </c>
      <c r="G812" t="s">
        <v>1941</v>
      </c>
      <c r="H812">
        <v>34643</v>
      </c>
      <c r="I812" t="s">
        <v>1951</v>
      </c>
    </row>
    <row r="813" spans="1:9" x14ac:dyDescent="0.25">
      <c r="A813" t="s">
        <v>1575</v>
      </c>
      <c r="B813" t="s">
        <v>5426</v>
      </c>
      <c r="C813" t="s">
        <v>5427</v>
      </c>
      <c r="D813" t="s">
        <v>5428</v>
      </c>
      <c r="E813" t="s">
        <v>5429</v>
      </c>
      <c r="F813" t="s">
        <v>5430</v>
      </c>
      <c r="G813" t="s">
        <v>1949</v>
      </c>
      <c r="H813" t="s">
        <v>2083</v>
      </c>
      <c r="I813" t="s">
        <v>1942</v>
      </c>
    </row>
    <row r="814" spans="1:9" x14ac:dyDescent="0.25">
      <c r="A814" t="s">
        <v>5431</v>
      </c>
      <c r="B814" t="s">
        <v>5432</v>
      </c>
      <c r="C814" t="s">
        <v>5433</v>
      </c>
      <c r="D814" t="s">
        <v>5434</v>
      </c>
      <c r="E814" t="s">
        <v>5435</v>
      </c>
      <c r="F814" t="s">
        <v>5436</v>
      </c>
      <c r="G814" t="s">
        <v>2116</v>
      </c>
      <c r="H814" t="s">
        <v>5437</v>
      </c>
      <c r="I814" t="s">
        <v>1942</v>
      </c>
    </row>
    <row r="815" spans="1:9" x14ac:dyDescent="0.25">
      <c r="A815" t="s">
        <v>1577</v>
      </c>
      <c r="B815" t="s">
        <v>5438</v>
      </c>
      <c r="C815" t="s">
        <v>5439</v>
      </c>
      <c r="D815" t="s">
        <v>5440</v>
      </c>
      <c r="E815" t="s">
        <v>5441</v>
      </c>
      <c r="F815" t="s">
        <v>2362</v>
      </c>
      <c r="G815" t="s">
        <v>1941</v>
      </c>
      <c r="H815">
        <v>73179</v>
      </c>
      <c r="I815" t="s">
        <v>1942</v>
      </c>
    </row>
    <row r="816" spans="1:9" x14ac:dyDescent="0.25">
      <c r="A816" t="s">
        <v>1579</v>
      </c>
      <c r="B816" t="s">
        <v>5442</v>
      </c>
      <c r="C816" t="s">
        <v>5443</v>
      </c>
      <c r="D816" t="s">
        <v>5444</v>
      </c>
      <c r="E816" t="s">
        <v>5445</v>
      </c>
      <c r="F816" t="s">
        <v>2186</v>
      </c>
      <c r="G816" t="s">
        <v>1941</v>
      </c>
      <c r="H816">
        <v>20051</v>
      </c>
      <c r="I816" t="s">
        <v>1951</v>
      </c>
    </row>
    <row r="817" spans="1:9" x14ac:dyDescent="0.25">
      <c r="A817" t="s">
        <v>1581</v>
      </c>
      <c r="B817" t="s">
        <v>5446</v>
      </c>
      <c r="C817" t="s">
        <v>5447</v>
      </c>
      <c r="D817" t="s">
        <v>5448</v>
      </c>
      <c r="E817" t="s">
        <v>5449</v>
      </c>
      <c r="F817" t="s">
        <v>3049</v>
      </c>
      <c r="G817" t="s">
        <v>1941</v>
      </c>
      <c r="H817">
        <v>30351</v>
      </c>
      <c r="I817" t="s">
        <v>1951</v>
      </c>
    </row>
    <row r="818" spans="1:9" x14ac:dyDescent="0.25">
      <c r="A818" t="s">
        <v>1583</v>
      </c>
      <c r="B818" t="s">
        <v>5450</v>
      </c>
      <c r="C818" t="s">
        <v>5451</v>
      </c>
      <c r="D818" t="s">
        <v>5452</v>
      </c>
      <c r="E818" t="s">
        <v>5453</v>
      </c>
      <c r="F818" t="s">
        <v>2704</v>
      </c>
      <c r="G818" t="s">
        <v>1949</v>
      </c>
      <c r="H818" t="s">
        <v>2705</v>
      </c>
      <c r="I818" t="s">
        <v>1951</v>
      </c>
    </row>
    <row r="819" spans="1:9" x14ac:dyDescent="0.25">
      <c r="A819" t="s">
        <v>1585</v>
      </c>
      <c r="B819" t="s">
        <v>5454</v>
      </c>
      <c r="C819" t="s">
        <v>5455</v>
      </c>
      <c r="E819" t="s">
        <v>5456</v>
      </c>
      <c r="F819" t="s">
        <v>2350</v>
      </c>
      <c r="G819" t="s">
        <v>1941</v>
      </c>
      <c r="H819">
        <v>14276</v>
      </c>
      <c r="I819" t="s">
        <v>1951</v>
      </c>
    </row>
    <row r="820" spans="1:9" x14ac:dyDescent="0.25">
      <c r="A820" t="s">
        <v>1569</v>
      </c>
      <c r="B820" t="s">
        <v>5457</v>
      </c>
      <c r="D820" t="s">
        <v>5458</v>
      </c>
      <c r="E820" t="s">
        <v>5459</v>
      </c>
      <c r="F820" t="s">
        <v>2027</v>
      </c>
      <c r="G820" t="s">
        <v>1941</v>
      </c>
      <c r="H820">
        <v>77260</v>
      </c>
      <c r="I820" t="s">
        <v>1951</v>
      </c>
    </row>
    <row r="821" spans="1:9" x14ac:dyDescent="0.25">
      <c r="A821" t="s">
        <v>1588</v>
      </c>
      <c r="B821" t="s">
        <v>5460</v>
      </c>
      <c r="C821" t="s">
        <v>5461</v>
      </c>
      <c r="D821" t="s">
        <v>5462</v>
      </c>
      <c r="E821" t="s">
        <v>5463</v>
      </c>
      <c r="F821" t="s">
        <v>2186</v>
      </c>
      <c r="G821" t="s">
        <v>1941</v>
      </c>
      <c r="H821">
        <v>20470</v>
      </c>
      <c r="I821" t="s">
        <v>1942</v>
      </c>
    </row>
    <row r="822" spans="1:9" x14ac:dyDescent="0.25">
      <c r="A822" t="s">
        <v>1590</v>
      </c>
      <c r="B822" t="s">
        <v>5464</v>
      </c>
      <c r="C822" t="s">
        <v>5465</v>
      </c>
      <c r="D822" t="s">
        <v>5466</v>
      </c>
      <c r="E822" t="s">
        <v>5467</v>
      </c>
      <c r="F822" t="s">
        <v>2387</v>
      </c>
      <c r="G822" t="s">
        <v>1941</v>
      </c>
      <c r="H822">
        <v>78764</v>
      </c>
      <c r="I822" t="s">
        <v>1942</v>
      </c>
    </row>
    <row r="823" spans="1:9" x14ac:dyDescent="0.25">
      <c r="A823" t="s">
        <v>1592</v>
      </c>
      <c r="B823" t="s">
        <v>5468</v>
      </c>
      <c r="C823" t="s">
        <v>5469</v>
      </c>
      <c r="D823" t="s">
        <v>5470</v>
      </c>
      <c r="E823" t="s">
        <v>5471</v>
      </c>
      <c r="F823" t="s">
        <v>2835</v>
      </c>
      <c r="G823" t="s">
        <v>1941</v>
      </c>
      <c r="H823">
        <v>85205</v>
      </c>
      <c r="I823" t="s">
        <v>1951</v>
      </c>
    </row>
    <row r="824" spans="1:9" x14ac:dyDescent="0.25">
      <c r="A824" t="s">
        <v>1594</v>
      </c>
      <c r="B824" t="s">
        <v>5472</v>
      </c>
      <c r="C824" t="s">
        <v>5473</v>
      </c>
      <c r="D824" t="s">
        <v>5474</v>
      </c>
      <c r="E824" t="s">
        <v>5475</v>
      </c>
      <c r="F824" t="s">
        <v>5476</v>
      </c>
      <c r="G824" t="s">
        <v>1941</v>
      </c>
      <c r="H824">
        <v>31416</v>
      </c>
      <c r="I824" t="s">
        <v>1951</v>
      </c>
    </row>
    <row r="825" spans="1:9" x14ac:dyDescent="0.25">
      <c r="A825" t="s">
        <v>1596</v>
      </c>
      <c r="B825" t="s">
        <v>5477</v>
      </c>
      <c r="C825" t="s">
        <v>5478</v>
      </c>
      <c r="D825" t="s">
        <v>5479</v>
      </c>
      <c r="E825" t="s">
        <v>5480</v>
      </c>
      <c r="F825" t="s">
        <v>5481</v>
      </c>
      <c r="G825" t="s">
        <v>1941</v>
      </c>
      <c r="H825">
        <v>87140</v>
      </c>
      <c r="I825" t="s">
        <v>1942</v>
      </c>
    </row>
    <row r="826" spans="1:9" x14ac:dyDescent="0.25">
      <c r="A826" t="s">
        <v>1598</v>
      </c>
      <c r="B826" t="s">
        <v>5482</v>
      </c>
      <c r="C826" t="s">
        <v>5483</v>
      </c>
      <c r="E826" t="s">
        <v>5484</v>
      </c>
      <c r="F826" t="s">
        <v>2300</v>
      </c>
      <c r="G826" t="s">
        <v>1941</v>
      </c>
      <c r="H826">
        <v>28299</v>
      </c>
      <c r="I826" t="s">
        <v>1942</v>
      </c>
    </row>
    <row r="827" spans="1:9" x14ac:dyDescent="0.25">
      <c r="A827" t="s">
        <v>5485</v>
      </c>
      <c r="B827" t="s">
        <v>5486</v>
      </c>
      <c r="C827" t="s">
        <v>5487</v>
      </c>
      <c r="D827" t="s">
        <v>5488</v>
      </c>
      <c r="E827" t="s">
        <v>5489</v>
      </c>
      <c r="F827" t="s">
        <v>3785</v>
      </c>
      <c r="G827" t="s">
        <v>1941</v>
      </c>
      <c r="H827">
        <v>92191</v>
      </c>
      <c r="I827" t="s">
        <v>1942</v>
      </c>
    </row>
    <row r="828" spans="1:9" x14ac:dyDescent="0.25">
      <c r="A828" t="s">
        <v>1602</v>
      </c>
      <c r="B828" t="s">
        <v>5490</v>
      </c>
      <c r="C828" t="s">
        <v>5491</v>
      </c>
      <c r="D828" t="s">
        <v>5492</v>
      </c>
      <c r="E828" t="s">
        <v>5493</v>
      </c>
      <c r="F828" t="s">
        <v>2225</v>
      </c>
      <c r="G828" t="s">
        <v>1941</v>
      </c>
      <c r="H828">
        <v>32575</v>
      </c>
      <c r="I828" t="s">
        <v>1942</v>
      </c>
    </row>
    <row r="829" spans="1:9" x14ac:dyDescent="0.25">
      <c r="A829" t="s">
        <v>1604</v>
      </c>
      <c r="B829" t="s">
        <v>5494</v>
      </c>
      <c r="C829" t="s">
        <v>5495</v>
      </c>
      <c r="D829" t="s">
        <v>5496</v>
      </c>
      <c r="E829" t="s">
        <v>5497</v>
      </c>
      <c r="F829" t="s">
        <v>2186</v>
      </c>
      <c r="G829" t="s">
        <v>1941</v>
      </c>
      <c r="H829">
        <v>20470</v>
      </c>
      <c r="I829" t="s">
        <v>1951</v>
      </c>
    </row>
    <row r="830" spans="1:9" x14ac:dyDescent="0.25">
      <c r="A830" t="s">
        <v>1606</v>
      </c>
      <c r="B830" t="s">
        <v>5498</v>
      </c>
      <c r="C830" t="s">
        <v>5499</v>
      </c>
      <c r="D830" t="s">
        <v>5500</v>
      </c>
      <c r="E830" t="s">
        <v>5501</v>
      </c>
      <c r="F830" t="s">
        <v>5502</v>
      </c>
      <c r="G830" t="s">
        <v>1941</v>
      </c>
      <c r="H830">
        <v>34985</v>
      </c>
      <c r="I830" t="s">
        <v>1942</v>
      </c>
    </row>
    <row r="831" spans="1:9" x14ac:dyDescent="0.25">
      <c r="A831" t="s">
        <v>1608</v>
      </c>
      <c r="B831" t="s">
        <v>5503</v>
      </c>
      <c r="C831" t="s">
        <v>5504</v>
      </c>
      <c r="D831" t="s">
        <v>5505</v>
      </c>
      <c r="E831" t="s">
        <v>5506</v>
      </c>
      <c r="F831" t="s">
        <v>2481</v>
      </c>
      <c r="G831" t="s">
        <v>1941</v>
      </c>
      <c r="H831">
        <v>25705</v>
      </c>
      <c r="I831" t="s">
        <v>1951</v>
      </c>
    </row>
    <row r="832" spans="1:9" x14ac:dyDescent="0.25">
      <c r="A832" t="s">
        <v>1610</v>
      </c>
      <c r="B832" t="s">
        <v>5507</v>
      </c>
      <c r="C832" t="s">
        <v>5508</v>
      </c>
      <c r="D832" t="s">
        <v>5509</v>
      </c>
      <c r="E832" t="s">
        <v>5510</v>
      </c>
      <c r="F832" t="s">
        <v>2017</v>
      </c>
      <c r="G832" t="s">
        <v>1941</v>
      </c>
      <c r="H832">
        <v>19172</v>
      </c>
      <c r="I832" t="s">
        <v>1951</v>
      </c>
    </row>
    <row r="833" spans="1:9" x14ac:dyDescent="0.25">
      <c r="A833" t="s">
        <v>1600</v>
      </c>
      <c r="B833" t="s">
        <v>5511</v>
      </c>
      <c r="C833" t="s">
        <v>5512</v>
      </c>
      <c r="D833" t="s">
        <v>5513</v>
      </c>
      <c r="E833" t="s">
        <v>5514</v>
      </c>
      <c r="F833" t="s">
        <v>2362</v>
      </c>
      <c r="G833" t="s">
        <v>1941</v>
      </c>
      <c r="H833">
        <v>73167</v>
      </c>
      <c r="I833" t="s">
        <v>1942</v>
      </c>
    </row>
    <row r="834" spans="1:9" x14ac:dyDescent="0.25">
      <c r="A834" t="s">
        <v>1612</v>
      </c>
      <c r="B834" t="s">
        <v>5515</v>
      </c>
      <c r="C834" t="s">
        <v>5516</v>
      </c>
      <c r="D834" t="s">
        <v>5517</v>
      </c>
      <c r="E834" t="s">
        <v>5518</v>
      </c>
      <c r="F834" t="s">
        <v>2247</v>
      </c>
      <c r="G834" t="s">
        <v>1941</v>
      </c>
      <c r="H834">
        <v>34114</v>
      </c>
      <c r="I834" t="s">
        <v>1951</v>
      </c>
    </row>
    <row r="835" spans="1:9" x14ac:dyDescent="0.25">
      <c r="A835" t="s">
        <v>1614</v>
      </c>
      <c r="B835" t="s">
        <v>5519</v>
      </c>
      <c r="C835" t="s">
        <v>5520</v>
      </c>
      <c r="D835" t="s">
        <v>5521</v>
      </c>
      <c r="E835" t="s">
        <v>5522</v>
      </c>
      <c r="F835" t="s">
        <v>2266</v>
      </c>
      <c r="G835" t="s">
        <v>1941</v>
      </c>
      <c r="H835">
        <v>76105</v>
      </c>
      <c r="I835" t="s">
        <v>1942</v>
      </c>
    </row>
    <row r="836" spans="1:9" x14ac:dyDescent="0.25">
      <c r="A836" t="s">
        <v>1616</v>
      </c>
      <c r="B836" t="s">
        <v>5523</v>
      </c>
      <c r="C836" t="s">
        <v>5524</v>
      </c>
      <c r="D836" t="s">
        <v>5525</v>
      </c>
      <c r="E836" t="s">
        <v>5526</v>
      </c>
      <c r="F836" t="s">
        <v>5527</v>
      </c>
      <c r="G836" t="s">
        <v>1941</v>
      </c>
      <c r="H836">
        <v>68117</v>
      </c>
      <c r="I836" t="s">
        <v>1951</v>
      </c>
    </row>
    <row r="837" spans="1:9" x14ac:dyDescent="0.25">
      <c r="A837" t="s">
        <v>1618</v>
      </c>
      <c r="B837" t="s">
        <v>5528</v>
      </c>
      <c r="C837" t="s">
        <v>5529</v>
      </c>
      <c r="E837" t="s">
        <v>5530</v>
      </c>
      <c r="F837" t="s">
        <v>2140</v>
      </c>
      <c r="G837" t="s">
        <v>1941</v>
      </c>
      <c r="H837">
        <v>85732</v>
      </c>
      <c r="I837" t="s">
        <v>1942</v>
      </c>
    </row>
    <row r="838" spans="1:9" x14ac:dyDescent="0.25">
      <c r="A838" t="s">
        <v>1620</v>
      </c>
      <c r="B838" t="s">
        <v>5531</v>
      </c>
      <c r="C838" t="s">
        <v>5532</v>
      </c>
      <c r="D838" t="s">
        <v>5533</v>
      </c>
      <c r="E838" t="s">
        <v>5534</v>
      </c>
      <c r="F838" t="s">
        <v>2748</v>
      </c>
      <c r="G838" t="s">
        <v>1941</v>
      </c>
      <c r="H838">
        <v>89436</v>
      </c>
      <c r="I838" t="s">
        <v>1951</v>
      </c>
    </row>
    <row r="839" spans="1:9" x14ac:dyDescent="0.25">
      <c r="A839" t="s">
        <v>5535</v>
      </c>
      <c r="B839" t="s">
        <v>5536</v>
      </c>
      <c r="C839" t="s">
        <v>5537</v>
      </c>
      <c r="D839" t="s">
        <v>5538</v>
      </c>
      <c r="E839" t="s">
        <v>5539</v>
      </c>
      <c r="F839" t="s">
        <v>4401</v>
      </c>
      <c r="G839" t="s">
        <v>1941</v>
      </c>
      <c r="H839">
        <v>32835</v>
      </c>
      <c r="I839" t="s">
        <v>1942</v>
      </c>
    </row>
    <row r="840" spans="1:9" x14ac:dyDescent="0.25">
      <c r="A840" t="s">
        <v>1623</v>
      </c>
      <c r="B840" t="s">
        <v>5540</v>
      </c>
      <c r="C840" t="s">
        <v>5541</v>
      </c>
      <c r="D840" t="s">
        <v>5542</v>
      </c>
      <c r="E840" t="s">
        <v>5543</v>
      </c>
      <c r="F840" t="s">
        <v>2186</v>
      </c>
      <c r="G840" t="s">
        <v>1941</v>
      </c>
      <c r="H840">
        <v>20067</v>
      </c>
      <c r="I840" t="s">
        <v>1951</v>
      </c>
    </row>
    <row r="841" spans="1:9" x14ac:dyDescent="0.25">
      <c r="A841" t="s">
        <v>1625</v>
      </c>
      <c r="B841" t="s">
        <v>5544</v>
      </c>
      <c r="C841" t="s">
        <v>5545</v>
      </c>
      <c r="D841" t="s">
        <v>5546</v>
      </c>
      <c r="E841" t="s">
        <v>5547</v>
      </c>
      <c r="F841" t="s">
        <v>5548</v>
      </c>
      <c r="G841" t="s">
        <v>1941</v>
      </c>
      <c r="H841">
        <v>93907</v>
      </c>
      <c r="I841" t="s">
        <v>1951</v>
      </c>
    </row>
    <row r="842" spans="1:9" x14ac:dyDescent="0.25">
      <c r="A842" t="s">
        <v>1627</v>
      </c>
      <c r="B842" t="s">
        <v>5549</v>
      </c>
      <c r="C842" t="s">
        <v>5550</v>
      </c>
      <c r="D842" t="s">
        <v>5551</v>
      </c>
      <c r="E842" t="s">
        <v>5552</v>
      </c>
      <c r="F842" t="s">
        <v>2191</v>
      </c>
      <c r="G842" t="s">
        <v>1941</v>
      </c>
      <c r="H842">
        <v>33345</v>
      </c>
      <c r="I842" t="s">
        <v>1942</v>
      </c>
    </row>
    <row r="843" spans="1:9" x14ac:dyDescent="0.25">
      <c r="A843" t="s">
        <v>1629</v>
      </c>
      <c r="B843" t="s">
        <v>5553</v>
      </c>
      <c r="C843" t="s">
        <v>5554</v>
      </c>
      <c r="E843" t="s">
        <v>5555</v>
      </c>
      <c r="F843" t="s">
        <v>2448</v>
      </c>
      <c r="G843" t="s">
        <v>1941</v>
      </c>
      <c r="H843">
        <v>88553</v>
      </c>
      <c r="I843" t="s">
        <v>1951</v>
      </c>
    </row>
    <row r="844" spans="1:9" x14ac:dyDescent="0.25">
      <c r="A844" t="s">
        <v>5556</v>
      </c>
      <c r="B844" t="s">
        <v>5557</v>
      </c>
      <c r="C844" t="s">
        <v>5558</v>
      </c>
      <c r="E844" t="s">
        <v>5559</v>
      </c>
      <c r="F844" t="s">
        <v>5560</v>
      </c>
      <c r="G844" t="s">
        <v>1941</v>
      </c>
      <c r="H844">
        <v>91210</v>
      </c>
      <c r="I844" t="s">
        <v>1942</v>
      </c>
    </row>
    <row r="845" spans="1:9" x14ac:dyDescent="0.25">
      <c r="A845" t="s">
        <v>1632</v>
      </c>
      <c r="B845" t="s">
        <v>5561</v>
      </c>
      <c r="C845" t="s">
        <v>5562</v>
      </c>
      <c r="D845" t="s">
        <v>5563</v>
      </c>
      <c r="E845" t="s">
        <v>5564</v>
      </c>
      <c r="F845" t="s">
        <v>2699</v>
      </c>
      <c r="G845" t="s">
        <v>1941</v>
      </c>
      <c r="H845">
        <v>22313</v>
      </c>
      <c r="I845" t="s">
        <v>1942</v>
      </c>
    </row>
    <row r="846" spans="1:9" x14ac:dyDescent="0.25">
      <c r="A846" t="s">
        <v>1634</v>
      </c>
      <c r="B846" t="s">
        <v>5565</v>
      </c>
      <c r="C846" t="s">
        <v>5566</v>
      </c>
      <c r="D846" t="s">
        <v>5567</v>
      </c>
      <c r="E846" t="s">
        <v>5568</v>
      </c>
      <c r="F846" t="s">
        <v>3316</v>
      </c>
      <c r="G846" t="s">
        <v>1941</v>
      </c>
      <c r="H846">
        <v>21290</v>
      </c>
      <c r="I846" t="s">
        <v>1942</v>
      </c>
    </row>
    <row r="847" spans="1:9" x14ac:dyDescent="0.25">
      <c r="A847" t="s">
        <v>1636</v>
      </c>
      <c r="B847" t="s">
        <v>5569</v>
      </c>
      <c r="C847" t="s">
        <v>5570</v>
      </c>
      <c r="E847" t="s">
        <v>5571</v>
      </c>
      <c r="F847" t="s">
        <v>2555</v>
      </c>
      <c r="G847" t="s">
        <v>1941</v>
      </c>
      <c r="H847">
        <v>47732</v>
      </c>
      <c r="I847" t="s">
        <v>1951</v>
      </c>
    </row>
    <row r="848" spans="1:9" x14ac:dyDescent="0.25">
      <c r="A848" t="s">
        <v>1638</v>
      </c>
      <c r="B848" t="s">
        <v>5572</v>
      </c>
      <c r="D848" t="s">
        <v>5573</v>
      </c>
      <c r="E848" t="s">
        <v>5574</v>
      </c>
      <c r="F848" t="s">
        <v>3682</v>
      </c>
      <c r="G848" t="s">
        <v>1941</v>
      </c>
      <c r="H848">
        <v>30045</v>
      </c>
      <c r="I848" t="s">
        <v>1942</v>
      </c>
    </row>
    <row r="849" spans="1:9" x14ac:dyDescent="0.25">
      <c r="A849" t="s">
        <v>1640</v>
      </c>
      <c r="B849" t="s">
        <v>5575</v>
      </c>
      <c r="C849" t="s">
        <v>5576</v>
      </c>
      <c r="E849" t="s">
        <v>5577</v>
      </c>
      <c r="F849" t="s">
        <v>5578</v>
      </c>
      <c r="G849" t="s">
        <v>1941</v>
      </c>
      <c r="H849">
        <v>36670</v>
      </c>
      <c r="I849" t="s">
        <v>1942</v>
      </c>
    </row>
    <row r="850" spans="1:9" x14ac:dyDescent="0.25">
      <c r="A850" t="s">
        <v>1642</v>
      </c>
      <c r="B850" t="s">
        <v>5579</v>
      </c>
      <c r="D850" t="s">
        <v>5580</v>
      </c>
      <c r="E850" t="s">
        <v>5581</v>
      </c>
      <c r="F850" t="s">
        <v>2320</v>
      </c>
      <c r="G850" t="s">
        <v>1941</v>
      </c>
      <c r="H850">
        <v>79705</v>
      </c>
      <c r="I850" t="s">
        <v>1951</v>
      </c>
    </row>
    <row r="851" spans="1:9" x14ac:dyDescent="0.25">
      <c r="A851" t="s">
        <v>1644</v>
      </c>
      <c r="B851" t="s">
        <v>5582</v>
      </c>
      <c r="C851" t="s">
        <v>5583</v>
      </c>
      <c r="D851" t="s">
        <v>5584</v>
      </c>
      <c r="E851" t="s">
        <v>5585</v>
      </c>
      <c r="F851" t="s">
        <v>5586</v>
      </c>
      <c r="G851" t="s">
        <v>1941</v>
      </c>
      <c r="H851">
        <v>33023</v>
      </c>
      <c r="I851" t="s">
        <v>1942</v>
      </c>
    </row>
    <row r="852" spans="1:9" x14ac:dyDescent="0.25">
      <c r="A852" t="s">
        <v>5587</v>
      </c>
      <c r="B852" t="s">
        <v>5588</v>
      </c>
      <c r="C852" t="s">
        <v>5589</v>
      </c>
      <c r="D852" t="s">
        <v>5590</v>
      </c>
      <c r="E852" t="s">
        <v>5591</v>
      </c>
      <c r="F852" t="s">
        <v>3510</v>
      </c>
      <c r="G852" t="s">
        <v>1941</v>
      </c>
      <c r="H852">
        <v>66611</v>
      </c>
      <c r="I852" t="s">
        <v>1942</v>
      </c>
    </row>
    <row r="853" spans="1:9" x14ac:dyDescent="0.25">
      <c r="A853" t="s">
        <v>1646</v>
      </c>
      <c r="B853" t="s">
        <v>5592</v>
      </c>
      <c r="C853" t="s">
        <v>5593</v>
      </c>
      <c r="D853" t="s">
        <v>5594</v>
      </c>
      <c r="E853" t="s">
        <v>5595</v>
      </c>
      <c r="F853" t="s">
        <v>3755</v>
      </c>
      <c r="G853" t="s">
        <v>1941</v>
      </c>
      <c r="H853">
        <v>95973</v>
      </c>
      <c r="I853" t="s">
        <v>1942</v>
      </c>
    </row>
    <row r="854" spans="1:9" x14ac:dyDescent="0.25">
      <c r="A854" t="s">
        <v>1648</v>
      </c>
      <c r="B854" t="s">
        <v>5596</v>
      </c>
      <c r="C854" t="s">
        <v>5597</v>
      </c>
      <c r="E854" t="s">
        <v>5598</v>
      </c>
      <c r="F854" t="s">
        <v>2387</v>
      </c>
      <c r="G854" t="s">
        <v>1941</v>
      </c>
      <c r="H854">
        <v>78737</v>
      </c>
      <c r="I854" t="s">
        <v>1942</v>
      </c>
    </row>
    <row r="855" spans="1:9" x14ac:dyDescent="0.25">
      <c r="A855" t="s">
        <v>1650</v>
      </c>
      <c r="B855" t="s">
        <v>5599</v>
      </c>
      <c r="C855" t="s">
        <v>5600</v>
      </c>
      <c r="E855" t="s">
        <v>5601</v>
      </c>
      <c r="F855" t="s">
        <v>2448</v>
      </c>
      <c r="G855" t="s">
        <v>1941</v>
      </c>
      <c r="H855">
        <v>88546</v>
      </c>
      <c r="I855" t="s">
        <v>1951</v>
      </c>
    </row>
    <row r="856" spans="1:9" x14ac:dyDescent="0.25">
      <c r="A856" t="s">
        <v>1652</v>
      </c>
      <c r="B856" t="s">
        <v>5602</v>
      </c>
      <c r="C856" t="s">
        <v>5603</v>
      </c>
      <c r="D856" t="s">
        <v>5604</v>
      </c>
      <c r="E856" t="s">
        <v>5605</v>
      </c>
      <c r="F856" t="s">
        <v>2122</v>
      </c>
      <c r="G856" t="s">
        <v>1941</v>
      </c>
      <c r="H856">
        <v>25326</v>
      </c>
      <c r="I856" t="s">
        <v>1942</v>
      </c>
    </row>
    <row r="857" spans="1:9" x14ac:dyDescent="0.25">
      <c r="A857" t="s">
        <v>1654</v>
      </c>
      <c r="B857" t="s">
        <v>5606</v>
      </c>
      <c r="C857" t="s">
        <v>5607</v>
      </c>
      <c r="D857" t="s">
        <v>5608</v>
      </c>
      <c r="E857" t="s">
        <v>5609</v>
      </c>
      <c r="F857" t="s">
        <v>4886</v>
      </c>
      <c r="G857" t="s">
        <v>1941</v>
      </c>
      <c r="H857">
        <v>18105</v>
      </c>
      <c r="I857" t="s">
        <v>1951</v>
      </c>
    </row>
    <row r="858" spans="1:9" x14ac:dyDescent="0.25">
      <c r="A858" t="s">
        <v>5610</v>
      </c>
      <c r="B858" t="s">
        <v>5611</v>
      </c>
      <c r="C858" t="s">
        <v>5612</v>
      </c>
      <c r="D858" t="s">
        <v>5613</v>
      </c>
      <c r="E858" t="s">
        <v>5614</v>
      </c>
      <c r="F858" t="s">
        <v>4485</v>
      </c>
      <c r="G858" t="s">
        <v>2116</v>
      </c>
      <c r="H858" t="s">
        <v>5615</v>
      </c>
      <c r="I858" t="s">
        <v>1942</v>
      </c>
    </row>
    <row r="859" spans="1:9" x14ac:dyDescent="0.25">
      <c r="A859" t="s">
        <v>1657</v>
      </c>
      <c r="B859" t="s">
        <v>5616</v>
      </c>
      <c r="C859" t="s">
        <v>5617</v>
      </c>
      <c r="D859" t="s">
        <v>5618</v>
      </c>
      <c r="E859" t="s">
        <v>5619</v>
      </c>
      <c r="F859" t="s">
        <v>5425</v>
      </c>
      <c r="G859" t="s">
        <v>1941</v>
      </c>
      <c r="H859">
        <v>34643</v>
      </c>
      <c r="I859" t="s">
        <v>1951</v>
      </c>
    </row>
    <row r="860" spans="1:9" x14ac:dyDescent="0.25">
      <c r="A860" t="s">
        <v>1659</v>
      </c>
      <c r="B860" t="s">
        <v>5620</v>
      </c>
      <c r="C860" t="s">
        <v>5621</v>
      </c>
      <c r="D860" t="s">
        <v>5622</v>
      </c>
      <c r="E860" t="s">
        <v>5623</v>
      </c>
      <c r="F860" t="s">
        <v>2550</v>
      </c>
      <c r="G860" t="s">
        <v>1941</v>
      </c>
      <c r="H860">
        <v>58122</v>
      </c>
      <c r="I860" t="s">
        <v>1951</v>
      </c>
    </row>
    <row r="861" spans="1:9" x14ac:dyDescent="0.25">
      <c r="A861" t="s">
        <v>1661</v>
      </c>
      <c r="B861" t="s">
        <v>5624</v>
      </c>
      <c r="C861" t="s">
        <v>5625</v>
      </c>
      <c r="D861" t="s">
        <v>5626</v>
      </c>
      <c r="E861" t="s">
        <v>5627</v>
      </c>
      <c r="F861" t="s">
        <v>5028</v>
      </c>
      <c r="G861" t="s">
        <v>1941</v>
      </c>
      <c r="H861">
        <v>72905</v>
      </c>
      <c r="I861" t="s">
        <v>1951</v>
      </c>
    </row>
    <row r="862" spans="1:9" x14ac:dyDescent="0.25">
      <c r="A862" t="s">
        <v>1663</v>
      </c>
      <c r="B862" t="s">
        <v>5628</v>
      </c>
      <c r="D862" t="s">
        <v>5629</v>
      </c>
      <c r="E862" t="s">
        <v>5630</v>
      </c>
      <c r="F862" t="s">
        <v>4237</v>
      </c>
      <c r="G862" t="s">
        <v>1941</v>
      </c>
      <c r="H862">
        <v>33811</v>
      </c>
      <c r="I862" t="s">
        <v>1951</v>
      </c>
    </row>
    <row r="863" spans="1:9" x14ac:dyDescent="0.25">
      <c r="A863" t="s">
        <v>1665</v>
      </c>
      <c r="B863" t="s">
        <v>5631</v>
      </c>
      <c r="C863" t="s">
        <v>5632</v>
      </c>
      <c r="D863" t="s">
        <v>5633</v>
      </c>
      <c r="E863" t="s">
        <v>5634</v>
      </c>
      <c r="F863" t="s">
        <v>3412</v>
      </c>
      <c r="G863" t="s">
        <v>1941</v>
      </c>
      <c r="H863">
        <v>37924</v>
      </c>
      <c r="I863" t="s">
        <v>1942</v>
      </c>
    </row>
    <row r="864" spans="1:9" x14ac:dyDescent="0.25">
      <c r="A864" t="s">
        <v>1667</v>
      </c>
      <c r="B864" t="s">
        <v>5635</v>
      </c>
      <c r="C864" t="s">
        <v>5636</v>
      </c>
      <c r="D864" t="s">
        <v>5637</v>
      </c>
      <c r="E864" t="s">
        <v>5638</v>
      </c>
      <c r="F864" t="s">
        <v>1986</v>
      </c>
      <c r="G864" t="s">
        <v>1941</v>
      </c>
      <c r="H864">
        <v>90030</v>
      </c>
      <c r="I864" t="s">
        <v>1942</v>
      </c>
    </row>
    <row r="865" spans="1:9" x14ac:dyDescent="0.25">
      <c r="A865" t="s">
        <v>1669</v>
      </c>
      <c r="B865" t="s">
        <v>5639</v>
      </c>
      <c r="C865" t="s">
        <v>5640</v>
      </c>
      <c r="D865" t="s">
        <v>5641</v>
      </c>
      <c r="E865" t="s">
        <v>5642</v>
      </c>
      <c r="F865" t="s">
        <v>3581</v>
      </c>
      <c r="G865" t="s">
        <v>1941</v>
      </c>
      <c r="H865">
        <v>33169</v>
      </c>
      <c r="I865" t="s">
        <v>1942</v>
      </c>
    </row>
    <row r="866" spans="1:9" x14ac:dyDescent="0.25">
      <c r="A866" t="s">
        <v>1671</v>
      </c>
      <c r="B866" t="s">
        <v>5643</v>
      </c>
      <c r="C866" t="s">
        <v>5644</v>
      </c>
      <c r="D866" t="s">
        <v>5645</v>
      </c>
      <c r="E866" t="s">
        <v>5646</v>
      </c>
      <c r="F866" t="s">
        <v>5162</v>
      </c>
      <c r="G866" t="s">
        <v>1949</v>
      </c>
      <c r="H866" t="s">
        <v>5163</v>
      </c>
      <c r="I866" t="s">
        <v>1951</v>
      </c>
    </row>
    <row r="867" spans="1:9" x14ac:dyDescent="0.25">
      <c r="A867" t="s">
        <v>5647</v>
      </c>
      <c r="B867" t="s">
        <v>5648</v>
      </c>
      <c r="D867" t="s">
        <v>5649</v>
      </c>
      <c r="E867" t="s">
        <v>5650</v>
      </c>
      <c r="F867" t="s">
        <v>2252</v>
      </c>
      <c r="G867" t="s">
        <v>1941</v>
      </c>
      <c r="H867">
        <v>60604</v>
      </c>
      <c r="I867" t="s">
        <v>1942</v>
      </c>
    </row>
    <row r="868" spans="1:9" x14ac:dyDescent="0.25">
      <c r="A868" t="s">
        <v>1675</v>
      </c>
      <c r="B868" t="s">
        <v>5651</v>
      </c>
      <c r="C868" t="s">
        <v>5652</v>
      </c>
      <c r="D868" t="s">
        <v>5653</v>
      </c>
      <c r="E868" t="s">
        <v>5654</v>
      </c>
      <c r="F868" t="s">
        <v>5655</v>
      </c>
      <c r="G868" t="s">
        <v>1949</v>
      </c>
      <c r="H868" t="s">
        <v>2397</v>
      </c>
      <c r="I868" t="s">
        <v>1951</v>
      </c>
    </row>
    <row r="869" spans="1:9" x14ac:dyDescent="0.25">
      <c r="A869" t="s">
        <v>1677</v>
      </c>
      <c r="B869" t="s">
        <v>5656</v>
      </c>
      <c r="C869" t="s">
        <v>5657</v>
      </c>
      <c r="E869" t="s">
        <v>5658</v>
      </c>
      <c r="F869" t="s">
        <v>5659</v>
      </c>
      <c r="G869" t="s">
        <v>1949</v>
      </c>
      <c r="H869" t="s">
        <v>5660</v>
      </c>
      <c r="I869" t="s">
        <v>1942</v>
      </c>
    </row>
    <row r="870" spans="1:9" x14ac:dyDescent="0.25">
      <c r="A870" t="s">
        <v>1679</v>
      </c>
      <c r="B870" t="s">
        <v>5661</v>
      </c>
      <c r="C870" t="s">
        <v>5662</v>
      </c>
      <c r="D870" t="s">
        <v>5663</v>
      </c>
      <c r="E870" t="s">
        <v>5664</v>
      </c>
      <c r="F870" t="s">
        <v>2861</v>
      </c>
      <c r="G870" t="s">
        <v>1941</v>
      </c>
      <c r="H870">
        <v>33064</v>
      </c>
      <c r="I870" t="s">
        <v>1942</v>
      </c>
    </row>
    <row r="871" spans="1:9" x14ac:dyDescent="0.25">
      <c r="A871" t="s">
        <v>1681</v>
      </c>
      <c r="B871" t="s">
        <v>5665</v>
      </c>
      <c r="D871" t="s">
        <v>5666</v>
      </c>
      <c r="E871" t="s">
        <v>5667</v>
      </c>
      <c r="F871" t="s">
        <v>2999</v>
      </c>
      <c r="G871" t="s">
        <v>1941</v>
      </c>
      <c r="H871">
        <v>94297</v>
      </c>
      <c r="I871" t="s">
        <v>1942</v>
      </c>
    </row>
    <row r="872" spans="1:9" x14ac:dyDescent="0.25">
      <c r="A872" t="s">
        <v>1683</v>
      </c>
      <c r="B872" t="s">
        <v>5668</v>
      </c>
      <c r="C872" t="s">
        <v>5669</v>
      </c>
      <c r="D872" t="s">
        <v>5670</v>
      </c>
      <c r="E872" t="s">
        <v>5671</v>
      </c>
      <c r="F872" t="s">
        <v>2082</v>
      </c>
      <c r="G872" t="s">
        <v>1949</v>
      </c>
      <c r="H872" t="s">
        <v>2083</v>
      </c>
      <c r="I872" t="s">
        <v>1942</v>
      </c>
    </row>
    <row r="873" spans="1:9" x14ac:dyDescent="0.25">
      <c r="A873" t="s">
        <v>1685</v>
      </c>
      <c r="B873" t="s">
        <v>5672</v>
      </c>
      <c r="C873" t="s">
        <v>5673</v>
      </c>
      <c r="D873" t="s">
        <v>5674</v>
      </c>
      <c r="E873" t="s">
        <v>5675</v>
      </c>
      <c r="F873" t="s">
        <v>5676</v>
      </c>
      <c r="G873" t="s">
        <v>2116</v>
      </c>
      <c r="H873" t="s">
        <v>5677</v>
      </c>
      <c r="I873" t="s">
        <v>1942</v>
      </c>
    </row>
    <row r="874" spans="1:9" x14ac:dyDescent="0.25">
      <c r="A874" t="s">
        <v>1687</v>
      </c>
      <c r="B874" t="s">
        <v>5678</v>
      </c>
      <c r="C874" t="s">
        <v>5679</v>
      </c>
      <c r="D874" t="s">
        <v>5680</v>
      </c>
      <c r="E874" t="s">
        <v>5681</v>
      </c>
      <c r="F874" t="s">
        <v>3687</v>
      </c>
      <c r="G874" t="s">
        <v>1941</v>
      </c>
      <c r="H874">
        <v>28805</v>
      </c>
      <c r="I874" t="s">
        <v>1951</v>
      </c>
    </row>
    <row r="875" spans="1:9" x14ac:dyDescent="0.25">
      <c r="A875" t="s">
        <v>1673</v>
      </c>
      <c r="B875" t="s">
        <v>5682</v>
      </c>
      <c r="C875" t="s">
        <v>5683</v>
      </c>
      <c r="D875" t="s">
        <v>5684</v>
      </c>
      <c r="E875" t="s">
        <v>5685</v>
      </c>
      <c r="F875" t="s">
        <v>2122</v>
      </c>
      <c r="G875" t="s">
        <v>1941</v>
      </c>
      <c r="H875">
        <v>25362</v>
      </c>
      <c r="I875" t="s">
        <v>1942</v>
      </c>
    </row>
    <row r="876" spans="1:9" x14ac:dyDescent="0.25">
      <c r="A876" t="s">
        <v>1690</v>
      </c>
      <c r="B876" t="s">
        <v>5686</v>
      </c>
      <c r="C876" t="s">
        <v>5687</v>
      </c>
      <c r="D876" t="s">
        <v>5688</v>
      </c>
      <c r="E876" t="s">
        <v>5689</v>
      </c>
      <c r="F876" t="s">
        <v>2027</v>
      </c>
      <c r="G876" t="s">
        <v>1941</v>
      </c>
      <c r="H876">
        <v>77281</v>
      </c>
      <c r="I876" t="s">
        <v>1951</v>
      </c>
    </row>
    <row r="877" spans="1:9" x14ac:dyDescent="0.25">
      <c r="A877" t="s">
        <v>1692</v>
      </c>
      <c r="B877" t="s">
        <v>5690</v>
      </c>
      <c r="C877" t="s">
        <v>5691</v>
      </c>
      <c r="D877" t="s">
        <v>5692</v>
      </c>
      <c r="E877" t="s">
        <v>5693</v>
      </c>
      <c r="F877" t="s">
        <v>2411</v>
      </c>
      <c r="G877" t="s">
        <v>1949</v>
      </c>
      <c r="H877" t="s">
        <v>2412</v>
      </c>
      <c r="I877" t="s">
        <v>1951</v>
      </c>
    </row>
    <row r="878" spans="1:9" x14ac:dyDescent="0.25">
      <c r="A878" t="s">
        <v>5694</v>
      </c>
      <c r="B878" t="s">
        <v>5695</v>
      </c>
      <c r="C878" t="s">
        <v>5696</v>
      </c>
      <c r="D878" t="s">
        <v>5697</v>
      </c>
      <c r="E878" t="s">
        <v>5698</v>
      </c>
      <c r="F878" t="s">
        <v>2186</v>
      </c>
      <c r="G878" t="s">
        <v>1941</v>
      </c>
      <c r="H878">
        <v>20575</v>
      </c>
      <c r="I878" t="s">
        <v>1942</v>
      </c>
    </row>
    <row r="879" spans="1:9" x14ac:dyDescent="0.25">
      <c r="A879" t="s">
        <v>1694</v>
      </c>
      <c r="B879" t="s">
        <v>5699</v>
      </c>
      <c r="C879" t="s">
        <v>5700</v>
      </c>
      <c r="D879" t="s">
        <v>5701</v>
      </c>
      <c r="E879" t="s">
        <v>5702</v>
      </c>
      <c r="F879" t="s">
        <v>2256</v>
      </c>
      <c r="G879" t="s">
        <v>1941</v>
      </c>
      <c r="H879">
        <v>7195</v>
      </c>
      <c r="I879" t="s">
        <v>1951</v>
      </c>
    </row>
    <row r="880" spans="1:9" x14ac:dyDescent="0.25">
      <c r="A880" t="s">
        <v>1696</v>
      </c>
      <c r="B880" t="s">
        <v>5703</v>
      </c>
      <c r="D880" t="s">
        <v>5704</v>
      </c>
      <c r="E880" t="s">
        <v>5705</v>
      </c>
      <c r="F880" t="s">
        <v>3492</v>
      </c>
      <c r="G880" t="s">
        <v>1941</v>
      </c>
      <c r="H880">
        <v>98195</v>
      </c>
      <c r="I880" t="s">
        <v>1942</v>
      </c>
    </row>
    <row r="881" spans="1:9" x14ac:dyDescent="0.25">
      <c r="A881" t="s">
        <v>1698</v>
      </c>
      <c r="B881" t="s">
        <v>5706</v>
      </c>
      <c r="D881" t="s">
        <v>5707</v>
      </c>
      <c r="E881" t="s">
        <v>5708</v>
      </c>
      <c r="F881" t="s">
        <v>2063</v>
      </c>
      <c r="G881" t="s">
        <v>1941</v>
      </c>
      <c r="H881">
        <v>80150</v>
      </c>
      <c r="I881" t="s">
        <v>1951</v>
      </c>
    </row>
    <row r="882" spans="1:9" x14ac:dyDescent="0.25">
      <c r="A882" t="s">
        <v>1700</v>
      </c>
      <c r="B882" t="s">
        <v>5709</v>
      </c>
      <c r="C882" t="s">
        <v>5710</v>
      </c>
      <c r="D882" t="s">
        <v>5711</v>
      </c>
      <c r="E882" t="s">
        <v>5712</v>
      </c>
      <c r="F882" t="s">
        <v>5713</v>
      </c>
      <c r="G882" t="s">
        <v>1941</v>
      </c>
      <c r="H882">
        <v>61105</v>
      </c>
      <c r="I882" t="s">
        <v>1951</v>
      </c>
    </row>
    <row r="883" spans="1:9" x14ac:dyDescent="0.25">
      <c r="A883" t="s">
        <v>1702</v>
      </c>
      <c r="B883" t="s">
        <v>5714</v>
      </c>
      <c r="D883" t="s">
        <v>5715</v>
      </c>
      <c r="E883" t="s">
        <v>5716</v>
      </c>
      <c r="F883" t="s">
        <v>5215</v>
      </c>
      <c r="G883" t="s">
        <v>1941</v>
      </c>
      <c r="H883">
        <v>59112</v>
      </c>
      <c r="I883" t="s">
        <v>1942</v>
      </c>
    </row>
    <row r="884" spans="1:9" x14ac:dyDescent="0.25">
      <c r="A884" t="s">
        <v>5717</v>
      </c>
      <c r="B884" t="s">
        <v>5718</v>
      </c>
      <c r="C884" t="s">
        <v>5719</v>
      </c>
      <c r="D884" t="s">
        <v>5720</v>
      </c>
      <c r="E884" t="s">
        <v>5721</v>
      </c>
      <c r="F884" t="s">
        <v>3049</v>
      </c>
      <c r="G884" t="s">
        <v>1941</v>
      </c>
      <c r="H884">
        <v>31165</v>
      </c>
      <c r="I884" t="s">
        <v>1951</v>
      </c>
    </row>
    <row r="885" spans="1:9" x14ac:dyDescent="0.25">
      <c r="A885" t="s">
        <v>1706</v>
      </c>
      <c r="B885" t="s">
        <v>5722</v>
      </c>
      <c r="C885" t="s">
        <v>5723</v>
      </c>
      <c r="D885" t="s">
        <v>5724</v>
      </c>
      <c r="E885" t="s">
        <v>5725</v>
      </c>
      <c r="F885" t="s">
        <v>2816</v>
      </c>
      <c r="G885" t="s">
        <v>1941</v>
      </c>
      <c r="H885">
        <v>74108</v>
      </c>
      <c r="I885" t="s">
        <v>1942</v>
      </c>
    </row>
    <row r="886" spans="1:9" x14ac:dyDescent="0.25">
      <c r="A886" t="s">
        <v>1708</v>
      </c>
      <c r="B886" t="s">
        <v>5726</v>
      </c>
      <c r="C886" t="s">
        <v>5727</v>
      </c>
      <c r="D886" t="s">
        <v>5728</v>
      </c>
      <c r="E886" t="s">
        <v>5729</v>
      </c>
      <c r="F886" t="s">
        <v>2355</v>
      </c>
      <c r="G886" t="s">
        <v>1941</v>
      </c>
      <c r="H886">
        <v>93704</v>
      </c>
      <c r="I886" t="s">
        <v>1942</v>
      </c>
    </row>
    <row r="887" spans="1:9" x14ac:dyDescent="0.25">
      <c r="A887" t="s">
        <v>1710</v>
      </c>
      <c r="B887" t="s">
        <v>5730</v>
      </c>
      <c r="C887" t="s">
        <v>5731</v>
      </c>
      <c r="D887" t="s">
        <v>5732</v>
      </c>
      <c r="E887" t="s">
        <v>5733</v>
      </c>
      <c r="F887" t="s">
        <v>5734</v>
      </c>
      <c r="G887" t="s">
        <v>1949</v>
      </c>
      <c r="H887" t="s">
        <v>2310</v>
      </c>
      <c r="I887" t="s">
        <v>1951</v>
      </c>
    </row>
    <row r="888" spans="1:9" x14ac:dyDescent="0.25">
      <c r="A888" t="s">
        <v>1712</v>
      </c>
      <c r="B888" t="s">
        <v>5735</v>
      </c>
      <c r="C888" t="s">
        <v>5736</v>
      </c>
      <c r="D888" t="s">
        <v>5737</v>
      </c>
      <c r="E888" t="s">
        <v>5738</v>
      </c>
      <c r="F888" t="s">
        <v>3090</v>
      </c>
      <c r="G888" t="s">
        <v>1941</v>
      </c>
      <c r="H888">
        <v>94154</v>
      </c>
      <c r="I888" t="s">
        <v>1951</v>
      </c>
    </row>
    <row r="889" spans="1:9" x14ac:dyDescent="0.25">
      <c r="A889" t="s">
        <v>1714</v>
      </c>
      <c r="B889" t="s">
        <v>5739</v>
      </c>
      <c r="C889" t="s">
        <v>5740</v>
      </c>
      <c r="D889" t="s">
        <v>5741</v>
      </c>
      <c r="E889" t="s">
        <v>5742</v>
      </c>
      <c r="F889" t="s">
        <v>5578</v>
      </c>
      <c r="G889" t="s">
        <v>1941</v>
      </c>
      <c r="H889">
        <v>36689</v>
      </c>
      <c r="I889" t="s">
        <v>1951</v>
      </c>
    </row>
    <row r="890" spans="1:9" x14ac:dyDescent="0.25">
      <c r="A890" t="s">
        <v>1716</v>
      </c>
      <c r="B890" t="s">
        <v>5743</v>
      </c>
      <c r="C890" t="s">
        <v>5744</v>
      </c>
      <c r="D890" t="s">
        <v>5745</v>
      </c>
      <c r="E890" t="s">
        <v>5746</v>
      </c>
      <c r="F890" t="s">
        <v>3090</v>
      </c>
      <c r="G890" t="s">
        <v>1941</v>
      </c>
      <c r="H890">
        <v>94110</v>
      </c>
      <c r="I890" t="s">
        <v>1942</v>
      </c>
    </row>
    <row r="891" spans="1:9" x14ac:dyDescent="0.25">
      <c r="A891" t="s">
        <v>1718</v>
      </c>
      <c r="B891" t="s">
        <v>5747</v>
      </c>
      <c r="C891" t="s">
        <v>5748</v>
      </c>
      <c r="D891" t="s">
        <v>5749</v>
      </c>
      <c r="E891" t="s">
        <v>5750</v>
      </c>
      <c r="F891" t="s">
        <v>2099</v>
      </c>
      <c r="G891" t="s">
        <v>1941</v>
      </c>
      <c r="H891">
        <v>11470</v>
      </c>
      <c r="I891" t="s">
        <v>1942</v>
      </c>
    </row>
    <row r="892" spans="1:9" x14ac:dyDescent="0.25">
      <c r="A892" t="s">
        <v>1704</v>
      </c>
      <c r="B892" t="s">
        <v>5751</v>
      </c>
      <c r="C892" t="s">
        <v>5752</v>
      </c>
      <c r="D892" t="s">
        <v>5753</v>
      </c>
      <c r="E892" t="s">
        <v>5754</v>
      </c>
      <c r="F892" t="s">
        <v>2132</v>
      </c>
      <c r="G892" t="s">
        <v>1941</v>
      </c>
      <c r="H892">
        <v>80243</v>
      </c>
      <c r="I892" t="s">
        <v>1942</v>
      </c>
    </row>
    <row r="893" spans="1:9" x14ac:dyDescent="0.25">
      <c r="A893" t="s">
        <v>1721</v>
      </c>
      <c r="B893" t="s">
        <v>5755</v>
      </c>
      <c r="C893" t="s">
        <v>5756</v>
      </c>
      <c r="D893" t="s">
        <v>5757</v>
      </c>
      <c r="E893" t="s">
        <v>5758</v>
      </c>
      <c r="F893" t="s">
        <v>3785</v>
      </c>
      <c r="G893" t="s">
        <v>1941</v>
      </c>
      <c r="H893">
        <v>92165</v>
      </c>
      <c r="I893" t="s">
        <v>1942</v>
      </c>
    </row>
    <row r="894" spans="1:9" x14ac:dyDescent="0.25">
      <c r="A894" t="s">
        <v>1723</v>
      </c>
      <c r="B894" t="s">
        <v>5759</v>
      </c>
      <c r="C894" t="s">
        <v>5760</v>
      </c>
      <c r="D894" t="s">
        <v>5761</v>
      </c>
      <c r="E894" t="s">
        <v>5762</v>
      </c>
      <c r="F894" t="s">
        <v>3727</v>
      </c>
      <c r="G894" t="s">
        <v>2116</v>
      </c>
      <c r="H894" t="s">
        <v>3728</v>
      </c>
      <c r="I894" t="s">
        <v>1951</v>
      </c>
    </row>
    <row r="895" spans="1:9" x14ac:dyDescent="0.25">
      <c r="A895" t="s">
        <v>1725</v>
      </c>
      <c r="B895" t="s">
        <v>5763</v>
      </c>
      <c r="C895" t="s">
        <v>5764</v>
      </c>
      <c r="E895" t="s">
        <v>5765</v>
      </c>
      <c r="F895" t="s">
        <v>4595</v>
      </c>
      <c r="G895" t="s">
        <v>1941</v>
      </c>
      <c r="H895">
        <v>15250</v>
      </c>
      <c r="I895" t="s">
        <v>1942</v>
      </c>
    </row>
    <row r="896" spans="1:9" x14ac:dyDescent="0.25">
      <c r="A896" t="s">
        <v>1727</v>
      </c>
      <c r="B896" t="s">
        <v>5766</v>
      </c>
      <c r="D896" t="s">
        <v>5767</v>
      </c>
      <c r="E896" t="s">
        <v>5768</v>
      </c>
      <c r="F896" t="s">
        <v>5769</v>
      </c>
      <c r="G896" t="s">
        <v>1949</v>
      </c>
      <c r="H896" t="s">
        <v>2674</v>
      </c>
      <c r="I896" t="s">
        <v>1942</v>
      </c>
    </row>
    <row r="897" spans="1:9" x14ac:dyDescent="0.25">
      <c r="A897" t="s">
        <v>1729</v>
      </c>
      <c r="B897" t="s">
        <v>5770</v>
      </c>
      <c r="D897" t="s">
        <v>5771</v>
      </c>
      <c r="E897" t="s">
        <v>5772</v>
      </c>
      <c r="F897" t="s">
        <v>2037</v>
      </c>
      <c r="G897" t="s">
        <v>1941</v>
      </c>
      <c r="H897">
        <v>10004</v>
      </c>
      <c r="I897" t="s">
        <v>1951</v>
      </c>
    </row>
    <row r="898" spans="1:9" x14ac:dyDescent="0.25">
      <c r="A898" t="s">
        <v>1731</v>
      </c>
      <c r="B898" t="s">
        <v>5773</v>
      </c>
      <c r="C898" t="s">
        <v>5774</v>
      </c>
      <c r="D898" t="s">
        <v>5775</v>
      </c>
      <c r="E898" t="s">
        <v>5776</v>
      </c>
      <c r="F898" t="s">
        <v>3492</v>
      </c>
      <c r="G898" t="s">
        <v>1941</v>
      </c>
      <c r="H898">
        <v>98148</v>
      </c>
      <c r="I898" t="s">
        <v>1942</v>
      </c>
    </row>
    <row r="899" spans="1:9" x14ac:dyDescent="0.25">
      <c r="A899" t="s">
        <v>1733</v>
      </c>
      <c r="B899" t="s">
        <v>5777</v>
      </c>
      <c r="C899" t="s">
        <v>5778</v>
      </c>
      <c r="D899" t="s">
        <v>5779</v>
      </c>
      <c r="E899" t="s">
        <v>5780</v>
      </c>
      <c r="F899" t="s">
        <v>2172</v>
      </c>
      <c r="G899" t="s">
        <v>2116</v>
      </c>
      <c r="H899" t="s">
        <v>2486</v>
      </c>
      <c r="I899" t="s">
        <v>1951</v>
      </c>
    </row>
    <row r="900" spans="1:9" x14ac:dyDescent="0.25">
      <c r="A900" t="s">
        <v>1735</v>
      </c>
      <c r="B900" t="s">
        <v>5781</v>
      </c>
      <c r="D900" t="s">
        <v>5782</v>
      </c>
      <c r="E900" t="s">
        <v>5783</v>
      </c>
      <c r="F900" t="s">
        <v>5784</v>
      </c>
      <c r="G900" t="s">
        <v>1941</v>
      </c>
      <c r="H900">
        <v>49018</v>
      </c>
      <c r="I900" t="s">
        <v>1951</v>
      </c>
    </row>
    <row r="901" spans="1:9" x14ac:dyDescent="0.25">
      <c r="A901" t="s">
        <v>5785</v>
      </c>
      <c r="B901" t="s">
        <v>5786</v>
      </c>
      <c r="C901" t="s">
        <v>5787</v>
      </c>
      <c r="E901" t="s">
        <v>5788</v>
      </c>
      <c r="F901" t="s">
        <v>2424</v>
      </c>
      <c r="G901" t="s">
        <v>1949</v>
      </c>
      <c r="H901" t="s">
        <v>2425</v>
      </c>
      <c r="I901" t="s">
        <v>1942</v>
      </c>
    </row>
    <row r="902" spans="1:9" x14ac:dyDescent="0.25">
      <c r="A902" t="s">
        <v>1738</v>
      </c>
      <c r="B902" t="s">
        <v>5789</v>
      </c>
      <c r="D902" t="s">
        <v>5790</v>
      </c>
      <c r="E902" t="s">
        <v>5791</v>
      </c>
      <c r="F902" t="s">
        <v>5792</v>
      </c>
      <c r="G902" t="s">
        <v>1949</v>
      </c>
      <c r="H902" t="s">
        <v>2536</v>
      </c>
      <c r="I902" t="s">
        <v>1951</v>
      </c>
    </row>
    <row r="903" spans="1:9" x14ac:dyDescent="0.25">
      <c r="A903" t="s">
        <v>1740</v>
      </c>
      <c r="B903" t="s">
        <v>5793</v>
      </c>
      <c r="C903" t="s">
        <v>5794</v>
      </c>
      <c r="D903" t="s">
        <v>5795</v>
      </c>
      <c r="E903" t="s">
        <v>5796</v>
      </c>
      <c r="F903" t="s">
        <v>2027</v>
      </c>
      <c r="G903" t="s">
        <v>1941</v>
      </c>
      <c r="H903">
        <v>77070</v>
      </c>
      <c r="I903" t="s">
        <v>1942</v>
      </c>
    </row>
    <row r="904" spans="1:9" x14ac:dyDescent="0.25">
      <c r="A904" t="s">
        <v>1742</v>
      </c>
      <c r="B904" t="s">
        <v>5797</v>
      </c>
      <c r="C904" t="s">
        <v>5798</v>
      </c>
      <c r="D904" t="s">
        <v>5799</v>
      </c>
      <c r="E904" t="s">
        <v>5800</v>
      </c>
      <c r="F904" t="s">
        <v>3037</v>
      </c>
      <c r="G904" t="s">
        <v>1941</v>
      </c>
      <c r="H904">
        <v>45249</v>
      </c>
      <c r="I904" t="s">
        <v>1951</v>
      </c>
    </row>
    <row r="905" spans="1:9" x14ac:dyDescent="0.25">
      <c r="A905" t="s">
        <v>1744</v>
      </c>
      <c r="B905" t="s">
        <v>5801</v>
      </c>
      <c r="C905" t="s">
        <v>5802</v>
      </c>
      <c r="D905" t="s">
        <v>5803</v>
      </c>
      <c r="E905" t="s">
        <v>5804</v>
      </c>
      <c r="F905" t="s">
        <v>2355</v>
      </c>
      <c r="G905" t="s">
        <v>1941</v>
      </c>
      <c r="H905">
        <v>93704</v>
      </c>
      <c r="I905" t="s">
        <v>1951</v>
      </c>
    </row>
    <row r="906" spans="1:9" x14ac:dyDescent="0.25">
      <c r="A906" t="s">
        <v>1746</v>
      </c>
      <c r="B906" t="s">
        <v>5805</v>
      </c>
      <c r="C906" t="s">
        <v>5806</v>
      </c>
      <c r="D906" t="s">
        <v>5807</v>
      </c>
      <c r="E906" t="s">
        <v>5808</v>
      </c>
      <c r="F906" t="s">
        <v>2233</v>
      </c>
      <c r="G906" t="s">
        <v>1941</v>
      </c>
      <c r="H906">
        <v>55123</v>
      </c>
      <c r="I906" t="s">
        <v>1951</v>
      </c>
    </row>
    <row r="907" spans="1:9" x14ac:dyDescent="0.25">
      <c r="A907" t="s">
        <v>1748</v>
      </c>
      <c r="B907" t="s">
        <v>5809</v>
      </c>
      <c r="D907" t="s">
        <v>5810</v>
      </c>
      <c r="E907" t="s">
        <v>5811</v>
      </c>
      <c r="F907" t="s">
        <v>2448</v>
      </c>
      <c r="G907" t="s">
        <v>1941</v>
      </c>
      <c r="H907">
        <v>88519</v>
      </c>
      <c r="I907" t="s">
        <v>1942</v>
      </c>
    </row>
    <row r="908" spans="1:9" x14ac:dyDescent="0.25">
      <c r="A908" t="s">
        <v>1750</v>
      </c>
      <c r="B908" t="s">
        <v>5812</v>
      </c>
      <c r="C908" t="s">
        <v>5813</v>
      </c>
      <c r="D908" t="s">
        <v>5814</v>
      </c>
      <c r="E908" t="s">
        <v>5815</v>
      </c>
      <c r="F908" t="s">
        <v>2647</v>
      </c>
      <c r="G908" t="s">
        <v>1941</v>
      </c>
      <c r="H908">
        <v>50981</v>
      </c>
      <c r="I908" t="s">
        <v>1942</v>
      </c>
    </row>
    <row r="909" spans="1:9" x14ac:dyDescent="0.25">
      <c r="A909" t="s">
        <v>1752</v>
      </c>
      <c r="B909" t="s">
        <v>5816</v>
      </c>
      <c r="C909" t="s">
        <v>5817</v>
      </c>
      <c r="D909" t="s">
        <v>5818</v>
      </c>
      <c r="E909" t="s">
        <v>5819</v>
      </c>
      <c r="F909" t="s">
        <v>2022</v>
      </c>
      <c r="G909" t="s">
        <v>1941</v>
      </c>
      <c r="H909">
        <v>97240</v>
      </c>
      <c r="I909" t="s">
        <v>1951</v>
      </c>
    </row>
    <row r="910" spans="1:9" x14ac:dyDescent="0.25">
      <c r="A910" t="s">
        <v>1754</v>
      </c>
      <c r="B910" t="s">
        <v>5820</v>
      </c>
      <c r="C910" t="s">
        <v>5821</v>
      </c>
      <c r="D910" t="s">
        <v>5822</v>
      </c>
      <c r="E910" t="s">
        <v>5823</v>
      </c>
      <c r="F910" t="s">
        <v>2027</v>
      </c>
      <c r="G910" t="s">
        <v>1941</v>
      </c>
      <c r="H910">
        <v>77070</v>
      </c>
      <c r="I910" t="s">
        <v>1951</v>
      </c>
    </row>
    <row r="911" spans="1:9" x14ac:dyDescent="0.25">
      <c r="A911" t="s">
        <v>1756</v>
      </c>
      <c r="B911" t="s">
        <v>5824</v>
      </c>
      <c r="D911" t="s">
        <v>5825</v>
      </c>
      <c r="E911" t="s">
        <v>5826</v>
      </c>
      <c r="F911" t="s">
        <v>4481</v>
      </c>
      <c r="G911" t="s">
        <v>1941</v>
      </c>
      <c r="H911">
        <v>27705</v>
      </c>
      <c r="I911" t="s">
        <v>1951</v>
      </c>
    </row>
    <row r="912" spans="1:9" x14ac:dyDescent="0.25">
      <c r="A912" t="s">
        <v>1758</v>
      </c>
      <c r="B912" t="s">
        <v>5827</v>
      </c>
      <c r="C912" t="s">
        <v>5828</v>
      </c>
      <c r="D912" t="s">
        <v>5829</v>
      </c>
      <c r="E912" t="s">
        <v>5830</v>
      </c>
      <c r="F912" t="s">
        <v>2158</v>
      </c>
      <c r="G912" t="s">
        <v>1941</v>
      </c>
      <c r="H912">
        <v>2298</v>
      </c>
      <c r="I912" t="s">
        <v>1951</v>
      </c>
    </row>
    <row r="913" spans="1:9" x14ac:dyDescent="0.25">
      <c r="A913" t="s">
        <v>1760</v>
      </c>
      <c r="B913" t="s">
        <v>5831</v>
      </c>
      <c r="C913" t="s">
        <v>5832</v>
      </c>
      <c r="D913" t="s">
        <v>5833</v>
      </c>
      <c r="E913" t="s">
        <v>5834</v>
      </c>
      <c r="F913" t="s">
        <v>2186</v>
      </c>
      <c r="G913" t="s">
        <v>1941</v>
      </c>
      <c r="H913">
        <v>20226</v>
      </c>
      <c r="I913" t="s">
        <v>1942</v>
      </c>
    </row>
    <row r="914" spans="1:9" x14ac:dyDescent="0.25">
      <c r="A914" t="s">
        <v>1762</v>
      </c>
      <c r="B914" t="s">
        <v>5835</v>
      </c>
      <c r="D914" t="s">
        <v>5836</v>
      </c>
      <c r="E914" t="s">
        <v>5837</v>
      </c>
      <c r="F914" t="s">
        <v>2881</v>
      </c>
      <c r="G914" t="s">
        <v>1941</v>
      </c>
      <c r="H914">
        <v>12205</v>
      </c>
      <c r="I914" t="s">
        <v>1942</v>
      </c>
    </row>
    <row r="915" spans="1:9" x14ac:dyDescent="0.25">
      <c r="A915" t="s">
        <v>1764</v>
      </c>
      <c r="B915" t="s">
        <v>5838</v>
      </c>
      <c r="C915" t="s">
        <v>5839</v>
      </c>
      <c r="D915" t="s">
        <v>5840</v>
      </c>
      <c r="E915" t="s">
        <v>5841</v>
      </c>
      <c r="F915" t="s">
        <v>2140</v>
      </c>
      <c r="G915" t="s">
        <v>1941</v>
      </c>
      <c r="H915">
        <v>85732</v>
      </c>
      <c r="I915" t="s">
        <v>1951</v>
      </c>
    </row>
    <row r="916" spans="1:9" x14ac:dyDescent="0.25">
      <c r="A916" t="s">
        <v>1766</v>
      </c>
      <c r="B916" t="s">
        <v>5842</v>
      </c>
      <c r="C916" t="s">
        <v>5843</v>
      </c>
      <c r="D916" t="s">
        <v>5844</v>
      </c>
      <c r="E916" t="s">
        <v>5845</v>
      </c>
      <c r="F916" t="s">
        <v>2744</v>
      </c>
      <c r="G916" t="s">
        <v>1941</v>
      </c>
      <c r="H916">
        <v>36195</v>
      </c>
      <c r="I916" t="s">
        <v>1951</v>
      </c>
    </row>
    <row r="917" spans="1:9" x14ac:dyDescent="0.25">
      <c r="A917" t="s">
        <v>1768</v>
      </c>
      <c r="B917" t="s">
        <v>5846</v>
      </c>
      <c r="C917" t="s">
        <v>5847</v>
      </c>
      <c r="D917" t="s">
        <v>5848</v>
      </c>
      <c r="E917" t="s">
        <v>5849</v>
      </c>
      <c r="F917" t="s">
        <v>5850</v>
      </c>
      <c r="G917" t="s">
        <v>1941</v>
      </c>
      <c r="H917">
        <v>99709</v>
      </c>
      <c r="I917" t="s">
        <v>1942</v>
      </c>
    </row>
    <row r="918" spans="1:9" x14ac:dyDescent="0.25">
      <c r="A918" t="s">
        <v>1770</v>
      </c>
      <c r="B918" t="s">
        <v>5851</v>
      </c>
      <c r="E918" t="s">
        <v>5852</v>
      </c>
      <c r="F918" t="s">
        <v>3918</v>
      </c>
      <c r="G918" t="s">
        <v>1949</v>
      </c>
      <c r="H918" t="s">
        <v>3919</v>
      </c>
      <c r="I918" t="s">
        <v>1942</v>
      </c>
    </row>
    <row r="919" spans="1:9" x14ac:dyDescent="0.25">
      <c r="A919" t="s">
        <v>1772</v>
      </c>
      <c r="B919" t="s">
        <v>5853</v>
      </c>
      <c r="C919" t="s">
        <v>5854</v>
      </c>
      <c r="D919" t="s">
        <v>5855</v>
      </c>
      <c r="E919" t="s">
        <v>5856</v>
      </c>
      <c r="F919" t="s">
        <v>3238</v>
      </c>
      <c r="G919" t="s">
        <v>2116</v>
      </c>
      <c r="H919" t="s">
        <v>5857</v>
      </c>
      <c r="I919" t="s">
        <v>1951</v>
      </c>
    </row>
    <row r="920" spans="1:9" x14ac:dyDescent="0.25">
      <c r="A920" t="s">
        <v>5858</v>
      </c>
      <c r="B920" t="s">
        <v>5859</v>
      </c>
      <c r="C920" t="s">
        <v>5860</v>
      </c>
      <c r="D920" t="s">
        <v>5861</v>
      </c>
      <c r="E920" t="s">
        <v>5862</v>
      </c>
      <c r="F920" t="s">
        <v>2713</v>
      </c>
      <c r="G920" t="s">
        <v>1941</v>
      </c>
      <c r="H920">
        <v>34615</v>
      </c>
      <c r="I920" t="s">
        <v>1951</v>
      </c>
    </row>
    <row r="921" spans="1:9" x14ac:dyDescent="0.25">
      <c r="A921" t="s">
        <v>1774</v>
      </c>
      <c r="B921" t="s">
        <v>5863</v>
      </c>
      <c r="C921" t="s">
        <v>5864</v>
      </c>
      <c r="D921" t="s">
        <v>5865</v>
      </c>
      <c r="E921" t="s">
        <v>5866</v>
      </c>
      <c r="F921" t="s">
        <v>3320</v>
      </c>
      <c r="G921" t="s">
        <v>1941</v>
      </c>
      <c r="H921">
        <v>40515</v>
      </c>
      <c r="I921" t="s">
        <v>1942</v>
      </c>
    </row>
    <row r="922" spans="1:9" x14ac:dyDescent="0.25">
      <c r="A922" t="s">
        <v>1776</v>
      </c>
      <c r="B922" t="s">
        <v>5867</v>
      </c>
      <c r="C922" t="s">
        <v>5868</v>
      </c>
      <c r="D922" t="s">
        <v>5869</v>
      </c>
      <c r="E922" t="s">
        <v>5870</v>
      </c>
      <c r="F922" t="s">
        <v>2048</v>
      </c>
      <c r="G922" t="s">
        <v>1941</v>
      </c>
      <c r="H922">
        <v>49560</v>
      </c>
      <c r="I922" t="s">
        <v>1951</v>
      </c>
    </row>
    <row r="923" spans="1:9" x14ac:dyDescent="0.25">
      <c r="A923" t="s">
        <v>1778</v>
      </c>
      <c r="B923" t="s">
        <v>5871</v>
      </c>
      <c r="C923" t="s">
        <v>5872</v>
      </c>
      <c r="D923" t="s">
        <v>5873</v>
      </c>
      <c r="E923" t="s">
        <v>5874</v>
      </c>
      <c r="F923" t="s">
        <v>2647</v>
      </c>
      <c r="G923" t="s">
        <v>1941</v>
      </c>
      <c r="H923">
        <v>50369</v>
      </c>
      <c r="I923" t="s">
        <v>1951</v>
      </c>
    </row>
    <row r="924" spans="1:9" x14ac:dyDescent="0.25">
      <c r="A924" t="s">
        <v>1780</v>
      </c>
      <c r="B924" t="s">
        <v>5875</v>
      </c>
      <c r="E924" t="s">
        <v>5876</v>
      </c>
      <c r="F924" t="s">
        <v>5107</v>
      </c>
      <c r="G924" t="s">
        <v>1941</v>
      </c>
      <c r="H924">
        <v>19810</v>
      </c>
      <c r="I924" t="s">
        <v>1942</v>
      </c>
    </row>
    <row r="925" spans="1:9" x14ac:dyDescent="0.25">
      <c r="A925" t="s">
        <v>1782</v>
      </c>
      <c r="B925" t="s">
        <v>5877</v>
      </c>
      <c r="C925" t="s">
        <v>5878</v>
      </c>
      <c r="D925" t="s">
        <v>5879</v>
      </c>
      <c r="E925" t="s">
        <v>5880</v>
      </c>
      <c r="F925" t="s">
        <v>2387</v>
      </c>
      <c r="G925" t="s">
        <v>1941</v>
      </c>
      <c r="H925">
        <v>78726</v>
      </c>
      <c r="I925" t="s">
        <v>1951</v>
      </c>
    </row>
    <row r="926" spans="1:9" x14ac:dyDescent="0.25">
      <c r="A926" t="s">
        <v>1784</v>
      </c>
      <c r="B926" t="s">
        <v>5881</v>
      </c>
      <c r="C926" t="s">
        <v>5882</v>
      </c>
      <c r="E926" t="s">
        <v>5883</v>
      </c>
      <c r="F926" t="s">
        <v>4401</v>
      </c>
      <c r="G926" t="s">
        <v>1941</v>
      </c>
      <c r="H926">
        <v>32835</v>
      </c>
      <c r="I926" t="s">
        <v>1951</v>
      </c>
    </row>
    <row r="927" spans="1:9" x14ac:dyDescent="0.25">
      <c r="A927" t="s">
        <v>5884</v>
      </c>
      <c r="B927" t="s">
        <v>5885</v>
      </c>
      <c r="D927" t="s">
        <v>5886</v>
      </c>
      <c r="E927" t="s">
        <v>5887</v>
      </c>
      <c r="F927" t="s">
        <v>2947</v>
      </c>
      <c r="G927" t="s">
        <v>1941</v>
      </c>
      <c r="H927">
        <v>91199</v>
      </c>
      <c r="I927" t="s">
        <v>1942</v>
      </c>
    </row>
    <row r="928" spans="1:9" x14ac:dyDescent="0.25">
      <c r="A928" t="s">
        <v>1787</v>
      </c>
      <c r="B928" t="s">
        <v>5888</v>
      </c>
      <c r="C928" t="s">
        <v>5889</v>
      </c>
      <c r="D928" t="s">
        <v>5890</v>
      </c>
      <c r="E928" t="s">
        <v>5891</v>
      </c>
      <c r="F928" t="s">
        <v>2186</v>
      </c>
      <c r="G928" t="s">
        <v>1941</v>
      </c>
      <c r="H928">
        <v>20238</v>
      </c>
      <c r="I928" t="s">
        <v>1942</v>
      </c>
    </row>
    <row r="929" spans="1:9" x14ac:dyDescent="0.25">
      <c r="A929" t="s">
        <v>1789</v>
      </c>
      <c r="B929" t="s">
        <v>5892</v>
      </c>
      <c r="C929" t="s">
        <v>5893</v>
      </c>
      <c r="D929" t="s">
        <v>5894</v>
      </c>
      <c r="E929" t="s">
        <v>5895</v>
      </c>
      <c r="F929" t="s">
        <v>2022</v>
      </c>
      <c r="G929" t="s">
        <v>1941</v>
      </c>
      <c r="H929">
        <v>97271</v>
      </c>
      <c r="I929" t="s">
        <v>1951</v>
      </c>
    </row>
    <row r="930" spans="1:9" x14ac:dyDescent="0.25">
      <c r="A930" t="s">
        <v>1791</v>
      </c>
      <c r="B930" t="s">
        <v>5896</v>
      </c>
      <c r="C930" t="s">
        <v>5897</v>
      </c>
      <c r="E930" t="s">
        <v>5898</v>
      </c>
      <c r="F930" t="s">
        <v>2037</v>
      </c>
      <c r="G930" t="s">
        <v>1941</v>
      </c>
      <c r="H930">
        <v>10004</v>
      </c>
      <c r="I930" t="s">
        <v>1942</v>
      </c>
    </row>
    <row r="931" spans="1:9" x14ac:dyDescent="0.25">
      <c r="A931" t="s">
        <v>1793</v>
      </c>
      <c r="B931" t="s">
        <v>5899</v>
      </c>
      <c r="C931" t="s">
        <v>5900</v>
      </c>
      <c r="D931" t="s">
        <v>5901</v>
      </c>
      <c r="E931" t="s">
        <v>5902</v>
      </c>
      <c r="F931" t="s">
        <v>2186</v>
      </c>
      <c r="G931" t="s">
        <v>1941</v>
      </c>
      <c r="H931">
        <v>20404</v>
      </c>
      <c r="I931" t="s">
        <v>1942</v>
      </c>
    </row>
    <row r="932" spans="1:9" x14ac:dyDescent="0.25">
      <c r="A932" t="s">
        <v>1795</v>
      </c>
      <c r="B932" t="s">
        <v>5903</v>
      </c>
      <c r="C932" t="s">
        <v>5904</v>
      </c>
      <c r="E932" t="s">
        <v>5905</v>
      </c>
      <c r="F932" t="s">
        <v>2186</v>
      </c>
      <c r="G932" t="s">
        <v>1941</v>
      </c>
      <c r="H932">
        <v>20067</v>
      </c>
      <c r="I932" t="s">
        <v>1942</v>
      </c>
    </row>
    <row r="933" spans="1:9" x14ac:dyDescent="0.25">
      <c r="A933" t="s">
        <v>1797</v>
      </c>
      <c r="B933" t="s">
        <v>5906</v>
      </c>
      <c r="E933" t="s">
        <v>5907</v>
      </c>
      <c r="F933" t="s">
        <v>4886</v>
      </c>
      <c r="G933" t="s">
        <v>1941</v>
      </c>
      <c r="H933">
        <v>18105</v>
      </c>
      <c r="I933" t="s">
        <v>1942</v>
      </c>
    </row>
    <row r="934" spans="1:9" x14ac:dyDescent="0.25">
      <c r="A934" t="s">
        <v>1799</v>
      </c>
      <c r="B934" t="s">
        <v>5908</v>
      </c>
      <c r="C934" t="s">
        <v>5909</v>
      </c>
      <c r="D934" t="s">
        <v>5910</v>
      </c>
      <c r="E934" t="s">
        <v>5911</v>
      </c>
      <c r="F934" t="s">
        <v>3581</v>
      </c>
      <c r="G934" t="s">
        <v>1941</v>
      </c>
      <c r="H934">
        <v>33169</v>
      </c>
      <c r="I934" t="s">
        <v>1951</v>
      </c>
    </row>
    <row r="935" spans="1:9" x14ac:dyDescent="0.25">
      <c r="A935" t="s">
        <v>1801</v>
      </c>
      <c r="B935" t="s">
        <v>5912</v>
      </c>
      <c r="D935" t="s">
        <v>5913</v>
      </c>
      <c r="E935" t="s">
        <v>5914</v>
      </c>
      <c r="F935" t="s">
        <v>2362</v>
      </c>
      <c r="G935" t="s">
        <v>1941</v>
      </c>
      <c r="H935">
        <v>73129</v>
      </c>
      <c r="I935" t="s">
        <v>1942</v>
      </c>
    </row>
    <row r="936" spans="1:9" x14ac:dyDescent="0.25">
      <c r="A936" t="s">
        <v>1803</v>
      </c>
      <c r="B936" t="s">
        <v>5915</v>
      </c>
      <c r="C936" t="s">
        <v>5916</v>
      </c>
      <c r="D936" t="s">
        <v>5917</v>
      </c>
      <c r="E936" t="s">
        <v>5918</v>
      </c>
      <c r="F936" t="s">
        <v>5713</v>
      </c>
      <c r="G936" t="s">
        <v>1941</v>
      </c>
      <c r="H936">
        <v>61105</v>
      </c>
      <c r="I936" t="s">
        <v>1951</v>
      </c>
    </row>
    <row r="937" spans="1:9" x14ac:dyDescent="0.25">
      <c r="A937" t="s">
        <v>1805</v>
      </c>
      <c r="B937" t="s">
        <v>5919</v>
      </c>
      <c r="C937" t="s">
        <v>5920</v>
      </c>
      <c r="D937" t="s">
        <v>5921</v>
      </c>
      <c r="E937" t="s">
        <v>5922</v>
      </c>
      <c r="F937" t="s">
        <v>2744</v>
      </c>
      <c r="G937" t="s">
        <v>1941</v>
      </c>
      <c r="H937">
        <v>36177</v>
      </c>
      <c r="I937" t="s">
        <v>1942</v>
      </c>
    </row>
    <row r="938" spans="1:9" x14ac:dyDescent="0.25">
      <c r="A938" t="s">
        <v>1807</v>
      </c>
      <c r="B938" t="s">
        <v>5923</v>
      </c>
      <c r="C938" t="s">
        <v>5924</v>
      </c>
      <c r="D938" t="s">
        <v>5925</v>
      </c>
      <c r="E938" t="s">
        <v>5926</v>
      </c>
      <c r="F938" t="s">
        <v>2947</v>
      </c>
      <c r="G938" t="s">
        <v>1941</v>
      </c>
      <c r="H938">
        <v>91117</v>
      </c>
      <c r="I938" t="s">
        <v>1942</v>
      </c>
    </row>
    <row r="939" spans="1:9" x14ac:dyDescent="0.25">
      <c r="A939" t="s">
        <v>5927</v>
      </c>
      <c r="B939" t="s">
        <v>5928</v>
      </c>
      <c r="C939" t="s">
        <v>5929</v>
      </c>
      <c r="D939" t="s">
        <v>5930</v>
      </c>
      <c r="E939" t="s">
        <v>5931</v>
      </c>
      <c r="F939" t="s">
        <v>2252</v>
      </c>
      <c r="G939" t="s">
        <v>1941</v>
      </c>
      <c r="H939">
        <v>60624</v>
      </c>
      <c r="I939" t="s">
        <v>1951</v>
      </c>
    </row>
    <row r="940" spans="1:9" x14ac:dyDescent="0.25">
      <c r="A940" t="s">
        <v>1809</v>
      </c>
      <c r="B940" t="s">
        <v>5932</v>
      </c>
      <c r="C940" t="s">
        <v>5933</v>
      </c>
      <c r="D940" t="s">
        <v>5934</v>
      </c>
      <c r="E940" t="s">
        <v>5935</v>
      </c>
      <c r="F940" t="s">
        <v>2027</v>
      </c>
      <c r="G940" t="s">
        <v>1941</v>
      </c>
      <c r="H940">
        <v>77293</v>
      </c>
      <c r="I940" t="s">
        <v>1942</v>
      </c>
    </row>
    <row r="941" spans="1:9" x14ac:dyDescent="0.25">
      <c r="A941" t="s">
        <v>1811</v>
      </c>
      <c r="B941" t="s">
        <v>5936</v>
      </c>
      <c r="C941" t="s">
        <v>5937</v>
      </c>
      <c r="D941" t="s">
        <v>5938</v>
      </c>
      <c r="E941" t="s">
        <v>5939</v>
      </c>
      <c r="F941" t="s">
        <v>5940</v>
      </c>
      <c r="G941" t="s">
        <v>1941</v>
      </c>
      <c r="H941">
        <v>49444</v>
      </c>
      <c r="I941" t="s">
        <v>1951</v>
      </c>
    </row>
    <row r="942" spans="1:9" x14ac:dyDescent="0.25">
      <c r="A942" t="s">
        <v>1813</v>
      </c>
      <c r="B942" t="s">
        <v>5941</v>
      </c>
      <c r="C942" t="s">
        <v>5942</v>
      </c>
      <c r="D942" t="s">
        <v>5943</v>
      </c>
      <c r="E942" t="s">
        <v>5944</v>
      </c>
      <c r="F942" t="s">
        <v>2186</v>
      </c>
      <c r="G942" t="s">
        <v>1941</v>
      </c>
      <c r="H942">
        <v>20380</v>
      </c>
      <c r="I942" t="s">
        <v>1942</v>
      </c>
    </row>
    <row r="943" spans="1:9" x14ac:dyDescent="0.25">
      <c r="A943" t="s">
        <v>1815</v>
      </c>
      <c r="B943" t="s">
        <v>5945</v>
      </c>
      <c r="C943" t="s">
        <v>5946</v>
      </c>
      <c r="D943" t="s">
        <v>5947</v>
      </c>
      <c r="E943" t="s">
        <v>5948</v>
      </c>
      <c r="F943" t="s">
        <v>5949</v>
      </c>
      <c r="G943" t="s">
        <v>1949</v>
      </c>
      <c r="H943" t="s">
        <v>5950</v>
      </c>
      <c r="I943" t="s">
        <v>1942</v>
      </c>
    </row>
    <row r="944" spans="1:9" x14ac:dyDescent="0.25">
      <c r="A944" t="s">
        <v>1817</v>
      </c>
      <c r="B944" t="s">
        <v>5951</v>
      </c>
      <c r="C944" t="s">
        <v>5952</v>
      </c>
      <c r="D944" t="s">
        <v>5953</v>
      </c>
      <c r="E944" t="s">
        <v>5954</v>
      </c>
      <c r="F944" t="s">
        <v>2753</v>
      </c>
      <c r="G944" t="s">
        <v>1941</v>
      </c>
      <c r="H944">
        <v>31205</v>
      </c>
      <c r="I944" t="s">
        <v>1951</v>
      </c>
    </row>
    <row r="945" spans="1:9" x14ac:dyDescent="0.25">
      <c r="A945" t="s">
        <v>1819</v>
      </c>
      <c r="B945" t="s">
        <v>5955</v>
      </c>
      <c r="C945" t="s">
        <v>5956</v>
      </c>
      <c r="D945" t="s">
        <v>5957</v>
      </c>
      <c r="E945" t="s">
        <v>5958</v>
      </c>
      <c r="F945" t="s">
        <v>3524</v>
      </c>
      <c r="G945" t="s">
        <v>1941</v>
      </c>
      <c r="H945">
        <v>71105</v>
      </c>
      <c r="I945" t="s">
        <v>1951</v>
      </c>
    </row>
    <row r="946" spans="1:9" x14ac:dyDescent="0.25">
      <c r="A946" t="s">
        <v>1821</v>
      </c>
      <c r="B946" t="s">
        <v>5959</v>
      </c>
      <c r="C946" t="s">
        <v>5960</v>
      </c>
      <c r="D946" t="s">
        <v>5961</v>
      </c>
      <c r="E946" t="s">
        <v>5962</v>
      </c>
      <c r="F946" t="s">
        <v>3148</v>
      </c>
      <c r="G946" t="s">
        <v>1941</v>
      </c>
      <c r="H946">
        <v>98405</v>
      </c>
      <c r="I946" t="s">
        <v>1951</v>
      </c>
    </row>
    <row r="947" spans="1:9" x14ac:dyDescent="0.25">
      <c r="A947" t="s">
        <v>1823</v>
      </c>
      <c r="B947" t="s">
        <v>5963</v>
      </c>
      <c r="D947" t="s">
        <v>5964</v>
      </c>
      <c r="E947" t="s">
        <v>5965</v>
      </c>
      <c r="F947" t="s">
        <v>2448</v>
      </c>
      <c r="G947" t="s">
        <v>1941</v>
      </c>
      <c r="H947">
        <v>79934</v>
      </c>
      <c r="I947" t="s">
        <v>1951</v>
      </c>
    </row>
    <row r="948" spans="1:9" x14ac:dyDescent="0.25">
      <c r="A948" t="s">
        <v>1825</v>
      </c>
      <c r="B948" t="s">
        <v>5966</v>
      </c>
      <c r="D948" t="s">
        <v>5967</v>
      </c>
      <c r="E948" t="s">
        <v>5968</v>
      </c>
      <c r="F948" t="s">
        <v>2172</v>
      </c>
      <c r="G948" t="s">
        <v>1941</v>
      </c>
      <c r="H948">
        <v>35263</v>
      </c>
      <c r="I948" t="s">
        <v>1951</v>
      </c>
    </row>
    <row r="949" spans="1:9" x14ac:dyDescent="0.25">
      <c r="A949" t="s">
        <v>1827</v>
      </c>
      <c r="B949" t="s">
        <v>5969</v>
      </c>
      <c r="C949" t="s">
        <v>5970</v>
      </c>
      <c r="E949" t="s">
        <v>5971</v>
      </c>
      <c r="F949" t="s">
        <v>2607</v>
      </c>
      <c r="G949" t="s">
        <v>1949</v>
      </c>
      <c r="H949" t="s">
        <v>2310</v>
      </c>
      <c r="I949" t="s">
        <v>1951</v>
      </c>
    </row>
    <row r="950" spans="1:9" x14ac:dyDescent="0.25">
      <c r="A950" t="s">
        <v>1829</v>
      </c>
      <c r="B950" t="s">
        <v>5972</v>
      </c>
      <c r="C950" t="s">
        <v>5973</v>
      </c>
      <c r="D950" t="s">
        <v>5974</v>
      </c>
      <c r="E950" t="s">
        <v>5975</v>
      </c>
      <c r="F950" t="s">
        <v>4485</v>
      </c>
      <c r="G950" t="s">
        <v>2116</v>
      </c>
      <c r="H950" t="s">
        <v>5976</v>
      </c>
      <c r="I950" t="s">
        <v>1942</v>
      </c>
    </row>
    <row r="951" spans="1:9" x14ac:dyDescent="0.25">
      <c r="A951" t="s">
        <v>1831</v>
      </c>
      <c r="B951" t="s">
        <v>5977</v>
      </c>
      <c r="C951" t="s">
        <v>5978</v>
      </c>
      <c r="D951" t="s">
        <v>5979</v>
      </c>
      <c r="E951" t="s">
        <v>5980</v>
      </c>
      <c r="F951" t="s">
        <v>5981</v>
      </c>
      <c r="G951" t="s">
        <v>1949</v>
      </c>
      <c r="H951" t="s">
        <v>5982</v>
      </c>
      <c r="I951" t="s">
        <v>1951</v>
      </c>
    </row>
    <row r="952" spans="1:9" x14ac:dyDescent="0.25">
      <c r="A952" t="s">
        <v>1833</v>
      </c>
      <c r="B952" t="s">
        <v>5983</v>
      </c>
      <c r="D952" t="s">
        <v>5984</v>
      </c>
      <c r="E952" t="s">
        <v>5985</v>
      </c>
      <c r="F952" t="s">
        <v>5107</v>
      </c>
      <c r="G952" t="s">
        <v>1941</v>
      </c>
      <c r="H952">
        <v>19810</v>
      </c>
      <c r="I952" t="s">
        <v>1942</v>
      </c>
    </row>
    <row r="953" spans="1:9" x14ac:dyDescent="0.25">
      <c r="A953" t="s">
        <v>1835</v>
      </c>
      <c r="B953" t="s">
        <v>5986</v>
      </c>
      <c r="C953" t="s">
        <v>5987</v>
      </c>
      <c r="D953" t="s">
        <v>5988</v>
      </c>
      <c r="E953" t="s">
        <v>5989</v>
      </c>
      <c r="F953" t="s">
        <v>3662</v>
      </c>
      <c r="G953" t="s">
        <v>1941</v>
      </c>
      <c r="H953">
        <v>17121</v>
      </c>
      <c r="I953" t="s">
        <v>1951</v>
      </c>
    </row>
    <row r="954" spans="1:9" x14ac:dyDescent="0.25">
      <c r="A954" t="s">
        <v>1837</v>
      </c>
      <c r="B954" t="s">
        <v>5990</v>
      </c>
      <c r="C954" t="s">
        <v>5991</v>
      </c>
      <c r="D954" t="s">
        <v>5992</v>
      </c>
      <c r="E954" t="s">
        <v>5993</v>
      </c>
      <c r="F954" t="s">
        <v>5949</v>
      </c>
      <c r="G954" t="s">
        <v>1949</v>
      </c>
      <c r="H954" t="s">
        <v>5950</v>
      </c>
      <c r="I954" t="s">
        <v>1942</v>
      </c>
    </row>
    <row r="955" spans="1:9" x14ac:dyDescent="0.25">
      <c r="A955" t="s">
        <v>5994</v>
      </c>
      <c r="B955" t="s">
        <v>5995</v>
      </c>
      <c r="C955" t="s">
        <v>5996</v>
      </c>
      <c r="D955" t="s">
        <v>5997</v>
      </c>
      <c r="E955" t="s">
        <v>5998</v>
      </c>
      <c r="F955" t="s">
        <v>2448</v>
      </c>
      <c r="G955" t="s">
        <v>1941</v>
      </c>
      <c r="H955">
        <v>79940</v>
      </c>
      <c r="I955" t="s">
        <v>1942</v>
      </c>
    </row>
    <row r="956" spans="1:9" x14ac:dyDescent="0.25">
      <c r="A956" t="s">
        <v>5999</v>
      </c>
      <c r="B956" t="s">
        <v>6000</v>
      </c>
      <c r="C956" t="s">
        <v>6001</v>
      </c>
      <c r="D956" t="s">
        <v>6002</v>
      </c>
      <c r="E956" t="s">
        <v>6003</v>
      </c>
      <c r="F956" t="s">
        <v>2013</v>
      </c>
      <c r="G956" t="s">
        <v>1941</v>
      </c>
      <c r="H956">
        <v>63136</v>
      </c>
      <c r="I956" t="s">
        <v>1942</v>
      </c>
    </row>
    <row r="957" spans="1:9" x14ac:dyDescent="0.25">
      <c r="A957" t="s">
        <v>6004</v>
      </c>
      <c r="B957" t="s">
        <v>6005</v>
      </c>
      <c r="C957" t="s">
        <v>6006</v>
      </c>
      <c r="D957" t="s">
        <v>6007</v>
      </c>
      <c r="E957" t="s">
        <v>6008</v>
      </c>
      <c r="F957" t="s">
        <v>5028</v>
      </c>
      <c r="G957" t="s">
        <v>1941</v>
      </c>
      <c r="H957">
        <v>72905</v>
      </c>
      <c r="I957" t="s">
        <v>1942</v>
      </c>
    </row>
    <row r="958" spans="1:9" x14ac:dyDescent="0.25">
      <c r="A958" t="s">
        <v>6009</v>
      </c>
      <c r="B958" t="s">
        <v>6010</v>
      </c>
      <c r="C958" t="s">
        <v>6011</v>
      </c>
      <c r="D958" t="s">
        <v>6012</v>
      </c>
      <c r="E958" t="s">
        <v>6013</v>
      </c>
      <c r="F958" t="s">
        <v>2506</v>
      </c>
      <c r="G958" t="s">
        <v>1941</v>
      </c>
      <c r="H958">
        <v>37245</v>
      </c>
      <c r="I958" t="s">
        <v>1951</v>
      </c>
    </row>
    <row r="959" spans="1:9" x14ac:dyDescent="0.25">
      <c r="A959" t="s">
        <v>6014</v>
      </c>
      <c r="B959" t="s">
        <v>6015</v>
      </c>
      <c r="C959" t="s">
        <v>6016</v>
      </c>
      <c r="D959" t="s">
        <v>6017</v>
      </c>
      <c r="E959" t="s">
        <v>6018</v>
      </c>
      <c r="F959" t="s">
        <v>2186</v>
      </c>
      <c r="G959" t="s">
        <v>1941</v>
      </c>
      <c r="H959">
        <v>20088</v>
      </c>
      <c r="I959" t="s">
        <v>1942</v>
      </c>
    </row>
    <row r="960" spans="1:9" x14ac:dyDescent="0.25">
      <c r="A960" t="s">
        <v>6019</v>
      </c>
      <c r="B960" t="s">
        <v>6020</v>
      </c>
      <c r="C960" t="s">
        <v>6021</v>
      </c>
      <c r="E960" t="s">
        <v>6022</v>
      </c>
      <c r="F960" t="s">
        <v>6023</v>
      </c>
      <c r="G960" t="s">
        <v>1941</v>
      </c>
      <c r="H960">
        <v>90305</v>
      </c>
      <c r="I960" t="s">
        <v>1942</v>
      </c>
    </row>
    <row r="961" spans="1:9" x14ac:dyDescent="0.25">
      <c r="A961" t="s">
        <v>1842</v>
      </c>
      <c r="B961" t="s">
        <v>6024</v>
      </c>
      <c r="C961" t="s">
        <v>6025</v>
      </c>
      <c r="E961" t="s">
        <v>6026</v>
      </c>
      <c r="F961" t="s">
        <v>2127</v>
      </c>
      <c r="G961" t="s">
        <v>1941</v>
      </c>
      <c r="H961">
        <v>72215</v>
      </c>
      <c r="I961" t="s">
        <v>1942</v>
      </c>
    </row>
    <row r="962" spans="1:9" x14ac:dyDescent="0.25">
      <c r="A962" t="s">
        <v>1844</v>
      </c>
      <c r="B962" t="s">
        <v>6027</v>
      </c>
      <c r="C962" t="s">
        <v>6028</v>
      </c>
      <c r="D962" t="s">
        <v>6029</v>
      </c>
      <c r="E962" t="s">
        <v>6030</v>
      </c>
      <c r="F962" t="s">
        <v>3703</v>
      </c>
      <c r="G962" t="s">
        <v>1941</v>
      </c>
      <c r="H962">
        <v>21747</v>
      </c>
      <c r="I962" t="s">
        <v>1942</v>
      </c>
    </row>
    <row r="963" spans="1:9" x14ac:dyDescent="0.25">
      <c r="A963" t="s">
        <v>1846</v>
      </c>
      <c r="B963" t="s">
        <v>6031</v>
      </c>
      <c r="D963" t="s">
        <v>6032</v>
      </c>
      <c r="E963" t="s">
        <v>6033</v>
      </c>
      <c r="F963" t="s">
        <v>2881</v>
      </c>
      <c r="G963" t="s">
        <v>1941</v>
      </c>
      <c r="H963">
        <v>12205</v>
      </c>
      <c r="I963" t="s">
        <v>1942</v>
      </c>
    </row>
    <row r="964" spans="1:9" x14ac:dyDescent="0.25">
      <c r="A964" t="s">
        <v>1848</v>
      </c>
      <c r="B964" t="s">
        <v>6034</v>
      </c>
      <c r="C964" t="s">
        <v>6035</v>
      </c>
      <c r="D964" t="s">
        <v>6036</v>
      </c>
      <c r="E964" t="s">
        <v>6037</v>
      </c>
      <c r="F964" t="s">
        <v>6038</v>
      </c>
      <c r="G964" t="s">
        <v>1949</v>
      </c>
      <c r="H964" t="s">
        <v>3194</v>
      </c>
      <c r="I964" t="s">
        <v>1942</v>
      </c>
    </row>
    <row r="965" spans="1:9" x14ac:dyDescent="0.25">
      <c r="A965" t="s">
        <v>1850</v>
      </c>
      <c r="B965" t="s">
        <v>6039</v>
      </c>
      <c r="C965" t="s">
        <v>6040</v>
      </c>
      <c r="D965" t="s">
        <v>6041</v>
      </c>
      <c r="E965" t="s">
        <v>6042</v>
      </c>
      <c r="F965" t="s">
        <v>3320</v>
      </c>
      <c r="G965" t="s">
        <v>1941</v>
      </c>
      <c r="H965">
        <v>40510</v>
      </c>
      <c r="I965" t="s">
        <v>1942</v>
      </c>
    </row>
    <row r="966" spans="1:9" x14ac:dyDescent="0.25">
      <c r="A966" t="s">
        <v>1852</v>
      </c>
      <c r="B966" t="s">
        <v>6043</v>
      </c>
      <c r="C966" t="s">
        <v>6044</v>
      </c>
      <c r="D966" t="s">
        <v>6045</v>
      </c>
      <c r="E966" t="s">
        <v>6046</v>
      </c>
      <c r="F966" t="s">
        <v>3785</v>
      </c>
      <c r="G966" t="s">
        <v>1941</v>
      </c>
      <c r="H966">
        <v>92165</v>
      </c>
      <c r="I966" t="s">
        <v>1951</v>
      </c>
    </row>
    <row r="967" spans="1:9" x14ac:dyDescent="0.25">
      <c r="A967" t="s">
        <v>1854</v>
      </c>
      <c r="B967" t="s">
        <v>6047</v>
      </c>
      <c r="C967" t="s">
        <v>6048</v>
      </c>
      <c r="E967" t="s">
        <v>6049</v>
      </c>
      <c r="F967" t="s">
        <v>1986</v>
      </c>
      <c r="G967" t="s">
        <v>1941</v>
      </c>
      <c r="H967">
        <v>90040</v>
      </c>
      <c r="I967" t="s">
        <v>1942</v>
      </c>
    </row>
    <row r="968" spans="1:9" x14ac:dyDescent="0.25">
      <c r="A968" t="s">
        <v>1856</v>
      </c>
      <c r="B968" t="s">
        <v>6050</v>
      </c>
      <c r="C968" t="s">
        <v>6051</v>
      </c>
      <c r="D968" t="s">
        <v>6052</v>
      </c>
      <c r="E968" t="s">
        <v>6053</v>
      </c>
      <c r="F968" t="s">
        <v>2776</v>
      </c>
      <c r="G968" t="s">
        <v>1941</v>
      </c>
      <c r="H968">
        <v>11210</v>
      </c>
      <c r="I968" t="s">
        <v>1942</v>
      </c>
    </row>
    <row r="969" spans="1:9" x14ac:dyDescent="0.25">
      <c r="A969" t="s">
        <v>1858</v>
      </c>
      <c r="B969" t="s">
        <v>6054</v>
      </c>
      <c r="C969" t="s">
        <v>6055</v>
      </c>
      <c r="D969" t="s">
        <v>6056</v>
      </c>
      <c r="E969" t="s">
        <v>6057</v>
      </c>
      <c r="F969" t="s">
        <v>6058</v>
      </c>
      <c r="G969" t="s">
        <v>1949</v>
      </c>
      <c r="H969" t="s">
        <v>2083</v>
      </c>
      <c r="I969" t="s">
        <v>1942</v>
      </c>
    </row>
    <row r="970" spans="1:9" x14ac:dyDescent="0.25">
      <c r="A970" t="s">
        <v>1860</v>
      </c>
      <c r="B970" t="s">
        <v>6059</v>
      </c>
      <c r="C970" t="s">
        <v>6060</v>
      </c>
      <c r="D970" t="s">
        <v>6061</v>
      </c>
      <c r="E970" t="s">
        <v>6062</v>
      </c>
      <c r="F970" t="s">
        <v>6063</v>
      </c>
      <c r="G970" t="s">
        <v>1941</v>
      </c>
      <c r="H970">
        <v>32627</v>
      </c>
      <c r="I970" t="s">
        <v>1951</v>
      </c>
    </row>
    <row r="971" spans="1:9" x14ac:dyDescent="0.25">
      <c r="A971" t="s">
        <v>1862</v>
      </c>
      <c r="B971" t="s">
        <v>6064</v>
      </c>
      <c r="C971" t="s">
        <v>6065</v>
      </c>
      <c r="D971" t="s">
        <v>6066</v>
      </c>
      <c r="E971" t="s">
        <v>6067</v>
      </c>
      <c r="F971" t="s">
        <v>2713</v>
      </c>
      <c r="G971" t="s">
        <v>1941</v>
      </c>
      <c r="H971">
        <v>34620</v>
      </c>
      <c r="I971" t="s">
        <v>1942</v>
      </c>
    </row>
    <row r="972" spans="1:9" x14ac:dyDescent="0.25">
      <c r="A972" t="s">
        <v>1864</v>
      </c>
      <c r="B972" t="s">
        <v>6068</v>
      </c>
      <c r="D972" t="s">
        <v>6069</v>
      </c>
      <c r="E972" t="s">
        <v>6070</v>
      </c>
      <c r="F972" t="s">
        <v>4412</v>
      </c>
      <c r="G972" t="s">
        <v>1941</v>
      </c>
      <c r="H972">
        <v>79165</v>
      </c>
      <c r="I972" t="s">
        <v>1951</v>
      </c>
    </row>
    <row r="973" spans="1:9" x14ac:dyDescent="0.25">
      <c r="A973" t="s">
        <v>1866</v>
      </c>
      <c r="B973" t="s">
        <v>6071</v>
      </c>
      <c r="C973" t="s">
        <v>6072</v>
      </c>
      <c r="D973" t="s">
        <v>6073</v>
      </c>
      <c r="E973" t="s">
        <v>6074</v>
      </c>
      <c r="F973" t="s">
        <v>2266</v>
      </c>
      <c r="G973" t="s">
        <v>1941</v>
      </c>
      <c r="H973">
        <v>76121</v>
      </c>
      <c r="I973" t="s">
        <v>1951</v>
      </c>
    </row>
    <row r="974" spans="1:9" x14ac:dyDescent="0.25">
      <c r="A974" t="s">
        <v>1868</v>
      </c>
      <c r="B974" t="s">
        <v>6075</v>
      </c>
      <c r="D974" t="s">
        <v>6076</v>
      </c>
      <c r="E974" t="s">
        <v>6077</v>
      </c>
      <c r="F974" t="s">
        <v>5090</v>
      </c>
      <c r="G974" t="s">
        <v>1949</v>
      </c>
      <c r="H974" t="s">
        <v>5091</v>
      </c>
      <c r="I974" t="s">
        <v>1942</v>
      </c>
    </row>
    <row r="975" spans="1:9" x14ac:dyDescent="0.25">
      <c r="A975" t="s">
        <v>1870</v>
      </c>
      <c r="B975" t="s">
        <v>6078</v>
      </c>
      <c r="C975" t="s">
        <v>6079</v>
      </c>
      <c r="D975" t="s">
        <v>6080</v>
      </c>
      <c r="E975" t="s">
        <v>6081</v>
      </c>
      <c r="F975" t="s">
        <v>2225</v>
      </c>
      <c r="G975" t="s">
        <v>1941</v>
      </c>
      <c r="H975">
        <v>32575</v>
      </c>
      <c r="I975" t="s">
        <v>1951</v>
      </c>
    </row>
    <row r="976" spans="1:9" x14ac:dyDescent="0.25">
      <c r="A976" t="s">
        <v>1872</v>
      </c>
      <c r="B976" t="s">
        <v>6082</v>
      </c>
      <c r="C976" t="s">
        <v>6083</v>
      </c>
      <c r="D976" t="s">
        <v>6084</v>
      </c>
      <c r="E976" t="s">
        <v>6085</v>
      </c>
      <c r="F976" t="s">
        <v>3148</v>
      </c>
      <c r="G976" t="s">
        <v>1941</v>
      </c>
      <c r="H976">
        <v>98405</v>
      </c>
      <c r="I976" t="s">
        <v>1942</v>
      </c>
    </row>
    <row r="977" spans="1:9" x14ac:dyDescent="0.25">
      <c r="A977" t="s">
        <v>1874</v>
      </c>
      <c r="B977" t="s">
        <v>6086</v>
      </c>
      <c r="C977" t="s">
        <v>6087</v>
      </c>
      <c r="D977" t="s">
        <v>6088</v>
      </c>
      <c r="E977" t="s">
        <v>6089</v>
      </c>
      <c r="F977" t="s">
        <v>6090</v>
      </c>
      <c r="G977" t="s">
        <v>1949</v>
      </c>
      <c r="H977" t="s">
        <v>3183</v>
      </c>
      <c r="I977" t="s">
        <v>1942</v>
      </c>
    </row>
    <row r="978" spans="1:9" x14ac:dyDescent="0.25">
      <c r="A978" t="s">
        <v>1876</v>
      </c>
      <c r="B978" t="s">
        <v>6091</v>
      </c>
      <c r="C978" t="s">
        <v>6092</v>
      </c>
      <c r="D978" t="s">
        <v>6093</v>
      </c>
      <c r="E978" t="s">
        <v>6094</v>
      </c>
      <c r="F978" t="s">
        <v>2238</v>
      </c>
      <c r="G978" t="s">
        <v>1941</v>
      </c>
      <c r="H978">
        <v>46896</v>
      </c>
      <c r="I978" t="s">
        <v>1942</v>
      </c>
    </row>
    <row r="979" spans="1:9" x14ac:dyDescent="0.25">
      <c r="A979" t="s">
        <v>1878</v>
      </c>
      <c r="B979" t="s">
        <v>6095</v>
      </c>
      <c r="C979" t="s">
        <v>6096</v>
      </c>
      <c r="D979" t="s">
        <v>6097</v>
      </c>
      <c r="E979" t="s">
        <v>6098</v>
      </c>
      <c r="F979" t="s">
        <v>4412</v>
      </c>
      <c r="G979" t="s">
        <v>1941</v>
      </c>
      <c r="H979">
        <v>79105</v>
      </c>
      <c r="I979" t="s">
        <v>1951</v>
      </c>
    </row>
    <row r="980" spans="1:9" x14ac:dyDescent="0.25">
      <c r="A980" t="s">
        <v>6099</v>
      </c>
      <c r="B980" t="s">
        <v>6100</v>
      </c>
      <c r="C980" t="s">
        <v>6101</v>
      </c>
      <c r="D980" t="s">
        <v>6102</v>
      </c>
      <c r="E980" t="s">
        <v>6103</v>
      </c>
      <c r="F980" t="s">
        <v>2186</v>
      </c>
      <c r="G980" t="s">
        <v>1941</v>
      </c>
      <c r="H980">
        <v>20436</v>
      </c>
      <c r="I980" t="s">
        <v>1942</v>
      </c>
    </row>
    <row r="981" spans="1:9" x14ac:dyDescent="0.25">
      <c r="A981" t="s">
        <v>1881</v>
      </c>
      <c r="B981" t="s">
        <v>6104</v>
      </c>
      <c r="D981" t="s">
        <v>6105</v>
      </c>
      <c r="E981" t="s">
        <v>6106</v>
      </c>
      <c r="F981" t="s">
        <v>6107</v>
      </c>
      <c r="G981" t="s">
        <v>1941</v>
      </c>
      <c r="H981">
        <v>20910</v>
      </c>
      <c r="I981" t="s">
        <v>1951</v>
      </c>
    </row>
    <row r="982" spans="1:9" x14ac:dyDescent="0.25">
      <c r="A982" t="s">
        <v>1883</v>
      </c>
      <c r="B982" t="s">
        <v>6108</v>
      </c>
      <c r="D982" t="s">
        <v>6109</v>
      </c>
      <c r="E982" t="s">
        <v>6110</v>
      </c>
      <c r="F982" t="s">
        <v>3823</v>
      </c>
      <c r="G982" t="s">
        <v>1941</v>
      </c>
      <c r="H982">
        <v>53726</v>
      </c>
      <c r="I982" t="s">
        <v>1942</v>
      </c>
    </row>
    <row r="983" spans="1:9" x14ac:dyDescent="0.25">
      <c r="A983" t="s">
        <v>1885</v>
      </c>
      <c r="B983" t="s">
        <v>6111</v>
      </c>
      <c r="C983" t="s">
        <v>6112</v>
      </c>
      <c r="D983" t="s">
        <v>6113</v>
      </c>
      <c r="E983" t="s">
        <v>6114</v>
      </c>
      <c r="F983" t="s">
        <v>6115</v>
      </c>
      <c r="G983" t="s">
        <v>1941</v>
      </c>
      <c r="H983">
        <v>77305</v>
      </c>
      <c r="I983" t="s">
        <v>1942</v>
      </c>
    </row>
    <row r="984" spans="1:9" x14ac:dyDescent="0.25">
      <c r="A984" t="s">
        <v>1887</v>
      </c>
      <c r="B984" t="s">
        <v>6116</v>
      </c>
      <c r="C984" t="s">
        <v>6117</v>
      </c>
      <c r="D984" t="s">
        <v>6118</v>
      </c>
      <c r="E984" t="s">
        <v>6119</v>
      </c>
      <c r="F984" t="s">
        <v>3179</v>
      </c>
      <c r="G984" t="s">
        <v>1941</v>
      </c>
      <c r="H984">
        <v>76205</v>
      </c>
      <c r="I984" t="s">
        <v>1942</v>
      </c>
    </row>
    <row r="985" spans="1:9" x14ac:dyDescent="0.25">
      <c r="A985" t="s">
        <v>1889</v>
      </c>
      <c r="B985" t="s">
        <v>6120</v>
      </c>
      <c r="C985" t="s">
        <v>6121</v>
      </c>
      <c r="D985" t="s">
        <v>6122</v>
      </c>
      <c r="E985" t="s">
        <v>6123</v>
      </c>
      <c r="F985" t="s">
        <v>2287</v>
      </c>
      <c r="G985" t="s">
        <v>1941</v>
      </c>
      <c r="H985">
        <v>43231</v>
      </c>
      <c r="I985" t="s">
        <v>1942</v>
      </c>
    </row>
    <row r="986" spans="1:9" x14ac:dyDescent="0.25">
      <c r="A986" t="s">
        <v>1891</v>
      </c>
      <c r="B986" t="s">
        <v>6124</v>
      </c>
      <c r="C986" t="s">
        <v>6125</v>
      </c>
      <c r="E986" t="s">
        <v>6126</v>
      </c>
      <c r="F986" t="s">
        <v>6127</v>
      </c>
      <c r="G986" t="s">
        <v>1949</v>
      </c>
      <c r="H986" t="s">
        <v>3263</v>
      </c>
      <c r="I986" t="s">
        <v>1942</v>
      </c>
    </row>
    <row r="987" spans="1:9" x14ac:dyDescent="0.25">
      <c r="A987" t="s">
        <v>1893</v>
      </c>
      <c r="B987" t="s">
        <v>6128</v>
      </c>
      <c r="C987" t="s">
        <v>6129</v>
      </c>
      <c r="D987" t="s">
        <v>6130</v>
      </c>
      <c r="E987" t="s">
        <v>6131</v>
      </c>
      <c r="F987" t="s">
        <v>2093</v>
      </c>
      <c r="G987" t="s">
        <v>1941</v>
      </c>
      <c r="H987">
        <v>80045</v>
      </c>
      <c r="I987" t="s">
        <v>1951</v>
      </c>
    </row>
    <row r="988" spans="1:9" x14ac:dyDescent="0.25">
      <c r="A988" t="s">
        <v>1895</v>
      </c>
      <c r="B988" t="s">
        <v>6132</v>
      </c>
      <c r="C988" t="s">
        <v>6133</v>
      </c>
      <c r="D988" t="s">
        <v>6134</v>
      </c>
      <c r="E988" t="s">
        <v>6135</v>
      </c>
      <c r="F988" t="s">
        <v>6136</v>
      </c>
      <c r="G988" t="s">
        <v>1941</v>
      </c>
      <c r="H988">
        <v>32128</v>
      </c>
      <c r="I988" t="s">
        <v>1951</v>
      </c>
    </row>
    <row r="989" spans="1:9" x14ac:dyDescent="0.25">
      <c r="A989" t="s">
        <v>1897</v>
      </c>
      <c r="B989" t="s">
        <v>6137</v>
      </c>
      <c r="C989" t="s">
        <v>6138</v>
      </c>
      <c r="D989" t="s">
        <v>6139</v>
      </c>
      <c r="E989" t="s">
        <v>6140</v>
      </c>
      <c r="F989" t="s">
        <v>4084</v>
      </c>
      <c r="G989" t="s">
        <v>2116</v>
      </c>
      <c r="H989" t="s">
        <v>2393</v>
      </c>
      <c r="I989" t="s">
        <v>1942</v>
      </c>
    </row>
    <row r="990" spans="1:9" x14ac:dyDescent="0.25">
      <c r="A990" t="s">
        <v>1899</v>
      </c>
      <c r="B990" t="s">
        <v>6141</v>
      </c>
      <c r="D990" t="s">
        <v>6142</v>
      </c>
      <c r="E990" t="s">
        <v>6143</v>
      </c>
      <c r="F990" t="s">
        <v>6144</v>
      </c>
      <c r="G990" t="s">
        <v>2116</v>
      </c>
      <c r="H990" t="s">
        <v>6145</v>
      </c>
      <c r="I990" t="s">
        <v>1942</v>
      </c>
    </row>
    <row r="991" spans="1:9" x14ac:dyDescent="0.25">
      <c r="A991" t="s">
        <v>1901</v>
      </c>
      <c r="B991" t="s">
        <v>6146</v>
      </c>
      <c r="D991" t="s">
        <v>6147</v>
      </c>
      <c r="E991" t="s">
        <v>6148</v>
      </c>
      <c r="F991" t="s">
        <v>2013</v>
      </c>
      <c r="G991" t="s">
        <v>1941</v>
      </c>
      <c r="H991">
        <v>63131</v>
      </c>
      <c r="I991" t="s">
        <v>1942</v>
      </c>
    </row>
    <row r="992" spans="1:9" x14ac:dyDescent="0.25">
      <c r="A992" t="s">
        <v>6149</v>
      </c>
      <c r="B992" t="s">
        <v>6150</v>
      </c>
      <c r="C992" t="s">
        <v>6151</v>
      </c>
      <c r="D992" t="s">
        <v>6152</v>
      </c>
      <c r="E992" t="s">
        <v>6153</v>
      </c>
      <c r="F992" t="s">
        <v>6154</v>
      </c>
      <c r="G992" t="s">
        <v>1941</v>
      </c>
      <c r="H992">
        <v>92056</v>
      </c>
      <c r="I992" t="s">
        <v>1951</v>
      </c>
    </row>
    <row r="993" spans="1:9" x14ac:dyDescent="0.25">
      <c r="A993" t="s">
        <v>6155</v>
      </c>
      <c r="B993" t="s">
        <v>6156</v>
      </c>
      <c r="D993" t="s">
        <v>6157</v>
      </c>
      <c r="E993" t="s">
        <v>6158</v>
      </c>
      <c r="F993" t="s">
        <v>2678</v>
      </c>
      <c r="G993" t="s">
        <v>1941</v>
      </c>
      <c r="H993">
        <v>37416</v>
      </c>
      <c r="I993" t="s">
        <v>1942</v>
      </c>
    </row>
    <row r="994" spans="1:9" x14ac:dyDescent="0.25">
      <c r="A994" t="s">
        <v>1905</v>
      </c>
      <c r="B994" t="s">
        <v>6159</v>
      </c>
      <c r="D994" t="s">
        <v>6160</v>
      </c>
      <c r="E994" t="s">
        <v>6161</v>
      </c>
      <c r="F994" t="s">
        <v>3967</v>
      </c>
      <c r="G994" t="s">
        <v>1949</v>
      </c>
      <c r="H994" t="s">
        <v>2771</v>
      </c>
      <c r="I994" t="s">
        <v>1951</v>
      </c>
    </row>
    <row r="995" spans="1:9" x14ac:dyDescent="0.25">
      <c r="A995" t="s">
        <v>1907</v>
      </c>
      <c r="B995" t="s">
        <v>6162</v>
      </c>
      <c r="D995" t="s">
        <v>6163</v>
      </c>
      <c r="E995" t="s">
        <v>6164</v>
      </c>
      <c r="F995" t="s">
        <v>2017</v>
      </c>
      <c r="G995" t="s">
        <v>1941</v>
      </c>
      <c r="H995">
        <v>19125</v>
      </c>
      <c r="I995" t="s">
        <v>1951</v>
      </c>
    </row>
    <row r="996" spans="1:9" x14ac:dyDescent="0.25">
      <c r="A996" t="s">
        <v>1909</v>
      </c>
      <c r="B996" t="s">
        <v>6165</v>
      </c>
      <c r="D996" t="s">
        <v>6166</v>
      </c>
      <c r="E996" t="s">
        <v>6167</v>
      </c>
      <c r="F996" t="s">
        <v>3912</v>
      </c>
      <c r="G996" t="s">
        <v>1949</v>
      </c>
      <c r="H996" t="s">
        <v>3913</v>
      </c>
      <c r="I996" t="s">
        <v>1951</v>
      </c>
    </row>
    <row r="997" spans="1:9" x14ac:dyDescent="0.25">
      <c r="A997" t="s">
        <v>1911</v>
      </c>
      <c r="B997" t="s">
        <v>6168</v>
      </c>
      <c r="C997" t="s">
        <v>6169</v>
      </c>
      <c r="D997" t="s">
        <v>6170</v>
      </c>
      <c r="E997" t="s">
        <v>6171</v>
      </c>
      <c r="F997" t="s">
        <v>2325</v>
      </c>
      <c r="G997" t="s">
        <v>1941</v>
      </c>
      <c r="H997">
        <v>75210</v>
      </c>
      <c r="I997" t="s">
        <v>1951</v>
      </c>
    </row>
    <row r="998" spans="1:9" x14ac:dyDescent="0.25">
      <c r="A998" t="s">
        <v>1903</v>
      </c>
      <c r="B998" t="s">
        <v>6172</v>
      </c>
      <c r="D998" t="s">
        <v>6173</v>
      </c>
      <c r="E998" t="s">
        <v>6174</v>
      </c>
      <c r="F998" t="s">
        <v>5028</v>
      </c>
      <c r="G998" t="s">
        <v>1941</v>
      </c>
      <c r="H998">
        <v>72905</v>
      </c>
      <c r="I998" t="s">
        <v>1951</v>
      </c>
    </row>
    <row r="999" spans="1:9" x14ac:dyDescent="0.25">
      <c r="A999" t="s">
        <v>6175</v>
      </c>
      <c r="B999" t="s">
        <v>6176</v>
      </c>
      <c r="D999" t="s">
        <v>6177</v>
      </c>
      <c r="E999" t="s">
        <v>6178</v>
      </c>
      <c r="F999" t="s">
        <v>2340</v>
      </c>
      <c r="G999" t="s">
        <v>1941</v>
      </c>
      <c r="H999">
        <v>80920</v>
      </c>
      <c r="I999" t="s">
        <v>1942</v>
      </c>
    </row>
    <row r="1000" spans="1:9" x14ac:dyDescent="0.25">
      <c r="A1000" t="s">
        <v>1915</v>
      </c>
      <c r="B1000" t="s">
        <v>6179</v>
      </c>
      <c r="C1000" t="s">
        <v>6180</v>
      </c>
      <c r="D1000" t="s">
        <v>6181</v>
      </c>
      <c r="E1000" t="s">
        <v>6182</v>
      </c>
      <c r="F1000" t="s">
        <v>2758</v>
      </c>
      <c r="G1000" t="s">
        <v>1941</v>
      </c>
      <c r="H1000">
        <v>90610</v>
      </c>
      <c r="I1000" t="s">
        <v>1951</v>
      </c>
    </row>
    <row r="1001" spans="1:9" x14ac:dyDescent="0.25">
      <c r="A1001" t="s">
        <v>1917</v>
      </c>
      <c r="B1001" t="s">
        <v>6183</v>
      </c>
      <c r="D1001" t="s">
        <v>6184</v>
      </c>
      <c r="E1001" t="s">
        <v>6185</v>
      </c>
      <c r="F1001" t="s">
        <v>4485</v>
      </c>
      <c r="G1001" t="s">
        <v>2116</v>
      </c>
      <c r="H1001" t="s">
        <v>6186</v>
      </c>
      <c r="I1001" t="s">
        <v>1942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001"/>
  <sheetViews>
    <sheetView workbookViewId="0">
      <selection activeCell="D1" sqref="D1:D1048576"/>
    </sheetView>
  </sheetViews>
  <sheetFormatPr defaultRowHeight="15" x14ac:dyDescent="0.25"/>
  <cols>
    <col min="1" max="1" width="15.85546875" bestFit="1" customWidth="1"/>
    <col min="2" max="2" width="14.5703125" customWidth="1"/>
    <col min="3" max="3" width="16.28515625" customWidth="1"/>
    <col min="4" max="4" width="12.140625" customWidth="1"/>
    <col min="8" max="8" width="8.42578125" bestFit="1" customWidth="1"/>
    <col min="9" max="9" width="11" bestFit="1" customWidth="1"/>
  </cols>
  <sheetData>
    <row r="1" spans="1:9" x14ac:dyDescent="0.25">
      <c r="A1" t="s">
        <v>1920</v>
      </c>
      <c r="B1" t="s">
        <v>1923</v>
      </c>
      <c r="C1" t="s">
        <v>1924</v>
      </c>
      <c r="D1" t="s">
        <v>1931</v>
      </c>
      <c r="E1" t="s">
        <v>1932</v>
      </c>
      <c r="F1" t="s">
        <v>1933</v>
      </c>
      <c r="G1" t="s">
        <v>1925</v>
      </c>
      <c r="H1" t="s">
        <v>1934</v>
      </c>
      <c r="I1" t="s">
        <v>1935</v>
      </c>
    </row>
    <row r="2" spans="1:9" x14ac:dyDescent="0.25">
      <c r="A2" t="s">
        <v>1</v>
      </c>
      <c r="B2" t="s">
        <v>1936</v>
      </c>
      <c r="C2" t="s">
        <v>1937</v>
      </c>
      <c r="D2" t="s">
        <v>1938</v>
      </c>
      <c r="E2" t="s">
        <v>1939</v>
      </c>
      <c r="F2" t="s">
        <v>1940</v>
      </c>
      <c r="G2" t="s">
        <v>1941</v>
      </c>
      <c r="H2">
        <v>7505</v>
      </c>
      <c r="I2" t="s">
        <v>1942</v>
      </c>
    </row>
    <row r="3" spans="1:9" x14ac:dyDescent="0.25">
      <c r="A3" t="s">
        <v>1943</v>
      </c>
      <c r="B3" t="s">
        <v>1944</v>
      </c>
      <c r="C3" t="s">
        <v>1945</v>
      </c>
      <c r="D3" t="s">
        <v>1946</v>
      </c>
      <c r="E3" t="s">
        <v>1947</v>
      </c>
      <c r="F3" t="s">
        <v>1948</v>
      </c>
      <c r="G3" t="s">
        <v>1949</v>
      </c>
      <c r="H3" t="s">
        <v>1950</v>
      </c>
      <c r="I3" t="s">
        <v>1951</v>
      </c>
    </row>
    <row r="4" spans="1:9" x14ac:dyDescent="0.25">
      <c r="A4" t="s">
        <v>5</v>
      </c>
      <c r="B4" t="s">
        <v>1952</v>
      </c>
      <c r="C4" t="s">
        <v>1953</v>
      </c>
      <c r="D4" t="s">
        <v>1954</v>
      </c>
      <c r="E4" t="s">
        <v>1955</v>
      </c>
      <c r="F4" t="s">
        <v>1956</v>
      </c>
      <c r="G4" t="s">
        <v>1941</v>
      </c>
      <c r="H4">
        <v>78205</v>
      </c>
      <c r="I4" t="s">
        <v>1942</v>
      </c>
    </row>
    <row r="5" spans="1:9" x14ac:dyDescent="0.25">
      <c r="A5" t="s">
        <v>1957</v>
      </c>
      <c r="B5" t="s">
        <v>1958</v>
      </c>
      <c r="C5" t="s">
        <v>1959</v>
      </c>
      <c r="D5" t="s">
        <v>1960</v>
      </c>
      <c r="E5" t="s">
        <v>1961</v>
      </c>
      <c r="F5" t="s">
        <v>1962</v>
      </c>
      <c r="G5" t="s">
        <v>1941</v>
      </c>
      <c r="H5">
        <v>62711</v>
      </c>
      <c r="I5" t="s">
        <v>1942</v>
      </c>
    </row>
    <row r="6" spans="1:9" x14ac:dyDescent="0.25">
      <c r="A6" t="s">
        <v>8</v>
      </c>
      <c r="B6" t="s">
        <v>1963</v>
      </c>
      <c r="D6" t="s">
        <v>1964</v>
      </c>
      <c r="E6" t="s">
        <v>1965</v>
      </c>
      <c r="F6" t="s">
        <v>1966</v>
      </c>
      <c r="G6" t="s">
        <v>1949</v>
      </c>
      <c r="H6" t="s">
        <v>1967</v>
      </c>
      <c r="I6" t="s">
        <v>1951</v>
      </c>
    </row>
    <row r="7" spans="1:9" x14ac:dyDescent="0.25">
      <c r="A7" t="s">
        <v>12</v>
      </c>
      <c r="B7" t="s">
        <v>1968</v>
      </c>
      <c r="D7" t="s">
        <v>1969</v>
      </c>
      <c r="E7" t="s">
        <v>1970</v>
      </c>
      <c r="F7" t="s">
        <v>1971</v>
      </c>
      <c r="G7" t="s">
        <v>1941</v>
      </c>
      <c r="H7">
        <v>18505</v>
      </c>
      <c r="I7" t="s">
        <v>1951</v>
      </c>
    </row>
    <row r="8" spans="1:9" x14ac:dyDescent="0.25">
      <c r="A8" t="s">
        <v>15</v>
      </c>
      <c r="B8" t="s">
        <v>1972</v>
      </c>
      <c r="C8" t="s">
        <v>1973</v>
      </c>
      <c r="D8" t="s">
        <v>1974</v>
      </c>
      <c r="E8" t="s">
        <v>1975</v>
      </c>
      <c r="F8" t="s">
        <v>1976</v>
      </c>
      <c r="G8" t="s">
        <v>1941</v>
      </c>
      <c r="H8">
        <v>45440</v>
      </c>
      <c r="I8" t="s">
        <v>1942</v>
      </c>
    </row>
    <row r="9" spans="1:9" x14ac:dyDescent="0.25">
      <c r="A9" t="s">
        <v>18</v>
      </c>
      <c r="B9" t="s">
        <v>1977</v>
      </c>
      <c r="D9" t="s">
        <v>1978</v>
      </c>
      <c r="E9" t="s">
        <v>1979</v>
      </c>
      <c r="F9" t="s">
        <v>1980</v>
      </c>
      <c r="G9" t="s">
        <v>1949</v>
      </c>
      <c r="H9" t="s">
        <v>1981</v>
      </c>
      <c r="I9" t="s">
        <v>1942</v>
      </c>
    </row>
    <row r="10" spans="1:9" x14ac:dyDescent="0.25">
      <c r="A10" t="s">
        <v>21</v>
      </c>
      <c r="B10" t="s">
        <v>1982</v>
      </c>
      <c r="C10" t="s">
        <v>1983</v>
      </c>
      <c r="D10" t="s">
        <v>1984</v>
      </c>
      <c r="E10" t="s">
        <v>1985</v>
      </c>
      <c r="F10" t="s">
        <v>1986</v>
      </c>
      <c r="G10" t="s">
        <v>1941</v>
      </c>
      <c r="H10">
        <v>90045</v>
      </c>
      <c r="I10" t="s">
        <v>1951</v>
      </c>
    </row>
    <row r="11" spans="1:9" x14ac:dyDescent="0.25">
      <c r="A11" t="s">
        <v>24</v>
      </c>
      <c r="B11" t="s">
        <v>1987</v>
      </c>
      <c r="C11" t="s">
        <v>1988</v>
      </c>
      <c r="D11" t="s">
        <v>1989</v>
      </c>
      <c r="E11" t="s">
        <v>1990</v>
      </c>
      <c r="F11" t="s">
        <v>1986</v>
      </c>
      <c r="G11" t="s">
        <v>1941</v>
      </c>
      <c r="H11">
        <v>90065</v>
      </c>
      <c r="I11" t="s">
        <v>1951</v>
      </c>
    </row>
    <row r="12" spans="1:9" x14ac:dyDescent="0.25">
      <c r="A12" t="s">
        <v>26</v>
      </c>
      <c r="B12" t="s">
        <v>1991</v>
      </c>
      <c r="C12" t="s">
        <v>1992</v>
      </c>
      <c r="D12" t="s">
        <v>1993</v>
      </c>
      <c r="E12" t="s">
        <v>1994</v>
      </c>
      <c r="F12" t="s">
        <v>1995</v>
      </c>
      <c r="G12" t="s">
        <v>1941</v>
      </c>
      <c r="H12">
        <v>95160</v>
      </c>
      <c r="I12" t="s">
        <v>1951</v>
      </c>
    </row>
    <row r="13" spans="1:9" x14ac:dyDescent="0.25">
      <c r="A13" t="s">
        <v>29</v>
      </c>
      <c r="B13" t="s">
        <v>1996</v>
      </c>
      <c r="C13" t="s">
        <v>1997</v>
      </c>
      <c r="D13" t="s">
        <v>1998</v>
      </c>
      <c r="E13" t="s">
        <v>1999</v>
      </c>
      <c r="F13" t="s">
        <v>1995</v>
      </c>
      <c r="G13" t="s">
        <v>1941</v>
      </c>
      <c r="H13">
        <v>95194</v>
      </c>
      <c r="I13" t="s">
        <v>1942</v>
      </c>
    </row>
    <row r="14" spans="1:9" x14ac:dyDescent="0.25">
      <c r="A14" t="s">
        <v>32</v>
      </c>
      <c r="B14" t="s">
        <v>2000</v>
      </c>
      <c r="C14" t="s">
        <v>2001</v>
      </c>
      <c r="D14" t="s">
        <v>2002</v>
      </c>
      <c r="E14" t="s">
        <v>2003</v>
      </c>
      <c r="F14" t="s">
        <v>2004</v>
      </c>
      <c r="G14" t="s">
        <v>1941</v>
      </c>
      <c r="H14">
        <v>23285</v>
      </c>
      <c r="I14" t="s">
        <v>1951</v>
      </c>
    </row>
    <row r="15" spans="1:9" x14ac:dyDescent="0.25">
      <c r="A15" t="s">
        <v>34</v>
      </c>
      <c r="B15" t="s">
        <v>2005</v>
      </c>
      <c r="C15" t="s">
        <v>2006</v>
      </c>
      <c r="E15" t="s">
        <v>2007</v>
      </c>
      <c r="F15" t="s">
        <v>2008</v>
      </c>
      <c r="G15" t="s">
        <v>1941</v>
      </c>
      <c r="H15">
        <v>41905</v>
      </c>
      <c r="I15" t="s">
        <v>1951</v>
      </c>
    </row>
    <row r="16" spans="1:9" x14ac:dyDescent="0.25">
      <c r="A16" t="s">
        <v>37</v>
      </c>
      <c r="B16" t="s">
        <v>2009</v>
      </c>
      <c r="C16" t="s">
        <v>2010</v>
      </c>
      <c r="D16" t="s">
        <v>2011</v>
      </c>
      <c r="E16" t="s">
        <v>2012</v>
      </c>
      <c r="F16" t="s">
        <v>2013</v>
      </c>
      <c r="G16" t="s">
        <v>1941</v>
      </c>
      <c r="H16">
        <v>63131</v>
      </c>
      <c r="I16" t="s">
        <v>1942</v>
      </c>
    </row>
    <row r="17" spans="1:9" x14ac:dyDescent="0.25">
      <c r="A17" t="s">
        <v>40</v>
      </c>
      <c r="B17" t="s">
        <v>2014</v>
      </c>
      <c r="C17" t="s">
        <v>2015</v>
      </c>
      <c r="E17" t="s">
        <v>2016</v>
      </c>
      <c r="F17" t="s">
        <v>2017</v>
      </c>
      <c r="G17" t="s">
        <v>1941</v>
      </c>
      <c r="H17">
        <v>19172</v>
      </c>
      <c r="I17" t="s">
        <v>1951</v>
      </c>
    </row>
    <row r="18" spans="1:9" x14ac:dyDescent="0.25">
      <c r="A18" t="s">
        <v>43</v>
      </c>
      <c r="B18" t="s">
        <v>2018</v>
      </c>
      <c r="C18" t="s">
        <v>2019</v>
      </c>
      <c r="D18" t="s">
        <v>2020</v>
      </c>
      <c r="E18" t="s">
        <v>2021</v>
      </c>
      <c r="F18" t="s">
        <v>2022</v>
      </c>
      <c r="G18" t="s">
        <v>1941</v>
      </c>
      <c r="H18">
        <v>97271</v>
      </c>
      <c r="I18" t="s">
        <v>1951</v>
      </c>
    </row>
    <row r="19" spans="1:9" x14ac:dyDescent="0.25">
      <c r="A19" t="s">
        <v>46</v>
      </c>
      <c r="B19" t="s">
        <v>2023</v>
      </c>
      <c r="C19" t="s">
        <v>2024</v>
      </c>
      <c r="D19" t="s">
        <v>2025</v>
      </c>
      <c r="E19" t="s">
        <v>2026</v>
      </c>
      <c r="F19" t="s">
        <v>2027</v>
      </c>
      <c r="G19" t="s">
        <v>1941</v>
      </c>
      <c r="H19">
        <v>77240</v>
      </c>
      <c r="I19" t="s">
        <v>1951</v>
      </c>
    </row>
    <row r="20" spans="1:9" x14ac:dyDescent="0.25">
      <c r="A20" t="s">
        <v>48</v>
      </c>
      <c r="B20" t="s">
        <v>2028</v>
      </c>
      <c r="C20" t="s">
        <v>2029</v>
      </c>
      <c r="E20" t="s">
        <v>2030</v>
      </c>
      <c r="F20" t="s">
        <v>2031</v>
      </c>
      <c r="G20" t="s">
        <v>1949</v>
      </c>
      <c r="H20" t="s">
        <v>2032</v>
      </c>
      <c r="I20" t="s">
        <v>1942</v>
      </c>
    </row>
    <row r="21" spans="1:9" x14ac:dyDescent="0.25">
      <c r="A21" t="s">
        <v>50</v>
      </c>
      <c r="B21" t="s">
        <v>2033</v>
      </c>
      <c r="C21" t="s">
        <v>2034</v>
      </c>
      <c r="D21" t="s">
        <v>2035</v>
      </c>
      <c r="E21" t="s">
        <v>2036</v>
      </c>
      <c r="F21" t="s">
        <v>2037</v>
      </c>
      <c r="G21" t="s">
        <v>1941</v>
      </c>
      <c r="H21">
        <v>10060</v>
      </c>
      <c r="I21" t="s">
        <v>1942</v>
      </c>
    </row>
    <row r="22" spans="1:9" x14ac:dyDescent="0.25">
      <c r="A22" t="s">
        <v>2038</v>
      </c>
      <c r="B22" t="s">
        <v>2039</v>
      </c>
      <c r="D22" t="s">
        <v>2040</v>
      </c>
      <c r="E22" t="s">
        <v>2041</v>
      </c>
      <c r="F22" t="s">
        <v>2042</v>
      </c>
      <c r="G22" t="s">
        <v>1949</v>
      </c>
      <c r="H22" t="s">
        <v>2043</v>
      </c>
      <c r="I22" t="s">
        <v>1942</v>
      </c>
    </row>
    <row r="23" spans="1:9" x14ac:dyDescent="0.25">
      <c r="A23" t="s">
        <v>53</v>
      </c>
      <c r="B23" t="s">
        <v>2044</v>
      </c>
      <c r="C23" t="s">
        <v>2045</v>
      </c>
      <c r="D23" t="s">
        <v>2046</v>
      </c>
      <c r="E23" t="s">
        <v>2047</v>
      </c>
      <c r="F23" t="s">
        <v>2048</v>
      </c>
      <c r="G23" t="s">
        <v>1941</v>
      </c>
      <c r="H23">
        <v>49560</v>
      </c>
      <c r="I23" t="s">
        <v>1951</v>
      </c>
    </row>
    <row r="24" spans="1:9" x14ac:dyDescent="0.25">
      <c r="A24" t="s">
        <v>56</v>
      </c>
      <c r="B24" t="s">
        <v>2049</v>
      </c>
      <c r="C24" t="s">
        <v>2050</v>
      </c>
      <c r="D24" t="s">
        <v>2051</v>
      </c>
      <c r="E24" t="s">
        <v>2052</v>
      </c>
      <c r="F24" t="s">
        <v>2053</v>
      </c>
      <c r="G24" t="s">
        <v>1941</v>
      </c>
      <c r="H24">
        <v>33982</v>
      </c>
      <c r="I24" t="s">
        <v>1942</v>
      </c>
    </row>
    <row r="25" spans="1:9" x14ac:dyDescent="0.25">
      <c r="A25" t="s">
        <v>58</v>
      </c>
      <c r="B25" t="s">
        <v>2054</v>
      </c>
      <c r="C25" t="s">
        <v>2055</v>
      </c>
      <c r="D25" t="s">
        <v>2056</v>
      </c>
      <c r="E25" t="s">
        <v>2057</v>
      </c>
      <c r="F25" t="s">
        <v>2058</v>
      </c>
      <c r="G25" t="s">
        <v>1941</v>
      </c>
      <c r="H25">
        <v>98682</v>
      </c>
      <c r="I25" t="s">
        <v>1942</v>
      </c>
    </row>
    <row r="26" spans="1:9" x14ac:dyDescent="0.25">
      <c r="A26" t="s">
        <v>60</v>
      </c>
      <c r="B26" t="s">
        <v>2059</v>
      </c>
      <c r="C26" t="s">
        <v>2060</v>
      </c>
      <c r="D26" t="s">
        <v>2061</v>
      </c>
      <c r="E26" t="s">
        <v>2062</v>
      </c>
      <c r="F26" t="s">
        <v>2063</v>
      </c>
      <c r="G26" t="s">
        <v>1941</v>
      </c>
      <c r="H26">
        <v>80150</v>
      </c>
      <c r="I26" t="s">
        <v>1951</v>
      </c>
    </row>
    <row r="27" spans="1:9" x14ac:dyDescent="0.25">
      <c r="A27" t="s">
        <v>63</v>
      </c>
      <c r="B27" t="s">
        <v>2064</v>
      </c>
      <c r="D27" t="s">
        <v>2065</v>
      </c>
      <c r="E27" t="s">
        <v>2066</v>
      </c>
      <c r="F27" t="s">
        <v>2053</v>
      </c>
      <c r="G27" t="s">
        <v>1941</v>
      </c>
      <c r="H27">
        <v>33982</v>
      </c>
      <c r="I27" t="s">
        <v>1942</v>
      </c>
    </row>
    <row r="28" spans="1:9" x14ac:dyDescent="0.25">
      <c r="A28" t="s">
        <v>66</v>
      </c>
      <c r="B28" t="s">
        <v>2067</v>
      </c>
      <c r="C28" t="s">
        <v>2068</v>
      </c>
      <c r="D28" t="s">
        <v>2069</v>
      </c>
      <c r="E28" t="s">
        <v>2070</v>
      </c>
      <c r="F28" t="s">
        <v>2071</v>
      </c>
      <c r="G28" t="s">
        <v>1941</v>
      </c>
      <c r="H28">
        <v>94975</v>
      </c>
      <c r="I28" t="s">
        <v>1942</v>
      </c>
    </row>
    <row r="29" spans="1:9" x14ac:dyDescent="0.25">
      <c r="A29" t="s">
        <v>69</v>
      </c>
      <c r="B29" t="s">
        <v>2072</v>
      </c>
      <c r="C29" t="s">
        <v>2073</v>
      </c>
      <c r="D29" t="s">
        <v>2074</v>
      </c>
      <c r="E29" t="s">
        <v>2075</v>
      </c>
      <c r="F29" t="s">
        <v>2076</v>
      </c>
      <c r="G29" t="s">
        <v>1949</v>
      </c>
      <c r="H29" t="s">
        <v>2077</v>
      </c>
      <c r="I29" t="s">
        <v>1951</v>
      </c>
    </row>
    <row r="30" spans="1:9" x14ac:dyDescent="0.25">
      <c r="A30" t="s">
        <v>71</v>
      </c>
      <c r="B30" t="s">
        <v>2078</v>
      </c>
      <c r="C30" t="s">
        <v>2079</v>
      </c>
      <c r="D30" t="s">
        <v>2080</v>
      </c>
      <c r="E30" t="s">
        <v>2081</v>
      </c>
      <c r="F30" t="s">
        <v>2082</v>
      </c>
      <c r="G30" t="s">
        <v>1949</v>
      </c>
      <c r="H30" t="s">
        <v>2083</v>
      </c>
      <c r="I30" t="s">
        <v>1951</v>
      </c>
    </row>
    <row r="31" spans="1:9" x14ac:dyDescent="0.25">
      <c r="A31" t="s">
        <v>74</v>
      </c>
      <c r="B31" t="s">
        <v>2084</v>
      </c>
      <c r="C31" t="s">
        <v>2085</v>
      </c>
      <c r="D31" t="s">
        <v>2086</v>
      </c>
      <c r="E31" t="s">
        <v>2087</v>
      </c>
      <c r="F31" t="s">
        <v>2088</v>
      </c>
      <c r="G31" t="s">
        <v>1949</v>
      </c>
      <c r="H31" t="s">
        <v>2089</v>
      </c>
      <c r="I31" t="s">
        <v>1942</v>
      </c>
    </row>
    <row r="32" spans="1:9" x14ac:dyDescent="0.25">
      <c r="A32" t="s">
        <v>76</v>
      </c>
      <c r="B32" t="s">
        <v>2090</v>
      </c>
      <c r="D32" t="s">
        <v>2091</v>
      </c>
      <c r="E32" t="s">
        <v>2092</v>
      </c>
      <c r="F32" t="s">
        <v>2093</v>
      </c>
      <c r="G32" t="s">
        <v>1941</v>
      </c>
      <c r="H32">
        <v>80044</v>
      </c>
      <c r="I32" t="s">
        <v>1951</v>
      </c>
    </row>
    <row r="33" spans="1:9" x14ac:dyDescent="0.25">
      <c r="A33" t="s">
        <v>2094</v>
      </c>
      <c r="B33" t="s">
        <v>2095</v>
      </c>
      <c r="C33" t="s">
        <v>2096</v>
      </c>
      <c r="D33" t="s">
        <v>2097</v>
      </c>
      <c r="E33" t="s">
        <v>2098</v>
      </c>
      <c r="F33" t="s">
        <v>2099</v>
      </c>
      <c r="G33" t="s">
        <v>1941</v>
      </c>
      <c r="H33">
        <v>11407</v>
      </c>
      <c r="I33" t="s">
        <v>1951</v>
      </c>
    </row>
    <row r="34" spans="1:9" x14ac:dyDescent="0.25">
      <c r="A34" t="s">
        <v>2100</v>
      </c>
      <c r="B34" t="s">
        <v>2101</v>
      </c>
      <c r="C34" t="s">
        <v>2102</v>
      </c>
      <c r="D34" t="s">
        <v>2103</v>
      </c>
      <c r="E34" t="s">
        <v>2104</v>
      </c>
      <c r="F34" t="s">
        <v>2105</v>
      </c>
      <c r="G34" t="s">
        <v>1949</v>
      </c>
      <c r="H34" t="s">
        <v>2106</v>
      </c>
      <c r="I34" t="s">
        <v>1942</v>
      </c>
    </row>
    <row r="35" spans="1:9" x14ac:dyDescent="0.25">
      <c r="A35" t="s">
        <v>80</v>
      </c>
      <c r="B35" t="s">
        <v>2107</v>
      </c>
      <c r="C35" t="s">
        <v>2108</v>
      </c>
      <c r="E35" t="s">
        <v>2109</v>
      </c>
      <c r="F35" t="s">
        <v>2110</v>
      </c>
      <c r="G35" t="s">
        <v>1941</v>
      </c>
      <c r="H35">
        <v>58207</v>
      </c>
      <c r="I35" t="s">
        <v>1951</v>
      </c>
    </row>
    <row r="36" spans="1:9" x14ac:dyDescent="0.25">
      <c r="A36" t="s">
        <v>82</v>
      </c>
      <c r="B36" t="s">
        <v>2111</v>
      </c>
      <c r="C36" t="s">
        <v>2112</v>
      </c>
      <c r="D36" t="s">
        <v>2113</v>
      </c>
      <c r="E36" t="s">
        <v>2114</v>
      </c>
      <c r="F36" t="s">
        <v>2115</v>
      </c>
      <c r="G36" t="s">
        <v>2116</v>
      </c>
      <c r="H36" t="s">
        <v>2117</v>
      </c>
      <c r="I36" t="s">
        <v>1942</v>
      </c>
    </row>
    <row r="37" spans="1:9" x14ac:dyDescent="0.25">
      <c r="A37" t="s">
        <v>85</v>
      </c>
      <c r="B37" t="s">
        <v>2118</v>
      </c>
      <c r="C37" t="s">
        <v>2119</v>
      </c>
      <c r="D37" t="s">
        <v>2120</v>
      </c>
      <c r="E37" t="s">
        <v>2121</v>
      </c>
      <c r="F37" t="s">
        <v>2122</v>
      </c>
      <c r="G37" t="s">
        <v>1941</v>
      </c>
      <c r="H37">
        <v>25362</v>
      </c>
      <c r="I37" t="s">
        <v>1951</v>
      </c>
    </row>
    <row r="38" spans="1:9" x14ac:dyDescent="0.25">
      <c r="A38" t="s">
        <v>87</v>
      </c>
      <c r="B38" t="s">
        <v>2123</v>
      </c>
      <c r="C38" t="s">
        <v>2124</v>
      </c>
      <c r="D38" t="s">
        <v>2125</v>
      </c>
      <c r="E38" t="s">
        <v>2126</v>
      </c>
      <c r="F38" t="s">
        <v>2127</v>
      </c>
      <c r="G38" t="s">
        <v>1941</v>
      </c>
      <c r="H38">
        <v>72204</v>
      </c>
      <c r="I38" t="s">
        <v>1951</v>
      </c>
    </row>
    <row r="39" spans="1:9" x14ac:dyDescent="0.25">
      <c r="A39" t="s">
        <v>89</v>
      </c>
      <c r="B39" t="s">
        <v>2128</v>
      </c>
      <c r="C39" t="s">
        <v>2129</v>
      </c>
      <c r="D39" t="s">
        <v>2130</v>
      </c>
      <c r="E39" t="s">
        <v>2131</v>
      </c>
      <c r="F39" t="s">
        <v>2132</v>
      </c>
      <c r="G39" t="s">
        <v>1941</v>
      </c>
      <c r="H39">
        <v>80291</v>
      </c>
      <c r="I39" t="s">
        <v>1951</v>
      </c>
    </row>
    <row r="40" spans="1:9" x14ac:dyDescent="0.25">
      <c r="A40" t="s">
        <v>91</v>
      </c>
      <c r="B40" t="s">
        <v>2133</v>
      </c>
      <c r="C40" t="s">
        <v>2134</v>
      </c>
      <c r="D40" t="s">
        <v>2135</v>
      </c>
      <c r="E40" t="s">
        <v>2136</v>
      </c>
      <c r="F40" t="s">
        <v>2137</v>
      </c>
      <c r="G40" t="s">
        <v>1941</v>
      </c>
      <c r="H40">
        <v>55458</v>
      </c>
      <c r="I40" t="s">
        <v>1951</v>
      </c>
    </row>
    <row r="41" spans="1:9" x14ac:dyDescent="0.25">
      <c r="A41" t="s">
        <v>93</v>
      </c>
      <c r="B41" t="s">
        <v>2138</v>
      </c>
      <c r="E41" t="s">
        <v>2139</v>
      </c>
      <c r="F41" t="s">
        <v>2140</v>
      </c>
      <c r="G41" t="s">
        <v>1941</v>
      </c>
      <c r="H41">
        <v>85715</v>
      </c>
      <c r="I41" t="s">
        <v>1942</v>
      </c>
    </row>
    <row r="42" spans="1:9" x14ac:dyDescent="0.25">
      <c r="A42" t="s">
        <v>95</v>
      </c>
      <c r="B42" t="s">
        <v>2141</v>
      </c>
      <c r="D42" t="s">
        <v>2142</v>
      </c>
      <c r="E42" t="s">
        <v>2143</v>
      </c>
      <c r="F42" t="s">
        <v>2144</v>
      </c>
      <c r="G42" t="s">
        <v>1941</v>
      </c>
      <c r="H42">
        <v>70116</v>
      </c>
      <c r="I42" t="s">
        <v>1951</v>
      </c>
    </row>
    <row r="43" spans="1:9" x14ac:dyDescent="0.25">
      <c r="A43" t="s">
        <v>98</v>
      </c>
      <c r="B43" t="s">
        <v>2145</v>
      </c>
      <c r="C43" t="s">
        <v>2146</v>
      </c>
      <c r="D43" t="s">
        <v>2147</v>
      </c>
      <c r="E43" t="s">
        <v>2148</v>
      </c>
      <c r="F43" t="s">
        <v>2149</v>
      </c>
      <c r="G43" t="s">
        <v>1941</v>
      </c>
      <c r="H43">
        <v>6183</v>
      </c>
      <c r="I43" t="s">
        <v>1942</v>
      </c>
    </row>
    <row r="44" spans="1:9" x14ac:dyDescent="0.25">
      <c r="A44" t="s">
        <v>100</v>
      </c>
      <c r="B44" t="s">
        <v>2150</v>
      </c>
      <c r="C44" t="s">
        <v>2151</v>
      </c>
      <c r="D44" t="s">
        <v>2152</v>
      </c>
      <c r="E44" t="s">
        <v>2153</v>
      </c>
      <c r="F44" t="s">
        <v>2154</v>
      </c>
      <c r="G44" t="s">
        <v>1941</v>
      </c>
      <c r="H44">
        <v>84409</v>
      </c>
      <c r="I44" t="s">
        <v>1942</v>
      </c>
    </row>
    <row r="45" spans="1:9" x14ac:dyDescent="0.25">
      <c r="A45" t="s">
        <v>103</v>
      </c>
      <c r="B45" t="s">
        <v>2155</v>
      </c>
      <c r="D45" t="s">
        <v>2156</v>
      </c>
      <c r="E45" t="s">
        <v>2157</v>
      </c>
      <c r="F45" t="s">
        <v>2158</v>
      </c>
      <c r="G45" t="s">
        <v>1941</v>
      </c>
      <c r="H45">
        <v>2216</v>
      </c>
      <c r="I45" t="s">
        <v>1951</v>
      </c>
    </row>
    <row r="46" spans="1:9" x14ac:dyDescent="0.25">
      <c r="A46" t="s">
        <v>106</v>
      </c>
      <c r="B46" t="s">
        <v>2159</v>
      </c>
      <c r="C46" t="s">
        <v>2160</v>
      </c>
      <c r="D46" t="s">
        <v>2161</v>
      </c>
      <c r="E46" t="s">
        <v>2162</v>
      </c>
      <c r="F46" t="s">
        <v>2163</v>
      </c>
      <c r="G46" t="s">
        <v>1941</v>
      </c>
      <c r="H46">
        <v>14604</v>
      </c>
      <c r="I46" t="s">
        <v>1942</v>
      </c>
    </row>
    <row r="47" spans="1:9" x14ac:dyDescent="0.25">
      <c r="A47" t="s">
        <v>108</v>
      </c>
      <c r="B47" t="s">
        <v>2164</v>
      </c>
      <c r="C47" t="s">
        <v>2165</v>
      </c>
      <c r="D47" t="s">
        <v>2166</v>
      </c>
      <c r="E47" t="s">
        <v>2167</v>
      </c>
      <c r="F47" t="s">
        <v>2168</v>
      </c>
      <c r="G47" t="s">
        <v>1941</v>
      </c>
      <c r="H47">
        <v>10469</v>
      </c>
      <c r="I47" t="s">
        <v>1951</v>
      </c>
    </row>
    <row r="48" spans="1:9" x14ac:dyDescent="0.25">
      <c r="A48" t="s">
        <v>111</v>
      </c>
      <c r="B48" t="s">
        <v>2169</v>
      </c>
      <c r="D48" t="s">
        <v>2170</v>
      </c>
      <c r="E48" t="s">
        <v>2171</v>
      </c>
      <c r="F48" t="s">
        <v>2172</v>
      </c>
      <c r="G48" t="s">
        <v>1941</v>
      </c>
      <c r="H48">
        <v>35205</v>
      </c>
      <c r="I48" t="s">
        <v>1942</v>
      </c>
    </row>
    <row r="49" spans="1:9" x14ac:dyDescent="0.25">
      <c r="A49" t="s">
        <v>114</v>
      </c>
      <c r="B49" t="s">
        <v>2173</v>
      </c>
      <c r="C49" t="s">
        <v>2174</v>
      </c>
      <c r="D49" t="s">
        <v>2175</v>
      </c>
      <c r="E49" t="s">
        <v>2176</v>
      </c>
      <c r="F49" t="s">
        <v>2177</v>
      </c>
      <c r="G49" t="s">
        <v>1941</v>
      </c>
      <c r="H49">
        <v>92415</v>
      </c>
      <c r="I49" t="s">
        <v>1942</v>
      </c>
    </row>
    <row r="50" spans="1:9" x14ac:dyDescent="0.25">
      <c r="A50" t="s">
        <v>117</v>
      </c>
      <c r="B50" t="s">
        <v>2178</v>
      </c>
      <c r="C50" t="s">
        <v>2179</v>
      </c>
      <c r="E50" t="s">
        <v>2180</v>
      </c>
      <c r="F50" t="s">
        <v>2181</v>
      </c>
      <c r="G50" t="s">
        <v>1941</v>
      </c>
      <c r="H50">
        <v>23514</v>
      </c>
      <c r="I50" t="s">
        <v>1951</v>
      </c>
    </row>
    <row r="51" spans="1:9" x14ac:dyDescent="0.25">
      <c r="A51" t="s">
        <v>120</v>
      </c>
      <c r="B51" t="s">
        <v>2182</v>
      </c>
      <c r="C51" t="s">
        <v>2183</v>
      </c>
      <c r="D51" t="s">
        <v>2184</v>
      </c>
      <c r="E51" t="s">
        <v>2185</v>
      </c>
      <c r="F51" t="s">
        <v>2186</v>
      </c>
      <c r="G51" t="s">
        <v>1941</v>
      </c>
      <c r="H51">
        <v>20409</v>
      </c>
      <c r="I51" t="s">
        <v>1951</v>
      </c>
    </row>
    <row r="52" spans="1:9" x14ac:dyDescent="0.25">
      <c r="A52" t="s">
        <v>122</v>
      </c>
      <c r="B52" t="s">
        <v>2187</v>
      </c>
      <c r="C52" t="s">
        <v>2188</v>
      </c>
      <c r="D52" t="s">
        <v>2189</v>
      </c>
      <c r="E52" t="s">
        <v>2190</v>
      </c>
      <c r="F52" t="s">
        <v>2191</v>
      </c>
      <c r="G52" t="s">
        <v>1941</v>
      </c>
      <c r="H52">
        <v>33355</v>
      </c>
      <c r="I52" t="s">
        <v>1951</v>
      </c>
    </row>
    <row r="53" spans="1:9" x14ac:dyDescent="0.25">
      <c r="A53" t="s">
        <v>125</v>
      </c>
      <c r="B53" t="s">
        <v>2192</v>
      </c>
      <c r="C53" t="s">
        <v>2193</v>
      </c>
      <c r="D53" t="s">
        <v>2194</v>
      </c>
      <c r="E53" t="s">
        <v>2195</v>
      </c>
      <c r="F53" t="s">
        <v>1948</v>
      </c>
      <c r="G53" t="s">
        <v>1949</v>
      </c>
      <c r="H53" t="s">
        <v>1950</v>
      </c>
      <c r="I53" t="s">
        <v>1942</v>
      </c>
    </row>
    <row r="54" spans="1:9" x14ac:dyDescent="0.25">
      <c r="A54" t="s">
        <v>127</v>
      </c>
      <c r="B54" t="s">
        <v>2196</v>
      </c>
      <c r="C54" t="s">
        <v>2197</v>
      </c>
      <c r="E54" t="s">
        <v>2198</v>
      </c>
      <c r="F54" t="s">
        <v>2199</v>
      </c>
      <c r="G54" t="s">
        <v>2116</v>
      </c>
      <c r="H54" t="s">
        <v>2200</v>
      </c>
      <c r="I54" t="s">
        <v>1951</v>
      </c>
    </row>
    <row r="55" spans="1:9" x14ac:dyDescent="0.25">
      <c r="A55" t="s">
        <v>2201</v>
      </c>
      <c r="B55" t="s">
        <v>2202</v>
      </c>
      <c r="C55" t="s">
        <v>2203</v>
      </c>
      <c r="D55" t="s">
        <v>2204</v>
      </c>
      <c r="E55" t="s">
        <v>2205</v>
      </c>
      <c r="F55" t="s">
        <v>2206</v>
      </c>
      <c r="G55" t="s">
        <v>1941</v>
      </c>
      <c r="H55">
        <v>84605</v>
      </c>
      <c r="I55" t="s">
        <v>1951</v>
      </c>
    </row>
    <row r="56" spans="1:9" x14ac:dyDescent="0.25">
      <c r="A56" t="s">
        <v>129</v>
      </c>
      <c r="B56" t="s">
        <v>2207</v>
      </c>
      <c r="C56" t="s">
        <v>2208</v>
      </c>
      <c r="D56" t="s">
        <v>2209</v>
      </c>
      <c r="E56" t="s">
        <v>2210</v>
      </c>
      <c r="F56" t="s">
        <v>2211</v>
      </c>
      <c r="G56" t="s">
        <v>1941</v>
      </c>
      <c r="H56">
        <v>43666</v>
      </c>
      <c r="I56" t="s">
        <v>1951</v>
      </c>
    </row>
    <row r="57" spans="1:9" x14ac:dyDescent="0.25">
      <c r="A57" t="s">
        <v>131</v>
      </c>
      <c r="B57" t="s">
        <v>2212</v>
      </c>
      <c r="D57" t="s">
        <v>2213</v>
      </c>
      <c r="E57" t="s">
        <v>2214</v>
      </c>
      <c r="F57" t="s">
        <v>2215</v>
      </c>
      <c r="G57" t="s">
        <v>1941</v>
      </c>
      <c r="H57">
        <v>8650</v>
      </c>
      <c r="I57" t="s">
        <v>1951</v>
      </c>
    </row>
    <row r="58" spans="1:9" x14ac:dyDescent="0.25">
      <c r="A58" t="s">
        <v>134</v>
      </c>
      <c r="B58" t="s">
        <v>2216</v>
      </c>
      <c r="C58" t="s">
        <v>2217</v>
      </c>
      <c r="D58" t="s">
        <v>2218</v>
      </c>
      <c r="E58" t="s">
        <v>2219</v>
      </c>
      <c r="F58" t="s">
        <v>2220</v>
      </c>
      <c r="G58" t="s">
        <v>1941</v>
      </c>
      <c r="H58">
        <v>33686</v>
      </c>
      <c r="I58" t="s">
        <v>1942</v>
      </c>
    </row>
    <row r="59" spans="1:9" x14ac:dyDescent="0.25">
      <c r="A59" t="s">
        <v>136</v>
      </c>
      <c r="B59" t="s">
        <v>2221</v>
      </c>
      <c r="C59" t="s">
        <v>2222</v>
      </c>
      <c r="D59" t="s">
        <v>2223</v>
      </c>
      <c r="E59" t="s">
        <v>2224</v>
      </c>
      <c r="F59" t="s">
        <v>2225</v>
      </c>
      <c r="G59" t="s">
        <v>1941</v>
      </c>
      <c r="H59">
        <v>32590</v>
      </c>
      <c r="I59" t="s">
        <v>1951</v>
      </c>
    </row>
    <row r="60" spans="1:9" x14ac:dyDescent="0.25">
      <c r="A60" t="s">
        <v>139</v>
      </c>
      <c r="B60" t="s">
        <v>2226</v>
      </c>
      <c r="D60" t="s">
        <v>2227</v>
      </c>
      <c r="E60" t="s">
        <v>2228</v>
      </c>
      <c r="F60" t="s">
        <v>2229</v>
      </c>
      <c r="G60" t="s">
        <v>1941</v>
      </c>
      <c r="H60">
        <v>33543</v>
      </c>
      <c r="I60" t="s">
        <v>1942</v>
      </c>
    </row>
    <row r="61" spans="1:9" x14ac:dyDescent="0.25">
      <c r="A61" t="s">
        <v>141</v>
      </c>
      <c r="B61" t="s">
        <v>2230</v>
      </c>
      <c r="C61" t="s">
        <v>2231</v>
      </c>
      <c r="E61" t="s">
        <v>2232</v>
      </c>
      <c r="F61" t="s">
        <v>2233</v>
      </c>
      <c r="G61" t="s">
        <v>1941</v>
      </c>
      <c r="H61">
        <v>55123</v>
      </c>
      <c r="I61" t="s">
        <v>1942</v>
      </c>
    </row>
    <row r="62" spans="1:9" x14ac:dyDescent="0.25">
      <c r="A62" t="s">
        <v>143</v>
      </c>
      <c r="B62" t="s">
        <v>2234</v>
      </c>
      <c r="C62" t="s">
        <v>2235</v>
      </c>
      <c r="D62" t="s">
        <v>2236</v>
      </c>
      <c r="E62" t="s">
        <v>2237</v>
      </c>
      <c r="F62" t="s">
        <v>2238</v>
      </c>
      <c r="G62" t="s">
        <v>1941</v>
      </c>
      <c r="H62">
        <v>46862</v>
      </c>
      <c r="I62" t="s">
        <v>1951</v>
      </c>
    </row>
    <row r="63" spans="1:9" x14ac:dyDescent="0.25">
      <c r="A63" t="s">
        <v>145</v>
      </c>
      <c r="B63" t="s">
        <v>2239</v>
      </c>
      <c r="D63" t="s">
        <v>2240</v>
      </c>
      <c r="E63" t="s">
        <v>2241</v>
      </c>
      <c r="F63" t="s">
        <v>2242</v>
      </c>
      <c r="G63" t="s">
        <v>2116</v>
      </c>
      <c r="H63" t="s">
        <v>2243</v>
      </c>
      <c r="I63" t="s">
        <v>1942</v>
      </c>
    </row>
    <row r="64" spans="1:9" x14ac:dyDescent="0.25">
      <c r="A64" t="s">
        <v>148</v>
      </c>
      <c r="B64" t="s">
        <v>2244</v>
      </c>
      <c r="D64" t="s">
        <v>2245</v>
      </c>
      <c r="E64" t="s">
        <v>2246</v>
      </c>
      <c r="F64" t="s">
        <v>2247</v>
      </c>
      <c r="G64" t="s">
        <v>1941</v>
      </c>
      <c r="H64">
        <v>34114</v>
      </c>
      <c r="I64" t="s">
        <v>1942</v>
      </c>
    </row>
    <row r="65" spans="1:9" x14ac:dyDescent="0.25">
      <c r="A65" t="s">
        <v>150</v>
      </c>
      <c r="B65" t="s">
        <v>2248</v>
      </c>
      <c r="C65" t="s">
        <v>2249</v>
      </c>
      <c r="D65" t="s">
        <v>2250</v>
      </c>
      <c r="E65" t="s">
        <v>2251</v>
      </c>
      <c r="F65" t="s">
        <v>2252</v>
      </c>
      <c r="G65" t="s">
        <v>1941</v>
      </c>
      <c r="H65">
        <v>60681</v>
      </c>
      <c r="I65" t="s">
        <v>1951</v>
      </c>
    </row>
    <row r="66" spans="1:9" x14ac:dyDescent="0.25">
      <c r="A66" t="s">
        <v>152</v>
      </c>
      <c r="B66" t="s">
        <v>2253</v>
      </c>
      <c r="D66" t="s">
        <v>2254</v>
      </c>
      <c r="E66" t="s">
        <v>2255</v>
      </c>
      <c r="F66" t="s">
        <v>2256</v>
      </c>
      <c r="G66" t="s">
        <v>1941</v>
      </c>
      <c r="H66">
        <v>7104</v>
      </c>
      <c r="I66" t="s">
        <v>1942</v>
      </c>
    </row>
    <row r="67" spans="1:9" x14ac:dyDescent="0.25">
      <c r="A67" t="s">
        <v>154</v>
      </c>
      <c r="B67" t="s">
        <v>2257</v>
      </c>
      <c r="C67" t="s">
        <v>2258</v>
      </c>
      <c r="D67" t="s">
        <v>2259</v>
      </c>
      <c r="E67" t="s">
        <v>2260</v>
      </c>
      <c r="F67" t="s">
        <v>2261</v>
      </c>
      <c r="G67" t="s">
        <v>1941</v>
      </c>
      <c r="H67">
        <v>22184</v>
      </c>
      <c r="I67" t="s">
        <v>1942</v>
      </c>
    </row>
    <row r="68" spans="1:9" x14ac:dyDescent="0.25">
      <c r="A68" t="s">
        <v>156</v>
      </c>
      <c r="B68" t="s">
        <v>2262</v>
      </c>
      <c r="C68" t="s">
        <v>2263</v>
      </c>
      <c r="D68" t="s">
        <v>2264</v>
      </c>
      <c r="E68" t="s">
        <v>2265</v>
      </c>
      <c r="F68" t="s">
        <v>2266</v>
      </c>
      <c r="G68" t="s">
        <v>1941</v>
      </c>
      <c r="H68">
        <v>76178</v>
      </c>
      <c r="I68" t="s">
        <v>1942</v>
      </c>
    </row>
    <row r="69" spans="1:9" x14ac:dyDescent="0.25">
      <c r="A69" t="s">
        <v>159</v>
      </c>
      <c r="B69" t="s">
        <v>2267</v>
      </c>
      <c r="C69" t="s">
        <v>2268</v>
      </c>
      <c r="D69" t="s">
        <v>2269</v>
      </c>
      <c r="E69" t="s">
        <v>2270</v>
      </c>
      <c r="F69" t="s">
        <v>2271</v>
      </c>
      <c r="G69" t="s">
        <v>1941</v>
      </c>
      <c r="H69">
        <v>91505</v>
      </c>
      <c r="I69" t="s">
        <v>1951</v>
      </c>
    </row>
    <row r="70" spans="1:9" x14ac:dyDescent="0.25">
      <c r="A70" t="s">
        <v>161</v>
      </c>
      <c r="B70" t="s">
        <v>2272</v>
      </c>
      <c r="C70" t="s">
        <v>2273</v>
      </c>
      <c r="D70" t="s">
        <v>2274</v>
      </c>
      <c r="E70" t="s">
        <v>2275</v>
      </c>
      <c r="F70" t="s">
        <v>2276</v>
      </c>
      <c r="G70" t="s">
        <v>1941</v>
      </c>
      <c r="H70">
        <v>37665</v>
      </c>
      <c r="I70" t="s">
        <v>1951</v>
      </c>
    </row>
    <row r="71" spans="1:9" x14ac:dyDescent="0.25">
      <c r="A71" t="s">
        <v>164</v>
      </c>
      <c r="B71" t="s">
        <v>2277</v>
      </c>
      <c r="C71" t="s">
        <v>2278</v>
      </c>
      <c r="D71" t="s">
        <v>2279</v>
      </c>
      <c r="E71" t="s">
        <v>2280</v>
      </c>
      <c r="F71" t="s">
        <v>2281</v>
      </c>
      <c r="G71" t="s">
        <v>2116</v>
      </c>
      <c r="H71" t="s">
        <v>2282</v>
      </c>
      <c r="I71" t="s">
        <v>1942</v>
      </c>
    </row>
    <row r="72" spans="1:9" x14ac:dyDescent="0.25">
      <c r="A72" t="s">
        <v>166</v>
      </c>
      <c r="B72" t="s">
        <v>2283</v>
      </c>
      <c r="C72" t="s">
        <v>2284</v>
      </c>
      <c r="D72" t="s">
        <v>2285</v>
      </c>
      <c r="E72" t="s">
        <v>2286</v>
      </c>
      <c r="F72" t="s">
        <v>2287</v>
      </c>
      <c r="G72" t="s">
        <v>1941</v>
      </c>
      <c r="H72">
        <v>43231</v>
      </c>
      <c r="I72" t="s">
        <v>1951</v>
      </c>
    </row>
    <row r="73" spans="1:9" x14ac:dyDescent="0.25">
      <c r="A73" t="s">
        <v>168</v>
      </c>
      <c r="B73" t="s">
        <v>2288</v>
      </c>
      <c r="C73" t="s">
        <v>2289</v>
      </c>
      <c r="D73" t="s">
        <v>2290</v>
      </c>
      <c r="E73" t="s">
        <v>2291</v>
      </c>
      <c r="F73" t="s">
        <v>2292</v>
      </c>
      <c r="G73" t="s">
        <v>1949</v>
      </c>
      <c r="H73" t="s">
        <v>2293</v>
      </c>
      <c r="I73" t="s">
        <v>1951</v>
      </c>
    </row>
    <row r="74" spans="1:9" x14ac:dyDescent="0.25">
      <c r="A74" t="s">
        <v>170</v>
      </c>
      <c r="B74" t="s">
        <v>2294</v>
      </c>
      <c r="D74" t="s">
        <v>2295</v>
      </c>
      <c r="E74" t="s">
        <v>2296</v>
      </c>
      <c r="F74" t="s">
        <v>2144</v>
      </c>
      <c r="G74" t="s">
        <v>1941</v>
      </c>
      <c r="H74">
        <v>70183</v>
      </c>
      <c r="I74" t="s">
        <v>1951</v>
      </c>
    </row>
    <row r="75" spans="1:9" x14ac:dyDescent="0.25">
      <c r="A75" t="s">
        <v>173</v>
      </c>
      <c r="B75" t="s">
        <v>2297</v>
      </c>
      <c r="D75" t="s">
        <v>2298</v>
      </c>
      <c r="E75" t="s">
        <v>2299</v>
      </c>
      <c r="F75" t="s">
        <v>2300</v>
      </c>
      <c r="G75" t="s">
        <v>1941</v>
      </c>
      <c r="H75">
        <v>28230</v>
      </c>
      <c r="I75" t="s">
        <v>1942</v>
      </c>
    </row>
    <row r="76" spans="1:9" x14ac:dyDescent="0.25">
      <c r="A76" t="s">
        <v>175</v>
      </c>
      <c r="B76" t="s">
        <v>2301</v>
      </c>
      <c r="C76" t="s">
        <v>2302</v>
      </c>
      <c r="D76" t="s">
        <v>2303</v>
      </c>
      <c r="E76" t="s">
        <v>2304</v>
      </c>
      <c r="F76" t="s">
        <v>1962</v>
      </c>
      <c r="G76" t="s">
        <v>1941</v>
      </c>
      <c r="H76">
        <v>1114</v>
      </c>
      <c r="I76" t="s">
        <v>1942</v>
      </c>
    </row>
    <row r="77" spans="1:9" x14ac:dyDescent="0.25">
      <c r="A77" t="s">
        <v>178</v>
      </c>
      <c r="B77" t="s">
        <v>2305</v>
      </c>
      <c r="C77" t="s">
        <v>2306</v>
      </c>
      <c r="D77" t="s">
        <v>2307</v>
      </c>
      <c r="E77" t="s">
        <v>2308</v>
      </c>
      <c r="F77" t="s">
        <v>2309</v>
      </c>
      <c r="G77" t="s">
        <v>1949</v>
      </c>
      <c r="H77" t="s">
        <v>2310</v>
      </c>
      <c r="I77" t="s">
        <v>1942</v>
      </c>
    </row>
    <row r="78" spans="1:9" x14ac:dyDescent="0.25">
      <c r="A78" t="s">
        <v>181</v>
      </c>
      <c r="B78" t="s">
        <v>2311</v>
      </c>
      <c r="D78" t="s">
        <v>2312</v>
      </c>
      <c r="E78" t="s">
        <v>2313</v>
      </c>
      <c r="F78" t="s">
        <v>2314</v>
      </c>
      <c r="G78" t="s">
        <v>1949</v>
      </c>
      <c r="H78" t="s">
        <v>2315</v>
      </c>
      <c r="I78" t="s">
        <v>1942</v>
      </c>
    </row>
    <row r="79" spans="1:9" x14ac:dyDescent="0.25">
      <c r="A79" t="s">
        <v>184</v>
      </c>
      <c r="B79" t="s">
        <v>2316</v>
      </c>
      <c r="C79" t="s">
        <v>2317</v>
      </c>
      <c r="D79" t="s">
        <v>2318</v>
      </c>
      <c r="E79" t="s">
        <v>2319</v>
      </c>
      <c r="F79" t="s">
        <v>2320</v>
      </c>
      <c r="G79" t="s">
        <v>1941</v>
      </c>
      <c r="H79">
        <v>79705</v>
      </c>
      <c r="I79" t="s">
        <v>1951</v>
      </c>
    </row>
    <row r="80" spans="1:9" x14ac:dyDescent="0.25">
      <c r="A80" t="s">
        <v>186</v>
      </c>
      <c r="B80" t="s">
        <v>2321</v>
      </c>
      <c r="C80" t="s">
        <v>2322</v>
      </c>
      <c r="D80" t="s">
        <v>2323</v>
      </c>
      <c r="E80" t="s">
        <v>2324</v>
      </c>
      <c r="F80" t="s">
        <v>2325</v>
      </c>
      <c r="G80" t="s">
        <v>1941</v>
      </c>
      <c r="H80">
        <v>75323</v>
      </c>
      <c r="I80" t="s">
        <v>1942</v>
      </c>
    </row>
    <row r="81" spans="1:9" x14ac:dyDescent="0.25">
      <c r="A81" t="s">
        <v>188</v>
      </c>
      <c r="B81" t="s">
        <v>2326</v>
      </c>
      <c r="C81" t="s">
        <v>2327</v>
      </c>
      <c r="D81" t="s">
        <v>2328</v>
      </c>
      <c r="E81" t="s">
        <v>2329</v>
      </c>
      <c r="F81" t="s">
        <v>2330</v>
      </c>
      <c r="G81" t="s">
        <v>1941</v>
      </c>
      <c r="H81">
        <v>20189</v>
      </c>
      <c r="I81" t="s">
        <v>1951</v>
      </c>
    </row>
    <row r="82" spans="1:9" x14ac:dyDescent="0.25">
      <c r="A82" t="s">
        <v>191</v>
      </c>
      <c r="B82" t="s">
        <v>2331</v>
      </c>
      <c r="C82" t="s">
        <v>2332</v>
      </c>
      <c r="D82" t="s">
        <v>2333</v>
      </c>
      <c r="E82" t="s">
        <v>2334</v>
      </c>
      <c r="F82" t="s">
        <v>2335</v>
      </c>
      <c r="G82" t="s">
        <v>1941</v>
      </c>
      <c r="H82">
        <v>94627</v>
      </c>
      <c r="I82" t="s">
        <v>1942</v>
      </c>
    </row>
    <row r="83" spans="1:9" x14ac:dyDescent="0.25">
      <c r="A83" t="s">
        <v>194</v>
      </c>
      <c r="B83" t="s">
        <v>2336</v>
      </c>
      <c r="C83" t="s">
        <v>2337</v>
      </c>
      <c r="D83" t="s">
        <v>2338</v>
      </c>
      <c r="E83" t="s">
        <v>2339</v>
      </c>
      <c r="F83" t="s">
        <v>2340</v>
      </c>
      <c r="G83" t="s">
        <v>1941</v>
      </c>
      <c r="H83">
        <v>80930</v>
      </c>
      <c r="I83" t="s">
        <v>1942</v>
      </c>
    </row>
    <row r="84" spans="1:9" x14ac:dyDescent="0.25">
      <c r="A84" t="s">
        <v>196</v>
      </c>
      <c r="B84" t="s">
        <v>2341</v>
      </c>
      <c r="C84" t="s">
        <v>2342</v>
      </c>
      <c r="D84" t="s">
        <v>2343</v>
      </c>
      <c r="E84" t="s">
        <v>2344</v>
      </c>
      <c r="F84" t="s">
        <v>2345</v>
      </c>
      <c r="G84" t="s">
        <v>1949</v>
      </c>
      <c r="H84" t="s">
        <v>2346</v>
      </c>
      <c r="I84" t="s">
        <v>1942</v>
      </c>
    </row>
    <row r="85" spans="1:9" x14ac:dyDescent="0.25">
      <c r="A85" t="s">
        <v>199</v>
      </c>
      <c r="B85" t="s">
        <v>2347</v>
      </c>
      <c r="D85" t="s">
        <v>2348</v>
      </c>
      <c r="E85" t="s">
        <v>2349</v>
      </c>
      <c r="F85" t="s">
        <v>2350</v>
      </c>
      <c r="G85" t="s">
        <v>1941</v>
      </c>
      <c r="H85">
        <v>14205</v>
      </c>
      <c r="I85" t="s">
        <v>1942</v>
      </c>
    </row>
    <row r="86" spans="1:9" x14ac:dyDescent="0.25">
      <c r="A86" t="s">
        <v>201</v>
      </c>
      <c r="B86" t="s">
        <v>2351</v>
      </c>
      <c r="C86" t="s">
        <v>2352</v>
      </c>
      <c r="D86" t="s">
        <v>2353</v>
      </c>
      <c r="E86" t="s">
        <v>2354</v>
      </c>
      <c r="F86" t="s">
        <v>2355</v>
      </c>
      <c r="G86" t="s">
        <v>1941</v>
      </c>
      <c r="H86">
        <v>93715</v>
      </c>
      <c r="I86" t="s">
        <v>1951</v>
      </c>
    </row>
    <row r="87" spans="1:9" x14ac:dyDescent="0.25">
      <c r="A87" t="s">
        <v>203</v>
      </c>
      <c r="B87" t="s">
        <v>2356</v>
      </c>
      <c r="C87" t="s">
        <v>2357</v>
      </c>
      <c r="E87" t="s">
        <v>2358</v>
      </c>
      <c r="F87" t="s">
        <v>2266</v>
      </c>
      <c r="G87" t="s">
        <v>1941</v>
      </c>
      <c r="H87">
        <v>76121</v>
      </c>
      <c r="I87" t="s">
        <v>1951</v>
      </c>
    </row>
    <row r="88" spans="1:9" x14ac:dyDescent="0.25">
      <c r="A88" t="s">
        <v>300</v>
      </c>
      <c r="B88" t="s">
        <v>2359</v>
      </c>
      <c r="C88" t="s">
        <v>2360</v>
      </c>
      <c r="E88" t="s">
        <v>2361</v>
      </c>
      <c r="F88" t="s">
        <v>2362</v>
      </c>
      <c r="G88" t="s">
        <v>1941</v>
      </c>
      <c r="H88">
        <v>73179</v>
      </c>
      <c r="I88" t="s">
        <v>1942</v>
      </c>
    </row>
    <row r="89" spans="1:9" x14ac:dyDescent="0.25">
      <c r="A89" t="s">
        <v>206</v>
      </c>
      <c r="B89" t="s">
        <v>2363</v>
      </c>
      <c r="C89" t="s">
        <v>2364</v>
      </c>
      <c r="E89" t="s">
        <v>2365</v>
      </c>
      <c r="F89" t="s">
        <v>2366</v>
      </c>
      <c r="G89" t="s">
        <v>1941</v>
      </c>
      <c r="H89">
        <v>77705</v>
      </c>
      <c r="I89" t="s">
        <v>1951</v>
      </c>
    </row>
    <row r="90" spans="1:9" x14ac:dyDescent="0.25">
      <c r="A90" t="s">
        <v>208</v>
      </c>
      <c r="B90" t="s">
        <v>2367</v>
      </c>
      <c r="C90" t="s">
        <v>2368</v>
      </c>
      <c r="E90" t="s">
        <v>2369</v>
      </c>
      <c r="F90" t="s">
        <v>2370</v>
      </c>
      <c r="G90" t="s">
        <v>1941</v>
      </c>
      <c r="H90">
        <v>89519</v>
      </c>
      <c r="I90" t="s">
        <v>1951</v>
      </c>
    </row>
    <row r="91" spans="1:9" x14ac:dyDescent="0.25">
      <c r="A91" t="s">
        <v>210</v>
      </c>
      <c r="B91" t="s">
        <v>2371</v>
      </c>
      <c r="C91" t="s">
        <v>2372</v>
      </c>
      <c r="D91" t="s">
        <v>2373</v>
      </c>
      <c r="E91" t="s">
        <v>2374</v>
      </c>
      <c r="F91" t="s">
        <v>2375</v>
      </c>
      <c r="G91" t="s">
        <v>1941</v>
      </c>
      <c r="H91">
        <v>64136</v>
      </c>
      <c r="I91" t="s">
        <v>1951</v>
      </c>
    </row>
    <row r="92" spans="1:9" x14ac:dyDescent="0.25">
      <c r="A92" t="s">
        <v>212</v>
      </c>
      <c r="B92" t="s">
        <v>2376</v>
      </c>
      <c r="D92" t="s">
        <v>2377</v>
      </c>
      <c r="E92" t="s">
        <v>2378</v>
      </c>
      <c r="F92" t="s">
        <v>1948</v>
      </c>
      <c r="G92" t="s">
        <v>1949</v>
      </c>
      <c r="H92" t="s">
        <v>1950</v>
      </c>
      <c r="I92" t="s">
        <v>1942</v>
      </c>
    </row>
    <row r="93" spans="1:9" x14ac:dyDescent="0.25">
      <c r="A93" t="s">
        <v>214</v>
      </c>
      <c r="B93" t="s">
        <v>2379</v>
      </c>
      <c r="C93" t="s">
        <v>2380</v>
      </c>
      <c r="D93" t="s">
        <v>2381</v>
      </c>
      <c r="E93" t="s">
        <v>2382</v>
      </c>
      <c r="F93" t="s">
        <v>2383</v>
      </c>
      <c r="G93" t="s">
        <v>1941</v>
      </c>
      <c r="H93">
        <v>92878</v>
      </c>
      <c r="I93" t="s">
        <v>1951</v>
      </c>
    </row>
    <row r="94" spans="1:9" x14ac:dyDescent="0.25">
      <c r="A94" t="s">
        <v>216</v>
      </c>
      <c r="B94" t="s">
        <v>2384</v>
      </c>
      <c r="D94" t="s">
        <v>2385</v>
      </c>
      <c r="E94" t="s">
        <v>2386</v>
      </c>
      <c r="F94" t="s">
        <v>2387</v>
      </c>
      <c r="G94" t="s">
        <v>1941</v>
      </c>
      <c r="H94">
        <v>78759</v>
      </c>
      <c r="I94" t="s">
        <v>1942</v>
      </c>
    </row>
    <row r="95" spans="1:9" x14ac:dyDescent="0.25">
      <c r="A95" t="s">
        <v>218</v>
      </c>
      <c r="B95" t="s">
        <v>2388</v>
      </c>
      <c r="C95" t="s">
        <v>2389</v>
      </c>
      <c r="D95" t="s">
        <v>2390</v>
      </c>
      <c r="E95" t="s">
        <v>2391</v>
      </c>
      <c r="F95" t="s">
        <v>2392</v>
      </c>
      <c r="G95" t="s">
        <v>2116</v>
      </c>
      <c r="H95" t="s">
        <v>2393</v>
      </c>
      <c r="I95" t="s">
        <v>1942</v>
      </c>
    </row>
    <row r="96" spans="1:9" x14ac:dyDescent="0.25">
      <c r="A96" t="s">
        <v>220</v>
      </c>
      <c r="B96" t="s">
        <v>2394</v>
      </c>
      <c r="E96" t="s">
        <v>2395</v>
      </c>
      <c r="F96" t="s">
        <v>2396</v>
      </c>
      <c r="G96" t="s">
        <v>1949</v>
      </c>
      <c r="H96" t="s">
        <v>2397</v>
      </c>
      <c r="I96" t="s">
        <v>1942</v>
      </c>
    </row>
    <row r="97" spans="1:9" x14ac:dyDescent="0.25">
      <c r="A97" t="s">
        <v>222</v>
      </c>
      <c r="B97" t="s">
        <v>2398</v>
      </c>
      <c r="C97" t="s">
        <v>2399</v>
      </c>
      <c r="E97" t="s">
        <v>2400</v>
      </c>
      <c r="F97" t="s">
        <v>2355</v>
      </c>
      <c r="G97" t="s">
        <v>1941</v>
      </c>
      <c r="H97">
        <v>93762</v>
      </c>
      <c r="I97" t="s">
        <v>1951</v>
      </c>
    </row>
    <row r="98" spans="1:9" x14ac:dyDescent="0.25">
      <c r="A98" t="s">
        <v>224</v>
      </c>
      <c r="B98" t="s">
        <v>2401</v>
      </c>
      <c r="C98" t="s">
        <v>2402</v>
      </c>
      <c r="E98" t="s">
        <v>2403</v>
      </c>
      <c r="F98" t="s">
        <v>2013</v>
      </c>
      <c r="G98" t="s">
        <v>1941</v>
      </c>
      <c r="H98">
        <v>63150</v>
      </c>
      <c r="I98" t="s">
        <v>1951</v>
      </c>
    </row>
    <row r="99" spans="1:9" x14ac:dyDescent="0.25">
      <c r="A99" t="s">
        <v>226</v>
      </c>
      <c r="B99" t="s">
        <v>2404</v>
      </c>
      <c r="C99" t="s">
        <v>2405</v>
      </c>
      <c r="D99" t="s">
        <v>2406</v>
      </c>
      <c r="E99" t="s">
        <v>2407</v>
      </c>
      <c r="F99" t="s">
        <v>2355</v>
      </c>
      <c r="G99" t="s">
        <v>1941</v>
      </c>
      <c r="H99">
        <v>93726</v>
      </c>
      <c r="I99" t="s">
        <v>1951</v>
      </c>
    </row>
    <row r="100" spans="1:9" x14ac:dyDescent="0.25">
      <c r="A100" t="s">
        <v>228</v>
      </c>
      <c r="B100" t="s">
        <v>2408</v>
      </c>
      <c r="D100" t="s">
        <v>2409</v>
      </c>
      <c r="E100" t="s">
        <v>2410</v>
      </c>
      <c r="F100" t="s">
        <v>2411</v>
      </c>
      <c r="G100" t="s">
        <v>1949</v>
      </c>
      <c r="H100" t="s">
        <v>2412</v>
      </c>
      <c r="I100" t="s">
        <v>1951</v>
      </c>
    </row>
    <row r="101" spans="1:9" x14ac:dyDescent="0.25">
      <c r="A101" t="s">
        <v>230</v>
      </c>
      <c r="B101" t="s">
        <v>2413</v>
      </c>
      <c r="D101" t="s">
        <v>2414</v>
      </c>
      <c r="E101" t="s">
        <v>2415</v>
      </c>
      <c r="F101" t="s">
        <v>2287</v>
      </c>
      <c r="G101" t="s">
        <v>1941</v>
      </c>
      <c r="H101">
        <v>43210</v>
      </c>
      <c r="I101" t="s">
        <v>1942</v>
      </c>
    </row>
    <row r="102" spans="1:9" x14ac:dyDescent="0.25">
      <c r="A102" t="s">
        <v>232</v>
      </c>
      <c r="B102" t="s">
        <v>2416</v>
      </c>
      <c r="D102" t="s">
        <v>2417</v>
      </c>
      <c r="E102" t="s">
        <v>2418</v>
      </c>
      <c r="F102" t="s">
        <v>2419</v>
      </c>
      <c r="G102" t="s">
        <v>1941</v>
      </c>
      <c r="H102">
        <v>95205</v>
      </c>
      <c r="I102" t="s">
        <v>1942</v>
      </c>
    </row>
    <row r="103" spans="1:9" x14ac:dyDescent="0.25">
      <c r="A103" t="s">
        <v>234</v>
      </c>
      <c r="B103" t="s">
        <v>2420</v>
      </c>
      <c r="C103" t="s">
        <v>2421</v>
      </c>
      <c r="D103" t="s">
        <v>2422</v>
      </c>
      <c r="E103" t="s">
        <v>2423</v>
      </c>
      <c r="F103" t="s">
        <v>2424</v>
      </c>
      <c r="G103" t="s">
        <v>1949</v>
      </c>
      <c r="H103" t="s">
        <v>2425</v>
      </c>
      <c r="I103" t="s">
        <v>1942</v>
      </c>
    </row>
    <row r="104" spans="1:9" x14ac:dyDescent="0.25">
      <c r="A104" t="s">
        <v>236</v>
      </c>
      <c r="B104" t="s">
        <v>2426</v>
      </c>
      <c r="C104" t="s">
        <v>2427</v>
      </c>
      <c r="D104" t="s">
        <v>2428</v>
      </c>
      <c r="E104" t="s">
        <v>2429</v>
      </c>
      <c r="F104" t="s">
        <v>2430</v>
      </c>
      <c r="G104" t="s">
        <v>1949</v>
      </c>
      <c r="H104" t="s">
        <v>2412</v>
      </c>
      <c r="I104" t="s">
        <v>1942</v>
      </c>
    </row>
    <row r="105" spans="1:9" x14ac:dyDescent="0.25">
      <c r="A105" t="s">
        <v>238</v>
      </c>
      <c r="B105" t="s">
        <v>2431</v>
      </c>
      <c r="C105" t="s">
        <v>2432</v>
      </c>
      <c r="D105" t="s">
        <v>2433</v>
      </c>
      <c r="E105" t="s">
        <v>2434</v>
      </c>
      <c r="F105" t="s">
        <v>2163</v>
      </c>
      <c r="G105" t="s">
        <v>1941</v>
      </c>
      <c r="H105">
        <v>14652</v>
      </c>
      <c r="I105" t="s">
        <v>1951</v>
      </c>
    </row>
    <row r="106" spans="1:9" x14ac:dyDescent="0.25">
      <c r="A106" t="s">
        <v>240</v>
      </c>
      <c r="B106" t="s">
        <v>2435</v>
      </c>
      <c r="C106" t="s">
        <v>2436</v>
      </c>
      <c r="D106" t="s">
        <v>2437</v>
      </c>
      <c r="E106" t="s">
        <v>2438</v>
      </c>
      <c r="F106" t="s">
        <v>2439</v>
      </c>
      <c r="G106" t="s">
        <v>1941</v>
      </c>
      <c r="H106">
        <v>35487</v>
      </c>
      <c r="I106" t="s">
        <v>1951</v>
      </c>
    </row>
    <row r="107" spans="1:9" x14ac:dyDescent="0.25">
      <c r="A107" t="s">
        <v>242</v>
      </c>
      <c r="B107" t="s">
        <v>2440</v>
      </c>
      <c r="C107" t="s">
        <v>2441</v>
      </c>
      <c r="D107" t="s">
        <v>2442</v>
      </c>
      <c r="E107" t="s">
        <v>2443</v>
      </c>
      <c r="F107" t="s">
        <v>2027</v>
      </c>
      <c r="G107" t="s">
        <v>1941</v>
      </c>
      <c r="H107">
        <v>77260</v>
      </c>
      <c r="I107" t="s">
        <v>1942</v>
      </c>
    </row>
    <row r="108" spans="1:9" x14ac:dyDescent="0.25">
      <c r="A108" t="s">
        <v>244</v>
      </c>
      <c r="B108" t="s">
        <v>2444</v>
      </c>
      <c r="C108" t="s">
        <v>2445</v>
      </c>
      <c r="D108" t="s">
        <v>2446</v>
      </c>
      <c r="E108" t="s">
        <v>2447</v>
      </c>
      <c r="F108" t="s">
        <v>2448</v>
      </c>
      <c r="G108" t="s">
        <v>1941</v>
      </c>
      <c r="H108">
        <v>88514</v>
      </c>
      <c r="I108" t="s">
        <v>1951</v>
      </c>
    </row>
    <row r="109" spans="1:9" x14ac:dyDescent="0.25">
      <c r="A109" t="s">
        <v>247</v>
      </c>
      <c r="B109" t="s">
        <v>2449</v>
      </c>
      <c r="C109" t="s">
        <v>2450</v>
      </c>
      <c r="D109" t="s">
        <v>2451</v>
      </c>
      <c r="E109" t="s">
        <v>2452</v>
      </c>
      <c r="F109" t="s">
        <v>2340</v>
      </c>
      <c r="G109" t="s">
        <v>1941</v>
      </c>
      <c r="H109">
        <v>80935</v>
      </c>
      <c r="I109" t="s">
        <v>1942</v>
      </c>
    </row>
    <row r="110" spans="1:9" x14ac:dyDescent="0.25">
      <c r="A110" t="s">
        <v>249</v>
      </c>
      <c r="B110" t="s">
        <v>2453</v>
      </c>
      <c r="D110" t="s">
        <v>2454</v>
      </c>
      <c r="E110" t="s">
        <v>2455</v>
      </c>
      <c r="F110" t="s">
        <v>2238</v>
      </c>
      <c r="G110" t="s">
        <v>1941</v>
      </c>
      <c r="H110">
        <v>46862</v>
      </c>
      <c r="I110" t="s">
        <v>1951</v>
      </c>
    </row>
    <row r="111" spans="1:9" x14ac:dyDescent="0.25">
      <c r="A111" t="s">
        <v>251</v>
      </c>
      <c r="B111" t="s">
        <v>2456</v>
      </c>
      <c r="C111" t="s">
        <v>2457</v>
      </c>
      <c r="D111" t="s">
        <v>2458</v>
      </c>
      <c r="E111" t="s">
        <v>2459</v>
      </c>
      <c r="F111" t="s">
        <v>2460</v>
      </c>
      <c r="G111" t="s">
        <v>1941</v>
      </c>
      <c r="H111">
        <v>11054</v>
      </c>
      <c r="I111" t="s">
        <v>1942</v>
      </c>
    </row>
    <row r="112" spans="1:9" x14ac:dyDescent="0.25">
      <c r="A112" t="s">
        <v>253</v>
      </c>
      <c r="B112" t="s">
        <v>2461</v>
      </c>
      <c r="C112" t="s">
        <v>2462</v>
      </c>
      <c r="D112" t="s">
        <v>2463</v>
      </c>
      <c r="E112" t="s">
        <v>2464</v>
      </c>
      <c r="F112" t="s">
        <v>1962</v>
      </c>
      <c r="G112" t="s">
        <v>1941</v>
      </c>
      <c r="H112">
        <v>1105</v>
      </c>
      <c r="I112" t="s">
        <v>1942</v>
      </c>
    </row>
    <row r="113" spans="1:9" x14ac:dyDescent="0.25">
      <c r="A113" t="s">
        <v>256</v>
      </c>
      <c r="B113" t="s">
        <v>2465</v>
      </c>
      <c r="C113" t="s">
        <v>2466</v>
      </c>
      <c r="E113" t="s">
        <v>2467</v>
      </c>
      <c r="F113" t="s">
        <v>2225</v>
      </c>
      <c r="G113" t="s">
        <v>1941</v>
      </c>
      <c r="H113">
        <v>32575</v>
      </c>
      <c r="I113" t="s">
        <v>1951</v>
      </c>
    </row>
    <row r="114" spans="1:9" x14ac:dyDescent="0.25">
      <c r="A114" t="s">
        <v>258</v>
      </c>
      <c r="B114" t="s">
        <v>2468</v>
      </c>
      <c r="C114" t="s">
        <v>2469</v>
      </c>
      <c r="D114" t="s">
        <v>2470</v>
      </c>
      <c r="E114" t="s">
        <v>2471</v>
      </c>
      <c r="F114" t="s">
        <v>2004</v>
      </c>
      <c r="G114" t="s">
        <v>1941</v>
      </c>
      <c r="H114">
        <v>23242</v>
      </c>
      <c r="I114" t="s">
        <v>1951</v>
      </c>
    </row>
    <row r="115" spans="1:9" x14ac:dyDescent="0.25">
      <c r="A115" t="s">
        <v>260</v>
      </c>
      <c r="B115" t="s">
        <v>2472</v>
      </c>
      <c r="C115" t="s">
        <v>2473</v>
      </c>
      <c r="D115" t="s">
        <v>2474</v>
      </c>
      <c r="E115" t="s">
        <v>2475</v>
      </c>
      <c r="F115" t="s">
        <v>2476</v>
      </c>
      <c r="G115" t="s">
        <v>1949</v>
      </c>
      <c r="H115" t="s">
        <v>2477</v>
      </c>
      <c r="I115" t="s">
        <v>1951</v>
      </c>
    </row>
    <row r="116" spans="1:9" x14ac:dyDescent="0.25">
      <c r="A116" t="s">
        <v>262</v>
      </c>
      <c r="B116" t="s">
        <v>2478</v>
      </c>
      <c r="D116" t="s">
        <v>2479</v>
      </c>
      <c r="E116" t="s">
        <v>2480</v>
      </c>
      <c r="F116" t="s">
        <v>2481</v>
      </c>
      <c r="G116" t="s">
        <v>1941</v>
      </c>
      <c r="H116">
        <v>25705</v>
      </c>
      <c r="I116" t="s">
        <v>1951</v>
      </c>
    </row>
    <row r="117" spans="1:9" x14ac:dyDescent="0.25">
      <c r="A117" t="s">
        <v>264</v>
      </c>
      <c r="B117" t="s">
        <v>2482</v>
      </c>
      <c r="C117" t="s">
        <v>2483</v>
      </c>
      <c r="D117" t="s">
        <v>2484</v>
      </c>
      <c r="E117" t="s">
        <v>2485</v>
      </c>
      <c r="F117" t="s">
        <v>2172</v>
      </c>
      <c r="G117" t="s">
        <v>2116</v>
      </c>
      <c r="H117" t="s">
        <v>2486</v>
      </c>
      <c r="I117" t="s">
        <v>1951</v>
      </c>
    </row>
    <row r="118" spans="1:9" x14ac:dyDescent="0.25">
      <c r="A118" t="s">
        <v>266</v>
      </c>
      <c r="B118" t="s">
        <v>2487</v>
      </c>
      <c r="C118" t="s">
        <v>2488</v>
      </c>
      <c r="D118" t="s">
        <v>2489</v>
      </c>
      <c r="E118" t="s">
        <v>2490</v>
      </c>
      <c r="F118" t="s">
        <v>2491</v>
      </c>
      <c r="G118" t="s">
        <v>1949</v>
      </c>
      <c r="H118" t="s">
        <v>2492</v>
      </c>
      <c r="I118" t="s">
        <v>1942</v>
      </c>
    </row>
    <row r="119" spans="1:9" x14ac:dyDescent="0.25">
      <c r="A119" t="s">
        <v>268</v>
      </c>
      <c r="B119" t="s">
        <v>2493</v>
      </c>
      <c r="C119" t="s">
        <v>2494</v>
      </c>
      <c r="D119" t="s">
        <v>2495</v>
      </c>
      <c r="E119" t="s">
        <v>2496</v>
      </c>
      <c r="F119" t="s">
        <v>1976</v>
      </c>
      <c r="G119" t="s">
        <v>1941</v>
      </c>
      <c r="H119">
        <v>45432</v>
      </c>
      <c r="I119" t="s">
        <v>1951</v>
      </c>
    </row>
    <row r="120" spans="1:9" x14ac:dyDescent="0.25">
      <c r="A120" t="s">
        <v>270</v>
      </c>
      <c r="B120" t="s">
        <v>2497</v>
      </c>
      <c r="C120" t="s">
        <v>2498</v>
      </c>
      <c r="D120" t="s">
        <v>2499</v>
      </c>
      <c r="E120" t="s">
        <v>2500</v>
      </c>
      <c r="F120" t="s">
        <v>2501</v>
      </c>
      <c r="G120" t="s">
        <v>1941</v>
      </c>
      <c r="H120">
        <v>99507</v>
      </c>
      <c r="I120" t="s">
        <v>1942</v>
      </c>
    </row>
    <row r="121" spans="1:9" x14ac:dyDescent="0.25">
      <c r="A121" t="s">
        <v>272</v>
      </c>
      <c r="B121" t="s">
        <v>2502</v>
      </c>
      <c r="C121" t="s">
        <v>2503</v>
      </c>
      <c r="D121" t="s">
        <v>2504</v>
      </c>
      <c r="E121" t="s">
        <v>2505</v>
      </c>
      <c r="F121" t="s">
        <v>2506</v>
      </c>
      <c r="G121" t="s">
        <v>1941</v>
      </c>
      <c r="H121">
        <v>37215</v>
      </c>
      <c r="I121" t="s">
        <v>1951</v>
      </c>
    </row>
    <row r="122" spans="1:9" x14ac:dyDescent="0.25">
      <c r="A122" t="s">
        <v>2507</v>
      </c>
      <c r="B122" t="s">
        <v>2508</v>
      </c>
      <c r="C122" t="s">
        <v>2509</v>
      </c>
      <c r="D122" t="s">
        <v>2510</v>
      </c>
      <c r="E122" t="s">
        <v>2511</v>
      </c>
      <c r="F122" t="s">
        <v>1986</v>
      </c>
      <c r="G122" t="s">
        <v>1941</v>
      </c>
      <c r="H122">
        <v>90040</v>
      </c>
      <c r="I122" t="s">
        <v>1942</v>
      </c>
    </row>
    <row r="123" spans="1:9" x14ac:dyDescent="0.25">
      <c r="A123" t="s">
        <v>2512</v>
      </c>
      <c r="B123" t="s">
        <v>2513</v>
      </c>
      <c r="C123" t="s">
        <v>2514</v>
      </c>
      <c r="D123" t="s">
        <v>2515</v>
      </c>
      <c r="E123" t="s">
        <v>2516</v>
      </c>
      <c r="F123" t="s">
        <v>2300</v>
      </c>
      <c r="G123" t="s">
        <v>1941</v>
      </c>
      <c r="H123">
        <v>28289</v>
      </c>
      <c r="I123" t="s">
        <v>1951</v>
      </c>
    </row>
    <row r="124" spans="1:9" x14ac:dyDescent="0.25">
      <c r="A124" t="s">
        <v>274</v>
      </c>
      <c r="B124" t="s">
        <v>2517</v>
      </c>
      <c r="C124" t="s">
        <v>2518</v>
      </c>
      <c r="D124" t="s">
        <v>2519</v>
      </c>
      <c r="E124" t="s">
        <v>2520</v>
      </c>
      <c r="F124" t="s">
        <v>2132</v>
      </c>
      <c r="G124" t="s">
        <v>1941</v>
      </c>
      <c r="H124">
        <v>80217</v>
      </c>
      <c r="I124" t="s">
        <v>1942</v>
      </c>
    </row>
    <row r="125" spans="1:9" x14ac:dyDescent="0.25">
      <c r="A125" t="s">
        <v>276</v>
      </c>
      <c r="B125" t="s">
        <v>2521</v>
      </c>
      <c r="C125" t="s">
        <v>2522</v>
      </c>
      <c r="D125" t="s">
        <v>2523</v>
      </c>
      <c r="E125" t="s">
        <v>2524</v>
      </c>
      <c r="F125" t="s">
        <v>2525</v>
      </c>
      <c r="G125" t="s">
        <v>1941</v>
      </c>
      <c r="H125">
        <v>6912</v>
      </c>
      <c r="I125" t="s">
        <v>1951</v>
      </c>
    </row>
    <row r="126" spans="1:9" x14ac:dyDescent="0.25">
      <c r="A126" t="s">
        <v>278</v>
      </c>
      <c r="B126" t="s">
        <v>2526</v>
      </c>
      <c r="C126" t="s">
        <v>2527</v>
      </c>
      <c r="D126" t="s">
        <v>2528</v>
      </c>
      <c r="E126" t="s">
        <v>2529</v>
      </c>
      <c r="F126" t="s">
        <v>2530</v>
      </c>
      <c r="G126" t="s">
        <v>1941</v>
      </c>
      <c r="H126">
        <v>23605</v>
      </c>
      <c r="I126" t="s">
        <v>1942</v>
      </c>
    </row>
    <row r="127" spans="1:9" x14ac:dyDescent="0.25">
      <c r="A127" t="s">
        <v>280</v>
      </c>
      <c r="B127" t="s">
        <v>2531</v>
      </c>
      <c r="C127" t="s">
        <v>2532</v>
      </c>
      <c r="D127" t="s">
        <v>2533</v>
      </c>
      <c r="E127" t="s">
        <v>2534</v>
      </c>
      <c r="F127" t="s">
        <v>2535</v>
      </c>
      <c r="G127" t="s">
        <v>1949</v>
      </c>
      <c r="H127" t="s">
        <v>2536</v>
      </c>
      <c r="I127" t="s">
        <v>1942</v>
      </c>
    </row>
    <row r="128" spans="1:9" x14ac:dyDescent="0.25">
      <c r="A128" t="s">
        <v>282</v>
      </c>
      <c r="B128" t="s">
        <v>2537</v>
      </c>
      <c r="C128" t="s">
        <v>2538</v>
      </c>
      <c r="D128" t="s">
        <v>2539</v>
      </c>
      <c r="E128" t="s">
        <v>2540</v>
      </c>
      <c r="F128" t="s">
        <v>2501</v>
      </c>
      <c r="G128" t="s">
        <v>1941</v>
      </c>
      <c r="H128">
        <v>99599</v>
      </c>
      <c r="I128" t="s">
        <v>1951</v>
      </c>
    </row>
    <row r="129" spans="1:9" x14ac:dyDescent="0.25">
      <c r="A129" t="s">
        <v>284</v>
      </c>
      <c r="B129" t="s">
        <v>2541</v>
      </c>
      <c r="C129" t="s">
        <v>2542</v>
      </c>
      <c r="D129" t="s">
        <v>2543</v>
      </c>
      <c r="E129" t="s">
        <v>2544</v>
      </c>
      <c r="F129" t="s">
        <v>2366</v>
      </c>
      <c r="G129" t="s">
        <v>1949</v>
      </c>
      <c r="H129" t="s">
        <v>2545</v>
      </c>
      <c r="I129" t="s">
        <v>1951</v>
      </c>
    </row>
    <row r="130" spans="1:9" x14ac:dyDescent="0.25">
      <c r="A130" t="s">
        <v>286</v>
      </c>
      <c r="B130" t="s">
        <v>2546</v>
      </c>
      <c r="C130" t="s">
        <v>2547</v>
      </c>
      <c r="D130" t="s">
        <v>2548</v>
      </c>
      <c r="E130" t="s">
        <v>2549</v>
      </c>
      <c r="F130" t="s">
        <v>2550</v>
      </c>
      <c r="G130" t="s">
        <v>1941</v>
      </c>
      <c r="H130">
        <v>58122</v>
      </c>
      <c r="I130" t="s">
        <v>1951</v>
      </c>
    </row>
    <row r="131" spans="1:9" x14ac:dyDescent="0.25">
      <c r="A131" t="s">
        <v>288</v>
      </c>
      <c r="B131" t="s">
        <v>2551</v>
      </c>
      <c r="C131" t="s">
        <v>2552</v>
      </c>
      <c r="D131" t="s">
        <v>2553</v>
      </c>
      <c r="E131" t="s">
        <v>2554</v>
      </c>
      <c r="F131" t="s">
        <v>2555</v>
      </c>
      <c r="G131" t="s">
        <v>1941</v>
      </c>
      <c r="H131">
        <v>47737</v>
      </c>
      <c r="I131" t="s">
        <v>1942</v>
      </c>
    </row>
    <row r="132" spans="1:9" x14ac:dyDescent="0.25">
      <c r="A132" t="s">
        <v>290</v>
      </c>
      <c r="B132" t="s">
        <v>2556</v>
      </c>
      <c r="D132" t="s">
        <v>2557</v>
      </c>
      <c r="E132" t="s">
        <v>2558</v>
      </c>
      <c r="F132" t="s">
        <v>2476</v>
      </c>
      <c r="G132" t="s">
        <v>1949</v>
      </c>
      <c r="H132" t="s">
        <v>2477</v>
      </c>
      <c r="I132" t="s">
        <v>1942</v>
      </c>
    </row>
    <row r="133" spans="1:9" x14ac:dyDescent="0.25">
      <c r="A133" t="s">
        <v>292</v>
      </c>
      <c r="B133" t="s">
        <v>2559</v>
      </c>
      <c r="C133" t="s">
        <v>2560</v>
      </c>
      <c r="D133" t="s">
        <v>2561</v>
      </c>
      <c r="E133" t="s">
        <v>2562</v>
      </c>
      <c r="F133" t="s">
        <v>2300</v>
      </c>
      <c r="G133" t="s">
        <v>1941</v>
      </c>
      <c r="H133">
        <v>28210</v>
      </c>
      <c r="I133" t="s">
        <v>1942</v>
      </c>
    </row>
    <row r="134" spans="1:9" x14ac:dyDescent="0.25">
      <c r="A134" t="s">
        <v>294</v>
      </c>
      <c r="B134" t="s">
        <v>2563</v>
      </c>
      <c r="C134" t="s">
        <v>2564</v>
      </c>
      <c r="D134" t="s">
        <v>2565</v>
      </c>
      <c r="E134" t="s">
        <v>2566</v>
      </c>
      <c r="F134" t="s">
        <v>2567</v>
      </c>
      <c r="G134" t="s">
        <v>1941</v>
      </c>
      <c r="H134">
        <v>35815</v>
      </c>
      <c r="I134" t="s">
        <v>1942</v>
      </c>
    </row>
    <row r="135" spans="1:9" x14ac:dyDescent="0.25">
      <c r="A135" t="s">
        <v>296</v>
      </c>
      <c r="B135" t="s">
        <v>2568</v>
      </c>
      <c r="C135" t="s">
        <v>2569</v>
      </c>
      <c r="D135" t="s">
        <v>2570</v>
      </c>
      <c r="E135" t="s">
        <v>2571</v>
      </c>
      <c r="F135" t="s">
        <v>2572</v>
      </c>
      <c r="G135" t="s">
        <v>1941</v>
      </c>
      <c r="H135">
        <v>92725</v>
      </c>
      <c r="I135" t="s">
        <v>1951</v>
      </c>
    </row>
    <row r="136" spans="1:9" x14ac:dyDescent="0.25">
      <c r="A136" t="s">
        <v>298</v>
      </c>
      <c r="B136" t="s">
        <v>2573</v>
      </c>
      <c r="E136" t="s">
        <v>2574</v>
      </c>
      <c r="F136" t="s">
        <v>2186</v>
      </c>
      <c r="G136" t="s">
        <v>1941</v>
      </c>
      <c r="H136">
        <v>20520</v>
      </c>
      <c r="I136" t="s">
        <v>1942</v>
      </c>
    </row>
    <row r="137" spans="1:9" x14ac:dyDescent="0.25">
      <c r="A137" t="s">
        <v>2575</v>
      </c>
      <c r="B137" t="s">
        <v>2576</v>
      </c>
      <c r="C137" t="s">
        <v>2577</v>
      </c>
      <c r="D137" t="s">
        <v>2578</v>
      </c>
      <c r="E137" t="s">
        <v>2579</v>
      </c>
      <c r="F137" t="s">
        <v>2580</v>
      </c>
      <c r="G137" t="s">
        <v>1949</v>
      </c>
      <c r="H137" t="s">
        <v>2581</v>
      </c>
      <c r="I137" t="s">
        <v>1951</v>
      </c>
    </row>
    <row r="138" spans="1:9" x14ac:dyDescent="0.25">
      <c r="A138" t="s">
        <v>302</v>
      </c>
      <c r="B138" t="s">
        <v>2582</v>
      </c>
      <c r="C138" t="s">
        <v>2583</v>
      </c>
      <c r="D138" t="s">
        <v>2584</v>
      </c>
      <c r="E138" t="s">
        <v>2585</v>
      </c>
      <c r="F138" t="s">
        <v>2013</v>
      </c>
      <c r="G138" t="s">
        <v>1941</v>
      </c>
      <c r="H138">
        <v>63131</v>
      </c>
      <c r="I138" t="s">
        <v>1951</v>
      </c>
    </row>
    <row r="139" spans="1:9" x14ac:dyDescent="0.25">
      <c r="A139" t="s">
        <v>304</v>
      </c>
      <c r="B139" t="s">
        <v>2586</v>
      </c>
      <c r="D139" t="s">
        <v>2587</v>
      </c>
      <c r="E139" t="s">
        <v>2588</v>
      </c>
      <c r="F139" t="s">
        <v>2105</v>
      </c>
      <c r="G139" t="s">
        <v>1949</v>
      </c>
      <c r="H139" t="s">
        <v>2106</v>
      </c>
      <c r="I139" t="s">
        <v>1951</v>
      </c>
    </row>
    <row r="140" spans="1:9" x14ac:dyDescent="0.25">
      <c r="A140" t="s">
        <v>306</v>
      </c>
      <c r="B140" t="s">
        <v>2589</v>
      </c>
      <c r="D140" t="s">
        <v>2590</v>
      </c>
      <c r="E140" t="s">
        <v>2591</v>
      </c>
      <c r="F140" t="s">
        <v>2592</v>
      </c>
      <c r="G140" t="s">
        <v>1941</v>
      </c>
      <c r="H140">
        <v>96805</v>
      </c>
      <c r="I140" t="s">
        <v>1951</v>
      </c>
    </row>
    <row r="141" spans="1:9" x14ac:dyDescent="0.25">
      <c r="A141" t="s">
        <v>308</v>
      </c>
      <c r="B141" t="s">
        <v>2593</v>
      </c>
      <c r="D141" t="s">
        <v>2594</v>
      </c>
      <c r="E141" t="s">
        <v>2595</v>
      </c>
      <c r="F141" t="s">
        <v>2383</v>
      </c>
      <c r="G141" t="s">
        <v>1941</v>
      </c>
      <c r="H141">
        <v>92878</v>
      </c>
      <c r="I141" t="s">
        <v>1942</v>
      </c>
    </row>
    <row r="142" spans="1:9" x14ac:dyDescent="0.25">
      <c r="A142" t="s">
        <v>310</v>
      </c>
      <c r="B142" t="s">
        <v>2596</v>
      </c>
      <c r="C142" t="s">
        <v>2597</v>
      </c>
      <c r="D142" t="s">
        <v>2598</v>
      </c>
      <c r="E142" t="s">
        <v>2599</v>
      </c>
      <c r="F142" t="s">
        <v>2600</v>
      </c>
      <c r="G142" t="s">
        <v>1949</v>
      </c>
      <c r="H142" t="s">
        <v>2545</v>
      </c>
      <c r="I142" t="s">
        <v>1942</v>
      </c>
    </row>
    <row r="143" spans="1:9" x14ac:dyDescent="0.25">
      <c r="A143" t="s">
        <v>312</v>
      </c>
      <c r="B143" t="s">
        <v>2601</v>
      </c>
      <c r="C143" t="s">
        <v>2602</v>
      </c>
      <c r="D143" t="s">
        <v>2603</v>
      </c>
      <c r="E143" t="s">
        <v>2604</v>
      </c>
      <c r="F143" t="s">
        <v>2186</v>
      </c>
      <c r="G143" t="s">
        <v>1941</v>
      </c>
      <c r="H143">
        <v>20520</v>
      </c>
      <c r="I143" t="s">
        <v>1942</v>
      </c>
    </row>
    <row r="144" spans="1:9" x14ac:dyDescent="0.25">
      <c r="A144" t="s">
        <v>314</v>
      </c>
      <c r="B144" t="s">
        <v>2605</v>
      </c>
      <c r="E144" t="s">
        <v>2606</v>
      </c>
      <c r="F144" t="s">
        <v>2607</v>
      </c>
      <c r="G144" t="s">
        <v>1949</v>
      </c>
      <c r="H144" t="s">
        <v>2310</v>
      </c>
      <c r="I144" t="s">
        <v>1942</v>
      </c>
    </row>
    <row r="145" spans="1:9" x14ac:dyDescent="0.25">
      <c r="A145" t="s">
        <v>316</v>
      </c>
      <c r="B145" t="s">
        <v>2608</v>
      </c>
      <c r="C145" t="s">
        <v>2609</v>
      </c>
      <c r="D145" t="s">
        <v>2610</v>
      </c>
      <c r="E145" t="s">
        <v>2611</v>
      </c>
      <c r="F145" t="s">
        <v>2027</v>
      </c>
      <c r="G145" t="s">
        <v>1941</v>
      </c>
      <c r="H145">
        <v>77281</v>
      </c>
      <c r="I145" t="s">
        <v>1951</v>
      </c>
    </row>
    <row r="146" spans="1:9" x14ac:dyDescent="0.25">
      <c r="A146" t="s">
        <v>318</v>
      </c>
      <c r="B146" t="s">
        <v>2612</v>
      </c>
      <c r="C146" t="s">
        <v>2613</v>
      </c>
      <c r="D146" t="s">
        <v>2614</v>
      </c>
      <c r="E146" t="s">
        <v>2615</v>
      </c>
      <c r="F146" t="s">
        <v>2616</v>
      </c>
      <c r="G146" t="s">
        <v>1941</v>
      </c>
      <c r="H146">
        <v>92668</v>
      </c>
      <c r="I146" t="s">
        <v>1942</v>
      </c>
    </row>
    <row r="147" spans="1:9" x14ac:dyDescent="0.25">
      <c r="A147" t="s">
        <v>320</v>
      </c>
      <c r="B147" t="s">
        <v>2617</v>
      </c>
      <c r="C147" t="s">
        <v>2618</v>
      </c>
      <c r="D147" t="s">
        <v>2619</v>
      </c>
      <c r="E147" t="s">
        <v>2620</v>
      </c>
      <c r="F147" t="s">
        <v>2448</v>
      </c>
      <c r="G147" t="s">
        <v>1941</v>
      </c>
      <c r="H147">
        <v>88553</v>
      </c>
      <c r="I147" t="s">
        <v>1951</v>
      </c>
    </row>
    <row r="148" spans="1:9" x14ac:dyDescent="0.25">
      <c r="A148" t="s">
        <v>322</v>
      </c>
      <c r="B148" t="s">
        <v>2621</v>
      </c>
      <c r="C148" t="s">
        <v>2622</v>
      </c>
      <c r="D148" t="s">
        <v>2623</v>
      </c>
      <c r="E148" t="s">
        <v>2624</v>
      </c>
      <c r="F148" t="s">
        <v>2625</v>
      </c>
      <c r="G148" t="s">
        <v>1941</v>
      </c>
      <c r="H148">
        <v>89714</v>
      </c>
      <c r="I148" t="s">
        <v>1951</v>
      </c>
    </row>
    <row r="149" spans="1:9" x14ac:dyDescent="0.25">
      <c r="A149" t="s">
        <v>2626</v>
      </c>
      <c r="B149" t="s">
        <v>2627</v>
      </c>
      <c r="C149" t="s">
        <v>2628</v>
      </c>
      <c r="D149" t="s">
        <v>2629</v>
      </c>
      <c r="E149" t="s">
        <v>2630</v>
      </c>
      <c r="F149" t="s">
        <v>2266</v>
      </c>
      <c r="G149" t="s">
        <v>1941</v>
      </c>
      <c r="H149">
        <v>76105</v>
      </c>
      <c r="I149" t="s">
        <v>1942</v>
      </c>
    </row>
    <row r="150" spans="1:9" x14ac:dyDescent="0.25">
      <c r="A150" t="s">
        <v>324</v>
      </c>
      <c r="B150" t="s">
        <v>2631</v>
      </c>
      <c r="C150" t="s">
        <v>2632</v>
      </c>
      <c r="D150" t="s">
        <v>2633</v>
      </c>
      <c r="E150" t="s">
        <v>2634</v>
      </c>
      <c r="F150" t="s">
        <v>2206</v>
      </c>
      <c r="G150" t="s">
        <v>1941</v>
      </c>
      <c r="H150">
        <v>84605</v>
      </c>
      <c r="I150" t="s">
        <v>1942</v>
      </c>
    </row>
    <row r="151" spans="1:9" x14ac:dyDescent="0.25">
      <c r="A151" t="s">
        <v>326</v>
      </c>
      <c r="B151" t="s">
        <v>2635</v>
      </c>
      <c r="D151" t="s">
        <v>2636</v>
      </c>
      <c r="E151" t="s">
        <v>2637</v>
      </c>
      <c r="F151" t="s">
        <v>2638</v>
      </c>
      <c r="G151" t="s">
        <v>1941</v>
      </c>
      <c r="H151">
        <v>33487</v>
      </c>
      <c r="I151" t="s">
        <v>1942</v>
      </c>
    </row>
    <row r="152" spans="1:9" x14ac:dyDescent="0.25">
      <c r="A152" t="s">
        <v>328</v>
      </c>
      <c r="B152" t="s">
        <v>2639</v>
      </c>
      <c r="C152" t="s">
        <v>2640</v>
      </c>
      <c r="D152" t="s">
        <v>2641</v>
      </c>
      <c r="E152" t="s">
        <v>2642</v>
      </c>
      <c r="F152" t="s">
        <v>2643</v>
      </c>
      <c r="G152" t="s">
        <v>1941</v>
      </c>
      <c r="H152">
        <v>24040</v>
      </c>
      <c r="I152" t="s">
        <v>1942</v>
      </c>
    </row>
    <row r="153" spans="1:9" x14ac:dyDescent="0.25">
      <c r="A153" t="s">
        <v>330</v>
      </c>
      <c r="B153" t="s">
        <v>2644</v>
      </c>
      <c r="D153" t="s">
        <v>2645</v>
      </c>
      <c r="E153" t="s">
        <v>2646</v>
      </c>
      <c r="F153" t="s">
        <v>2647</v>
      </c>
      <c r="G153" t="s">
        <v>1941</v>
      </c>
      <c r="H153">
        <v>50369</v>
      </c>
      <c r="I153" t="s">
        <v>1942</v>
      </c>
    </row>
    <row r="154" spans="1:9" x14ac:dyDescent="0.25">
      <c r="A154" t="s">
        <v>332</v>
      </c>
      <c r="B154" t="s">
        <v>2648</v>
      </c>
      <c r="C154" t="s">
        <v>2649</v>
      </c>
      <c r="D154" t="s">
        <v>2650</v>
      </c>
      <c r="E154" t="s">
        <v>2651</v>
      </c>
      <c r="F154" t="s">
        <v>2592</v>
      </c>
      <c r="G154" t="s">
        <v>1941</v>
      </c>
      <c r="H154">
        <v>96805</v>
      </c>
      <c r="I154" t="s">
        <v>1942</v>
      </c>
    </row>
    <row r="155" spans="1:9" x14ac:dyDescent="0.25">
      <c r="A155" t="s">
        <v>334</v>
      </c>
      <c r="B155" t="s">
        <v>2652</v>
      </c>
      <c r="D155" t="s">
        <v>2653</v>
      </c>
      <c r="E155" t="s">
        <v>2654</v>
      </c>
      <c r="F155" t="s">
        <v>2191</v>
      </c>
      <c r="G155" t="s">
        <v>1941</v>
      </c>
      <c r="H155">
        <v>33345</v>
      </c>
      <c r="I155" t="s">
        <v>1951</v>
      </c>
    </row>
    <row r="156" spans="1:9" x14ac:dyDescent="0.25">
      <c r="A156" t="s">
        <v>336</v>
      </c>
      <c r="B156" t="s">
        <v>2655</v>
      </c>
      <c r="C156" t="s">
        <v>2656</v>
      </c>
      <c r="D156" t="s">
        <v>2657</v>
      </c>
      <c r="E156" t="s">
        <v>2658</v>
      </c>
      <c r="F156" t="s">
        <v>2017</v>
      </c>
      <c r="G156" t="s">
        <v>1941</v>
      </c>
      <c r="H156">
        <v>19172</v>
      </c>
      <c r="I156" t="s">
        <v>1951</v>
      </c>
    </row>
    <row r="157" spans="1:9" x14ac:dyDescent="0.25">
      <c r="A157" t="s">
        <v>338</v>
      </c>
      <c r="B157" t="s">
        <v>2659</v>
      </c>
      <c r="C157" t="s">
        <v>2660</v>
      </c>
      <c r="D157" t="s">
        <v>2661</v>
      </c>
      <c r="E157" t="s">
        <v>2662</v>
      </c>
      <c r="F157" t="s">
        <v>2663</v>
      </c>
      <c r="G157" t="s">
        <v>1941</v>
      </c>
      <c r="H157">
        <v>6854</v>
      </c>
      <c r="I157" t="s">
        <v>1942</v>
      </c>
    </row>
    <row r="158" spans="1:9" x14ac:dyDescent="0.25">
      <c r="A158" t="s">
        <v>340</v>
      </c>
      <c r="B158" t="s">
        <v>2664</v>
      </c>
      <c r="C158" t="s">
        <v>2665</v>
      </c>
      <c r="D158" t="s">
        <v>2666</v>
      </c>
      <c r="E158" t="s">
        <v>2667</v>
      </c>
      <c r="F158" t="s">
        <v>2668</v>
      </c>
      <c r="G158" t="s">
        <v>1941</v>
      </c>
      <c r="H158">
        <v>76011</v>
      </c>
      <c r="I158" t="s">
        <v>1942</v>
      </c>
    </row>
    <row r="159" spans="1:9" x14ac:dyDescent="0.25">
      <c r="A159" t="s">
        <v>342</v>
      </c>
      <c r="B159" t="s">
        <v>2669</v>
      </c>
      <c r="C159" t="s">
        <v>2670</v>
      </c>
      <c r="D159" t="s">
        <v>2671</v>
      </c>
      <c r="E159" t="s">
        <v>2672</v>
      </c>
      <c r="F159" t="s">
        <v>2673</v>
      </c>
      <c r="G159" t="s">
        <v>1949</v>
      </c>
      <c r="H159" t="s">
        <v>2674</v>
      </c>
      <c r="I159" t="s">
        <v>1951</v>
      </c>
    </row>
    <row r="160" spans="1:9" x14ac:dyDescent="0.25">
      <c r="A160" t="s">
        <v>344</v>
      </c>
      <c r="B160" t="s">
        <v>2675</v>
      </c>
      <c r="D160" t="s">
        <v>2676</v>
      </c>
      <c r="E160" t="s">
        <v>2677</v>
      </c>
      <c r="F160" t="s">
        <v>2678</v>
      </c>
      <c r="G160" t="s">
        <v>1941</v>
      </c>
      <c r="H160">
        <v>37416</v>
      </c>
      <c r="I160" t="s">
        <v>1942</v>
      </c>
    </row>
    <row r="161" spans="1:9" x14ac:dyDescent="0.25">
      <c r="A161" t="s">
        <v>346</v>
      </c>
      <c r="B161" t="s">
        <v>2679</v>
      </c>
      <c r="D161" t="s">
        <v>2680</v>
      </c>
      <c r="E161" t="s">
        <v>2681</v>
      </c>
      <c r="F161" t="s">
        <v>2022</v>
      </c>
      <c r="G161" t="s">
        <v>1941</v>
      </c>
      <c r="H161">
        <v>97296</v>
      </c>
      <c r="I161" t="s">
        <v>1951</v>
      </c>
    </row>
    <row r="162" spans="1:9" x14ac:dyDescent="0.25">
      <c r="A162" t="s">
        <v>348</v>
      </c>
      <c r="B162" t="s">
        <v>2682</v>
      </c>
      <c r="C162" t="s">
        <v>2683</v>
      </c>
      <c r="D162" t="s">
        <v>2684</v>
      </c>
      <c r="E162" t="s">
        <v>2685</v>
      </c>
      <c r="F162" t="s">
        <v>2362</v>
      </c>
      <c r="G162" t="s">
        <v>1941</v>
      </c>
      <c r="H162">
        <v>73135</v>
      </c>
      <c r="I162" t="s">
        <v>1951</v>
      </c>
    </row>
    <row r="163" spans="1:9" x14ac:dyDescent="0.25">
      <c r="A163" t="s">
        <v>350</v>
      </c>
      <c r="B163" t="s">
        <v>2686</v>
      </c>
      <c r="C163" t="s">
        <v>2687</v>
      </c>
      <c r="D163" t="s">
        <v>2688</v>
      </c>
      <c r="E163" t="s">
        <v>2689</v>
      </c>
      <c r="F163" t="s">
        <v>2186</v>
      </c>
      <c r="G163" t="s">
        <v>1941</v>
      </c>
      <c r="H163">
        <v>20520</v>
      </c>
      <c r="I163" t="s">
        <v>1951</v>
      </c>
    </row>
    <row r="164" spans="1:9" x14ac:dyDescent="0.25">
      <c r="A164" t="s">
        <v>352</v>
      </c>
      <c r="B164" t="s">
        <v>2690</v>
      </c>
      <c r="C164" t="s">
        <v>2691</v>
      </c>
      <c r="D164" t="s">
        <v>2692</v>
      </c>
      <c r="E164" t="s">
        <v>2693</v>
      </c>
      <c r="F164" t="s">
        <v>2694</v>
      </c>
      <c r="G164" t="s">
        <v>1941</v>
      </c>
      <c r="H164">
        <v>27415</v>
      </c>
      <c r="I164" t="s">
        <v>1942</v>
      </c>
    </row>
    <row r="165" spans="1:9" x14ac:dyDescent="0.25">
      <c r="A165" t="s">
        <v>354</v>
      </c>
      <c r="B165" t="s">
        <v>2695</v>
      </c>
      <c r="C165" t="s">
        <v>2696</v>
      </c>
      <c r="D165" t="s">
        <v>2697</v>
      </c>
      <c r="E165" t="s">
        <v>2698</v>
      </c>
      <c r="F165" t="s">
        <v>2699</v>
      </c>
      <c r="G165" t="s">
        <v>1941</v>
      </c>
      <c r="H165">
        <v>22313</v>
      </c>
      <c r="I165" t="s">
        <v>1951</v>
      </c>
    </row>
    <row r="166" spans="1:9" x14ac:dyDescent="0.25">
      <c r="A166" t="s">
        <v>356</v>
      </c>
      <c r="B166" t="s">
        <v>2700</v>
      </c>
      <c r="C166" t="s">
        <v>2701</v>
      </c>
      <c r="D166" t="s">
        <v>2702</v>
      </c>
      <c r="E166" t="s">
        <v>2703</v>
      </c>
      <c r="F166" t="s">
        <v>2704</v>
      </c>
      <c r="G166" t="s">
        <v>1949</v>
      </c>
      <c r="H166" t="s">
        <v>2705</v>
      </c>
      <c r="I166" t="s">
        <v>1951</v>
      </c>
    </row>
    <row r="167" spans="1:9" x14ac:dyDescent="0.25">
      <c r="A167" t="s">
        <v>358</v>
      </c>
      <c r="B167" t="s">
        <v>2706</v>
      </c>
      <c r="D167" t="s">
        <v>2707</v>
      </c>
      <c r="E167" t="s">
        <v>2708</v>
      </c>
      <c r="F167" t="s">
        <v>2709</v>
      </c>
      <c r="G167" t="s">
        <v>1941</v>
      </c>
      <c r="H167">
        <v>53405</v>
      </c>
      <c r="I167" t="s">
        <v>1942</v>
      </c>
    </row>
    <row r="168" spans="1:9" x14ac:dyDescent="0.25">
      <c r="A168" t="s">
        <v>360</v>
      </c>
      <c r="B168" t="s">
        <v>2710</v>
      </c>
      <c r="D168" t="s">
        <v>2711</v>
      </c>
      <c r="E168" t="s">
        <v>2712</v>
      </c>
      <c r="F168" t="s">
        <v>2713</v>
      </c>
      <c r="G168" t="s">
        <v>1941</v>
      </c>
      <c r="H168">
        <v>34629</v>
      </c>
      <c r="I168" t="s">
        <v>1942</v>
      </c>
    </row>
    <row r="169" spans="1:9" x14ac:dyDescent="0.25">
      <c r="A169" t="s">
        <v>362</v>
      </c>
      <c r="B169" t="s">
        <v>2714</v>
      </c>
      <c r="C169" t="s">
        <v>2715</v>
      </c>
      <c r="D169" t="s">
        <v>2716</v>
      </c>
      <c r="E169" t="s">
        <v>2717</v>
      </c>
      <c r="F169" t="s">
        <v>2709</v>
      </c>
      <c r="G169" t="s">
        <v>1941</v>
      </c>
      <c r="H169">
        <v>53405</v>
      </c>
      <c r="I169" t="s">
        <v>1942</v>
      </c>
    </row>
    <row r="170" spans="1:9" x14ac:dyDescent="0.25">
      <c r="A170" t="s">
        <v>364</v>
      </c>
      <c r="B170" t="s">
        <v>2718</v>
      </c>
      <c r="D170" t="s">
        <v>2719</v>
      </c>
      <c r="E170" t="s">
        <v>2720</v>
      </c>
      <c r="F170" t="s">
        <v>2704</v>
      </c>
      <c r="G170" t="s">
        <v>1949</v>
      </c>
      <c r="H170" t="s">
        <v>2705</v>
      </c>
      <c r="I170" t="s">
        <v>1951</v>
      </c>
    </row>
    <row r="171" spans="1:9" x14ac:dyDescent="0.25">
      <c r="A171" t="s">
        <v>366</v>
      </c>
      <c r="B171" t="s">
        <v>2721</v>
      </c>
      <c r="C171" t="s">
        <v>2722</v>
      </c>
      <c r="D171" t="s">
        <v>2723</v>
      </c>
      <c r="E171" t="s">
        <v>2724</v>
      </c>
      <c r="F171" t="s">
        <v>2725</v>
      </c>
      <c r="G171" t="s">
        <v>1949</v>
      </c>
      <c r="H171" t="s">
        <v>2726</v>
      </c>
      <c r="I171" t="s">
        <v>1951</v>
      </c>
    </row>
    <row r="172" spans="1:9" x14ac:dyDescent="0.25">
      <c r="A172" t="s">
        <v>368</v>
      </c>
      <c r="B172" t="s">
        <v>2727</v>
      </c>
      <c r="C172" t="s">
        <v>2728</v>
      </c>
      <c r="E172" t="s">
        <v>2729</v>
      </c>
      <c r="F172" t="s">
        <v>2730</v>
      </c>
      <c r="G172" t="s">
        <v>2116</v>
      </c>
      <c r="H172" t="s">
        <v>2731</v>
      </c>
      <c r="I172" t="s">
        <v>1951</v>
      </c>
    </row>
    <row r="173" spans="1:9" x14ac:dyDescent="0.25">
      <c r="A173" t="s">
        <v>370</v>
      </c>
      <c r="B173" t="s">
        <v>2732</v>
      </c>
      <c r="C173" t="s">
        <v>2733</v>
      </c>
      <c r="D173" t="s">
        <v>2734</v>
      </c>
      <c r="E173" t="s">
        <v>2735</v>
      </c>
      <c r="F173" t="s">
        <v>2220</v>
      </c>
      <c r="G173" t="s">
        <v>1941</v>
      </c>
      <c r="H173">
        <v>33686</v>
      </c>
      <c r="I173" t="s">
        <v>1942</v>
      </c>
    </row>
    <row r="174" spans="1:9" x14ac:dyDescent="0.25">
      <c r="A174" t="s">
        <v>372</v>
      </c>
      <c r="B174" t="s">
        <v>2736</v>
      </c>
      <c r="C174" t="s">
        <v>2737</v>
      </c>
      <c r="E174" t="s">
        <v>2738</v>
      </c>
      <c r="F174" t="s">
        <v>2739</v>
      </c>
      <c r="G174" t="s">
        <v>1949</v>
      </c>
      <c r="H174" t="s">
        <v>2412</v>
      </c>
      <c r="I174" t="s">
        <v>1951</v>
      </c>
    </row>
    <row r="175" spans="1:9" x14ac:dyDescent="0.25">
      <c r="A175" t="s">
        <v>374</v>
      </c>
      <c r="B175" t="s">
        <v>2740</v>
      </c>
      <c r="C175" t="s">
        <v>2741</v>
      </c>
      <c r="D175" t="s">
        <v>2742</v>
      </c>
      <c r="E175" t="s">
        <v>2743</v>
      </c>
      <c r="F175" t="s">
        <v>2744</v>
      </c>
      <c r="G175" t="s">
        <v>1941</v>
      </c>
      <c r="H175">
        <v>36195</v>
      </c>
      <c r="I175" t="s">
        <v>1951</v>
      </c>
    </row>
    <row r="176" spans="1:9" x14ac:dyDescent="0.25">
      <c r="A176" t="s">
        <v>376</v>
      </c>
      <c r="B176" t="s">
        <v>2745</v>
      </c>
      <c r="D176" t="s">
        <v>2746</v>
      </c>
      <c r="E176" t="s">
        <v>2747</v>
      </c>
      <c r="F176" t="s">
        <v>2748</v>
      </c>
      <c r="G176" t="s">
        <v>1941</v>
      </c>
      <c r="H176">
        <v>89436</v>
      </c>
      <c r="I176" t="s">
        <v>1942</v>
      </c>
    </row>
    <row r="177" spans="1:9" x14ac:dyDescent="0.25">
      <c r="A177" t="s">
        <v>378</v>
      </c>
      <c r="B177" t="s">
        <v>2749</v>
      </c>
      <c r="C177" t="s">
        <v>2750</v>
      </c>
      <c r="D177" t="s">
        <v>2751</v>
      </c>
      <c r="E177" t="s">
        <v>2752</v>
      </c>
      <c r="F177" t="s">
        <v>2753</v>
      </c>
      <c r="G177" t="s">
        <v>1941</v>
      </c>
      <c r="H177">
        <v>31205</v>
      </c>
      <c r="I177" t="s">
        <v>1942</v>
      </c>
    </row>
    <row r="178" spans="1:9" x14ac:dyDescent="0.25">
      <c r="A178" t="s">
        <v>380</v>
      </c>
      <c r="B178" t="s">
        <v>2754</v>
      </c>
      <c r="C178" t="s">
        <v>2755</v>
      </c>
      <c r="D178" t="s">
        <v>2756</v>
      </c>
      <c r="E178" t="s">
        <v>2757</v>
      </c>
      <c r="F178" t="s">
        <v>2758</v>
      </c>
      <c r="G178" t="s">
        <v>1941</v>
      </c>
      <c r="H178">
        <v>90605</v>
      </c>
      <c r="I178" t="s">
        <v>1942</v>
      </c>
    </row>
    <row r="179" spans="1:9" x14ac:dyDescent="0.25">
      <c r="A179" t="s">
        <v>382</v>
      </c>
      <c r="B179" t="s">
        <v>2759</v>
      </c>
      <c r="C179" t="s">
        <v>2760</v>
      </c>
      <c r="E179" t="s">
        <v>2761</v>
      </c>
      <c r="F179" t="s">
        <v>2762</v>
      </c>
      <c r="G179" t="s">
        <v>1941</v>
      </c>
      <c r="H179">
        <v>37605</v>
      </c>
      <c r="I179" t="s">
        <v>1942</v>
      </c>
    </row>
    <row r="180" spans="1:9" x14ac:dyDescent="0.25">
      <c r="A180" t="s">
        <v>384</v>
      </c>
      <c r="B180" t="s">
        <v>2763</v>
      </c>
      <c r="C180" t="s">
        <v>2764</v>
      </c>
      <c r="D180" t="s">
        <v>2765</v>
      </c>
      <c r="E180" t="s">
        <v>2766</v>
      </c>
      <c r="F180" t="s">
        <v>2163</v>
      </c>
      <c r="G180" t="s">
        <v>1941</v>
      </c>
      <c r="H180">
        <v>14614</v>
      </c>
      <c r="I180" t="s">
        <v>1951</v>
      </c>
    </row>
    <row r="181" spans="1:9" x14ac:dyDescent="0.25">
      <c r="A181" t="s">
        <v>386</v>
      </c>
      <c r="B181" t="s">
        <v>2767</v>
      </c>
      <c r="D181" t="s">
        <v>2768</v>
      </c>
      <c r="E181" t="s">
        <v>2769</v>
      </c>
      <c r="F181" t="s">
        <v>2770</v>
      </c>
      <c r="G181" t="s">
        <v>1949</v>
      </c>
      <c r="H181" t="s">
        <v>2771</v>
      </c>
      <c r="I181" t="s">
        <v>1951</v>
      </c>
    </row>
    <row r="182" spans="1:9" x14ac:dyDescent="0.25">
      <c r="A182" t="s">
        <v>388</v>
      </c>
      <c r="B182" t="s">
        <v>2772</v>
      </c>
      <c r="C182" t="s">
        <v>2773</v>
      </c>
      <c r="D182" t="s">
        <v>2774</v>
      </c>
      <c r="E182" t="s">
        <v>2775</v>
      </c>
      <c r="F182" t="s">
        <v>2776</v>
      </c>
      <c r="G182" t="s">
        <v>1941</v>
      </c>
      <c r="H182">
        <v>11254</v>
      </c>
      <c r="I182" t="s">
        <v>1951</v>
      </c>
    </row>
    <row r="183" spans="1:9" x14ac:dyDescent="0.25">
      <c r="A183" t="s">
        <v>2777</v>
      </c>
      <c r="B183" t="s">
        <v>2778</v>
      </c>
      <c r="C183" t="s">
        <v>2779</v>
      </c>
      <c r="D183" t="s">
        <v>2780</v>
      </c>
      <c r="E183" t="s">
        <v>2781</v>
      </c>
      <c r="F183" t="s">
        <v>1962</v>
      </c>
      <c r="G183" t="s">
        <v>1941</v>
      </c>
      <c r="H183">
        <v>1114</v>
      </c>
      <c r="I183" t="s">
        <v>1951</v>
      </c>
    </row>
    <row r="184" spans="1:9" x14ac:dyDescent="0.25">
      <c r="A184" t="s">
        <v>390</v>
      </c>
      <c r="B184" t="s">
        <v>2782</v>
      </c>
      <c r="C184" t="s">
        <v>2783</v>
      </c>
      <c r="D184" t="s">
        <v>2784</v>
      </c>
      <c r="E184" t="s">
        <v>2785</v>
      </c>
      <c r="F184" t="s">
        <v>2786</v>
      </c>
      <c r="G184" t="s">
        <v>1941</v>
      </c>
      <c r="H184">
        <v>22908</v>
      </c>
      <c r="I184" t="s">
        <v>1951</v>
      </c>
    </row>
    <row r="185" spans="1:9" x14ac:dyDescent="0.25">
      <c r="A185" t="s">
        <v>392</v>
      </c>
      <c r="B185" t="s">
        <v>2787</v>
      </c>
      <c r="C185" t="s">
        <v>2788</v>
      </c>
      <c r="D185" t="s">
        <v>2789</v>
      </c>
      <c r="E185" t="s">
        <v>2790</v>
      </c>
      <c r="F185" t="s">
        <v>2791</v>
      </c>
      <c r="G185" t="s">
        <v>1941</v>
      </c>
      <c r="H185">
        <v>75044</v>
      </c>
      <c r="I185" t="s">
        <v>1951</v>
      </c>
    </row>
    <row r="186" spans="1:9" x14ac:dyDescent="0.25">
      <c r="A186" t="s">
        <v>394</v>
      </c>
      <c r="B186" t="s">
        <v>2792</v>
      </c>
      <c r="C186" t="s">
        <v>2793</v>
      </c>
      <c r="D186" t="s">
        <v>2794</v>
      </c>
      <c r="E186" t="s">
        <v>2795</v>
      </c>
      <c r="F186" t="s">
        <v>2137</v>
      </c>
      <c r="G186" t="s">
        <v>1941</v>
      </c>
      <c r="H186">
        <v>55448</v>
      </c>
      <c r="I186" t="s">
        <v>1951</v>
      </c>
    </row>
    <row r="187" spans="1:9" x14ac:dyDescent="0.25">
      <c r="A187" t="s">
        <v>396</v>
      </c>
      <c r="B187" t="s">
        <v>2796</v>
      </c>
      <c r="C187" t="s">
        <v>2797</v>
      </c>
      <c r="D187" t="s">
        <v>2798</v>
      </c>
      <c r="E187" t="s">
        <v>2799</v>
      </c>
      <c r="F187" t="s">
        <v>2800</v>
      </c>
      <c r="G187" t="s">
        <v>1941</v>
      </c>
      <c r="H187">
        <v>48919</v>
      </c>
      <c r="I187" t="s">
        <v>1942</v>
      </c>
    </row>
    <row r="188" spans="1:9" x14ac:dyDescent="0.25">
      <c r="A188" t="s">
        <v>398</v>
      </c>
      <c r="B188" t="s">
        <v>2801</v>
      </c>
      <c r="C188" t="s">
        <v>2802</v>
      </c>
      <c r="D188" t="s">
        <v>2803</v>
      </c>
      <c r="E188" t="s">
        <v>2804</v>
      </c>
      <c r="F188" t="s">
        <v>2110</v>
      </c>
      <c r="G188" t="s">
        <v>1941</v>
      </c>
      <c r="H188">
        <v>58207</v>
      </c>
      <c r="I188" t="s">
        <v>1951</v>
      </c>
    </row>
    <row r="189" spans="1:9" x14ac:dyDescent="0.25">
      <c r="A189" t="s">
        <v>400</v>
      </c>
      <c r="B189" t="s">
        <v>2805</v>
      </c>
      <c r="C189" t="s">
        <v>2806</v>
      </c>
      <c r="E189" t="s">
        <v>2807</v>
      </c>
      <c r="F189" t="s">
        <v>2501</v>
      </c>
      <c r="G189" t="s">
        <v>1941</v>
      </c>
      <c r="H189">
        <v>99522</v>
      </c>
      <c r="I189" t="s">
        <v>1942</v>
      </c>
    </row>
    <row r="190" spans="1:9" x14ac:dyDescent="0.25">
      <c r="A190" t="s">
        <v>402</v>
      </c>
      <c r="B190" t="s">
        <v>2808</v>
      </c>
      <c r="C190" t="s">
        <v>2809</v>
      </c>
      <c r="D190" t="s">
        <v>2810</v>
      </c>
      <c r="E190" t="s">
        <v>2811</v>
      </c>
      <c r="F190" t="s">
        <v>2362</v>
      </c>
      <c r="G190" t="s">
        <v>1941</v>
      </c>
      <c r="H190">
        <v>73129</v>
      </c>
      <c r="I190" t="s">
        <v>1942</v>
      </c>
    </row>
    <row r="191" spans="1:9" x14ac:dyDescent="0.25">
      <c r="A191" t="s">
        <v>404</v>
      </c>
      <c r="B191" t="s">
        <v>2812</v>
      </c>
      <c r="C191" t="s">
        <v>2813</v>
      </c>
      <c r="D191" t="s">
        <v>2814</v>
      </c>
      <c r="E191" t="s">
        <v>2815</v>
      </c>
      <c r="F191" t="s">
        <v>2816</v>
      </c>
      <c r="G191" t="s">
        <v>1941</v>
      </c>
      <c r="H191">
        <v>74103</v>
      </c>
      <c r="I191" t="s">
        <v>1942</v>
      </c>
    </row>
    <row r="192" spans="1:9" x14ac:dyDescent="0.25">
      <c r="A192" t="s">
        <v>406</v>
      </c>
      <c r="B192" t="s">
        <v>2817</v>
      </c>
      <c r="C192" t="s">
        <v>2818</v>
      </c>
      <c r="D192" t="s">
        <v>2819</v>
      </c>
      <c r="E192" t="s">
        <v>2820</v>
      </c>
      <c r="F192" t="s">
        <v>2821</v>
      </c>
      <c r="G192" t="s">
        <v>1941</v>
      </c>
      <c r="H192">
        <v>48211</v>
      </c>
      <c r="I192" t="s">
        <v>1942</v>
      </c>
    </row>
    <row r="193" spans="1:9" x14ac:dyDescent="0.25">
      <c r="A193" t="s">
        <v>408</v>
      </c>
      <c r="B193" t="s">
        <v>2822</v>
      </c>
      <c r="C193" t="s">
        <v>2823</v>
      </c>
      <c r="D193" t="s">
        <v>2824</v>
      </c>
      <c r="E193" t="s">
        <v>2825</v>
      </c>
      <c r="F193" t="s">
        <v>2186</v>
      </c>
      <c r="G193" t="s">
        <v>1941</v>
      </c>
      <c r="H193">
        <v>20436</v>
      </c>
      <c r="I193" t="s">
        <v>1942</v>
      </c>
    </row>
    <row r="194" spans="1:9" x14ac:dyDescent="0.25">
      <c r="A194" t="s">
        <v>410</v>
      </c>
      <c r="B194" t="s">
        <v>2826</v>
      </c>
      <c r="C194" t="s">
        <v>2827</v>
      </c>
      <c r="D194" t="s">
        <v>2828</v>
      </c>
      <c r="E194" t="s">
        <v>2829</v>
      </c>
      <c r="F194" t="s">
        <v>2830</v>
      </c>
      <c r="G194" t="s">
        <v>1949</v>
      </c>
      <c r="H194" t="s">
        <v>2831</v>
      </c>
      <c r="I194" t="s">
        <v>1942</v>
      </c>
    </row>
    <row r="195" spans="1:9" x14ac:dyDescent="0.25">
      <c r="A195" t="s">
        <v>412</v>
      </c>
      <c r="B195" t="s">
        <v>2832</v>
      </c>
      <c r="D195" t="s">
        <v>2833</v>
      </c>
      <c r="E195" t="s">
        <v>2834</v>
      </c>
      <c r="F195" t="s">
        <v>2835</v>
      </c>
      <c r="G195" t="s">
        <v>1941</v>
      </c>
      <c r="H195">
        <v>85215</v>
      </c>
      <c r="I195" t="s">
        <v>1951</v>
      </c>
    </row>
    <row r="196" spans="1:9" x14ac:dyDescent="0.25">
      <c r="A196" t="s">
        <v>414</v>
      </c>
      <c r="B196" t="s">
        <v>2836</v>
      </c>
      <c r="C196" t="s">
        <v>2837</v>
      </c>
      <c r="D196" t="s">
        <v>2838</v>
      </c>
      <c r="E196" t="s">
        <v>2839</v>
      </c>
      <c r="F196" t="s">
        <v>2840</v>
      </c>
      <c r="G196" t="s">
        <v>1941</v>
      </c>
      <c r="H196">
        <v>44485</v>
      </c>
      <c r="I196" t="s">
        <v>1951</v>
      </c>
    </row>
    <row r="197" spans="1:9" x14ac:dyDescent="0.25">
      <c r="A197" t="s">
        <v>416</v>
      </c>
      <c r="B197" t="s">
        <v>2841</v>
      </c>
      <c r="C197" t="s">
        <v>2842</v>
      </c>
      <c r="D197" t="s">
        <v>2843</v>
      </c>
      <c r="E197" t="s">
        <v>2844</v>
      </c>
      <c r="F197" t="s">
        <v>2845</v>
      </c>
      <c r="G197" t="s">
        <v>1941</v>
      </c>
      <c r="H197">
        <v>38150</v>
      </c>
      <c r="I197" t="s">
        <v>1951</v>
      </c>
    </row>
    <row r="198" spans="1:9" x14ac:dyDescent="0.25">
      <c r="A198" t="s">
        <v>418</v>
      </c>
      <c r="B198" t="s">
        <v>2846</v>
      </c>
      <c r="C198" t="s">
        <v>2847</v>
      </c>
      <c r="E198" t="s">
        <v>2848</v>
      </c>
      <c r="F198" t="s">
        <v>2186</v>
      </c>
      <c r="G198" t="s">
        <v>1941</v>
      </c>
      <c r="H198">
        <v>20535</v>
      </c>
      <c r="I198" t="s">
        <v>1951</v>
      </c>
    </row>
    <row r="199" spans="1:9" x14ac:dyDescent="0.25">
      <c r="A199" t="s">
        <v>2849</v>
      </c>
      <c r="B199" t="s">
        <v>2850</v>
      </c>
      <c r="C199" t="s">
        <v>2851</v>
      </c>
      <c r="D199" t="s">
        <v>2852</v>
      </c>
      <c r="E199" t="s">
        <v>2853</v>
      </c>
      <c r="F199" t="s">
        <v>2854</v>
      </c>
      <c r="G199" t="s">
        <v>1949</v>
      </c>
      <c r="H199" t="s">
        <v>2855</v>
      </c>
      <c r="I199" t="s">
        <v>1942</v>
      </c>
    </row>
    <row r="200" spans="1:9" x14ac:dyDescent="0.25">
      <c r="A200" t="s">
        <v>2856</v>
      </c>
      <c r="B200" t="s">
        <v>2857</v>
      </c>
      <c r="C200" t="s">
        <v>2858</v>
      </c>
      <c r="D200" t="s">
        <v>2859</v>
      </c>
      <c r="E200" t="s">
        <v>2860</v>
      </c>
      <c r="F200" t="s">
        <v>2861</v>
      </c>
      <c r="G200" t="s">
        <v>1941</v>
      </c>
      <c r="H200">
        <v>33064</v>
      </c>
      <c r="I200" t="s">
        <v>1951</v>
      </c>
    </row>
    <row r="201" spans="1:9" x14ac:dyDescent="0.25">
      <c r="A201" t="s">
        <v>2862</v>
      </c>
      <c r="B201" t="s">
        <v>2863</v>
      </c>
      <c r="C201" t="s">
        <v>2864</v>
      </c>
      <c r="D201" t="s">
        <v>2865</v>
      </c>
      <c r="E201" t="s">
        <v>2866</v>
      </c>
      <c r="F201" t="s">
        <v>2252</v>
      </c>
      <c r="G201" t="s">
        <v>1941</v>
      </c>
      <c r="H201">
        <v>60604</v>
      </c>
      <c r="I201" t="s">
        <v>1951</v>
      </c>
    </row>
    <row r="202" spans="1:9" x14ac:dyDescent="0.25">
      <c r="A202" t="s">
        <v>2867</v>
      </c>
      <c r="B202" t="s">
        <v>2868</v>
      </c>
      <c r="C202" t="s">
        <v>2869</v>
      </c>
      <c r="D202" t="s">
        <v>2870</v>
      </c>
      <c r="E202" t="s">
        <v>2871</v>
      </c>
      <c r="F202" t="s">
        <v>2872</v>
      </c>
      <c r="G202" t="s">
        <v>2116</v>
      </c>
      <c r="H202" t="s">
        <v>2873</v>
      </c>
      <c r="I202" t="s">
        <v>1951</v>
      </c>
    </row>
    <row r="203" spans="1:9" x14ac:dyDescent="0.25">
      <c r="A203" t="s">
        <v>420</v>
      </c>
      <c r="B203" t="s">
        <v>2874</v>
      </c>
      <c r="D203" t="s">
        <v>2875</v>
      </c>
      <c r="E203" t="s">
        <v>2876</v>
      </c>
      <c r="F203" t="s">
        <v>2154</v>
      </c>
      <c r="G203" t="s">
        <v>1941</v>
      </c>
      <c r="H203">
        <v>84409</v>
      </c>
      <c r="I203" t="s">
        <v>1951</v>
      </c>
    </row>
    <row r="204" spans="1:9" x14ac:dyDescent="0.25">
      <c r="A204" t="s">
        <v>422</v>
      </c>
      <c r="B204" t="s">
        <v>2877</v>
      </c>
      <c r="C204" t="s">
        <v>2878</v>
      </c>
      <c r="D204" t="s">
        <v>2879</v>
      </c>
      <c r="E204" t="s">
        <v>2880</v>
      </c>
      <c r="F204" t="s">
        <v>2881</v>
      </c>
      <c r="G204" t="s">
        <v>1941</v>
      </c>
      <c r="H204">
        <v>12205</v>
      </c>
      <c r="I204" t="s">
        <v>1942</v>
      </c>
    </row>
    <row r="205" spans="1:9" x14ac:dyDescent="0.25">
      <c r="A205" t="s">
        <v>424</v>
      </c>
      <c r="B205" t="s">
        <v>2882</v>
      </c>
      <c r="C205" t="s">
        <v>2883</v>
      </c>
      <c r="D205" t="s">
        <v>2884</v>
      </c>
      <c r="E205" t="s">
        <v>2885</v>
      </c>
      <c r="F205" t="s">
        <v>2886</v>
      </c>
      <c r="G205" t="s">
        <v>1941</v>
      </c>
      <c r="H205">
        <v>29305</v>
      </c>
      <c r="I205" t="s">
        <v>1951</v>
      </c>
    </row>
    <row r="206" spans="1:9" x14ac:dyDescent="0.25">
      <c r="A206" t="s">
        <v>426</v>
      </c>
      <c r="B206" t="s">
        <v>2887</v>
      </c>
      <c r="D206" t="s">
        <v>2888</v>
      </c>
      <c r="E206" t="s">
        <v>2889</v>
      </c>
      <c r="F206" t="s">
        <v>2890</v>
      </c>
      <c r="G206" t="s">
        <v>1941</v>
      </c>
      <c r="H206">
        <v>10310</v>
      </c>
      <c r="I206" t="s">
        <v>1951</v>
      </c>
    </row>
    <row r="207" spans="1:9" x14ac:dyDescent="0.25">
      <c r="A207" t="s">
        <v>428</v>
      </c>
      <c r="B207" t="s">
        <v>2891</v>
      </c>
      <c r="D207" t="s">
        <v>2892</v>
      </c>
      <c r="E207" t="s">
        <v>2893</v>
      </c>
      <c r="F207" t="s">
        <v>2186</v>
      </c>
      <c r="G207" t="s">
        <v>1941</v>
      </c>
      <c r="H207">
        <v>20337</v>
      </c>
      <c r="I207" t="s">
        <v>1942</v>
      </c>
    </row>
    <row r="208" spans="1:9" x14ac:dyDescent="0.25">
      <c r="A208" t="s">
        <v>430</v>
      </c>
      <c r="B208" t="s">
        <v>2894</v>
      </c>
      <c r="C208" t="s">
        <v>2895</v>
      </c>
      <c r="E208" t="s">
        <v>2896</v>
      </c>
      <c r="F208" t="s">
        <v>2300</v>
      </c>
      <c r="G208" t="s">
        <v>1941</v>
      </c>
      <c r="H208">
        <v>28225</v>
      </c>
      <c r="I208" t="s">
        <v>1951</v>
      </c>
    </row>
    <row r="209" spans="1:9" x14ac:dyDescent="0.25">
      <c r="A209" t="s">
        <v>432</v>
      </c>
      <c r="B209" t="s">
        <v>2897</v>
      </c>
      <c r="C209" t="s">
        <v>2898</v>
      </c>
      <c r="D209" t="s">
        <v>2899</v>
      </c>
      <c r="E209" t="s">
        <v>2900</v>
      </c>
      <c r="F209" t="s">
        <v>2901</v>
      </c>
      <c r="G209" t="s">
        <v>1941</v>
      </c>
      <c r="H209">
        <v>79491</v>
      </c>
      <c r="I209" t="s">
        <v>1942</v>
      </c>
    </row>
    <row r="210" spans="1:9" x14ac:dyDescent="0.25">
      <c r="A210" t="s">
        <v>434</v>
      </c>
      <c r="B210" t="s">
        <v>2902</v>
      </c>
      <c r="C210" t="s">
        <v>2903</v>
      </c>
      <c r="D210" t="s">
        <v>2904</v>
      </c>
      <c r="E210" t="s">
        <v>2905</v>
      </c>
      <c r="F210" t="s">
        <v>2906</v>
      </c>
      <c r="G210" t="s">
        <v>1949</v>
      </c>
      <c r="H210" t="s">
        <v>2907</v>
      </c>
      <c r="I210" t="s">
        <v>1942</v>
      </c>
    </row>
    <row r="211" spans="1:9" x14ac:dyDescent="0.25">
      <c r="A211" t="s">
        <v>436</v>
      </c>
      <c r="B211" t="s">
        <v>2908</v>
      </c>
      <c r="C211" t="s">
        <v>2909</v>
      </c>
      <c r="D211" t="s">
        <v>2910</v>
      </c>
      <c r="E211" t="s">
        <v>2911</v>
      </c>
      <c r="F211" t="s">
        <v>2912</v>
      </c>
      <c r="G211" t="s">
        <v>2116</v>
      </c>
      <c r="H211" t="s">
        <v>2913</v>
      </c>
      <c r="I211" t="s">
        <v>1951</v>
      </c>
    </row>
    <row r="212" spans="1:9" x14ac:dyDescent="0.25">
      <c r="A212" t="s">
        <v>438</v>
      </c>
      <c r="B212" t="s">
        <v>2914</v>
      </c>
      <c r="C212" t="s">
        <v>2915</v>
      </c>
      <c r="D212" t="s">
        <v>2916</v>
      </c>
      <c r="E212" t="s">
        <v>2917</v>
      </c>
      <c r="F212" t="s">
        <v>2786</v>
      </c>
      <c r="G212" t="s">
        <v>1941</v>
      </c>
      <c r="H212">
        <v>22908</v>
      </c>
      <c r="I212" t="s">
        <v>1942</v>
      </c>
    </row>
    <row r="213" spans="1:9" x14ac:dyDescent="0.25">
      <c r="A213" t="s">
        <v>440</v>
      </c>
      <c r="B213" t="s">
        <v>2918</v>
      </c>
      <c r="C213" t="s">
        <v>2919</v>
      </c>
      <c r="E213" t="s">
        <v>2920</v>
      </c>
      <c r="F213" t="s">
        <v>2037</v>
      </c>
      <c r="G213" t="s">
        <v>1941</v>
      </c>
      <c r="H213">
        <v>10105</v>
      </c>
      <c r="I213" t="s">
        <v>1951</v>
      </c>
    </row>
    <row r="214" spans="1:9" x14ac:dyDescent="0.25">
      <c r="A214" t="s">
        <v>442</v>
      </c>
      <c r="B214" t="s">
        <v>2921</v>
      </c>
      <c r="C214" t="s">
        <v>2922</v>
      </c>
      <c r="D214" t="s">
        <v>2923</v>
      </c>
      <c r="E214" t="s">
        <v>2924</v>
      </c>
      <c r="F214" t="s">
        <v>2643</v>
      </c>
      <c r="G214" t="s">
        <v>1941</v>
      </c>
      <c r="H214">
        <v>24009</v>
      </c>
      <c r="I214" t="s">
        <v>1942</v>
      </c>
    </row>
    <row r="215" spans="1:9" x14ac:dyDescent="0.25">
      <c r="A215" t="s">
        <v>444</v>
      </c>
      <c r="B215" t="s">
        <v>2925</v>
      </c>
      <c r="C215" t="s">
        <v>2926</v>
      </c>
      <c r="D215" t="s">
        <v>2927</v>
      </c>
      <c r="E215" t="s">
        <v>2928</v>
      </c>
      <c r="F215" t="s">
        <v>2037</v>
      </c>
      <c r="G215" t="s">
        <v>1941</v>
      </c>
      <c r="H215">
        <v>10009</v>
      </c>
      <c r="I215" t="s">
        <v>1951</v>
      </c>
    </row>
    <row r="216" spans="1:9" x14ac:dyDescent="0.25">
      <c r="A216" t="s">
        <v>446</v>
      </c>
      <c r="B216" t="s">
        <v>2929</v>
      </c>
      <c r="C216" t="s">
        <v>2930</v>
      </c>
      <c r="D216" t="s">
        <v>2931</v>
      </c>
      <c r="E216" t="s">
        <v>2932</v>
      </c>
      <c r="F216" t="s">
        <v>2933</v>
      </c>
      <c r="G216" t="s">
        <v>1949</v>
      </c>
      <c r="H216" t="s">
        <v>2083</v>
      </c>
      <c r="I216" t="s">
        <v>1951</v>
      </c>
    </row>
    <row r="217" spans="1:9" x14ac:dyDescent="0.25">
      <c r="A217" t="s">
        <v>448</v>
      </c>
      <c r="B217" t="s">
        <v>2934</v>
      </c>
      <c r="C217" t="s">
        <v>2935</v>
      </c>
      <c r="D217" t="s">
        <v>2936</v>
      </c>
      <c r="E217" t="s">
        <v>2937</v>
      </c>
      <c r="F217" t="s">
        <v>2938</v>
      </c>
      <c r="G217" t="s">
        <v>1941</v>
      </c>
      <c r="H217">
        <v>84120</v>
      </c>
      <c r="I217" t="s">
        <v>1951</v>
      </c>
    </row>
    <row r="218" spans="1:9" x14ac:dyDescent="0.25">
      <c r="A218" t="s">
        <v>450</v>
      </c>
      <c r="B218" t="s">
        <v>2939</v>
      </c>
      <c r="C218" t="s">
        <v>2940</v>
      </c>
      <c r="D218" t="s">
        <v>2941</v>
      </c>
      <c r="E218" t="s">
        <v>2942</v>
      </c>
      <c r="F218" t="s">
        <v>2211</v>
      </c>
      <c r="G218" t="s">
        <v>1941</v>
      </c>
      <c r="H218">
        <v>43635</v>
      </c>
      <c r="I218" t="s">
        <v>1942</v>
      </c>
    </row>
    <row r="219" spans="1:9" x14ac:dyDescent="0.25">
      <c r="A219" t="s">
        <v>452</v>
      </c>
      <c r="B219" t="s">
        <v>2943</v>
      </c>
      <c r="C219" t="s">
        <v>2944</v>
      </c>
      <c r="D219" t="s">
        <v>2945</v>
      </c>
      <c r="E219" t="s">
        <v>2946</v>
      </c>
      <c r="F219" t="s">
        <v>2947</v>
      </c>
      <c r="G219" t="s">
        <v>1941</v>
      </c>
      <c r="H219">
        <v>91131</v>
      </c>
      <c r="I219" t="s">
        <v>1951</v>
      </c>
    </row>
    <row r="220" spans="1:9" x14ac:dyDescent="0.25">
      <c r="A220" t="s">
        <v>454</v>
      </c>
      <c r="B220" t="s">
        <v>2948</v>
      </c>
      <c r="C220" t="s">
        <v>2949</v>
      </c>
      <c r="D220" t="s">
        <v>2950</v>
      </c>
      <c r="E220" t="s">
        <v>2951</v>
      </c>
      <c r="F220" t="s">
        <v>2952</v>
      </c>
      <c r="G220" t="s">
        <v>1949</v>
      </c>
      <c r="H220" t="s">
        <v>2293</v>
      </c>
      <c r="I220" t="s">
        <v>1942</v>
      </c>
    </row>
    <row r="221" spans="1:9" x14ac:dyDescent="0.25">
      <c r="A221" t="s">
        <v>456</v>
      </c>
      <c r="B221" t="s">
        <v>2953</v>
      </c>
      <c r="C221" t="s">
        <v>2954</v>
      </c>
      <c r="D221" t="s">
        <v>2955</v>
      </c>
      <c r="E221" t="s">
        <v>2956</v>
      </c>
      <c r="F221" t="s">
        <v>2957</v>
      </c>
      <c r="G221" t="s">
        <v>1941</v>
      </c>
      <c r="H221">
        <v>64082</v>
      </c>
      <c r="I221" t="s">
        <v>1951</v>
      </c>
    </row>
    <row r="222" spans="1:9" x14ac:dyDescent="0.25">
      <c r="A222" t="s">
        <v>2958</v>
      </c>
      <c r="B222" t="s">
        <v>2959</v>
      </c>
      <c r="C222" t="s">
        <v>2960</v>
      </c>
      <c r="D222" t="s">
        <v>2961</v>
      </c>
      <c r="E222" t="s">
        <v>2962</v>
      </c>
      <c r="F222" t="s">
        <v>2266</v>
      </c>
      <c r="G222" t="s">
        <v>1941</v>
      </c>
      <c r="H222">
        <v>76121</v>
      </c>
      <c r="I222" t="s">
        <v>1951</v>
      </c>
    </row>
    <row r="223" spans="1:9" x14ac:dyDescent="0.25">
      <c r="A223" t="s">
        <v>458</v>
      </c>
      <c r="B223" t="s">
        <v>2963</v>
      </c>
      <c r="C223" t="s">
        <v>2964</v>
      </c>
      <c r="D223" t="s">
        <v>2965</v>
      </c>
      <c r="E223" t="s">
        <v>2966</v>
      </c>
      <c r="F223" t="s">
        <v>2967</v>
      </c>
      <c r="G223" t="s">
        <v>1941</v>
      </c>
      <c r="H223">
        <v>92619</v>
      </c>
      <c r="I223" t="s">
        <v>1942</v>
      </c>
    </row>
    <row r="224" spans="1:9" x14ac:dyDescent="0.25">
      <c r="A224" t="s">
        <v>460</v>
      </c>
      <c r="B224" t="s">
        <v>2968</v>
      </c>
      <c r="C224" t="s">
        <v>2969</v>
      </c>
      <c r="D224" t="s">
        <v>2970</v>
      </c>
      <c r="E224" t="s">
        <v>2971</v>
      </c>
      <c r="F224" t="s">
        <v>2972</v>
      </c>
      <c r="G224" t="s">
        <v>1941</v>
      </c>
      <c r="H224">
        <v>11854</v>
      </c>
      <c r="I224" t="s">
        <v>1951</v>
      </c>
    </row>
    <row r="225" spans="1:9" x14ac:dyDescent="0.25">
      <c r="A225" t="s">
        <v>462</v>
      </c>
      <c r="B225" t="s">
        <v>2973</v>
      </c>
      <c r="D225" t="s">
        <v>2974</v>
      </c>
      <c r="E225" t="s">
        <v>2975</v>
      </c>
      <c r="F225" t="s">
        <v>2186</v>
      </c>
      <c r="G225" t="s">
        <v>1941</v>
      </c>
      <c r="H225">
        <v>20546</v>
      </c>
      <c r="I225" t="s">
        <v>1942</v>
      </c>
    </row>
    <row r="226" spans="1:9" x14ac:dyDescent="0.25">
      <c r="A226" t="s">
        <v>464</v>
      </c>
      <c r="B226" t="s">
        <v>2976</v>
      </c>
      <c r="C226" t="s">
        <v>2977</v>
      </c>
      <c r="D226" t="s">
        <v>2978</v>
      </c>
      <c r="E226" t="s">
        <v>2979</v>
      </c>
      <c r="F226" t="s">
        <v>2037</v>
      </c>
      <c r="G226" t="s">
        <v>1941</v>
      </c>
      <c r="H226">
        <v>10060</v>
      </c>
      <c r="I226" t="s">
        <v>1942</v>
      </c>
    </row>
    <row r="227" spans="1:9" x14ac:dyDescent="0.25">
      <c r="A227" t="s">
        <v>466</v>
      </c>
      <c r="B227" t="s">
        <v>2980</v>
      </c>
      <c r="C227" t="s">
        <v>2981</v>
      </c>
      <c r="D227" t="s">
        <v>2982</v>
      </c>
      <c r="E227" t="s">
        <v>2983</v>
      </c>
      <c r="F227" t="s">
        <v>2292</v>
      </c>
      <c r="G227" t="s">
        <v>1949</v>
      </c>
      <c r="H227" t="s">
        <v>2293</v>
      </c>
      <c r="I227" t="s">
        <v>1951</v>
      </c>
    </row>
    <row r="228" spans="1:9" x14ac:dyDescent="0.25">
      <c r="A228" t="s">
        <v>468</v>
      </c>
      <c r="B228" t="s">
        <v>2984</v>
      </c>
      <c r="C228" t="s">
        <v>2985</v>
      </c>
      <c r="D228" t="s">
        <v>2986</v>
      </c>
      <c r="E228" t="s">
        <v>2987</v>
      </c>
      <c r="F228" t="s">
        <v>2988</v>
      </c>
      <c r="G228" t="s">
        <v>1941</v>
      </c>
      <c r="H228">
        <v>66276</v>
      </c>
      <c r="I228" t="s">
        <v>1951</v>
      </c>
    </row>
    <row r="229" spans="1:9" x14ac:dyDescent="0.25">
      <c r="A229" t="s">
        <v>470</v>
      </c>
      <c r="B229" t="s">
        <v>2989</v>
      </c>
      <c r="C229" t="s">
        <v>2990</v>
      </c>
      <c r="D229" t="s">
        <v>2991</v>
      </c>
      <c r="E229" t="s">
        <v>2992</v>
      </c>
      <c r="F229" t="s">
        <v>2993</v>
      </c>
      <c r="G229" t="s">
        <v>2116</v>
      </c>
      <c r="H229" t="s">
        <v>2994</v>
      </c>
      <c r="I229" t="s">
        <v>1942</v>
      </c>
    </row>
    <row r="230" spans="1:9" x14ac:dyDescent="0.25">
      <c r="A230" t="s">
        <v>472</v>
      </c>
      <c r="B230" t="s">
        <v>2995</v>
      </c>
      <c r="C230" t="s">
        <v>2996</v>
      </c>
      <c r="D230" t="s">
        <v>2997</v>
      </c>
      <c r="E230" t="s">
        <v>2998</v>
      </c>
      <c r="F230" t="s">
        <v>2999</v>
      </c>
      <c r="G230" t="s">
        <v>1941</v>
      </c>
      <c r="H230">
        <v>94291</v>
      </c>
      <c r="I230" t="s">
        <v>1951</v>
      </c>
    </row>
    <row r="231" spans="1:9" x14ac:dyDescent="0.25">
      <c r="A231" t="s">
        <v>474</v>
      </c>
      <c r="B231" t="s">
        <v>3000</v>
      </c>
      <c r="C231" t="s">
        <v>3001</v>
      </c>
      <c r="D231" t="s">
        <v>3002</v>
      </c>
      <c r="E231" t="s">
        <v>3003</v>
      </c>
      <c r="F231" t="s">
        <v>3004</v>
      </c>
      <c r="G231" t="s">
        <v>1941</v>
      </c>
      <c r="H231">
        <v>18706</v>
      </c>
      <c r="I231" t="s">
        <v>1951</v>
      </c>
    </row>
    <row r="232" spans="1:9" x14ac:dyDescent="0.25">
      <c r="A232" t="s">
        <v>476</v>
      </c>
      <c r="B232" t="s">
        <v>3005</v>
      </c>
      <c r="C232" t="s">
        <v>3006</v>
      </c>
      <c r="D232" t="s">
        <v>3007</v>
      </c>
      <c r="E232" t="s">
        <v>3008</v>
      </c>
      <c r="F232" t="s">
        <v>2694</v>
      </c>
      <c r="G232" t="s">
        <v>1941</v>
      </c>
      <c r="H232">
        <v>27499</v>
      </c>
      <c r="I232" t="s">
        <v>1951</v>
      </c>
    </row>
    <row r="233" spans="1:9" x14ac:dyDescent="0.25">
      <c r="A233" t="s">
        <v>478</v>
      </c>
      <c r="B233" t="s">
        <v>3009</v>
      </c>
      <c r="D233" t="s">
        <v>3010</v>
      </c>
      <c r="E233" t="s">
        <v>3011</v>
      </c>
      <c r="F233" t="s">
        <v>2256</v>
      </c>
      <c r="G233" t="s">
        <v>1941</v>
      </c>
      <c r="H233">
        <v>19725</v>
      </c>
      <c r="I233" t="s">
        <v>1942</v>
      </c>
    </row>
    <row r="234" spans="1:9" x14ac:dyDescent="0.25">
      <c r="A234" t="s">
        <v>480</v>
      </c>
      <c r="B234" t="s">
        <v>3012</v>
      </c>
      <c r="C234" t="s">
        <v>3013</v>
      </c>
      <c r="D234" t="s">
        <v>3014</v>
      </c>
      <c r="E234" t="s">
        <v>3015</v>
      </c>
      <c r="F234" t="s">
        <v>2199</v>
      </c>
      <c r="G234" t="s">
        <v>2116</v>
      </c>
      <c r="H234" t="s">
        <v>2200</v>
      </c>
      <c r="I234" t="s">
        <v>1951</v>
      </c>
    </row>
    <row r="235" spans="1:9" x14ac:dyDescent="0.25">
      <c r="A235" t="s">
        <v>482</v>
      </c>
      <c r="B235" t="s">
        <v>3016</v>
      </c>
      <c r="C235" t="s">
        <v>3017</v>
      </c>
      <c r="D235" t="s">
        <v>3018</v>
      </c>
      <c r="E235" t="s">
        <v>3019</v>
      </c>
      <c r="F235" t="s">
        <v>2592</v>
      </c>
      <c r="G235" t="s">
        <v>1941</v>
      </c>
      <c r="H235">
        <v>96825</v>
      </c>
      <c r="I235" t="s">
        <v>1951</v>
      </c>
    </row>
    <row r="236" spans="1:9" x14ac:dyDescent="0.25">
      <c r="A236" t="s">
        <v>484</v>
      </c>
      <c r="B236" t="s">
        <v>3020</v>
      </c>
      <c r="C236" t="s">
        <v>3021</v>
      </c>
      <c r="D236" t="s">
        <v>3022</v>
      </c>
      <c r="E236" t="s">
        <v>3023</v>
      </c>
      <c r="F236" t="s">
        <v>2037</v>
      </c>
      <c r="G236" t="s">
        <v>1941</v>
      </c>
      <c r="H236">
        <v>10150</v>
      </c>
      <c r="I236" t="s">
        <v>1951</v>
      </c>
    </row>
    <row r="237" spans="1:9" x14ac:dyDescent="0.25">
      <c r="A237" t="s">
        <v>486</v>
      </c>
      <c r="B237" t="s">
        <v>3024</v>
      </c>
      <c r="E237" t="s">
        <v>3025</v>
      </c>
      <c r="F237" t="s">
        <v>3026</v>
      </c>
      <c r="G237" t="s">
        <v>1949</v>
      </c>
      <c r="H237" t="s">
        <v>3027</v>
      </c>
      <c r="I237" t="s">
        <v>1951</v>
      </c>
    </row>
    <row r="238" spans="1:9" x14ac:dyDescent="0.25">
      <c r="A238" t="s">
        <v>488</v>
      </c>
      <c r="B238" t="s">
        <v>3028</v>
      </c>
      <c r="C238" t="s">
        <v>3029</v>
      </c>
      <c r="D238" t="s">
        <v>3030</v>
      </c>
      <c r="E238" t="s">
        <v>3031</v>
      </c>
      <c r="F238" t="s">
        <v>3032</v>
      </c>
      <c r="G238" t="s">
        <v>1949</v>
      </c>
      <c r="H238" t="s">
        <v>3033</v>
      </c>
      <c r="I238" t="s">
        <v>1951</v>
      </c>
    </row>
    <row r="239" spans="1:9" x14ac:dyDescent="0.25">
      <c r="A239" t="s">
        <v>490</v>
      </c>
      <c r="B239" t="s">
        <v>3034</v>
      </c>
      <c r="D239" t="s">
        <v>3035</v>
      </c>
      <c r="E239" t="s">
        <v>3036</v>
      </c>
      <c r="F239" t="s">
        <v>3037</v>
      </c>
      <c r="G239" t="s">
        <v>1941</v>
      </c>
      <c r="H239">
        <v>45218</v>
      </c>
      <c r="I239" t="s">
        <v>1942</v>
      </c>
    </row>
    <row r="240" spans="1:9" x14ac:dyDescent="0.25">
      <c r="A240" t="s">
        <v>492</v>
      </c>
      <c r="B240" t="s">
        <v>3038</v>
      </c>
      <c r="C240" t="s">
        <v>3039</v>
      </c>
      <c r="D240" t="s">
        <v>3040</v>
      </c>
      <c r="E240" t="s">
        <v>3041</v>
      </c>
      <c r="F240" t="s">
        <v>2320</v>
      </c>
      <c r="G240" t="s">
        <v>1941</v>
      </c>
      <c r="H240">
        <v>48670</v>
      </c>
      <c r="I240" t="s">
        <v>1942</v>
      </c>
    </row>
    <row r="241" spans="1:9" x14ac:dyDescent="0.25">
      <c r="A241" t="s">
        <v>494</v>
      </c>
      <c r="B241" t="s">
        <v>3042</v>
      </c>
      <c r="C241" t="s">
        <v>3043</v>
      </c>
      <c r="D241" t="s">
        <v>3044</v>
      </c>
      <c r="E241" t="s">
        <v>3045</v>
      </c>
      <c r="F241" t="s">
        <v>3046</v>
      </c>
      <c r="G241" t="s">
        <v>1941</v>
      </c>
      <c r="H241">
        <v>82007</v>
      </c>
      <c r="I241" t="s">
        <v>1951</v>
      </c>
    </row>
    <row r="242" spans="1:9" x14ac:dyDescent="0.25">
      <c r="A242" t="s">
        <v>496</v>
      </c>
      <c r="B242" t="s">
        <v>3047</v>
      </c>
      <c r="E242" t="s">
        <v>3048</v>
      </c>
      <c r="F242" t="s">
        <v>3049</v>
      </c>
      <c r="G242" t="s">
        <v>1941</v>
      </c>
      <c r="H242">
        <v>31119</v>
      </c>
      <c r="I242" t="s">
        <v>1942</v>
      </c>
    </row>
    <row r="243" spans="1:9" x14ac:dyDescent="0.25">
      <c r="A243" t="s">
        <v>498</v>
      </c>
      <c r="B243" t="s">
        <v>3050</v>
      </c>
      <c r="D243" t="s">
        <v>3051</v>
      </c>
      <c r="E243" t="s">
        <v>3052</v>
      </c>
      <c r="F243" t="s">
        <v>3053</v>
      </c>
      <c r="G243" t="s">
        <v>1941</v>
      </c>
      <c r="H243">
        <v>30096</v>
      </c>
      <c r="I243" t="s">
        <v>1951</v>
      </c>
    </row>
    <row r="244" spans="1:9" x14ac:dyDescent="0.25">
      <c r="A244" t="s">
        <v>500</v>
      </c>
      <c r="B244" t="s">
        <v>3054</v>
      </c>
      <c r="C244" t="s">
        <v>3055</v>
      </c>
      <c r="D244" t="s">
        <v>3056</v>
      </c>
      <c r="E244" t="s">
        <v>3057</v>
      </c>
      <c r="F244" t="s">
        <v>2999</v>
      </c>
      <c r="G244" t="s">
        <v>1941</v>
      </c>
      <c r="H244">
        <v>94250</v>
      </c>
      <c r="I244" t="s">
        <v>1942</v>
      </c>
    </row>
    <row r="245" spans="1:9" x14ac:dyDescent="0.25">
      <c r="A245" t="s">
        <v>502</v>
      </c>
      <c r="B245" t="s">
        <v>3058</v>
      </c>
      <c r="C245" t="s">
        <v>3059</v>
      </c>
      <c r="D245" t="s">
        <v>3060</v>
      </c>
      <c r="E245" t="s">
        <v>3061</v>
      </c>
      <c r="F245" t="s">
        <v>2220</v>
      </c>
      <c r="G245" t="s">
        <v>1941</v>
      </c>
      <c r="H245">
        <v>33661</v>
      </c>
      <c r="I245" t="s">
        <v>1942</v>
      </c>
    </row>
    <row r="246" spans="1:9" x14ac:dyDescent="0.25">
      <c r="A246" t="s">
        <v>504</v>
      </c>
      <c r="B246" t="s">
        <v>3062</v>
      </c>
      <c r="C246" t="s">
        <v>3063</v>
      </c>
      <c r="D246" t="s">
        <v>3064</v>
      </c>
      <c r="E246" t="s">
        <v>3065</v>
      </c>
      <c r="F246" t="s">
        <v>2592</v>
      </c>
      <c r="G246" t="s">
        <v>1941</v>
      </c>
      <c r="H246">
        <v>96805</v>
      </c>
      <c r="I246" t="s">
        <v>1951</v>
      </c>
    </row>
    <row r="247" spans="1:9" x14ac:dyDescent="0.25">
      <c r="A247" t="s">
        <v>506</v>
      </c>
      <c r="B247" t="s">
        <v>3066</v>
      </c>
      <c r="C247" t="s">
        <v>3067</v>
      </c>
      <c r="D247" t="s">
        <v>3068</v>
      </c>
      <c r="E247" t="s">
        <v>3069</v>
      </c>
      <c r="F247" t="s">
        <v>3070</v>
      </c>
      <c r="G247" t="s">
        <v>1941</v>
      </c>
      <c r="H247">
        <v>70820</v>
      </c>
      <c r="I247" t="s">
        <v>1942</v>
      </c>
    </row>
    <row r="248" spans="1:9" x14ac:dyDescent="0.25">
      <c r="A248" t="s">
        <v>508</v>
      </c>
      <c r="B248" t="s">
        <v>3071</v>
      </c>
      <c r="C248" t="s">
        <v>3072</v>
      </c>
      <c r="D248" t="s">
        <v>3073</v>
      </c>
      <c r="E248" t="s">
        <v>3074</v>
      </c>
      <c r="F248" t="s">
        <v>3075</v>
      </c>
      <c r="G248" t="s">
        <v>2116</v>
      </c>
      <c r="H248" t="s">
        <v>3076</v>
      </c>
      <c r="I248" t="s">
        <v>1951</v>
      </c>
    </row>
    <row r="249" spans="1:9" x14ac:dyDescent="0.25">
      <c r="A249" t="s">
        <v>510</v>
      </c>
      <c r="B249" t="s">
        <v>3077</v>
      </c>
      <c r="D249" t="s">
        <v>3078</v>
      </c>
      <c r="E249" t="s">
        <v>3079</v>
      </c>
      <c r="F249" t="s">
        <v>3080</v>
      </c>
      <c r="G249" t="s">
        <v>1949</v>
      </c>
      <c r="H249" t="s">
        <v>3081</v>
      </c>
      <c r="I249" t="s">
        <v>1942</v>
      </c>
    </row>
    <row r="250" spans="1:9" x14ac:dyDescent="0.25">
      <c r="A250" t="s">
        <v>512</v>
      </c>
      <c r="B250" t="s">
        <v>3082</v>
      </c>
      <c r="C250" t="s">
        <v>3083</v>
      </c>
      <c r="D250" t="s">
        <v>3084</v>
      </c>
      <c r="E250" t="s">
        <v>3085</v>
      </c>
      <c r="F250" t="s">
        <v>2137</v>
      </c>
      <c r="G250" t="s">
        <v>1941</v>
      </c>
      <c r="H250">
        <v>55458</v>
      </c>
      <c r="I250" t="s">
        <v>1942</v>
      </c>
    </row>
    <row r="251" spans="1:9" x14ac:dyDescent="0.25">
      <c r="A251" t="s">
        <v>3086</v>
      </c>
      <c r="B251" t="s">
        <v>3087</v>
      </c>
      <c r="D251" t="s">
        <v>3088</v>
      </c>
      <c r="E251" t="s">
        <v>3089</v>
      </c>
      <c r="F251" t="s">
        <v>3090</v>
      </c>
      <c r="G251" t="s">
        <v>1941</v>
      </c>
      <c r="H251">
        <v>94159</v>
      </c>
      <c r="I251" t="s">
        <v>1951</v>
      </c>
    </row>
    <row r="252" spans="1:9" x14ac:dyDescent="0.25">
      <c r="A252" t="s">
        <v>516</v>
      </c>
      <c r="B252" t="s">
        <v>3091</v>
      </c>
      <c r="C252" t="s">
        <v>3092</v>
      </c>
      <c r="D252" t="s">
        <v>3093</v>
      </c>
      <c r="E252" t="s">
        <v>3094</v>
      </c>
      <c r="F252" t="s">
        <v>2300</v>
      </c>
      <c r="G252" t="s">
        <v>1941</v>
      </c>
      <c r="H252">
        <v>28225</v>
      </c>
      <c r="I252" t="s">
        <v>1942</v>
      </c>
    </row>
    <row r="253" spans="1:9" x14ac:dyDescent="0.25">
      <c r="A253" t="s">
        <v>518</v>
      </c>
      <c r="B253" t="s">
        <v>3095</v>
      </c>
      <c r="C253" t="s">
        <v>3096</v>
      </c>
      <c r="D253" t="s">
        <v>3097</v>
      </c>
      <c r="E253" t="s">
        <v>3098</v>
      </c>
      <c r="F253" t="s">
        <v>3099</v>
      </c>
      <c r="G253" t="s">
        <v>1941</v>
      </c>
      <c r="H253">
        <v>85099</v>
      </c>
      <c r="I253" t="s">
        <v>1942</v>
      </c>
    </row>
    <row r="254" spans="1:9" x14ac:dyDescent="0.25">
      <c r="A254" t="s">
        <v>520</v>
      </c>
      <c r="B254" t="s">
        <v>3100</v>
      </c>
      <c r="D254" t="s">
        <v>3101</v>
      </c>
      <c r="E254" t="s">
        <v>3102</v>
      </c>
      <c r="F254" t="s">
        <v>2099</v>
      </c>
      <c r="G254" t="s">
        <v>1941</v>
      </c>
      <c r="H254">
        <v>11407</v>
      </c>
      <c r="I254" t="s">
        <v>1951</v>
      </c>
    </row>
    <row r="255" spans="1:9" x14ac:dyDescent="0.25">
      <c r="A255" t="s">
        <v>522</v>
      </c>
      <c r="B255" t="s">
        <v>3103</v>
      </c>
      <c r="C255" t="s">
        <v>3104</v>
      </c>
      <c r="D255" t="s">
        <v>3105</v>
      </c>
      <c r="E255" t="s">
        <v>3106</v>
      </c>
      <c r="F255" t="s">
        <v>3107</v>
      </c>
      <c r="G255" t="s">
        <v>1941</v>
      </c>
      <c r="H255">
        <v>61825</v>
      </c>
      <c r="I255" t="s">
        <v>1951</v>
      </c>
    </row>
    <row r="256" spans="1:9" x14ac:dyDescent="0.25">
      <c r="A256" t="s">
        <v>524</v>
      </c>
      <c r="B256" t="s">
        <v>3108</v>
      </c>
      <c r="C256" t="s">
        <v>3109</v>
      </c>
      <c r="E256" t="s">
        <v>3110</v>
      </c>
      <c r="F256" t="s">
        <v>3111</v>
      </c>
      <c r="G256" t="s">
        <v>2116</v>
      </c>
      <c r="H256" t="s">
        <v>3112</v>
      </c>
      <c r="I256" t="s">
        <v>1951</v>
      </c>
    </row>
    <row r="257" spans="1:9" x14ac:dyDescent="0.25">
      <c r="A257" t="s">
        <v>526</v>
      </c>
      <c r="B257" t="s">
        <v>3113</v>
      </c>
      <c r="C257" t="s">
        <v>3114</v>
      </c>
      <c r="D257" t="s">
        <v>3115</v>
      </c>
      <c r="E257" t="s">
        <v>3116</v>
      </c>
      <c r="F257" t="s">
        <v>2140</v>
      </c>
      <c r="G257" t="s">
        <v>1941</v>
      </c>
      <c r="H257">
        <v>85715</v>
      </c>
      <c r="I257" t="s">
        <v>1951</v>
      </c>
    </row>
    <row r="258" spans="1:9" x14ac:dyDescent="0.25">
      <c r="A258" t="s">
        <v>514</v>
      </c>
      <c r="B258" t="s">
        <v>3117</v>
      </c>
      <c r="C258" t="s">
        <v>3118</v>
      </c>
      <c r="D258" t="s">
        <v>3119</v>
      </c>
      <c r="E258" t="s">
        <v>3120</v>
      </c>
      <c r="F258" t="s">
        <v>3121</v>
      </c>
      <c r="G258" t="s">
        <v>1941</v>
      </c>
      <c r="H258">
        <v>53205</v>
      </c>
      <c r="I258" t="s">
        <v>1942</v>
      </c>
    </row>
    <row r="259" spans="1:9" x14ac:dyDescent="0.25">
      <c r="A259" t="s">
        <v>529</v>
      </c>
      <c r="B259" t="s">
        <v>3122</v>
      </c>
      <c r="C259" t="s">
        <v>3123</v>
      </c>
      <c r="D259" t="s">
        <v>3124</v>
      </c>
      <c r="E259" t="s">
        <v>3125</v>
      </c>
      <c r="F259" t="s">
        <v>2861</v>
      </c>
      <c r="G259" t="s">
        <v>1941</v>
      </c>
      <c r="H259">
        <v>33064</v>
      </c>
      <c r="I259" t="s">
        <v>1942</v>
      </c>
    </row>
    <row r="260" spans="1:9" x14ac:dyDescent="0.25">
      <c r="A260" t="s">
        <v>532</v>
      </c>
      <c r="B260" t="s">
        <v>3126</v>
      </c>
      <c r="C260" t="s">
        <v>3127</v>
      </c>
      <c r="D260" t="s">
        <v>3128</v>
      </c>
      <c r="E260" t="s">
        <v>3129</v>
      </c>
      <c r="F260" t="s">
        <v>2758</v>
      </c>
      <c r="G260" t="s">
        <v>1941</v>
      </c>
      <c r="H260">
        <v>90610</v>
      </c>
      <c r="I260" t="s">
        <v>1951</v>
      </c>
    </row>
    <row r="261" spans="1:9" x14ac:dyDescent="0.25">
      <c r="A261" t="s">
        <v>534</v>
      </c>
      <c r="B261" t="s">
        <v>3130</v>
      </c>
      <c r="C261" t="s">
        <v>3131</v>
      </c>
      <c r="D261" t="s">
        <v>3132</v>
      </c>
      <c r="E261" t="s">
        <v>3133</v>
      </c>
      <c r="F261" t="s">
        <v>3134</v>
      </c>
      <c r="G261" t="s">
        <v>2116</v>
      </c>
      <c r="H261" t="s">
        <v>3135</v>
      </c>
      <c r="I261" t="s">
        <v>1951</v>
      </c>
    </row>
    <row r="262" spans="1:9" x14ac:dyDescent="0.25">
      <c r="A262" t="s">
        <v>536</v>
      </c>
      <c r="B262" t="s">
        <v>3136</v>
      </c>
      <c r="C262" t="s">
        <v>3137</v>
      </c>
      <c r="E262" t="s">
        <v>3138</v>
      </c>
      <c r="F262" t="s">
        <v>2013</v>
      </c>
      <c r="G262" t="s">
        <v>1941</v>
      </c>
      <c r="H262">
        <v>63180</v>
      </c>
      <c r="I262" t="s">
        <v>1942</v>
      </c>
    </row>
    <row r="263" spans="1:9" x14ac:dyDescent="0.25">
      <c r="A263" t="s">
        <v>538</v>
      </c>
      <c r="B263" t="s">
        <v>3139</v>
      </c>
      <c r="C263" t="s">
        <v>3140</v>
      </c>
      <c r="D263" t="s">
        <v>3141</v>
      </c>
      <c r="E263" t="s">
        <v>3142</v>
      </c>
      <c r="F263" t="s">
        <v>3143</v>
      </c>
      <c r="G263" t="s">
        <v>1941</v>
      </c>
      <c r="H263">
        <v>16522</v>
      </c>
      <c r="I263" t="s">
        <v>1942</v>
      </c>
    </row>
    <row r="264" spans="1:9" x14ac:dyDescent="0.25">
      <c r="A264" t="s">
        <v>540</v>
      </c>
      <c r="B264" t="s">
        <v>3144</v>
      </c>
      <c r="C264" t="s">
        <v>3145</v>
      </c>
      <c r="D264" t="s">
        <v>3146</v>
      </c>
      <c r="E264" t="s">
        <v>3147</v>
      </c>
      <c r="F264" t="s">
        <v>3148</v>
      </c>
      <c r="G264" t="s">
        <v>1941</v>
      </c>
      <c r="H264">
        <v>98464</v>
      </c>
      <c r="I264" t="s">
        <v>1951</v>
      </c>
    </row>
    <row r="265" spans="1:9" x14ac:dyDescent="0.25">
      <c r="A265" t="s">
        <v>542</v>
      </c>
      <c r="B265" t="s">
        <v>3149</v>
      </c>
      <c r="D265" t="s">
        <v>3150</v>
      </c>
      <c r="E265" t="s">
        <v>3151</v>
      </c>
      <c r="F265" t="s">
        <v>2004</v>
      </c>
      <c r="G265" t="s">
        <v>1941</v>
      </c>
      <c r="H265">
        <v>23277</v>
      </c>
      <c r="I265" t="s">
        <v>1951</v>
      </c>
    </row>
    <row r="266" spans="1:9" x14ac:dyDescent="0.25">
      <c r="A266" t="s">
        <v>544</v>
      </c>
      <c r="B266" t="s">
        <v>3152</v>
      </c>
      <c r="D266" t="s">
        <v>3153</v>
      </c>
      <c r="E266" t="s">
        <v>3154</v>
      </c>
      <c r="F266" t="s">
        <v>3155</v>
      </c>
      <c r="G266" t="s">
        <v>1949</v>
      </c>
      <c r="H266" t="s">
        <v>2545</v>
      </c>
      <c r="I266" t="s">
        <v>1942</v>
      </c>
    </row>
    <row r="267" spans="1:9" x14ac:dyDescent="0.25">
      <c r="A267" t="s">
        <v>546</v>
      </c>
      <c r="B267" t="s">
        <v>3156</v>
      </c>
      <c r="C267" t="s">
        <v>3157</v>
      </c>
      <c r="D267" t="s">
        <v>3158</v>
      </c>
      <c r="E267" t="s">
        <v>3159</v>
      </c>
      <c r="F267" t="s">
        <v>2127</v>
      </c>
      <c r="G267" t="s">
        <v>1941</v>
      </c>
      <c r="H267">
        <v>72204</v>
      </c>
      <c r="I267" t="s">
        <v>1942</v>
      </c>
    </row>
    <row r="268" spans="1:9" x14ac:dyDescent="0.25">
      <c r="A268" t="s">
        <v>548</v>
      </c>
      <c r="B268" t="s">
        <v>3160</v>
      </c>
      <c r="C268" t="s">
        <v>3161</v>
      </c>
      <c r="D268" t="s">
        <v>3162</v>
      </c>
      <c r="E268" t="s">
        <v>3163</v>
      </c>
      <c r="F268" t="s">
        <v>3164</v>
      </c>
      <c r="G268" t="s">
        <v>2116</v>
      </c>
      <c r="H268" t="s">
        <v>3165</v>
      </c>
      <c r="I268" t="s">
        <v>1951</v>
      </c>
    </row>
    <row r="269" spans="1:9" x14ac:dyDescent="0.25">
      <c r="A269" t="s">
        <v>550</v>
      </c>
      <c r="B269" t="s">
        <v>3166</v>
      </c>
      <c r="C269" t="s">
        <v>3167</v>
      </c>
      <c r="D269" t="s">
        <v>3168</v>
      </c>
      <c r="E269" t="s">
        <v>3169</v>
      </c>
      <c r="F269" t="s">
        <v>2748</v>
      </c>
      <c r="G269" t="s">
        <v>1941</v>
      </c>
      <c r="H269">
        <v>89436</v>
      </c>
      <c r="I269" t="s">
        <v>1942</v>
      </c>
    </row>
    <row r="270" spans="1:9" x14ac:dyDescent="0.25">
      <c r="A270" t="s">
        <v>3170</v>
      </c>
      <c r="B270" t="s">
        <v>3171</v>
      </c>
      <c r="D270" t="s">
        <v>3172</v>
      </c>
      <c r="E270" t="s">
        <v>3173</v>
      </c>
      <c r="F270" t="s">
        <v>3174</v>
      </c>
      <c r="G270" t="s">
        <v>1941</v>
      </c>
      <c r="H270">
        <v>77806</v>
      </c>
      <c r="I270" t="s">
        <v>1942</v>
      </c>
    </row>
    <row r="271" spans="1:9" x14ac:dyDescent="0.25">
      <c r="A271" t="s">
        <v>553</v>
      </c>
      <c r="B271" t="s">
        <v>3175</v>
      </c>
      <c r="C271" t="s">
        <v>3176</v>
      </c>
      <c r="D271" t="s">
        <v>3177</v>
      </c>
      <c r="E271" t="s">
        <v>3178</v>
      </c>
      <c r="F271" t="s">
        <v>3179</v>
      </c>
      <c r="G271" t="s">
        <v>1941</v>
      </c>
      <c r="H271">
        <v>76210</v>
      </c>
      <c r="I271" t="s">
        <v>1951</v>
      </c>
    </row>
    <row r="272" spans="1:9" x14ac:dyDescent="0.25">
      <c r="A272" t="s">
        <v>555</v>
      </c>
      <c r="B272" t="s">
        <v>3180</v>
      </c>
      <c r="E272" t="s">
        <v>3181</v>
      </c>
      <c r="F272" t="s">
        <v>3182</v>
      </c>
      <c r="G272" t="s">
        <v>1949</v>
      </c>
      <c r="H272" t="s">
        <v>3183</v>
      </c>
      <c r="I272" t="s">
        <v>1942</v>
      </c>
    </row>
    <row r="273" spans="1:9" x14ac:dyDescent="0.25">
      <c r="A273" t="s">
        <v>557</v>
      </c>
      <c r="B273" t="s">
        <v>3184</v>
      </c>
      <c r="C273" t="s">
        <v>3185</v>
      </c>
      <c r="D273" t="s">
        <v>3186</v>
      </c>
      <c r="E273" t="s">
        <v>3187</v>
      </c>
      <c r="F273" t="s">
        <v>3188</v>
      </c>
      <c r="G273" t="s">
        <v>1941</v>
      </c>
      <c r="H273">
        <v>27635</v>
      </c>
      <c r="I273" t="s">
        <v>1942</v>
      </c>
    </row>
    <row r="274" spans="1:9" x14ac:dyDescent="0.25">
      <c r="A274" t="s">
        <v>559</v>
      </c>
      <c r="B274" t="s">
        <v>3189</v>
      </c>
      <c r="C274" t="s">
        <v>3190</v>
      </c>
      <c r="D274" t="s">
        <v>3191</v>
      </c>
      <c r="E274" t="s">
        <v>3192</v>
      </c>
      <c r="F274" t="s">
        <v>3193</v>
      </c>
      <c r="G274" t="s">
        <v>1949</v>
      </c>
      <c r="H274" t="s">
        <v>3194</v>
      </c>
      <c r="I274" t="s">
        <v>1942</v>
      </c>
    </row>
    <row r="275" spans="1:9" x14ac:dyDescent="0.25">
      <c r="A275" t="s">
        <v>561</v>
      </c>
      <c r="B275" t="s">
        <v>3195</v>
      </c>
      <c r="C275" t="s">
        <v>3196</v>
      </c>
      <c r="D275" t="s">
        <v>3197</v>
      </c>
      <c r="E275" t="s">
        <v>3198</v>
      </c>
      <c r="F275" t="s">
        <v>2037</v>
      </c>
      <c r="G275" t="s">
        <v>1941</v>
      </c>
      <c r="H275">
        <v>10105</v>
      </c>
      <c r="I275" t="s">
        <v>1951</v>
      </c>
    </row>
    <row r="276" spans="1:9" x14ac:dyDescent="0.25">
      <c r="A276" t="s">
        <v>563</v>
      </c>
      <c r="B276" t="s">
        <v>3199</v>
      </c>
      <c r="C276" t="s">
        <v>3200</v>
      </c>
      <c r="D276" t="s">
        <v>3201</v>
      </c>
      <c r="E276" t="s">
        <v>3202</v>
      </c>
      <c r="F276" t="s">
        <v>2525</v>
      </c>
      <c r="G276" t="s">
        <v>1941</v>
      </c>
      <c r="H276">
        <v>6905</v>
      </c>
      <c r="I276" t="s">
        <v>1951</v>
      </c>
    </row>
    <row r="277" spans="1:9" x14ac:dyDescent="0.25">
      <c r="A277" t="s">
        <v>565</v>
      </c>
      <c r="B277" t="s">
        <v>3203</v>
      </c>
      <c r="C277" t="s">
        <v>3204</v>
      </c>
      <c r="D277" t="s">
        <v>3205</v>
      </c>
      <c r="E277" t="s">
        <v>3206</v>
      </c>
      <c r="F277" t="s">
        <v>2211</v>
      </c>
      <c r="G277" t="s">
        <v>1941</v>
      </c>
      <c r="H277">
        <v>43666</v>
      </c>
      <c r="I277" t="s">
        <v>1951</v>
      </c>
    </row>
    <row r="278" spans="1:9" x14ac:dyDescent="0.25">
      <c r="A278" t="s">
        <v>567</v>
      </c>
      <c r="B278" t="s">
        <v>3207</v>
      </c>
      <c r="C278" t="s">
        <v>3208</v>
      </c>
      <c r="D278" t="s">
        <v>3209</v>
      </c>
      <c r="E278" t="s">
        <v>3210</v>
      </c>
      <c r="F278" t="s">
        <v>3211</v>
      </c>
      <c r="G278" t="s">
        <v>1949</v>
      </c>
      <c r="H278" t="s">
        <v>3212</v>
      </c>
      <c r="I278" t="s">
        <v>1942</v>
      </c>
    </row>
    <row r="279" spans="1:9" x14ac:dyDescent="0.25">
      <c r="A279" t="s">
        <v>569</v>
      </c>
      <c r="B279" t="s">
        <v>3213</v>
      </c>
      <c r="C279" t="s">
        <v>3214</v>
      </c>
      <c r="D279" t="s">
        <v>3215</v>
      </c>
      <c r="E279" t="s">
        <v>3216</v>
      </c>
      <c r="F279" t="s">
        <v>3217</v>
      </c>
      <c r="G279" t="s">
        <v>1941</v>
      </c>
      <c r="H279">
        <v>65211</v>
      </c>
      <c r="I279" t="s">
        <v>1951</v>
      </c>
    </row>
    <row r="280" spans="1:9" x14ac:dyDescent="0.25">
      <c r="A280" t="s">
        <v>571</v>
      </c>
      <c r="B280" t="s">
        <v>3218</v>
      </c>
      <c r="C280" t="s">
        <v>3219</v>
      </c>
      <c r="D280" t="s">
        <v>3220</v>
      </c>
      <c r="E280" t="s">
        <v>3221</v>
      </c>
      <c r="F280" t="s">
        <v>2238</v>
      </c>
      <c r="G280" t="s">
        <v>1941</v>
      </c>
      <c r="H280">
        <v>46852</v>
      </c>
      <c r="I280" t="s">
        <v>1942</v>
      </c>
    </row>
    <row r="281" spans="1:9" x14ac:dyDescent="0.25">
      <c r="A281" t="s">
        <v>573</v>
      </c>
      <c r="B281" t="s">
        <v>3222</v>
      </c>
      <c r="C281" t="s">
        <v>3223</v>
      </c>
      <c r="D281" t="s">
        <v>3224</v>
      </c>
      <c r="E281" t="s">
        <v>3225</v>
      </c>
      <c r="F281" t="s">
        <v>2013</v>
      </c>
      <c r="G281" t="s">
        <v>1941</v>
      </c>
      <c r="H281">
        <v>63143</v>
      </c>
      <c r="I281" t="s">
        <v>1942</v>
      </c>
    </row>
    <row r="282" spans="1:9" x14ac:dyDescent="0.25">
      <c r="A282" t="s">
        <v>575</v>
      </c>
      <c r="B282" t="s">
        <v>3226</v>
      </c>
      <c r="D282" t="s">
        <v>3227</v>
      </c>
      <c r="E282" t="s">
        <v>3228</v>
      </c>
      <c r="F282" t="s">
        <v>2022</v>
      </c>
      <c r="G282" t="s">
        <v>1941</v>
      </c>
      <c r="H282">
        <v>97211</v>
      </c>
      <c r="I282" t="s">
        <v>1942</v>
      </c>
    </row>
    <row r="283" spans="1:9" x14ac:dyDescent="0.25">
      <c r="A283" t="s">
        <v>577</v>
      </c>
      <c r="B283" t="s">
        <v>3229</v>
      </c>
      <c r="C283" t="s">
        <v>3230</v>
      </c>
      <c r="D283" t="s">
        <v>3231</v>
      </c>
      <c r="E283" t="s">
        <v>3232</v>
      </c>
      <c r="F283" t="s">
        <v>3233</v>
      </c>
      <c r="G283" t="s">
        <v>1941</v>
      </c>
      <c r="H283">
        <v>80305</v>
      </c>
      <c r="I283" t="s">
        <v>1942</v>
      </c>
    </row>
    <row r="284" spans="1:9" x14ac:dyDescent="0.25">
      <c r="A284" t="s">
        <v>579</v>
      </c>
      <c r="B284" t="s">
        <v>3234</v>
      </c>
      <c r="C284" t="s">
        <v>3235</v>
      </c>
      <c r="D284" t="s">
        <v>3236</v>
      </c>
      <c r="E284" t="s">
        <v>3237</v>
      </c>
      <c r="F284" t="s">
        <v>3238</v>
      </c>
      <c r="G284" t="s">
        <v>2116</v>
      </c>
      <c r="H284" t="s">
        <v>3239</v>
      </c>
      <c r="I284" t="s">
        <v>1951</v>
      </c>
    </row>
    <row r="285" spans="1:9" x14ac:dyDescent="0.25">
      <c r="A285" t="s">
        <v>581</v>
      </c>
      <c r="B285" t="s">
        <v>3240</v>
      </c>
      <c r="C285" t="s">
        <v>3241</v>
      </c>
      <c r="D285" t="s">
        <v>3242</v>
      </c>
      <c r="E285" t="s">
        <v>3243</v>
      </c>
      <c r="F285" t="s">
        <v>3134</v>
      </c>
      <c r="G285" t="s">
        <v>2116</v>
      </c>
      <c r="H285" t="s">
        <v>3135</v>
      </c>
      <c r="I285" t="s">
        <v>1942</v>
      </c>
    </row>
    <row r="286" spans="1:9" x14ac:dyDescent="0.25">
      <c r="A286" t="s">
        <v>583</v>
      </c>
      <c r="B286" t="s">
        <v>3244</v>
      </c>
      <c r="D286" t="s">
        <v>3245</v>
      </c>
      <c r="E286" t="s">
        <v>3246</v>
      </c>
      <c r="F286" t="s">
        <v>3247</v>
      </c>
      <c r="G286" t="s">
        <v>1941</v>
      </c>
      <c r="H286">
        <v>40298</v>
      </c>
      <c r="I286" t="s">
        <v>1951</v>
      </c>
    </row>
    <row r="287" spans="1:9" x14ac:dyDescent="0.25">
      <c r="A287" t="s">
        <v>585</v>
      </c>
      <c r="B287" t="s">
        <v>3248</v>
      </c>
      <c r="D287" t="s">
        <v>3249</v>
      </c>
      <c r="E287" t="s">
        <v>3250</v>
      </c>
      <c r="F287" t="s">
        <v>2350</v>
      </c>
      <c r="G287" t="s">
        <v>1941</v>
      </c>
      <c r="H287">
        <v>14276</v>
      </c>
      <c r="I287" t="s">
        <v>1951</v>
      </c>
    </row>
    <row r="288" spans="1:9" x14ac:dyDescent="0.25">
      <c r="A288" t="s">
        <v>587</v>
      </c>
      <c r="B288" t="s">
        <v>3251</v>
      </c>
      <c r="C288" t="s">
        <v>3252</v>
      </c>
      <c r="E288" t="s">
        <v>3253</v>
      </c>
      <c r="F288" t="s">
        <v>3254</v>
      </c>
      <c r="G288" t="s">
        <v>1941</v>
      </c>
      <c r="H288">
        <v>44710</v>
      </c>
      <c r="I288" t="s">
        <v>1942</v>
      </c>
    </row>
    <row r="289" spans="1:9" x14ac:dyDescent="0.25">
      <c r="A289" t="s">
        <v>589</v>
      </c>
      <c r="B289" t="s">
        <v>3255</v>
      </c>
      <c r="C289" t="s">
        <v>3256</v>
      </c>
      <c r="D289" t="s">
        <v>3257</v>
      </c>
      <c r="E289" t="s">
        <v>3258</v>
      </c>
      <c r="F289" t="s">
        <v>2158</v>
      </c>
      <c r="G289" t="s">
        <v>1941</v>
      </c>
      <c r="H289">
        <v>2114</v>
      </c>
      <c r="I289" t="s">
        <v>1951</v>
      </c>
    </row>
    <row r="290" spans="1:9" x14ac:dyDescent="0.25">
      <c r="A290" t="s">
        <v>591</v>
      </c>
      <c r="B290" t="s">
        <v>3259</v>
      </c>
      <c r="D290" t="s">
        <v>3260</v>
      </c>
      <c r="E290" t="s">
        <v>3261</v>
      </c>
      <c r="F290" t="s">
        <v>3262</v>
      </c>
      <c r="G290" t="s">
        <v>1949</v>
      </c>
      <c r="H290" t="s">
        <v>3263</v>
      </c>
      <c r="I290" t="s">
        <v>1942</v>
      </c>
    </row>
    <row r="291" spans="1:9" x14ac:dyDescent="0.25">
      <c r="A291" t="s">
        <v>593</v>
      </c>
      <c r="B291" t="s">
        <v>3264</v>
      </c>
      <c r="E291" t="s">
        <v>3265</v>
      </c>
      <c r="F291" t="s">
        <v>3266</v>
      </c>
      <c r="G291" t="s">
        <v>1941</v>
      </c>
      <c r="H291">
        <v>24515</v>
      </c>
      <c r="I291" t="s">
        <v>1942</v>
      </c>
    </row>
    <row r="292" spans="1:9" x14ac:dyDescent="0.25">
      <c r="A292" t="s">
        <v>595</v>
      </c>
      <c r="B292" t="s">
        <v>3267</v>
      </c>
      <c r="C292" t="s">
        <v>3268</v>
      </c>
      <c r="D292" t="s">
        <v>3269</v>
      </c>
      <c r="E292" t="s">
        <v>3270</v>
      </c>
      <c r="F292" t="s">
        <v>1986</v>
      </c>
      <c r="G292" t="s">
        <v>1941</v>
      </c>
      <c r="H292">
        <v>90071</v>
      </c>
      <c r="I292" t="s">
        <v>1951</v>
      </c>
    </row>
    <row r="293" spans="1:9" x14ac:dyDescent="0.25">
      <c r="A293" t="s">
        <v>597</v>
      </c>
      <c r="B293" t="s">
        <v>3271</v>
      </c>
      <c r="E293" t="s">
        <v>3272</v>
      </c>
      <c r="F293" t="s">
        <v>2535</v>
      </c>
      <c r="G293" t="s">
        <v>1949</v>
      </c>
      <c r="H293" t="s">
        <v>2536</v>
      </c>
      <c r="I293" t="s">
        <v>1951</v>
      </c>
    </row>
    <row r="294" spans="1:9" x14ac:dyDescent="0.25">
      <c r="A294" t="s">
        <v>599</v>
      </c>
      <c r="B294" t="s">
        <v>3273</v>
      </c>
      <c r="C294" t="s">
        <v>3274</v>
      </c>
      <c r="E294" t="s">
        <v>3275</v>
      </c>
      <c r="F294" t="s">
        <v>2172</v>
      </c>
      <c r="G294" t="s">
        <v>1941</v>
      </c>
      <c r="H294">
        <v>35236</v>
      </c>
      <c r="I294" t="s">
        <v>1951</v>
      </c>
    </row>
    <row r="295" spans="1:9" x14ac:dyDescent="0.25">
      <c r="A295" t="s">
        <v>601</v>
      </c>
      <c r="B295" t="s">
        <v>3276</v>
      </c>
      <c r="C295" t="s">
        <v>3277</v>
      </c>
      <c r="D295" t="s">
        <v>3278</v>
      </c>
      <c r="E295" t="s">
        <v>3279</v>
      </c>
      <c r="F295" t="s">
        <v>2699</v>
      </c>
      <c r="G295" t="s">
        <v>1941</v>
      </c>
      <c r="H295">
        <v>22309</v>
      </c>
      <c r="I295" t="s">
        <v>1951</v>
      </c>
    </row>
    <row r="296" spans="1:9" x14ac:dyDescent="0.25">
      <c r="A296" t="s">
        <v>603</v>
      </c>
      <c r="B296" t="s">
        <v>3280</v>
      </c>
      <c r="D296" t="s">
        <v>3281</v>
      </c>
      <c r="E296" t="s">
        <v>3282</v>
      </c>
      <c r="F296" t="s">
        <v>3283</v>
      </c>
      <c r="G296" t="s">
        <v>1941</v>
      </c>
      <c r="H296">
        <v>6816</v>
      </c>
      <c r="I296" t="s">
        <v>1951</v>
      </c>
    </row>
    <row r="297" spans="1:9" x14ac:dyDescent="0.25">
      <c r="A297" t="s">
        <v>605</v>
      </c>
      <c r="B297" t="s">
        <v>3284</v>
      </c>
      <c r="E297" t="s">
        <v>3285</v>
      </c>
      <c r="F297" t="s">
        <v>2881</v>
      </c>
      <c r="G297" t="s">
        <v>1941</v>
      </c>
      <c r="H297">
        <v>12205</v>
      </c>
      <c r="I297" t="s">
        <v>1951</v>
      </c>
    </row>
    <row r="298" spans="1:9" x14ac:dyDescent="0.25">
      <c r="A298" t="s">
        <v>607</v>
      </c>
      <c r="B298" t="s">
        <v>3286</v>
      </c>
      <c r="C298" t="s">
        <v>3287</v>
      </c>
      <c r="D298" t="s">
        <v>3288</v>
      </c>
      <c r="E298" t="s">
        <v>3289</v>
      </c>
      <c r="F298" t="s">
        <v>2247</v>
      </c>
      <c r="G298" t="s">
        <v>1941</v>
      </c>
      <c r="H298">
        <v>34108</v>
      </c>
      <c r="I298" t="s">
        <v>1942</v>
      </c>
    </row>
    <row r="299" spans="1:9" x14ac:dyDescent="0.25">
      <c r="A299" t="s">
        <v>609</v>
      </c>
      <c r="B299" t="s">
        <v>3290</v>
      </c>
      <c r="C299" t="s">
        <v>3291</v>
      </c>
      <c r="D299" t="s">
        <v>3292</v>
      </c>
      <c r="E299" t="s">
        <v>3293</v>
      </c>
      <c r="F299" t="s">
        <v>3294</v>
      </c>
      <c r="G299" t="s">
        <v>1941</v>
      </c>
      <c r="H299">
        <v>33141</v>
      </c>
      <c r="I299" t="s">
        <v>1942</v>
      </c>
    </row>
    <row r="300" spans="1:9" x14ac:dyDescent="0.25">
      <c r="A300" t="s">
        <v>611</v>
      </c>
      <c r="B300" t="s">
        <v>3295</v>
      </c>
      <c r="C300" t="s">
        <v>3296</v>
      </c>
      <c r="D300" t="s">
        <v>3297</v>
      </c>
      <c r="E300" t="s">
        <v>3298</v>
      </c>
      <c r="F300" t="s">
        <v>3049</v>
      </c>
      <c r="G300" t="s">
        <v>1941</v>
      </c>
      <c r="H300">
        <v>30358</v>
      </c>
      <c r="I300" t="s">
        <v>1942</v>
      </c>
    </row>
    <row r="301" spans="1:9" x14ac:dyDescent="0.25">
      <c r="A301" t="s">
        <v>613</v>
      </c>
      <c r="B301" t="s">
        <v>3299</v>
      </c>
      <c r="C301" t="s">
        <v>3300</v>
      </c>
      <c r="D301" t="s">
        <v>3301</v>
      </c>
      <c r="E301" t="s">
        <v>3302</v>
      </c>
      <c r="F301" t="s">
        <v>3303</v>
      </c>
      <c r="G301" t="s">
        <v>1941</v>
      </c>
      <c r="H301">
        <v>78405</v>
      </c>
      <c r="I301" t="s">
        <v>1942</v>
      </c>
    </row>
    <row r="302" spans="1:9" x14ac:dyDescent="0.25">
      <c r="A302" t="s">
        <v>615</v>
      </c>
      <c r="B302" t="s">
        <v>3304</v>
      </c>
      <c r="C302" t="s">
        <v>3305</v>
      </c>
      <c r="D302" t="s">
        <v>3306</v>
      </c>
      <c r="E302" t="s">
        <v>3307</v>
      </c>
      <c r="F302" t="s">
        <v>2592</v>
      </c>
      <c r="G302" t="s">
        <v>1941</v>
      </c>
      <c r="H302">
        <v>96835</v>
      </c>
      <c r="I302" t="s">
        <v>1942</v>
      </c>
    </row>
    <row r="303" spans="1:9" x14ac:dyDescent="0.25">
      <c r="A303" t="s">
        <v>617</v>
      </c>
      <c r="B303" t="s">
        <v>3308</v>
      </c>
      <c r="C303" t="s">
        <v>3309</v>
      </c>
      <c r="D303" t="s">
        <v>3310</v>
      </c>
      <c r="E303" t="s">
        <v>3311</v>
      </c>
      <c r="F303" t="s">
        <v>2387</v>
      </c>
      <c r="G303" t="s">
        <v>1941</v>
      </c>
      <c r="H303">
        <v>78737</v>
      </c>
      <c r="I303" t="s">
        <v>1942</v>
      </c>
    </row>
    <row r="304" spans="1:9" x14ac:dyDescent="0.25">
      <c r="A304" t="s">
        <v>619</v>
      </c>
      <c r="B304" t="s">
        <v>3312</v>
      </c>
      <c r="C304" t="s">
        <v>3313</v>
      </c>
      <c r="D304" t="s">
        <v>3314</v>
      </c>
      <c r="E304" t="s">
        <v>3315</v>
      </c>
      <c r="F304" t="s">
        <v>3316</v>
      </c>
      <c r="G304" t="s">
        <v>1941</v>
      </c>
      <c r="H304">
        <v>21290</v>
      </c>
      <c r="I304" t="s">
        <v>1951</v>
      </c>
    </row>
    <row r="305" spans="1:9" x14ac:dyDescent="0.25">
      <c r="A305" t="s">
        <v>621</v>
      </c>
      <c r="B305" t="s">
        <v>3317</v>
      </c>
      <c r="C305" t="s">
        <v>3318</v>
      </c>
      <c r="E305" t="s">
        <v>3319</v>
      </c>
      <c r="F305" t="s">
        <v>3320</v>
      </c>
      <c r="G305" t="s">
        <v>1941</v>
      </c>
      <c r="H305">
        <v>40596</v>
      </c>
      <c r="I305" t="s">
        <v>1942</v>
      </c>
    </row>
    <row r="306" spans="1:9" x14ac:dyDescent="0.25">
      <c r="A306" t="s">
        <v>3321</v>
      </c>
      <c r="B306" t="s">
        <v>3322</v>
      </c>
      <c r="C306" t="s">
        <v>3323</v>
      </c>
      <c r="E306" t="s">
        <v>3324</v>
      </c>
      <c r="F306" t="s">
        <v>3325</v>
      </c>
      <c r="G306" t="s">
        <v>1941</v>
      </c>
      <c r="H306">
        <v>60435</v>
      </c>
      <c r="I306" t="s">
        <v>1942</v>
      </c>
    </row>
    <row r="307" spans="1:9" x14ac:dyDescent="0.25">
      <c r="A307" t="s">
        <v>625</v>
      </c>
      <c r="B307" t="s">
        <v>3326</v>
      </c>
      <c r="C307" t="s">
        <v>3327</v>
      </c>
      <c r="D307" t="s">
        <v>3328</v>
      </c>
      <c r="E307" t="s">
        <v>3329</v>
      </c>
      <c r="F307" t="s">
        <v>3330</v>
      </c>
      <c r="G307" t="s">
        <v>2116</v>
      </c>
      <c r="H307" t="s">
        <v>3331</v>
      </c>
      <c r="I307" t="s">
        <v>1951</v>
      </c>
    </row>
    <row r="308" spans="1:9" x14ac:dyDescent="0.25">
      <c r="A308" t="s">
        <v>627</v>
      </c>
      <c r="B308" t="s">
        <v>3332</v>
      </c>
      <c r="C308" t="s">
        <v>3333</v>
      </c>
      <c r="D308" t="s">
        <v>3334</v>
      </c>
      <c r="E308" t="s">
        <v>3335</v>
      </c>
      <c r="F308" t="s">
        <v>3336</v>
      </c>
      <c r="G308" t="s">
        <v>1941</v>
      </c>
      <c r="H308">
        <v>68505</v>
      </c>
      <c r="I308" t="s">
        <v>1951</v>
      </c>
    </row>
    <row r="309" spans="1:9" x14ac:dyDescent="0.25">
      <c r="A309" t="s">
        <v>629</v>
      </c>
      <c r="B309" t="s">
        <v>3337</v>
      </c>
      <c r="C309" t="s">
        <v>3338</v>
      </c>
      <c r="D309" t="s">
        <v>3339</v>
      </c>
      <c r="E309" t="s">
        <v>3340</v>
      </c>
      <c r="F309" t="s">
        <v>3037</v>
      </c>
      <c r="G309" t="s">
        <v>1941</v>
      </c>
      <c r="H309">
        <v>45254</v>
      </c>
      <c r="I309" t="s">
        <v>1942</v>
      </c>
    </row>
    <row r="310" spans="1:9" x14ac:dyDescent="0.25">
      <c r="A310" t="s">
        <v>631</v>
      </c>
      <c r="B310" t="s">
        <v>3341</v>
      </c>
      <c r="C310" t="s">
        <v>3342</v>
      </c>
      <c r="E310" t="s">
        <v>3343</v>
      </c>
      <c r="F310" t="s">
        <v>3134</v>
      </c>
      <c r="G310" t="s">
        <v>2116</v>
      </c>
      <c r="H310" t="s">
        <v>3135</v>
      </c>
      <c r="I310" t="s">
        <v>1951</v>
      </c>
    </row>
    <row r="311" spans="1:9" x14ac:dyDescent="0.25">
      <c r="A311" t="s">
        <v>633</v>
      </c>
      <c r="B311" t="s">
        <v>3344</v>
      </c>
      <c r="C311" t="s">
        <v>3345</v>
      </c>
      <c r="D311" t="s">
        <v>3346</v>
      </c>
      <c r="E311" t="s">
        <v>3347</v>
      </c>
      <c r="F311" t="s">
        <v>3348</v>
      </c>
      <c r="G311" t="s">
        <v>1941</v>
      </c>
      <c r="H311">
        <v>6127</v>
      </c>
      <c r="I311" t="s">
        <v>1942</v>
      </c>
    </row>
    <row r="312" spans="1:9" x14ac:dyDescent="0.25">
      <c r="A312" t="s">
        <v>635</v>
      </c>
      <c r="B312" t="s">
        <v>3349</v>
      </c>
      <c r="C312" t="s">
        <v>3350</v>
      </c>
      <c r="D312" t="s">
        <v>3351</v>
      </c>
      <c r="E312" t="s">
        <v>3352</v>
      </c>
      <c r="F312" t="s">
        <v>2309</v>
      </c>
      <c r="G312" t="s">
        <v>1949</v>
      </c>
      <c r="H312" t="s">
        <v>2310</v>
      </c>
      <c r="I312" t="s">
        <v>1951</v>
      </c>
    </row>
    <row r="313" spans="1:9" x14ac:dyDescent="0.25">
      <c r="A313" t="s">
        <v>623</v>
      </c>
      <c r="B313" t="s">
        <v>3353</v>
      </c>
      <c r="C313" t="s">
        <v>3354</v>
      </c>
      <c r="D313" t="s">
        <v>3355</v>
      </c>
      <c r="E313" t="s">
        <v>3356</v>
      </c>
      <c r="F313" t="s">
        <v>2300</v>
      </c>
      <c r="G313" t="s">
        <v>1941</v>
      </c>
      <c r="H313">
        <v>28299</v>
      </c>
      <c r="I313" t="s">
        <v>1942</v>
      </c>
    </row>
    <row r="314" spans="1:9" x14ac:dyDescent="0.25">
      <c r="A314" t="s">
        <v>638</v>
      </c>
      <c r="B314" t="s">
        <v>3357</v>
      </c>
      <c r="C314" t="s">
        <v>3358</v>
      </c>
      <c r="D314" t="s">
        <v>3359</v>
      </c>
      <c r="E314" t="s">
        <v>3360</v>
      </c>
      <c r="F314" t="s">
        <v>2699</v>
      </c>
      <c r="G314" t="s">
        <v>1941</v>
      </c>
      <c r="H314">
        <v>71307</v>
      </c>
      <c r="I314" t="s">
        <v>1942</v>
      </c>
    </row>
    <row r="315" spans="1:9" x14ac:dyDescent="0.25">
      <c r="A315" t="s">
        <v>640</v>
      </c>
      <c r="B315" t="s">
        <v>3361</v>
      </c>
      <c r="C315" t="s">
        <v>3362</v>
      </c>
      <c r="D315" t="s">
        <v>3363</v>
      </c>
      <c r="E315" t="s">
        <v>3364</v>
      </c>
      <c r="F315" t="s">
        <v>3365</v>
      </c>
      <c r="G315" t="s">
        <v>2116</v>
      </c>
      <c r="H315" t="s">
        <v>3366</v>
      </c>
      <c r="I315" t="s">
        <v>1942</v>
      </c>
    </row>
    <row r="316" spans="1:9" x14ac:dyDescent="0.25">
      <c r="A316" t="s">
        <v>642</v>
      </c>
      <c r="B316" t="s">
        <v>3367</v>
      </c>
      <c r="D316" t="s">
        <v>3368</v>
      </c>
      <c r="E316" t="s">
        <v>3369</v>
      </c>
      <c r="F316" t="s">
        <v>3370</v>
      </c>
      <c r="G316" t="s">
        <v>1941</v>
      </c>
      <c r="H316">
        <v>89115</v>
      </c>
      <c r="I316" t="s">
        <v>1951</v>
      </c>
    </row>
    <row r="317" spans="1:9" x14ac:dyDescent="0.25">
      <c r="A317" t="s">
        <v>644</v>
      </c>
      <c r="B317" t="s">
        <v>3371</v>
      </c>
      <c r="C317" t="s">
        <v>3372</v>
      </c>
      <c r="D317" t="s">
        <v>3373</v>
      </c>
      <c r="E317" t="s">
        <v>3374</v>
      </c>
      <c r="F317" t="s">
        <v>2647</v>
      </c>
      <c r="G317" t="s">
        <v>1941</v>
      </c>
      <c r="H317">
        <v>50369</v>
      </c>
      <c r="I317" t="s">
        <v>1942</v>
      </c>
    </row>
    <row r="318" spans="1:9" x14ac:dyDescent="0.25">
      <c r="A318" t="s">
        <v>646</v>
      </c>
      <c r="B318" t="s">
        <v>3375</v>
      </c>
      <c r="C318" t="s">
        <v>3376</v>
      </c>
      <c r="D318" t="s">
        <v>3377</v>
      </c>
      <c r="E318" t="s">
        <v>3378</v>
      </c>
      <c r="F318" t="s">
        <v>2600</v>
      </c>
      <c r="G318" t="s">
        <v>1949</v>
      </c>
      <c r="H318" t="s">
        <v>2545</v>
      </c>
      <c r="I318" t="s">
        <v>1951</v>
      </c>
    </row>
    <row r="319" spans="1:9" x14ac:dyDescent="0.25">
      <c r="A319" t="s">
        <v>648</v>
      </c>
      <c r="B319" t="s">
        <v>3379</v>
      </c>
      <c r="C319" t="s">
        <v>3380</v>
      </c>
      <c r="D319" t="s">
        <v>3381</v>
      </c>
      <c r="E319" t="s">
        <v>3382</v>
      </c>
      <c r="F319" t="s">
        <v>3383</v>
      </c>
      <c r="G319" t="s">
        <v>1941</v>
      </c>
      <c r="H319">
        <v>44315</v>
      </c>
      <c r="I319" t="s">
        <v>1951</v>
      </c>
    </row>
    <row r="320" spans="1:9" x14ac:dyDescent="0.25">
      <c r="A320" t="s">
        <v>650</v>
      </c>
      <c r="B320" t="s">
        <v>3384</v>
      </c>
      <c r="C320" t="s">
        <v>3385</v>
      </c>
      <c r="D320" t="s">
        <v>3386</v>
      </c>
      <c r="E320" t="s">
        <v>3387</v>
      </c>
      <c r="F320" t="s">
        <v>3388</v>
      </c>
      <c r="G320" t="s">
        <v>1941</v>
      </c>
      <c r="H320">
        <v>33405</v>
      </c>
      <c r="I320" t="s">
        <v>1942</v>
      </c>
    </row>
    <row r="321" spans="1:9" x14ac:dyDescent="0.25">
      <c r="A321" t="s">
        <v>652</v>
      </c>
      <c r="B321" t="s">
        <v>3389</v>
      </c>
      <c r="C321" t="s">
        <v>3390</v>
      </c>
      <c r="E321" t="s">
        <v>3391</v>
      </c>
      <c r="F321" t="s">
        <v>2355</v>
      </c>
      <c r="G321" t="s">
        <v>1941</v>
      </c>
      <c r="H321">
        <v>93715</v>
      </c>
      <c r="I321" t="s">
        <v>1942</v>
      </c>
    </row>
    <row r="322" spans="1:9" x14ac:dyDescent="0.25">
      <c r="A322" t="s">
        <v>3392</v>
      </c>
      <c r="B322" t="s">
        <v>3393</v>
      </c>
      <c r="C322" t="s">
        <v>3394</v>
      </c>
      <c r="D322" t="s">
        <v>3395</v>
      </c>
      <c r="E322" t="s">
        <v>3396</v>
      </c>
      <c r="F322" t="s">
        <v>3397</v>
      </c>
      <c r="G322" t="s">
        <v>1941</v>
      </c>
      <c r="H322">
        <v>52245</v>
      </c>
      <c r="I322" t="s">
        <v>1942</v>
      </c>
    </row>
    <row r="323" spans="1:9" x14ac:dyDescent="0.25">
      <c r="A323" t="s">
        <v>654</v>
      </c>
      <c r="B323" t="s">
        <v>3398</v>
      </c>
      <c r="C323" t="s">
        <v>3399</v>
      </c>
      <c r="D323" t="s">
        <v>3400</v>
      </c>
      <c r="E323" t="s">
        <v>3401</v>
      </c>
      <c r="F323" t="s">
        <v>3402</v>
      </c>
      <c r="G323" t="s">
        <v>1949</v>
      </c>
      <c r="H323" t="s">
        <v>2083</v>
      </c>
      <c r="I323" t="s">
        <v>1942</v>
      </c>
    </row>
    <row r="324" spans="1:9" x14ac:dyDescent="0.25">
      <c r="A324" t="s">
        <v>656</v>
      </c>
      <c r="B324" t="s">
        <v>3403</v>
      </c>
      <c r="C324" t="s">
        <v>3404</v>
      </c>
      <c r="D324" t="s">
        <v>3405</v>
      </c>
      <c r="E324" t="s">
        <v>3406</v>
      </c>
      <c r="F324" t="s">
        <v>3407</v>
      </c>
      <c r="G324" t="s">
        <v>1949</v>
      </c>
      <c r="H324" t="s">
        <v>2083</v>
      </c>
      <c r="I324" t="s">
        <v>1951</v>
      </c>
    </row>
    <row r="325" spans="1:9" x14ac:dyDescent="0.25">
      <c r="A325" t="s">
        <v>658</v>
      </c>
      <c r="B325" t="s">
        <v>3408</v>
      </c>
      <c r="C325" t="s">
        <v>3409</v>
      </c>
      <c r="D325" t="s">
        <v>3410</v>
      </c>
      <c r="E325" t="s">
        <v>3411</v>
      </c>
      <c r="F325" t="s">
        <v>3412</v>
      </c>
      <c r="G325" t="s">
        <v>1941</v>
      </c>
      <c r="H325">
        <v>37924</v>
      </c>
      <c r="I325" t="s">
        <v>1942</v>
      </c>
    </row>
    <row r="326" spans="1:9" x14ac:dyDescent="0.25">
      <c r="A326" t="s">
        <v>660</v>
      </c>
      <c r="B326" t="s">
        <v>3413</v>
      </c>
      <c r="D326" t="s">
        <v>3414</v>
      </c>
      <c r="E326" t="s">
        <v>3415</v>
      </c>
      <c r="F326" t="s">
        <v>2988</v>
      </c>
      <c r="G326" t="s">
        <v>1941</v>
      </c>
      <c r="H326">
        <v>66276</v>
      </c>
      <c r="I326" t="s">
        <v>1951</v>
      </c>
    </row>
    <row r="327" spans="1:9" x14ac:dyDescent="0.25">
      <c r="A327" t="s">
        <v>662</v>
      </c>
      <c r="B327" t="s">
        <v>3416</v>
      </c>
      <c r="C327" t="s">
        <v>3417</v>
      </c>
      <c r="D327" t="s">
        <v>3418</v>
      </c>
      <c r="E327" t="s">
        <v>3419</v>
      </c>
      <c r="F327" t="s">
        <v>3090</v>
      </c>
      <c r="G327" t="s">
        <v>1941</v>
      </c>
      <c r="H327">
        <v>94132</v>
      </c>
      <c r="I327" t="s">
        <v>1942</v>
      </c>
    </row>
    <row r="328" spans="1:9" x14ac:dyDescent="0.25">
      <c r="A328" t="s">
        <v>664</v>
      </c>
      <c r="B328" t="s">
        <v>3420</v>
      </c>
      <c r="D328" t="s">
        <v>3421</v>
      </c>
      <c r="E328" t="s">
        <v>3422</v>
      </c>
      <c r="F328" t="s">
        <v>2172</v>
      </c>
      <c r="G328" t="s">
        <v>1941</v>
      </c>
      <c r="H328">
        <v>35244</v>
      </c>
      <c r="I328" t="s">
        <v>1951</v>
      </c>
    </row>
    <row r="329" spans="1:9" x14ac:dyDescent="0.25">
      <c r="A329" t="s">
        <v>666</v>
      </c>
      <c r="B329" t="s">
        <v>3423</v>
      </c>
      <c r="C329" t="s">
        <v>3424</v>
      </c>
      <c r="D329" t="s">
        <v>3425</v>
      </c>
      <c r="E329" t="s">
        <v>3426</v>
      </c>
      <c r="F329" t="s">
        <v>2776</v>
      </c>
      <c r="G329" t="s">
        <v>1941</v>
      </c>
      <c r="H329">
        <v>11215</v>
      </c>
      <c r="I329" t="s">
        <v>1942</v>
      </c>
    </row>
    <row r="330" spans="1:9" x14ac:dyDescent="0.25">
      <c r="A330" t="s">
        <v>668</v>
      </c>
      <c r="B330" t="s">
        <v>3427</v>
      </c>
      <c r="D330" t="s">
        <v>3428</v>
      </c>
      <c r="E330" t="s">
        <v>3429</v>
      </c>
      <c r="F330" t="s">
        <v>2448</v>
      </c>
      <c r="G330" t="s">
        <v>1941</v>
      </c>
      <c r="H330">
        <v>79934</v>
      </c>
      <c r="I330" t="s">
        <v>1942</v>
      </c>
    </row>
    <row r="331" spans="1:9" x14ac:dyDescent="0.25">
      <c r="A331" t="s">
        <v>670</v>
      </c>
      <c r="B331" t="s">
        <v>3430</v>
      </c>
      <c r="C331" t="s">
        <v>3431</v>
      </c>
      <c r="E331" t="s">
        <v>3432</v>
      </c>
      <c r="F331" t="s">
        <v>2999</v>
      </c>
      <c r="G331" t="s">
        <v>1941</v>
      </c>
      <c r="H331">
        <v>94250</v>
      </c>
      <c r="I331" t="s">
        <v>1942</v>
      </c>
    </row>
    <row r="332" spans="1:9" x14ac:dyDescent="0.25">
      <c r="A332" t="s">
        <v>3433</v>
      </c>
      <c r="B332" t="s">
        <v>3434</v>
      </c>
      <c r="C332" t="s">
        <v>3435</v>
      </c>
      <c r="D332" t="s">
        <v>3436</v>
      </c>
      <c r="E332" t="s">
        <v>3437</v>
      </c>
      <c r="F332" t="s">
        <v>2186</v>
      </c>
      <c r="G332" t="s">
        <v>1941</v>
      </c>
      <c r="H332">
        <v>20220</v>
      </c>
      <c r="I332" t="s">
        <v>1951</v>
      </c>
    </row>
    <row r="333" spans="1:9" x14ac:dyDescent="0.25">
      <c r="A333" t="s">
        <v>673</v>
      </c>
      <c r="B333" t="s">
        <v>3438</v>
      </c>
      <c r="C333" t="s">
        <v>3439</v>
      </c>
      <c r="D333" t="s">
        <v>3440</v>
      </c>
      <c r="E333" t="s">
        <v>3441</v>
      </c>
      <c r="F333" t="s">
        <v>3442</v>
      </c>
      <c r="G333" t="s">
        <v>1941</v>
      </c>
      <c r="H333">
        <v>33436</v>
      </c>
      <c r="I333" t="s">
        <v>1942</v>
      </c>
    </row>
    <row r="334" spans="1:9" x14ac:dyDescent="0.25">
      <c r="A334" t="s">
        <v>675</v>
      </c>
      <c r="B334" t="s">
        <v>3443</v>
      </c>
      <c r="C334" t="s">
        <v>3444</v>
      </c>
      <c r="D334" t="s">
        <v>3445</v>
      </c>
      <c r="E334" t="s">
        <v>3446</v>
      </c>
      <c r="F334" t="s">
        <v>1986</v>
      </c>
      <c r="G334" t="s">
        <v>1941</v>
      </c>
      <c r="H334">
        <v>90094</v>
      </c>
      <c r="I334" t="s">
        <v>1942</v>
      </c>
    </row>
    <row r="335" spans="1:9" x14ac:dyDescent="0.25">
      <c r="A335" t="s">
        <v>677</v>
      </c>
      <c r="B335" t="s">
        <v>3447</v>
      </c>
      <c r="C335" t="s">
        <v>3448</v>
      </c>
      <c r="D335" t="s">
        <v>3449</v>
      </c>
      <c r="E335" t="s">
        <v>3450</v>
      </c>
      <c r="F335" t="s">
        <v>3316</v>
      </c>
      <c r="G335" t="s">
        <v>1941</v>
      </c>
      <c r="H335">
        <v>21275</v>
      </c>
      <c r="I335" t="s">
        <v>1942</v>
      </c>
    </row>
    <row r="336" spans="1:9" x14ac:dyDescent="0.25">
      <c r="A336" t="s">
        <v>679</v>
      </c>
      <c r="B336" t="s">
        <v>3451</v>
      </c>
      <c r="E336" t="s">
        <v>3452</v>
      </c>
      <c r="F336" t="s">
        <v>2938</v>
      </c>
      <c r="G336" t="s">
        <v>1941</v>
      </c>
      <c r="H336">
        <v>84125</v>
      </c>
      <c r="I336" t="s">
        <v>1951</v>
      </c>
    </row>
    <row r="337" spans="1:9" x14ac:dyDescent="0.25">
      <c r="A337" t="s">
        <v>681</v>
      </c>
      <c r="B337" t="s">
        <v>3453</v>
      </c>
      <c r="C337" t="s">
        <v>3454</v>
      </c>
      <c r="D337" t="s">
        <v>3455</v>
      </c>
      <c r="E337" t="s">
        <v>3456</v>
      </c>
      <c r="F337" t="s">
        <v>2791</v>
      </c>
      <c r="G337" t="s">
        <v>1941</v>
      </c>
      <c r="H337">
        <v>75049</v>
      </c>
      <c r="I337" t="s">
        <v>1942</v>
      </c>
    </row>
    <row r="338" spans="1:9" x14ac:dyDescent="0.25">
      <c r="A338" t="s">
        <v>683</v>
      </c>
      <c r="B338" t="s">
        <v>3457</v>
      </c>
      <c r="C338" t="s">
        <v>3458</v>
      </c>
      <c r="D338" t="s">
        <v>3459</v>
      </c>
      <c r="E338" t="s">
        <v>3460</v>
      </c>
      <c r="F338" t="s">
        <v>3461</v>
      </c>
      <c r="G338" t="s">
        <v>2116</v>
      </c>
      <c r="H338" t="s">
        <v>3462</v>
      </c>
      <c r="I338" t="s">
        <v>1951</v>
      </c>
    </row>
    <row r="339" spans="1:9" x14ac:dyDescent="0.25">
      <c r="A339" t="s">
        <v>3463</v>
      </c>
      <c r="B339" t="s">
        <v>3464</v>
      </c>
      <c r="D339" t="s">
        <v>3465</v>
      </c>
      <c r="E339" t="s">
        <v>3466</v>
      </c>
      <c r="F339" t="s">
        <v>2287</v>
      </c>
      <c r="G339" t="s">
        <v>1941</v>
      </c>
      <c r="H339">
        <v>43240</v>
      </c>
      <c r="I339" t="s">
        <v>1951</v>
      </c>
    </row>
    <row r="340" spans="1:9" x14ac:dyDescent="0.25">
      <c r="A340" t="s">
        <v>686</v>
      </c>
      <c r="B340" t="s">
        <v>3467</v>
      </c>
      <c r="C340" t="s">
        <v>3468</v>
      </c>
      <c r="D340" t="s">
        <v>3469</v>
      </c>
      <c r="E340" t="s">
        <v>3470</v>
      </c>
      <c r="F340" t="s">
        <v>2037</v>
      </c>
      <c r="G340" t="s">
        <v>1941</v>
      </c>
      <c r="H340">
        <v>10184</v>
      </c>
      <c r="I340" t="s">
        <v>1951</v>
      </c>
    </row>
    <row r="341" spans="1:9" x14ac:dyDescent="0.25">
      <c r="A341" t="s">
        <v>688</v>
      </c>
      <c r="B341" t="s">
        <v>3471</v>
      </c>
      <c r="C341" t="s">
        <v>3472</v>
      </c>
      <c r="D341" t="s">
        <v>3473</v>
      </c>
      <c r="E341" t="s">
        <v>3474</v>
      </c>
      <c r="F341" t="s">
        <v>2158</v>
      </c>
      <c r="G341" t="s">
        <v>1941</v>
      </c>
      <c r="H341">
        <v>2216</v>
      </c>
      <c r="I341" t="s">
        <v>1942</v>
      </c>
    </row>
    <row r="342" spans="1:9" x14ac:dyDescent="0.25">
      <c r="A342" t="s">
        <v>690</v>
      </c>
      <c r="B342" t="s">
        <v>3475</v>
      </c>
      <c r="C342" t="s">
        <v>3476</v>
      </c>
      <c r="D342" t="s">
        <v>3477</v>
      </c>
      <c r="E342" t="s">
        <v>3478</v>
      </c>
      <c r="F342" t="s">
        <v>3090</v>
      </c>
      <c r="G342" t="s">
        <v>1941</v>
      </c>
      <c r="H342">
        <v>94132</v>
      </c>
      <c r="I342" t="s">
        <v>1942</v>
      </c>
    </row>
    <row r="343" spans="1:9" x14ac:dyDescent="0.25">
      <c r="A343" t="s">
        <v>692</v>
      </c>
      <c r="B343" t="s">
        <v>3479</v>
      </c>
      <c r="C343" t="s">
        <v>3480</v>
      </c>
      <c r="D343" t="s">
        <v>3481</v>
      </c>
      <c r="E343" t="s">
        <v>3482</v>
      </c>
      <c r="F343" t="s">
        <v>3483</v>
      </c>
      <c r="G343" t="s">
        <v>1941</v>
      </c>
      <c r="H343">
        <v>46295</v>
      </c>
      <c r="I343" t="s">
        <v>1951</v>
      </c>
    </row>
    <row r="344" spans="1:9" x14ac:dyDescent="0.25">
      <c r="A344" t="s">
        <v>3484</v>
      </c>
      <c r="B344" t="s">
        <v>3485</v>
      </c>
      <c r="C344" t="s">
        <v>3486</v>
      </c>
      <c r="E344" t="s">
        <v>3487</v>
      </c>
      <c r="F344" t="s">
        <v>3488</v>
      </c>
      <c r="G344" t="s">
        <v>1941</v>
      </c>
      <c r="H344">
        <v>32209</v>
      </c>
      <c r="I344" t="s">
        <v>1951</v>
      </c>
    </row>
    <row r="345" spans="1:9" x14ac:dyDescent="0.25">
      <c r="A345" t="s">
        <v>694</v>
      </c>
      <c r="B345" t="s">
        <v>3489</v>
      </c>
      <c r="C345" t="s">
        <v>3490</v>
      </c>
      <c r="E345" t="s">
        <v>3491</v>
      </c>
      <c r="F345" t="s">
        <v>3492</v>
      </c>
      <c r="G345" t="s">
        <v>1941</v>
      </c>
      <c r="H345">
        <v>98148</v>
      </c>
      <c r="I345" t="s">
        <v>1951</v>
      </c>
    </row>
    <row r="346" spans="1:9" x14ac:dyDescent="0.25">
      <c r="A346" t="s">
        <v>696</v>
      </c>
      <c r="B346" t="s">
        <v>3493</v>
      </c>
      <c r="D346" t="s">
        <v>3494</v>
      </c>
      <c r="E346" t="s">
        <v>3495</v>
      </c>
      <c r="F346" t="s">
        <v>3496</v>
      </c>
      <c r="G346" t="s">
        <v>1949</v>
      </c>
      <c r="H346" t="s">
        <v>3497</v>
      </c>
      <c r="I346" t="s">
        <v>1942</v>
      </c>
    </row>
    <row r="347" spans="1:9" x14ac:dyDescent="0.25">
      <c r="A347" t="s">
        <v>698</v>
      </c>
      <c r="B347" t="s">
        <v>3498</v>
      </c>
      <c r="C347" t="s">
        <v>3499</v>
      </c>
      <c r="D347" t="s">
        <v>3500</v>
      </c>
      <c r="E347" t="s">
        <v>3501</v>
      </c>
      <c r="F347" t="s">
        <v>2744</v>
      </c>
      <c r="G347" t="s">
        <v>1941</v>
      </c>
      <c r="H347">
        <v>36109</v>
      </c>
      <c r="I347" t="s">
        <v>1951</v>
      </c>
    </row>
    <row r="348" spans="1:9" x14ac:dyDescent="0.25">
      <c r="A348" t="s">
        <v>700</v>
      </c>
      <c r="B348" t="s">
        <v>3502</v>
      </c>
      <c r="C348" t="s">
        <v>3503</v>
      </c>
      <c r="D348" t="s">
        <v>3504</v>
      </c>
      <c r="E348" t="s">
        <v>3505</v>
      </c>
      <c r="F348" t="s">
        <v>2325</v>
      </c>
      <c r="G348" t="s">
        <v>1941</v>
      </c>
      <c r="H348">
        <v>75372</v>
      </c>
      <c r="I348" t="s">
        <v>1942</v>
      </c>
    </row>
    <row r="349" spans="1:9" x14ac:dyDescent="0.25">
      <c r="A349" t="s">
        <v>702</v>
      </c>
      <c r="B349" t="s">
        <v>3506</v>
      </c>
      <c r="C349" t="s">
        <v>3507</v>
      </c>
      <c r="D349" t="s">
        <v>3508</v>
      </c>
      <c r="E349" t="s">
        <v>3509</v>
      </c>
      <c r="F349" t="s">
        <v>3510</v>
      </c>
      <c r="G349" t="s">
        <v>1941</v>
      </c>
      <c r="H349">
        <v>66622</v>
      </c>
      <c r="I349" t="s">
        <v>1951</v>
      </c>
    </row>
    <row r="350" spans="1:9" x14ac:dyDescent="0.25">
      <c r="A350" t="s">
        <v>704</v>
      </c>
      <c r="B350" t="s">
        <v>3511</v>
      </c>
      <c r="C350" t="s">
        <v>3512</v>
      </c>
      <c r="D350" t="s">
        <v>3513</v>
      </c>
      <c r="E350" t="s">
        <v>3514</v>
      </c>
      <c r="F350" t="s">
        <v>3515</v>
      </c>
      <c r="G350" t="s">
        <v>1941</v>
      </c>
      <c r="H350">
        <v>75799</v>
      </c>
      <c r="I350" t="s">
        <v>1951</v>
      </c>
    </row>
    <row r="351" spans="1:9" x14ac:dyDescent="0.25">
      <c r="A351" t="s">
        <v>706</v>
      </c>
      <c r="B351" t="s">
        <v>3516</v>
      </c>
      <c r="C351" t="s">
        <v>3517</v>
      </c>
      <c r="D351" t="s">
        <v>3518</v>
      </c>
      <c r="E351" t="s">
        <v>3519</v>
      </c>
      <c r="F351" t="s">
        <v>1986</v>
      </c>
      <c r="G351" t="s">
        <v>1941</v>
      </c>
      <c r="H351">
        <v>90065</v>
      </c>
      <c r="I351" t="s">
        <v>1951</v>
      </c>
    </row>
    <row r="352" spans="1:9" x14ac:dyDescent="0.25">
      <c r="A352" t="s">
        <v>708</v>
      </c>
      <c r="B352" t="s">
        <v>3520</v>
      </c>
      <c r="C352" t="s">
        <v>3521</v>
      </c>
      <c r="D352" t="s">
        <v>3522</v>
      </c>
      <c r="E352" t="s">
        <v>3523</v>
      </c>
      <c r="F352" t="s">
        <v>3524</v>
      </c>
      <c r="G352" t="s">
        <v>1941</v>
      </c>
      <c r="H352">
        <v>71137</v>
      </c>
      <c r="I352" t="s">
        <v>1951</v>
      </c>
    </row>
    <row r="353" spans="1:9" x14ac:dyDescent="0.25">
      <c r="A353" t="s">
        <v>710</v>
      </c>
      <c r="B353" t="s">
        <v>3525</v>
      </c>
      <c r="C353" t="s">
        <v>3526</v>
      </c>
      <c r="D353" t="s">
        <v>3527</v>
      </c>
      <c r="E353" t="s">
        <v>3528</v>
      </c>
      <c r="F353" t="s">
        <v>3529</v>
      </c>
      <c r="G353" t="s">
        <v>1941</v>
      </c>
      <c r="H353">
        <v>83722</v>
      </c>
      <c r="I353" t="s">
        <v>1951</v>
      </c>
    </row>
    <row r="354" spans="1:9" x14ac:dyDescent="0.25">
      <c r="A354" t="s">
        <v>3530</v>
      </c>
      <c r="B354" t="s">
        <v>3531</v>
      </c>
      <c r="C354" t="s">
        <v>3532</v>
      </c>
      <c r="D354" t="s">
        <v>3533</v>
      </c>
      <c r="E354" t="s">
        <v>3534</v>
      </c>
      <c r="F354" t="s">
        <v>2177</v>
      </c>
      <c r="G354" t="s">
        <v>1941</v>
      </c>
      <c r="H354">
        <v>92415</v>
      </c>
      <c r="I354" t="s">
        <v>1951</v>
      </c>
    </row>
    <row r="355" spans="1:9" x14ac:dyDescent="0.25">
      <c r="A355" t="s">
        <v>713</v>
      </c>
      <c r="B355" t="s">
        <v>3535</v>
      </c>
      <c r="D355" t="s">
        <v>3536</v>
      </c>
      <c r="E355" t="s">
        <v>3537</v>
      </c>
      <c r="F355" t="s">
        <v>2744</v>
      </c>
      <c r="G355" t="s">
        <v>1941</v>
      </c>
      <c r="H355">
        <v>36177</v>
      </c>
      <c r="I355" t="s">
        <v>1942</v>
      </c>
    </row>
    <row r="356" spans="1:9" x14ac:dyDescent="0.25">
      <c r="A356" t="s">
        <v>715</v>
      </c>
      <c r="B356" t="s">
        <v>3538</v>
      </c>
      <c r="C356" t="s">
        <v>3539</v>
      </c>
      <c r="E356" t="s">
        <v>3540</v>
      </c>
      <c r="F356" t="s">
        <v>3541</v>
      </c>
      <c r="G356" t="s">
        <v>1941</v>
      </c>
      <c r="H356">
        <v>34981</v>
      </c>
      <c r="I356" t="s">
        <v>1951</v>
      </c>
    </row>
    <row r="357" spans="1:9" x14ac:dyDescent="0.25">
      <c r="A357" t="s">
        <v>717</v>
      </c>
      <c r="B357" t="s">
        <v>3542</v>
      </c>
      <c r="C357" t="s">
        <v>3543</v>
      </c>
      <c r="D357" t="s">
        <v>3544</v>
      </c>
      <c r="E357" t="s">
        <v>3545</v>
      </c>
      <c r="F357" t="s">
        <v>2694</v>
      </c>
      <c r="G357" t="s">
        <v>1941</v>
      </c>
      <c r="H357">
        <v>27415</v>
      </c>
      <c r="I357" t="s">
        <v>1942</v>
      </c>
    </row>
    <row r="358" spans="1:9" x14ac:dyDescent="0.25">
      <c r="A358" t="s">
        <v>719</v>
      </c>
      <c r="B358" t="s">
        <v>3546</v>
      </c>
      <c r="C358" t="s">
        <v>3547</v>
      </c>
      <c r="D358" t="s">
        <v>3548</v>
      </c>
      <c r="E358" t="s">
        <v>3549</v>
      </c>
      <c r="F358" t="s">
        <v>2999</v>
      </c>
      <c r="G358" t="s">
        <v>1941</v>
      </c>
      <c r="H358">
        <v>94237</v>
      </c>
      <c r="I358" t="s">
        <v>1942</v>
      </c>
    </row>
    <row r="359" spans="1:9" x14ac:dyDescent="0.25">
      <c r="A359" t="s">
        <v>721</v>
      </c>
      <c r="B359" t="s">
        <v>3550</v>
      </c>
      <c r="D359" t="s">
        <v>3551</v>
      </c>
      <c r="E359" t="s">
        <v>3552</v>
      </c>
      <c r="F359" t="s">
        <v>3553</v>
      </c>
      <c r="G359" t="s">
        <v>1941</v>
      </c>
      <c r="H359">
        <v>78682</v>
      </c>
      <c r="I359" t="s">
        <v>1951</v>
      </c>
    </row>
    <row r="360" spans="1:9" x14ac:dyDescent="0.25">
      <c r="A360" t="s">
        <v>723</v>
      </c>
      <c r="B360" t="s">
        <v>3554</v>
      </c>
      <c r="C360" t="s">
        <v>3555</v>
      </c>
      <c r="D360" t="s">
        <v>3556</v>
      </c>
      <c r="E360" t="s">
        <v>3557</v>
      </c>
      <c r="F360" t="s">
        <v>3558</v>
      </c>
      <c r="G360" t="s">
        <v>1941</v>
      </c>
      <c r="H360">
        <v>22096</v>
      </c>
      <c r="I360" t="s">
        <v>1951</v>
      </c>
    </row>
    <row r="361" spans="1:9" x14ac:dyDescent="0.25">
      <c r="A361" t="s">
        <v>725</v>
      </c>
      <c r="B361" t="s">
        <v>3559</v>
      </c>
      <c r="C361" t="s">
        <v>3560</v>
      </c>
      <c r="D361" t="s">
        <v>3561</v>
      </c>
      <c r="E361" t="s">
        <v>3562</v>
      </c>
      <c r="F361" t="s">
        <v>3563</v>
      </c>
      <c r="G361" t="s">
        <v>2116</v>
      </c>
      <c r="H361" t="s">
        <v>3564</v>
      </c>
      <c r="I361" t="s">
        <v>1951</v>
      </c>
    </row>
    <row r="362" spans="1:9" x14ac:dyDescent="0.25">
      <c r="A362" t="s">
        <v>727</v>
      </c>
      <c r="B362" t="s">
        <v>3565</v>
      </c>
      <c r="C362" t="s">
        <v>3566</v>
      </c>
      <c r="D362" t="s">
        <v>3567</v>
      </c>
      <c r="E362" t="s">
        <v>3568</v>
      </c>
      <c r="F362" t="s">
        <v>3217</v>
      </c>
      <c r="G362" t="s">
        <v>1941</v>
      </c>
      <c r="H362">
        <v>29220</v>
      </c>
      <c r="I362" t="s">
        <v>1951</v>
      </c>
    </row>
    <row r="363" spans="1:9" x14ac:dyDescent="0.25">
      <c r="A363" t="s">
        <v>3569</v>
      </c>
      <c r="B363" t="s">
        <v>3570</v>
      </c>
      <c r="C363" t="s">
        <v>3571</v>
      </c>
      <c r="D363" t="s">
        <v>3572</v>
      </c>
      <c r="E363" t="s">
        <v>3573</v>
      </c>
      <c r="F363" t="s">
        <v>2506</v>
      </c>
      <c r="G363" t="s">
        <v>1941</v>
      </c>
      <c r="H363">
        <v>37215</v>
      </c>
      <c r="I363" t="s">
        <v>1942</v>
      </c>
    </row>
    <row r="364" spans="1:9" x14ac:dyDescent="0.25">
      <c r="A364" t="s">
        <v>729</v>
      </c>
      <c r="B364" t="s">
        <v>3574</v>
      </c>
      <c r="C364" t="s">
        <v>3575</v>
      </c>
      <c r="D364" t="s">
        <v>3576</v>
      </c>
      <c r="E364" t="s">
        <v>3577</v>
      </c>
      <c r="F364" t="s">
        <v>3099</v>
      </c>
      <c r="G364" t="s">
        <v>1941</v>
      </c>
      <c r="H364">
        <v>85025</v>
      </c>
      <c r="I364" t="s">
        <v>1942</v>
      </c>
    </row>
    <row r="365" spans="1:9" x14ac:dyDescent="0.25">
      <c r="A365" t="s">
        <v>731</v>
      </c>
      <c r="B365" t="s">
        <v>3578</v>
      </c>
      <c r="C365" t="s">
        <v>3579</v>
      </c>
      <c r="E365" t="s">
        <v>3580</v>
      </c>
      <c r="F365" t="s">
        <v>3581</v>
      </c>
      <c r="G365" t="s">
        <v>1941</v>
      </c>
      <c r="H365">
        <v>33233</v>
      </c>
      <c r="I365" t="s">
        <v>1951</v>
      </c>
    </row>
    <row r="366" spans="1:9" x14ac:dyDescent="0.25">
      <c r="A366" t="s">
        <v>733</v>
      </c>
      <c r="B366" t="s">
        <v>3582</v>
      </c>
      <c r="C366" t="s">
        <v>3583</v>
      </c>
      <c r="D366" t="s">
        <v>3584</v>
      </c>
      <c r="E366" t="s">
        <v>3585</v>
      </c>
      <c r="F366" t="s">
        <v>2355</v>
      </c>
      <c r="G366" t="s">
        <v>1941</v>
      </c>
      <c r="H366">
        <v>93762</v>
      </c>
      <c r="I366" t="s">
        <v>1942</v>
      </c>
    </row>
    <row r="367" spans="1:9" x14ac:dyDescent="0.25">
      <c r="A367" t="s">
        <v>735</v>
      </c>
      <c r="B367" t="s">
        <v>3586</v>
      </c>
      <c r="C367" t="s">
        <v>3587</v>
      </c>
      <c r="E367" t="s">
        <v>3588</v>
      </c>
      <c r="F367" t="s">
        <v>3589</v>
      </c>
      <c r="G367" t="s">
        <v>1941</v>
      </c>
      <c r="H367">
        <v>92825</v>
      </c>
      <c r="I367" t="s">
        <v>1951</v>
      </c>
    </row>
    <row r="368" spans="1:9" x14ac:dyDescent="0.25">
      <c r="A368" t="s">
        <v>737</v>
      </c>
      <c r="B368" t="s">
        <v>3590</v>
      </c>
      <c r="D368" t="s">
        <v>3591</v>
      </c>
      <c r="E368" t="s">
        <v>3592</v>
      </c>
      <c r="F368" t="s">
        <v>2530</v>
      </c>
      <c r="G368" t="s">
        <v>1941</v>
      </c>
      <c r="H368">
        <v>23605</v>
      </c>
      <c r="I368" t="s">
        <v>1951</v>
      </c>
    </row>
    <row r="369" spans="1:9" x14ac:dyDescent="0.25">
      <c r="A369" t="s">
        <v>739</v>
      </c>
      <c r="B369" t="s">
        <v>3593</v>
      </c>
      <c r="E369" t="s">
        <v>3594</v>
      </c>
      <c r="F369" t="s">
        <v>2886</v>
      </c>
      <c r="G369" t="s">
        <v>1941</v>
      </c>
      <c r="H369">
        <v>29305</v>
      </c>
      <c r="I369" t="s">
        <v>1942</v>
      </c>
    </row>
    <row r="370" spans="1:9" x14ac:dyDescent="0.25">
      <c r="A370" t="s">
        <v>741</v>
      </c>
      <c r="B370" t="s">
        <v>3595</v>
      </c>
      <c r="C370" t="s">
        <v>3596</v>
      </c>
      <c r="D370" t="s">
        <v>3597</v>
      </c>
      <c r="E370" t="s">
        <v>3598</v>
      </c>
      <c r="F370" t="s">
        <v>2890</v>
      </c>
      <c r="G370" t="s">
        <v>1941</v>
      </c>
      <c r="H370">
        <v>10305</v>
      </c>
      <c r="I370" t="s">
        <v>1951</v>
      </c>
    </row>
    <row r="371" spans="1:9" x14ac:dyDescent="0.25">
      <c r="A371" t="s">
        <v>743</v>
      </c>
      <c r="B371" t="s">
        <v>3599</v>
      </c>
      <c r="E371" t="s">
        <v>3600</v>
      </c>
      <c r="F371" t="s">
        <v>3370</v>
      </c>
      <c r="G371" t="s">
        <v>1941</v>
      </c>
      <c r="H371">
        <v>89115</v>
      </c>
      <c r="I371" t="s">
        <v>1942</v>
      </c>
    </row>
    <row r="372" spans="1:9" x14ac:dyDescent="0.25">
      <c r="A372" t="s">
        <v>745</v>
      </c>
      <c r="B372" t="s">
        <v>3601</v>
      </c>
      <c r="C372" t="s">
        <v>3602</v>
      </c>
      <c r="D372" t="s">
        <v>3603</v>
      </c>
      <c r="E372" t="s">
        <v>3604</v>
      </c>
      <c r="F372" t="s">
        <v>2938</v>
      </c>
      <c r="G372" t="s">
        <v>1941</v>
      </c>
      <c r="H372">
        <v>84105</v>
      </c>
      <c r="I372" t="s">
        <v>1942</v>
      </c>
    </row>
    <row r="373" spans="1:9" x14ac:dyDescent="0.25">
      <c r="A373" t="s">
        <v>747</v>
      </c>
      <c r="B373" t="s">
        <v>3605</v>
      </c>
      <c r="C373" t="s">
        <v>3606</v>
      </c>
      <c r="D373" t="s">
        <v>3607</v>
      </c>
      <c r="E373" t="s">
        <v>3608</v>
      </c>
      <c r="F373" t="s">
        <v>3492</v>
      </c>
      <c r="G373" t="s">
        <v>1941</v>
      </c>
      <c r="H373">
        <v>98109</v>
      </c>
      <c r="I373" t="s">
        <v>1942</v>
      </c>
    </row>
    <row r="374" spans="1:9" x14ac:dyDescent="0.25">
      <c r="A374" t="s">
        <v>749</v>
      </c>
      <c r="B374" t="s">
        <v>3609</v>
      </c>
      <c r="C374" t="s">
        <v>3610</v>
      </c>
      <c r="D374" t="s">
        <v>3611</v>
      </c>
      <c r="E374" t="s">
        <v>3612</v>
      </c>
      <c r="F374" t="s">
        <v>3613</v>
      </c>
      <c r="G374" t="s">
        <v>1941</v>
      </c>
      <c r="H374">
        <v>79764</v>
      </c>
      <c r="I374" t="s">
        <v>1951</v>
      </c>
    </row>
    <row r="375" spans="1:9" x14ac:dyDescent="0.25">
      <c r="A375" t="s">
        <v>751</v>
      </c>
      <c r="B375" t="s">
        <v>3614</v>
      </c>
      <c r="D375" t="s">
        <v>3615</v>
      </c>
      <c r="E375" t="s">
        <v>3616</v>
      </c>
      <c r="F375" t="s">
        <v>3617</v>
      </c>
      <c r="G375" t="s">
        <v>1949</v>
      </c>
      <c r="H375" t="s">
        <v>3618</v>
      </c>
      <c r="I375" t="s">
        <v>1942</v>
      </c>
    </row>
    <row r="376" spans="1:9" x14ac:dyDescent="0.25">
      <c r="A376" t="s">
        <v>753</v>
      </c>
      <c r="B376" t="s">
        <v>3619</v>
      </c>
      <c r="C376" t="s">
        <v>3620</v>
      </c>
      <c r="D376" t="s">
        <v>3621</v>
      </c>
      <c r="E376" t="s">
        <v>3622</v>
      </c>
      <c r="F376" t="s">
        <v>3623</v>
      </c>
      <c r="G376" t="s">
        <v>1941</v>
      </c>
      <c r="H376">
        <v>75037</v>
      </c>
      <c r="I376" t="s">
        <v>1942</v>
      </c>
    </row>
    <row r="377" spans="1:9" x14ac:dyDescent="0.25">
      <c r="A377" t="s">
        <v>755</v>
      </c>
      <c r="B377" t="s">
        <v>3624</v>
      </c>
      <c r="C377" t="s">
        <v>3625</v>
      </c>
      <c r="D377" t="s">
        <v>3626</v>
      </c>
      <c r="E377" t="s">
        <v>3627</v>
      </c>
      <c r="F377" t="s">
        <v>1976</v>
      </c>
      <c r="G377" t="s">
        <v>1941</v>
      </c>
      <c r="H377">
        <v>45426</v>
      </c>
      <c r="I377" t="s">
        <v>1942</v>
      </c>
    </row>
    <row r="378" spans="1:9" x14ac:dyDescent="0.25">
      <c r="A378" t="s">
        <v>757</v>
      </c>
      <c r="B378" t="s">
        <v>3628</v>
      </c>
      <c r="C378" t="s">
        <v>3629</v>
      </c>
      <c r="D378" t="s">
        <v>3630</v>
      </c>
      <c r="E378" t="s">
        <v>3631</v>
      </c>
      <c r="F378" t="s">
        <v>2048</v>
      </c>
      <c r="G378" t="s">
        <v>1941</v>
      </c>
      <c r="H378">
        <v>49560</v>
      </c>
      <c r="I378" t="s">
        <v>1942</v>
      </c>
    </row>
    <row r="379" spans="1:9" x14ac:dyDescent="0.25">
      <c r="A379" t="s">
        <v>759</v>
      </c>
      <c r="B379" t="s">
        <v>3632</v>
      </c>
      <c r="C379" t="s">
        <v>3633</v>
      </c>
      <c r="D379" t="s">
        <v>3634</v>
      </c>
      <c r="E379" t="s">
        <v>3635</v>
      </c>
      <c r="F379" t="s">
        <v>2933</v>
      </c>
      <c r="G379" t="s">
        <v>1949</v>
      </c>
      <c r="H379" t="s">
        <v>2083</v>
      </c>
      <c r="I379" t="s">
        <v>1951</v>
      </c>
    </row>
    <row r="380" spans="1:9" x14ac:dyDescent="0.25">
      <c r="A380" t="s">
        <v>761</v>
      </c>
      <c r="B380" t="s">
        <v>3636</v>
      </c>
      <c r="C380" t="s">
        <v>3637</v>
      </c>
      <c r="D380" t="s">
        <v>3638</v>
      </c>
      <c r="E380" t="s">
        <v>3639</v>
      </c>
      <c r="F380" t="s">
        <v>3640</v>
      </c>
      <c r="G380" t="s">
        <v>1949</v>
      </c>
      <c r="H380" t="s">
        <v>2425</v>
      </c>
      <c r="I380" t="s">
        <v>1942</v>
      </c>
    </row>
    <row r="381" spans="1:9" x14ac:dyDescent="0.25">
      <c r="A381" t="s">
        <v>763</v>
      </c>
      <c r="B381" t="s">
        <v>3641</v>
      </c>
      <c r="C381" t="s">
        <v>3642</v>
      </c>
      <c r="E381" t="s">
        <v>3643</v>
      </c>
      <c r="F381" t="s">
        <v>3644</v>
      </c>
      <c r="G381" t="s">
        <v>2116</v>
      </c>
      <c r="H381" t="s">
        <v>3645</v>
      </c>
      <c r="I381" t="s">
        <v>1942</v>
      </c>
    </row>
    <row r="382" spans="1:9" x14ac:dyDescent="0.25">
      <c r="A382" t="s">
        <v>3646</v>
      </c>
      <c r="B382" t="s">
        <v>3647</v>
      </c>
      <c r="C382" t="s">
        <v>3648</v>
      </c>
      <c r="D382" t="s">
        <v>3649</v>
      </c>
      <c r="E382" t="s">
        <v>3650</v>
      </c>
      <c r="F382" t="s">
        <v>1962</v>
      </c>
      <c r="G382" t="s">
        <v>1941</v>
      </c>
      <c r="H382">
        <v>62756</v>
      </c>
      <c r="I382" t="s">
        <v>1951</v>
      </c>
    </row>
    <row r="383" spans="1:9" x14ac:dyDescent="0.25">
      <c r="A383" t="s">
        <v>766</v>
      </c>
      <c r="B383" t="s">
        <v>3651</v>
      </c>
      <c r="C383" t="s">
        <v>3652</v>
      </c>
      <c r="D383" t="s">
        <v>3653</v>
      </c>
      <c r="E383" t="s">
        <v>3654</v>
      </c>
      <c r="F383" t="s">
        <v>1986</v>
      </c>
      <c r="G383" t="s">
        <v>1941</v>
      </c>
      <c r="H383">
        <v>90010</v>
      </c>
      <c r="I383" t="s">
        <v>1942</v>
      </c>
    </row>
    <row r="384" spans="1:9" x14ac:dyDescent="0.25">
      <c r="A384" t="s">
        <v>768</v>
      </c>
      <c r="B384" t="s">
        <v>3655</v>
      </c>
      <c r="C384" t="s">
        <v>3656</v>
      </c>
      <c r="D384" t="s">
        <v>3657</v>
      </c>
      <c r="E384" t="s">
        <v>3658</v>
      </c>
      <c r="F384" t="s">
        <v>3316</v>
      </c>
      <c r="G384" t="s">
        <v>1941</v>
      </c>
      <c r="H384">
        <v>21239</v>
      </c>
      <c r="I384" t="s">
        <v>1951</v>
      </c>
    </row>
    <row r="385" spans="1:9" x14ac:dyDescent="0.25">
      <c r="A385" t="s">
        <v>770</v>
      </c>
      <c r="B385" t="s">
        <v>3659</v>
      </c>
      <c r="D385" t="s">
        <v>3660</v>
      </c>
      <c r="E385" t="s">
        <v>3661</v>
      </c>
      <c r="F385" t="s">
        <v>3662</v>
      </c>
      <c r="G385" t="s">
        <v>1941</v>
      </c>
      <c r="H385">
        <v>17126</v>
      </c>
      <c r="I385" t="s">
        <v>1942</v>
      </c>
    </row>
    <row r="386" spans="1:9" x14ac:dyDescent="0.25">
      <c r="A386" t="s">
        <v>772</v>
      </c>
      <c r="B386" t="s">
        <v>3663</v>
      </c>
      <c r="D386" t="s">
        <v>3664</v>
      </c>
      <c r="E386" t="s">
        <v>3665</v>
      </c>
      <c r="F386" t="s">
        <v>2325</v>
      </c>
      <c r="G386" t="s">
        <v>1941</v>
      </c>
      <c r="H386">
        <v>75216</v>
      </c>
      <c r="I386" t="s">
        <v>1951</v>
      </c>
    </row>
    <row r="387" spans="1:9" x14ac:dyDescent="0.25">
      <c r="A387" t="s">
        <v>774</v>
      </c>
      <c r="B387" t="s">
        <v>3666</v>
      </c>
      <c r="C387" t="s">
        <v>3667</v>
      </c>
      <c r="D387" t="s">
        <v>3668</v>
      </c>
      <c r="E387" t="s">
        <v>3669</v>
      </c>
      <c r="F387" t="s">
        <v>2375</v>
      </c>
      <c r="G387" t="s">
        <v>1941</v>
      </c>
      <c r="H387">
        <v>64125</v>
      </c>
      <c r="I387" t="s">
        <v>1942</v>
      </c>
    </row>
    <row r="388" spans="1:9" x14ac:dyDescent="0.25">
      <c r="A388" t="s">
        <v>776</v>
      </c>
      <c r="B388" t="s">
        <v>3670</v>
      </c>
      <c r="D388" t="s">
        <v>3671</v>
      </c>
      <c r="E388" t="s">
        <v>3672</v>
      </c>
      <c r="F388" t="s">
        <v>1962</v>
      </c>
      <c r="G388" t="s">
        <v>1941</v>
      </c>
      <c r="H388">
        <v>62723</v>
      </c>
      <c r="I388" t="s">
        <v>1942</v>
      </c>
    </row>
    <row r="389" spans="1:9" x14ac:dyDescent="0.25">
      <c r="A389" t="s">
        <v>778</v>
      </c>
      <c r="B389" t="s">
        <v>3673</v>
      </c>
      <c r="C389" t="s">
        <v>3674</v>
      </c>
      <c r="D389" t="s">
        <v>3675</v>
      </c>
      <c r="E389" t="s">
        <v>3676</v>
      </c>
      <c r="F389" t="s">
        <v>3677</v>
      </c>
      <c r="G389" t="s">
        <v>1941</v>
      </c>
      <c r="H389">
        <v>6510</v>
      </c>
      <c r="I389" t="s">
        <v>1942</v>
      </c>
    </row>
    <row r="390" spans="1:9" x14ac:dyDescent="0.25">
      <c r="A390" t="s">
        <v>780</v>
      </c>
      <c r="B390" t="s">
        <v>3678</v>
      </c>
      <c r="C390" t="s">
        <v>3679</v>
      </c>
      <c r="D390" t="s">
        <v>3680</v>
      </c>
      <c r="E390" t="s">
        <v>3681</v>
      </c>
      <c r="F390" t="s">
        <v>3682</v>
      </c>
      <c r="G390" t="s">
        <v>1941</v>
      </c>
      <c r="H390">
        <v>30045</v>
      </c>
      <c r="I390" t="s">
        <v>1942</v>
      </c>
    </row>
    <row r="391" spans="1:9" x14ac:dyDescent="0.25">
      <c r="A391" t="s">
        <v>782</v>
      </c>
      <c r="B391" t="s">
        <v>3683</v>
      </c>
      <c r="C391" t="s">
        <v>3684</v>
      </c>
      <c r="D391" t="s">
        <v>3685</v>
      </c>
      <c r="E391" t="s">
        <v>3686</v>
      </c>
      <c r="F391" t="s">
        <v>3687</v>
      </c>
      <c r="G391" t="s">
        <v>1941</v>
      </c>
      <c r="H391">
        <v>28805</v>
      </c>
      <c r="I391" t="s">
        <v>1942</v>
      </c>
    </row>
    <row r="392" spans="1:9" x14ac:dyDescent="0.25">
      <c r="A392" t="s">
        <v>784</v>
      </c>
      <c r="B392" t="s">
        <v>3688</v>
      </c>
      <c r="C392" t="s">
        <v>3689</v>
      </c>
      <c r="E392" t="s">
        <v>3690</v>
      </c>
      <c r="F392" t="s">
        <v>2233</v>
      </c>
      <c r="G392" t="s">
        <v>1941</v>
      </c>
      <c r="H392">
        <v>55123</v>
      </c>
      <c r="I392" t="s">
        <v>1942</v>
      </c>
    </row>
    <row r="393" spans="1:9" x14ac:dyDescent="0.25">
      <c r="A393" t="s">
        <v>786</v>
      </c>
      <c r="B393" t="s">
        <v>3691</v>
      </c>
      <c r="C393" t="s">
        <v>3692</v>
      </c>
      <c r="E393" t="s">
        <v>3693</v>
      </c>
      <c r="F393" t="s">
        <v>2137</v>
      </c>
      <c r="G393" t="s">
        <v>1941</v>
      </c>
      <c r="H393">
        <v>55458</v>
      </c>
      <c r="I393" t="s">
        <v>1951</v>
      </c>
    </row>
    <row r="394" spans="1:9" x14ac:dyDescent="0.25">
      <c r="A394" t="s">
        <v>788</v>
      </c>
      <c r="B394" t="s">
        <v>3694</v>
      </c>
      <c r="C394" t="s">
        <v>3695</v>
      </c>
      <c r="D394" t="s">
        <v>3696</v>
      </c>
      <c r="E394" t="s">
        <v>3697</v>
      </c>
      <c r="F394" t="s">
        <v>2572</v>
      </c>
      <c r="G394" t="s">
        <v>1941</v>
      </c>
      <c r="H394">
        <v>92725</v>
      </c>
      <c r="I394" t="s">
        <v>1951</v>
      </c>
    </row>
    <row r="395" spans="1:9" x14ac:dyDescent="0.25">
      <c r="A395" t="s">
        <v>3698</v>
      </c>
      <c r="B395" t="s">
        <v>3699</v>
      </c>
      <c r="C395" t="s">
        <v>3700</v>
      </c>
      <c r="D395" t="s">
        <v>3701</v>
      </c>
      <c r="E395" t="s">
        <v>3702</v>
      </c>
      <c r="F395" t="s">
        <v>3703</v>
      </c>
      <c r="G395" t="s">
        <v>1941</v>
      </c>
      <c r="H395">
        <v>21747</v>
      </c>
      <c r="I395" t="s">
        <v>1942</v>
      </c>
    </row>
    <row r="396" spans="1:9" x14ac:dyDescent="0.25">
      <c r="A396" t="s">
        <v>790</v>
      </c>
      <c r="B396" t="s">
        <v>3704</v>
      </c>
      <c r="C396" t="s">
        <v>3705</v>
      </c>
      <c r="D396" t="s">
        <v>3706</v>
      </c>
      <c r="E396" t="s">
        <v>3707</v>
      </c>
      <c r="F396" t="s">
        <v>2137</v>
      </c>
      <c r="G396" t="s">
        <v>1941</v>
      </c>
      <c r="H396">
        <v>55458</v>
      </c>
      <c r="I396" t="s">
        <v>1951</v>
      </c>
    </row>
    <row r="397" spans="1:9" x14ac:dyDescent="0.25">
      <c r="A397" t="s">
        <v>792</v>
      </c>
      <c r="B397" t="s">
        <v>3708</v>
      </c>
      <c r="C397" t="s">
        <v>3709</v>
      </c>
      <c r="E397" t="s">
        <v>3710</v>
      </c>
      <c r="F397" t="s">
        <v>2186</v>
      </c>
      <c r="G397" t="s">
        <v>1941</v>
      </c>
      <c r="H397">
        <v>20420</v>
      </c>
      <c r="I397" t="s">
        <v>1942</v>
      </c>
    </row>
    <row r="398" spans="1:9" x14ac:dyDescent="0.25">
      <c r="A398" t="s">
        <v>794</v>
      </c>
      <c r="B398" t="s">
        <v>3711</v>
      </c>
      <c r="C398" t="s">
        <v>3712</v>
      </c>
      <c r="D398" t="s">
        <v>3713</v>
      </c>
      <c r="E398" t="s">
        <v>3714</v>
      </c>
      <c r="F398" t="s">
        <v>2177</v>
      </c>
      <c r="G398" t="s">
        <v>1941</v>
      </c>
      <c r="H398">
        <v>92415</v>
      </c>
      <c r="I398" t="s">
        <v>1951</v>
      </c>
    </row>
    <row r="399" spans="1:9" x14ac:dyDescent="0.25">
      <c r="A399" t="s">
        <v>796</v>
      </c>
      <c r="B399" t="s">
        <v>3715</v>
      </c>
      <c r="C399" t="s">
        <v>3716</v>
      </c>
      <c r="D399" t="s">
        <v>3717</v>
      </c>
      <c r="E399" t="s">
        <v>3718</v>
      </c>
      <c r="F399" t="s">
        <v>2163</v>
      </c>
      <c r="G399" t="s">
        <v>1941</v>
      </c>
      <c r="H399">
        <v>14609</v>
      </c>
      <c r="I399" t="s">
        <v>1942</v>
      </c>
    </row>
    <row r="400" spans="1:9" x14ac:dyDescent="0.25">
      <c r="A400" t="s">
        <v>798</v>
      </c>
      <c r="B400" t="s">
        <v>3719</v>
      </c>
      <c r="C400" t="s">
        <v>3720</v>
      </c>
      <c r="D400" t="s">
        <v>3721</v>
      </c>
      <c r="E400" t="s">
        <v>3722</v>
      </c>
      <c r="F400" t="s">
        <v>2058</v>
      </c>
      <c r="G400" t="s">
        <v>1941</v>
      </c>
      <c r="H400">
        <v>98664</v>
      </c>
      <c r="I400" t="s">
        <v>1942</v>
      </c>
    </row>
    <row r="401" spans="1:9" x14ac:dyDescent="0.25">
      <c r="A401" t="s">
        <v>800</v>
      </c>
      <c r="B401" t="s">
        <v>3723</v>
      </c>
      <c r="C401" t="s">
        <v>3724</v>
      </c>
      <c r="D401" t="s">
        <v>3725</v>
      </c>
      <c r="E401" t="s">
        <v>3726</v>
      </c>
      <c r="F401" t="s">
        <v>3727</v>
      </c>
      <c r="G401" t="s">
        <v>2116</v>
      </c>
      <c r="H401" t="s">
        <v>3728</v>
      </c>
      <c r="I401" t="s">
        <v>1951</v>
      </c>
    </row>
    <row r="402" spans="1:9" x14ac:dyDescent="0.25">
      <c r="A402" t="s">
        <v>802</v>
      </c>
      <c r="B402" t="s">
        <v>3729</v>
      </c>
      <c r="C402" t="s">
        <v>3730</v>
      </c>
      <c r="D402" t="s">
        <v>3731</v>
      </c>
      <c r="E402" t="s">
        <v>3732</v>
      </c>
      <c r="F402" t="s">
        <v>2186</v>
      </c>
      <c r="G402" t="s">
        <v>1941</v>
      </c>
      <c r="H402">
        <v>20057</v>
      </c>
      <c r="I402" t="s">
        <v>1951</v>
      </c>
    </row>
    <row r="403" spans="1:9" x14ac:dyDescent="0.25">
      <c r="A403" t="s">
        <v>804</v>
      </c>
      <c r="B403" t="s">
        <v>3733</v>
      </c>
      <c r="C403" t="s">
        <v>3734</v>
      </c>
      <c r="D403" t="s">
        <v>3735</v>
      </c>
      <c r="E403" t="s">
        <v>3736</v>
      </c>
      <c r="F403" t="s">
        <v>3412</v>
      </c>
      <c r="G403" t="s">
        <v>1941</v>
      </c>
      <c r="H403">
        <v>37924</v>
      </c>
      <c r="I403" t="s">
        <v>1942</v>
      </c>
    </row>
    <row r="404" spans="1:9" x14ac:dyDescent="0.25">
      <c r="A404" t="s">
        <v>806</v>
      </c>
      <c r="B404" t="s">
        <v>3737</v>
      </c>
      <c r="C404" t="s">
        <v>3738</v>
      </c>
      <c r="D404" t="s">
        <v>3739</v>
      </c>
      <c r="E404" t="s">
        <v>3740</v>
      </c>
      <c r="F404" t="s">
        <v>2122</v>
      </c>
      <c r="G404" t="s">
        <v>1941</v>
      </c>
      <c r="H404">
        <v>25336</v>
      </c>
      <c r="I404" t="s">
        <v>1942</v>
      </c>
    </row>
    <row r="405" spans="1:9" x14ac:dyDescent="0.25">
      <c r="A405" t="s">
        <v>808</v>
      </c>
      <c r="B405" t="s">
        <v>3741</v>
      </c>
      <c r="C405" t="s">
        <v>3742</v>
      </c>
      <c r="D405" t="s">
        <v>3743</v>
      </c>
      <c r="E405" t="s">
        <v>3744</v>
      </c>
      <c r="F405" t="s">
        <v>2325</v>
      </c>
      <c r="G405" t="s">
        <v>1941</v>
      </c>
      <c r="H405">
        <v>75372</v>
      </c>
      <c r="I405" t="s">
        <v>1951</v>
      </c>
    </row>
    <row r="406" spans="1:9" x14ac:dyDescent="0.25">
      <c r="A406" t="s">
        <v>810</v>
      </c>
      <c r="B406" t="s">
        <v>3745</v>
      </c>
      <c r="C406" t="s">
        <v>3746</v>
      </c>
      <c r="D406" t="s">
        <v>3747</v>
      </c>
      <c r="E406" t="s">
        <v>3748</v>
      </c>
      <c r="F406" t="s">
        <v>3749</v>
      </c>
      <c r="G406" t="s">
        <v>1949</v>
      </c>
      <c r="H406" t="s">
        <v>3750</v>
      </c>
      <c r="I406" t="s">
        <v>1951</v>
      </c>
    </row>
    <row r="407" spans="1:9" x14ac:dyDescent="0.25">
      <c r="A407" t="s">
        <v>812</v>
      </c>
      <c r="B407" t="s">
        <v>3751</v>
      </c>
      <c r="C407" t="s">
        <v>3752</v>
      </c>
      <c r="D407" t="s">
        <v>3753</v>
      </c>
      <c r="E407" t="s">
        <v>3754</v>
      </c>
      <c r="F407" t="s">
        <v>3755</v>
      </c>
      <c r="G407" t="s">
        <v>1941</v>
      </c>
      <c r="H407">
        <v>95973</v>
      </c>
      <c r="I407" t="s">
        <v>1942</v>
      </c>
    </row>
    <row r="408" spans="1:9" x14ac:dyDescent="0.25">
      <c r="A408" t="s">
        <v>814</v>
      </c>
      <c r="B408" t="s">
        <v>3756</v>
      </c>
      <c r="C408" t="s">
        <v>3757</v>
      </c>
      <c r="D408" t="s">
        <v>3758</v>
      </c>
      <c r="E408" t="s">
        <v>3759</v>
      </c>
      <c r="F408" t="s">
        <v>2127</v>
      </c>
      <c r="G408" t="s">
        <v>1941</v>
      </c>
      <c r="H408">
        <v>72215</v>
      </c>
      <c r="I408" t="s">
        <v>1942</v>
      </c>
    </row>
    <row r="409" spans="1:9" x14ac:dyDescent="0.25">
      <c r="A409" t="s">
        <v>816</v>
      </c>
      <c r="B409" t="s">
        <v>3760</v>
      </c>
      <c r="D409" t="s">
        <v>3761</v>
      </c>
      <c r="E409" t="s">
        <v>3762</v>
      </c>
      <c r="F409" t="s">
        <v>3763</v>
      </c>
      <c r="G409" t="s">
        <v>1949</v>
      </c>
      <c r="H409" t="s">
        <v>3764</v>
      </c>
      <c r="I409" t="s">
        <v>1951</v>
      </c>
    </row>
    <row r="410" spans="1:9" x14ac:dyDescent="0.25">
      <c r="A410" t="s">
        <v>818</v>
      </c>
      <c r="B410" t="s">
        <v>3765</v>
      </c>
      <c r="C410" t="s">
        <v>3766</v>
      </c>
      <c r="D410" t="s">
        <v>3767</v>
      </c>
      <c r="E410" t="s">
        <v>3768</v>
      </c>
      <c r="F410" t="s">
        <v>3769</v>
      </c>
      <c r="G410" t="s">
        <v>1941</v>
      </c>
      <c r="H410">
        <v>8922</v>
      </c>
      <c r="I410" t="s">
        <v>1942</v>
      </c>
    </row>
    <row r="411" spans="1:9" x14ac:dyDescent="0.25">
      <c r="A411" t="s">
        <v>820</v>
      </c>
      <c r="B411" t="s">
        <v>3770</v>
      </c>
      <c r="D411" t="s">
        <v>3771</v>
      </c>
      <c r="E411" t="s">
        <v>3772</v>
      </c>
      <c r="F411" t="s">
        <v>3773</v>
      </c>
      <c r="G411" t="s">
        <v>1949</v>
      </c>
      <c r="H411" t="s">
        <v>3774</v>
      </c>
      <c r="I411" t="s">
        <v>1942</v>
      </c>
    </row>
    <row r="412" spans="1:9" x14ac:dyDescent="0.25">
      <c r="A412" t="s">
        <v>822</v>
      </c>
      <c r="B412" t="s">
        <v>3775</v>
      </c>
      <c r="D412" t="s">
        <v>3776</v>
      </c>
      <c r="E412" t="s">
        <v>3777</v>
      </c>
      <c r="F412" t="s">
        <v>3090</v>
      </c>
      <c r="G412" t="s">
        <v>1941</v>
      </c>
      <c r="H412">
        <v>94132</v>
      </c>
      <c r="I412" t="s">
        <v>1951</v>
      </c>
    </row>
    <row r="413" spans="1:9" x14ac:dyDescent="0.25">
      <c r="A413" t="s">
        <v>824</v>
      </c>
      <c r="B413" t="s">
        <v>3778</v>
      </c>
      <c r="D413" t="s">
        <v>3779</v>
      </c>
      <c r="E413" t="s">
        <v>3780</v>
      </c>
      <c r="F413" t="s">
        <v>3781</v>
      </c>
      <c r="G413" t="s">
        <v>1941</v>
      </c>
      <c r="H413">
        <v>70505</v>
      </c>
      <c r="I413" t="s">
        <v>1942</v>
      </c>
    </row>
    <row r="414" spans="1:9" x14ac:dyDescent="0.25">
      <c r="A414" t="s">
        <v>826</v>
      </c>
      <c r="B414" t="s">
        <v>3782</v>
      </c>
      <c r="D414" t="s">
        <v>3783</v>
      </c>
      <c r="E414" t="s">
        <v>3784</v>
      </c>
      <c r="F414" t="s">
        <v>3785</v>
      </c>
      <c r="G414" t="s">
        <v>1941</v>
      </c>
      <c r="H414">
        <v>92191</v>
      </c>
      <c r="I414" t="s">
        <v>1942</v>
      </c>
    </row>
    <row r="415" spans="1:9" x14ac:dyDescent="0.25">
      <c r="A415" t="s">
        <v>828</v>
      </c>
      <c r="B415" t="s">
        <v>3786</v>
      </c>
      <c r="C415" t="s">
        <v>3787</v>
      </c>
      <c r="D415" t="s">
        <v>3788</v>
      </c>
      <c r="E415" t="s">
        <v>3789</v>
      </c>
      <c r="F415" t="s">
        <v>3790</v>
      </c>
      <c r="G415" t="s">
        <v>1941</v>
      </c>
      <c r="H415">
        <v>91841</v>
      </c>
      <c r="I415" t="s">
        <v>1942</v>
      </c>
    </row>
    <row r="416" spans="1:9" x14ac:dyDescent="0.25">
      <c r="A416" t="s">
        <v>830</v>
      </c>
      <c r="B416" t="s">
        <v>3791</v>
      </c>
      <c r="D416" t="s">
        <v>3792</v>
      </c>
      <c r="E416" t="s">
        <v>3793</v>
      </c>
      <c r="F416" t="s">
        <v>3515</v>
      </c>
      <c r="G416" t="s">
        <v>1941</v>
      </c>
      <c r="H416">
        <v>75799</v>
      </c>
      <c r="I416" t="s">
        <v>1942</v>
      </c>
    </row>
    <row r="417" spans="1:9" x14ac:dyDescent="0.25">
      <c r="A417" t="s">
        <v>832</v>
      </c>
      <c r="B417" t="s">
        <v>3794</v>
      </c>
      <c r="C417" t="s">
        <v>3795</v>
      </c>
      <c r="E417" t="s">
        <v>3796</v>
      </c>
      <c r="F417" t="s">
        <v>3781</v>
      </c>
      <c r="G417" t="s">
        <v>1941</v>
      </c>
      <c r="H417">
        <v>70593</v>
      </c>
      <c r="I417" t="s">
        <v>1951</v>
      </c>
    </row>
    <row r="418" spans="1:9" x14ac:dyDescent="0.25">
      <c r="A418" t="s">
        <v>834</v>
      </c>
      <c r="B418" t="s">
        <v>3797</v>
      </c>
      <c r="D418" t="s">
        <v>3798</v>
      </c>
      <c r="E418" t="s">
        <v>3799</v>
      </c>
      <c r="F418" t="s">
        <v>1976</v>
      </c>
      <c r="G418" t="s">
        <v>1941</v>
      </c>
      <c r="H418">
        <v>45426</v>
      </c>
      <c r="I418" t="s">
        <v>1942</v>
      </c>
    </row>
    <row r="419" spans="1:9" x14ac:dyDescent="0.25">
      <c r="A419" t="s">
        <v>836</v>
      </c>
      <c r="B419" t="s">
        <v>3800</v>
      </c>
      <c r="D419" t="s">
        <v>3801</v>
      </c>
      <c r="E419" t="s">
        <v>3802</v>
      </c>
      <c r="F419" t="s">
        <v>3099</v>
      </c>
      <c r="G419" t="s">
        <v>1941</v>
      </c>
      <c r="H419">
        <v>85072</v>
      </c>
      <c r="I419" t="s">
        <v>1942</v>
      </c>
    </row>
    <row r="420" spans="1:9" x14ac:dyDescent="0.25">
      <c r="A420" t="s">
        <v>838</v>
      </c>
      <c r="B420" t="s">
        <v>3803</v>
      </c>
      <c r="C420" t="s">
        <v>3804</v>
      </c>
      <c r="E420" t="s">
        <v>3805</v>
      </c>
      <c r="F420" t="s">
        <v>2999</v>
      </c>
      <c r="G420" t="s">
        <v>1941</v>
      </c>
      <c r="H420">
        <v>94263</v>
      </c>
      <c r="I420" t="s">
        <v>1942</v>
      </c>
    </row>
    <row r="421" spans="1:9" x14ac:dyDescent="0.25">
      <c r="A421" t="s">
        <v>840</v>
      </c>
      <c r="B421" t="s">
        <v>3806</v>
      </c>
      <c r="C421" t="s">
        <v>3807</v>
      </c>
      <c r="D421" t="s">
        <v>3808</v>
      </c>
      <c r="E421" t="s">
        <v>3809</v>
      </c>
      <c r="F421" t="s">
        <v>3336</v>
      </c>
      <c r="G421" t="s">
        <v>1941</v>
      </c>
      <c r="H421">
        <v>68505</v>
      </c>
      <c r="I421" t="s">
        <v>1942</v>
      </c>
    </row>
    <row r="422" spans="1:9" x14ac:dyDescent="0.25">
      <c r="A422" t="s">
        <v>3810</v>
      </c>
      <c r="B422" t="s">
        <v>3811</v>
      </c>
      <c r="C422" t="s">
        <v>3812</v>
      </c>
      <c r="D422" t="s">
        <v>3813</v>
      </c>
      <c r="E422" t="s">
        <v>3814</v>
      </c>
      <c r="F422" t="s">
        <v>3662</v>
      </c>
      <c r="G422" t="s">
        <v>1941</v>
      </c>
      <c r="H422">
        <v>17126</v>
      </c>
      <c r="I422" t="s">
        <v>1951</v>
      </c>
    </row>
    <row r="423" spans="1:9" x14ac:dyDescent="0.25">
      <c r="A423" t="s">
        <v>3815</v>
      </c>
      <c r="B423" t="s">
        <v>3816</v>
      </c>
      <c r="C423" t="s">
        <v>3817</v>
      </c>
      <c r="D423" t="s">
        <v>3818</v>
      </c>
      <c r="E423" t="s">
        <v>3819</v>
      </c>
      <c r="F423" t="s">
        <v>2144</v>
      </c>
      <c r="G423" t="s">
        <v>1941</v>
      </c>
      <c r="H423">
        <v>70174</v>
      </c>
      <c r="I423" t="s">
        <v>1942</v>
      </c>
    </row>
    <row r="424" spans="1:9" x14ac:dyDescent="0.25">
      <c r="A424" t="s">
        <v>843</v>
      </c>
      <c r="B424" t="s">
        <v>3820</v>
      </c>
      <c r="D424" t="s">
        <v>3821</v>
      </c>
      <c r="E424" t="s">
        <v>3822</v>
      </c>
      <c r="F424" t="s">
        <v>3823</v>
      </c>
      <c r="G424" t="s">
        <v>1941</v>
      </c>
      <c r="H424">
        <v>53726</v>
      </c>
      <c r="I424" t="s">
        <v>1951</v>
      </c>
    </row>
    <row r="425" spans="1:9" x14ac:dyDescent="0.25">
      <c r="A425" t="s">
        <v>845</v>
      </c>
      <c r="B425" t="s">
        <v>3824</v>
      </c>
      <c r="D425" t="s">
        <v>3825</v>
      </c>
      <c r="E425" t="s">
        <v>3826</v>
      </c>
      <c r="F425" t="s">
        <v>2122</v>
      </c>
      <c r="G425" t="s">
        <v>1941</v>
      </c>
      <c r="H425">
        <v>25336</v>
      </c>
      <c r="I425" t="s">
        <v>1951</v>
      </c>
    </row>
    <row r="426" spans="1:9" x14ac:dyDescent="0.25">
      <c r="A426" t="s">
        <v>847</v>
      </c>
      <c r="B426" t="s">
        <v>3827</v>
      </c>
      <c r="C426" t="s">
        <v>3828</v>
      </c>
      <c r="D426" t="s">
        <v>3829</v>
      </c>
      <c r="E426" t="s">
        <v>3830</v>
      </c>
      <c r="F426" t="s">
        <v>2127</v>
      </c>
      <c r="G426" t="s">
        <v>1941</v>
      </c>
      <c r="H426">
        <v>72204</v>
      </c>
      <c r="I426" t="s">
        <v>1942</v>
      </c>
    </row>
    <row r="427" spans="1:9" x14ac:dyDescent="0.25">
      <c r="A427" t="s">
        <v>849</v>
      </c>
      <c r="B427" t="s">
        <v>3831</v>
      </c>
      <c r="C427" t="s">
        <v>3832</v>
      </c>
      <c r="D427" t="s">
        <v>3833</v>
      </c>
      <c r="E427" t="s">
        <v>3834</v>
      </c>
      <c r="F427" t="s">
        <v>2501</v>
      </c>
      <c r="G427" t="s">
        <v>1941</v>
      </c>
      <c r="H427">
        <v>99507</v>
      </c>
      <c r="I427" t="s">
        <v>1951</v>
      </c>
    </row>
    <row r="428" spans="1:9" x14ac:dyDescent="0.25">
      <c r="A428" t="s">
        <v>851</v>
      </c>
      <c r="B428" t="s">
        <v>3835</v>
      </c>
      <c r="C428" t="s">
        <v>3836</v>
      </c>
      <c r="D428" t="s">
        <v>3837</v>
      </c>
      <c r="E428" t="s">
        <v>3838</v>
      </c>
      <c r="F428" t="s">
        <v>3839</v>
      </c>
      <c r="G428" t="s">
        <v>1949</v>
      </c>
      <c r="H428" t="s">
        <v>3840</v>
      </c>
      <c r="I428" t="s">
        <v>1942</v>
      </c>
    </row>
    <row r="429" spans="1:9" x14ac:dyDescent="0.25">
      <c r="A429" t="s">
        <v>853</v>
      </c>
      <c r="B429" t="s">
        <v>3841</v>
      </c>
      <c r="D429" t="s">
        <v>3842</v>
      </c>
      <c r="E429" t="s">
        <v>3843</v>
      </c>
      <c r="F429" t="s">
        <v>3090</v>
      </c>
      <c r="G429" t="s">
        <v>1941</v>
      </c>
      <c r="H429">
        <v>94110</v>
      </c>
      <c r="I429" t="s">
        <v>1942</v>
      </c>
    </row>
    <row r="430" spans="1:9" x14ac:dyDescent="0.25">
      <c r="A430" t="s">
        <v>855</v>
      </c>
      <c r="B430" t="s">
        <v>3844</v>
      </c>
      <c r="C430" t="s">
        <v>3845</v>
      </c>
      <c r="D430" t="s">
        <v>3846</v>
      </c>
      <c r="E430" t="s">
        <v>3847</v>
      </c>
      <c r="F430" t="s">
        <v>2840</v>
      </c>
      <c r="G430" t="s">
        <v>1941</v>
      </c>
      <c r="H430">
        <v>44485</v>
      </c>
      <c r="I430" t="s">
        <v>1951</v>
      </c>
    </row>
    <row r="431" spans="1:9" x14ac:dyDescent="0.25">
      <c r="A431" t="s">
        <v>3848</v>
      </c>
      <c r="B431" t="s">
        <v>3849</v>
      </c>
      <c r="C431" t="s">
        <v>3850</v>
      </c>
      <c r="D431" t="s">
        <v>3851</v>
      </c>
      <c r="E431" t="s">
        <v>3852</v>
      </c>
      <c r="F431" t="s">
        <v>3853</v>
      </c>
      <c r="G431" t="s">
        <v>1941</v>
      </c>
      <c r="H431">
        <v>23324</v>
      </c>
      <c r="I431" t="s">
        <v>1951</v>
      </c>
    </row>
    <row r="432" spans="1:9" x14ac:dyDescent="0.25">
      <c r="A432" t="s">
        <v>858</v>
      </c>
      <c r="B432" t="s">
        <v>3854</v>
      </c>
      <c r="C432" t="s">
        <v>3855</v>
      </c>
      <c r="D432" t="s">
        <v>3856</v>
      </c>
      <c r="E432" t="s">
        <v>3857</v>
      </c>
      <c r="F432" t="s">
        <v>3858</v>
      </c>
      <c r="G432" t="s">
        <v>1941</v>
      </c>
      <c r="H432">
        <v>39236</v>
      </c>
      <c r="I432" t="s">
        <v>1942</v>
      </c>
    </row>
    <row r="433" spans="1:9" x14ac:dyDescent="0.25">
      <c r="A433" t="s">
        <v>860</v>
      </c>
      <c r="B433" t="s">
        <v>3859</v>
      </c>
      <c r="C433" t="s">
        <v>3860</v>
      </c>
      <c r="D433" t="s">
        <v>3861</v>
      </c>
      <c r="E433" t="s">
        <v>3862</v>
      </c>
      <c r="F433" t="s">
        <v>3863</v>
      </c>
      <c r="G433" t="s">
        <v>1949</v>
      </c>
      <c r="H433" t="s">
        <v>3864</v>
      </c>
      <c r="I433" t="s">
        <v>1942</v>
      </c>
    </row>
    <row r="434" spans="1:9" x14ac:dyDescent="0.25">
      <c r="A434" t="s">
        <v>862</v>
      </c>
      <c r="B434" t="s">
        <v>3865</v>
      </c>
      <c r="D434" t="s">
        <v>3866</v>
      </c>
      <c r="E434" t="s">
        <v>3867</v>
      </c>
      <c r="F434" t="s">
        <v>3121</v>
      </c>
      <c r="G434" t="s">
        <v>1941</v>
      </c>
      <c r="H434">
        <v>53277</v>
      </c>
      <c r="I434" t="s">
        <v>1951</v>
      </c>
    </row>
    <row r="435" spans="1:9" x14ac:dyDescent="0.25">
      <c r="A435" t="s">
        <v>864</v>
      </c>
      <c r="B435" t="s">
        <v>3868</v>
      </c>
      <c r="C435" t="s">
        <v>3869</v>
      </c>
      <c r="D435" t="s">
        <v>3870</v>
      </c>
      <c r="E435" t="s">
        <v>3871</v>
      </c>
      <c r="F435" t="s">
        <v>2999</v>
      </c>
      <c r="G435" t="s">
        <v>1941</v>
      </c>
      <c r="H435">
        <v>94250</v>
      </c>
      <c r="I435" t="s">
        <v>1942</v>
      </c>
    </row>
    <row r="436" spans="1:9" x14ac:dyDescent="0.25">
      <c r="A436" t="s">
        <v>866</v>
      </c>
      <c r="B436" t="s">
        <v>3872</v>
      </c>
      <c r="D436" t="s">
        <v>3873</v>
      </c>
      <c r="E436" t="s">
        <v>3874</v>
      </c>
      <c r="F436" t="s">
        <v>2158</v>
      </c>
      <c r="G436" t="s">
        <v>1941</v>
      </c>
      <c r="H436">
        <v>2298</v>
      </c>
      <c r="I436" t="s">
        <v>1951</v>
      </c>
    </row>
    <row r="437" spans="1:9" x14ac:dyDescent="0.25">
      <c r="A437" t="s">
        <v>868</v>
      </c>
      <c r="B437" t="s">
        <v>3875</v>
      </c>
      <c r="C437" t="s">
        <v>3876</v>
      </c>
      <c r="D437" t="s">
        <v>3877</v>
      </c>
      <c r="E437" t="s">
        <v>3878</v>
      </c>
      <c r="F437" t="s">
        <v>3510</v>
      </c>
      <c r="G437" t="s">
        <v>1941</v>
      </c>
      <c r="H437">
        <v>66622</v>
      </c>
      <c r="I437" t="s">
        <v>1951</v>
      </c>
    </row>
    <row r="438" spans="1:9" x14ac:dyDescent="0.25">
      <c r="A438" t="s">
        <v>870</v>
      </c>
      <c r="B438" t="s">
        <v>3879</v>
      </c>
      <c r="C438" t="s">
        <v>3880</v>
      </c>
      <c r="D438" t="s">
        <v>3881</v>
      </c>
      <c r="E438" t="s">
        <v>3882</v>
      </c>
      <c r="F438" t="s">
        <v>2550</v>
      </c>
      <c r="G438" t="s">
        <v>1941</v>
      </c>
      <c r="H438">
        <v>58122</v>
      </c>
      <c r="I438" t="s">
        <v>1942</v>
      </c>
    </row>
    <row r="439" spans="1:9" x14ac:dyDescent="0.25">
      <c r="A439" t="s">
        <v>872</v>
      </c>
      <c r="B439" t="s">
        <v>3883</v>
      </c>
      <c r="D439" t="s">
        <v>3884</v>
      </c>
      <c r="E439" t="s">
        <v>3885</v>
      </c>
      <c r="F439" t="s">
        <v>2027</v>
      </c>
      <c r="G439" t="s">
        <v>1941</v>
      </c>
      <c r="H439">
        <v>77095</v>
      </c>
      <c r="I439" t="s">
        <v>1951</v>
      </c>
    </row>
    <row r="440" spans="1:9" x14ac:dyDescent="0.25">
      <c r="A440" t="s">
        <v>3886</v>
      </c>
      <c r="B440" t="s">
        <v>3887</v>
      </c>
      <c r="C440" t="s">
        <v>3888</v>
      </c>
      <c r="D440" t="s">
        <v>3889</v>
      </c>
      <c r="E440" t="s">
        <v>3890</v>
      </c>
      <c r="F440" t="s">
        <v>2362</v>
      </c>
      <c r="G440" t="s">
        <v>1941</v>
      </c>
      <c r="H440">
        <v>73190</v>
      </c>
      <c r="I440" t="s">
        <v>1951</v>
      </c>
    </row>
    <row r="441" spans="1:9" x14ac:dyDescent="0.25">
      <c r="A441" t="s">
        <v>876</v>
      </c>
      <c r="B441" t="s">
        <v>3891</v>
      </c>
      <c r="C441" t="s">
        <v>3892</v>
      </c>
      <c r="D441" t="s">
        <v>3893</v>
      </c>
      <c r="E441" t="s">
        <v>3894</v>
      </c>
      <c r="F441" t="s">
        <v>2031</v>
      </c>
      <c r="G441" t="s">
        <v>1949</v>
      </c>
      <c r="H441" t="s">
        <v>2032</v>
      </c>
      <c r="I441" t="s">
        <v>1951</v>
      </c>
    </row>
    <row r="442" spans="1:9" x14ac:dyDescent="0.25">
      <c r="A442" t="s">
        <v>878</v>
      </c>
      <c r="B442" t="s">
        <v>3895</v>
      </c>
      <c r="C442" t="s">
        <v>3896</v>
      </c>
      <c r="D442" t="s">
        <v>3897</v>
      </c>
      <c r="E442" t="s">
        <v>3898</v>
      </c>
      <c r="F442" t="s">
        <v>2350</v>
      </c>
      <c r="G442" t="s">
        <v>1941</v>
      </c>
      <c r="H442">
        <v>14205</v>
      </c>
      <c r="I442" t="s">
        <v>1942</v>
      </c>
    </row>
    <row r="443" spans="1:9" x14ac:dyDescent="0.25">
      <c r="A443" t="s">
        <v>880</v>
      </c>
      <c r="B443" t="s">
        <v>3899</v>
      </c>
      <c r="C443" t="s">
        <v>3900</v>
      </c>
      <c r="D443" t="s">
        <v>3901</v>
      </c>
      <c r="E443" t="s">
        <v>3902</v>
      </c>
      <c r="F443" t="s">
        <v>3193</v>
      </c>
      <c r="G443" t="s">
        <v>1949</v>
      </c>
      <c r="H443" t="s">
        <v>3194</v>
      </c>
      <c r="I443" t="s">
        <v>1942</v>
      </c>
    </row>
    <row r="444" spans="1:9" x14ac:dyDescent="0.25">
      <c r="A444" t="s">
        <v>882</v>
      </c>
      <c r="B444" t="s">
        <v>3903</v>
      </c>
      <c r="C444" t="s">
        <v>3904</v>
      </c>
      <c r="D444" t="s">
        <v>3905</v>
      </c>
      <c r="E444" t="s">
        <v>3906</v>
      </c>
      <c r="F444" t="s">
        <v>3907</v>
      </c>
      <c r="G444" t="s">
        <v>1941</v>
      </c>
      <c r="H444">
        <v>18018</v>
      </c>
      <c r="I444" t="s">
        <v>1951</v>
      </c>
    </row>
    <row r="445" spans="1:9" x14ac:dyDescent="0.25">
      <c r="A445" t="s">
        <v>884</v>
      </c>
      <c r="B445" t="s">
        <v>3908</v>
      </c>
      <c r="C445" t="s">
        <v>3909</v>
      </c>
      <c r="D445" t="s">
        <v>3910</v>
      </c>
      <c r="E445" t="s">
        <v>3911</v>
      </c>
      <c r="F445" t="s">
        <v>3912</v>
      </c>
      <c r="G445" t="s">
        <v>1949</v>
      </c>
      <c r="H445" t="s">
        <v>3913</v>
      </c>
      <c r="I445" t="s">
        <v>1942</v>
      </c>
    </row>
    <row r="446" spans="1:9" x14ac:dyDescent="0.25">
      <c r="A446" t="s">
        <v>886</v>
      </c>
      <c r="B446" t="s">
        <v>3914</v>
      </c>
      <c r="C446" t="s">
        <v>3915</v>
      </c>
      <c r="D446" t="s">
        <v>3916</v>
      </c>
      <c r="E446" t="s">
        <v>3917</v>
      </c>
      <c r="F446" t="s">
        <v>3918</v>
      </c>
      <c r="G446" t="s">
        <v>1949</v>
      </c>
      <c r="H446" t="s">
        <v>3919</v>
      </c>
      <c r="I446" t="s">
        <v>1951</v>
      </c>
    </row>
    <row r="447" spans="1:9" x14ac:dyDescent="0.25">
      <c r="A447" t="s">
        <v>888</v>
      </c>
      <c r="B447" t="s">
        <v>3920</v>
      </c>
      <c r="C447" t="s">
        <v>3921</v>
      </c>
      <c r="E447" t="s">
        <v>3922</v>
      </c>
      <c r="F447" t="s">
        <v>3402</v>
      </c>
      <c r="G447" t="s">
        <v>1949</v>
      </c>
      <c r="H447" t="s">
        <v>2083</v>
      </c>
      <c r="I447" t="s">
        <v>1942</v>
      </c>
    </row>
    <row r="448" spans="1:9" x14ac:dyDescent="0.25">
      <c r="A448" t="s">
        <v>890</v>
      </c>
      <c r="B448" t="s">
        <v>3923</v>
      </c>
      <c r="C448" t="s">
        <v>3924</v>
      </c>
      <c r="D448" t="s">
        <v>3925</v>
      </c>
      <c r="E448" t="s">
        <v>3926</v>
      </c>
      <c r="F448" t="s">
        <v>2172</v>
      </c>
      <c r="G448" t="s">
        <v>2116</v>
      </c>
      <c r="H448" t="s">
        <v>3927</v>
      </c>
      <c r="I448" t="s">
        <v>1942</v>
      </c>
    </row>
    <row r="449" spans="1:9" x14ac:dyDescent="0.25">
      <c r="A449" t="s">
        <v>892</v>
      </c>
      <c r="B449" t="s">
        <v>3928</v>
      </c>
      <c r="C449" t="s">
        <v>3929</v>
      </c>
      <c r="E449" t="s">
        <v>3930</v>
      </c>
      <c r="F449" t="s">
        <v>3099</v>
      </c>
      <c r="G449" t="s">
        <v>1941</v>
      </c>
      <c r="H449">
        <v>85099</v>
      </c>
      <c r="I449" t="s">
        <v>1951</v>
      </c>
    </row>
    <row r="450" spans="1:9" x14ac:dyDescent="0.25">
      <c r="A450" t="s">
        <v>894</v>
      </c>
      <c r="B450" t="s">
        <v>3931</v>
      </c>
      <c r="C450" t="s">
        <v>3932</v>
      </c>
      <c r="D450" t="s">
        <v>3933</v>
      </c>
      <c r="E450" t="s">
        <v>3934</v>
      </c>
      <c r="F450" t="s">
        <v>3935</v>
      </c>
      <c r="G450" t="s">
        <v>1949</v>
      </c>
      <c r="H450" t="s">
        <v>3936</v>
      </c>
      <c r="I450" t="s">
        <v>1951</v>
      </c>
    </row>
    <row r="451" spans="1:9" x14ac:dyDescent="0.25">
      <c r="A451" t="s">
        <v>896</v>
      </c>
      <c r="B451" t="s">
        <v>3937</v>
      </c>
      <c r="C451" t="s">
        <v>3938</v>
      </c>
      <c r="D451" t="s">
        <v>3939</v>
      </c>
      <c r="E451" t="s">
        <v>3940</v>
      </c>
      <c r="F451" t="s">
        <v>2211</v>
      </c>
      <c r="G451" t="s">
        <v>1941</v>
      </c>
      <c r="H451">
        <v>43610</v>
      </c>
      <c r="I451" t="s">
        <v>1951</v>
      </c>
    </row>
    <row r="452" spans="1:9" x14ac:dyDescent="0.25">
      <c r="A452" t="s">
        <v>898</v>
      </c>
      <c r="B452" t="s">
        <v>3941</v>
      </c>
      <c r="C452" t="s">
        <v>3942</v>
      </c>
      <c r="D452" t="s">
        <v>3943</v>
      </c>
      <c r="E452" t="s">
        <v>3944</v>
      </c>
      <c r="F452" t="s">
        <v>3945</v>
      </c>
      <c r="G452" t="s">
        <v>1949</v>
      </c>
      <c r="H452" t="s">
        <v>3946</v>
      </c>
      <c r="I452" t="s">
        <v>1951</v>
      </c>
    </row>
    <row r="453" spans="1:9" x14ac:dyDescent="0.25">
      <c r="A453" t="s">
        <v>900</v>
      </c>
      <c r="B453" t="s">
        <v>3947</v>
      </c>
      <c r="C453" t="s">
        <v>3948</v>
      </c>
      <c r="D453" t="s">
        <v>3949</v>
      </c>
      <c r="E453" t="s">
        <v>3950</v>
      </c>
      <c r="F453" t="s">
        <v>2300</v>
      </c>
      <c r="G453" t="s">
        <v>1941</v>
      </c>
      <c r="H453">
        <v>28210</v>
      </c>
      <c r="I453" t="s">
        <v>1942</v>
      </c>
    </row>
    <row r="454" spans="1:9" x14ac:dyDescent="0.25">
      <c r="A454" t="s">
        <v>874</v>
      </c>
      <c r="B454" t="s">
        <v>3951</v>
      </c>
      <c r="C454" t="s">
        <v>3952</v>
      </c>
      <c r="D454" t="s">
        <v>3953</v>
      </c>
      <c r="E454" t="s">
        <v>3954</v>
      </c>
      <c r="F454" t="s">
        <v>3492</v>
      </c>
      <c r="G454" t="s">
        <v>1941</v>
      </c>
      <c r="H454">
        <v>98109</v>
      </c>
      <c r="I454" t="s">
        <v>1951</v>
      </c>
    </row>
    <row r="455" spans="1:9" x14ac:dyDescent="0.25">
      <c r="A455" t="s">
        <v>903</v>
      </c>
      <c r="B455" t="s">
        <v>3955</v>
      </c>
      <c r="C455" t="s">
        <v>3956</v>
      </c>
      <c r="D455" t="s">
        <v>3957</v>
      </c>
      <c r="E455" t="s">
        <v>3958</v>
      </c>
      <c r="F455" t="s">
        <v>3004</v>
      </c>
      <c r="G455" t="s">
        <v>1941</v>
      </c>
      <c r="H455">
        <v>18706</v>
      </c>
      <c r="I455" t="s">
        <v>1951</v>
      </c>
    </row>
    <row r="456" spans="1:9" x14ac:dyDescent="0.25">
      <c r="A456" t="s">
        <v>905</v>
      </c>
      <c r="B456" t="s">
        <v>3959</v>
      </c>
      <c r="C456" t="s">
        <v>3960</v>
      </c>
      <c r="E456" t="s">
        <v>3961</v>
      </c>
      <c r="F456" t="s">
        <v>3962</v>
      </c>
      <c r="G456" t="s">
        <v>1949</v>
      </c>
      <c r="H456" t="s">
        <v>1950</v>
      </c>
      <c r="I456" t="s">
        <v>1942</v>
      </c>
    </row>
    <row r="457" spans="1:9" x14ac:dyDescent="0.25">
      <c r="A457" t="s">
        <v>907</v>
      </c>
      <c r="B457" t="s">
        <v>3963</v>
      </c>
      <c r="C457" t="s">
        <v>3964</v>
      </c>
      <c r="D457" t="s">
        <v>3965</v>
      </c>
      <c r="E457" t="s">
        <v>3966</v>
      </c>
      <c r="F457" t="s">
        <v>3967</v>
      </c>
      <c r="G457" t="s">
        <v>1949</v>
      </c>
      <c r="H457" t="s">
        <v>2771</v>
      </c>
      <c r="I457" t="s">
        <v>1942</v>
      </c>
    </row>
    <row r="458" spans="1:9" x14ac:dyDescent="0.25">
      <c r="A458" t="s">
        <v>909</v>
      </c>
      <c r="B458" t="s">
        <v>3968</v>
      </c>
      <c r="C458" t="s">
        <v>3969</v>
      </c>
      <c r="D458" t="s">
        <v>3970</v>
      </c>
      <c r="E458" t="s">
        <v>3971</v>
      </c>
      <c r="F458" t="s">
        <v>2281</v>
      </c>
      <c r="G458" t="s">
        <v>2116</v>
      </c>
      <c r="H458" t="s">
        <v>3972</v>
      </c>
      <c r="I458" t="s">
        <v>1951</v>
      </c>
    </row>
    <row r="459" spans="1:9" x14ac:dyDescent="0.25">
      <c r="A459" t="s">
        <v>911</v>
      </c>
      <c r="B459" t="s">
        <v>3973</v>
      </c>
      <c r="C459" t="s">
        <v>3974</v>
      </c>
      <c r="D459" t="s">
        <v>3975</v>
      </c>
      <c r="E459" t="s">
        <v>3976</v>
      </c>
      <c r="F459" t="s">
        <v>2163</v>
      </c>
      <c r="G459" t="s">
        <v>1941</v>
      </c>
      <c r="H459">
        <v>14652</v>
      </c>
      <c r="I459" t="s">
        <v>1951</v>
      </c>
    </row>
    <row r="460" spans="1:9" x14ac:dyDescent="0.25">
      <c r="A460" t="s">
        <v>913</v>
      </c>
      <c r="B460" t="s">
        <v>3977</v>
      </c>
      <c r="C460" t="s">
        <v>3978</v>
      </c>
      <c r="D460" t="s">
        <v>3979</v>
      </c>
      <c r="E460" t="s">
        <v>3980</v>
      </c>
      <c r="F460" t="s">
        <v>2140</v>
      </c>
      <c r="G460" t="s">
        <v>1941</v>
      </c>
      <c r="H460">
        <v>85754</v>
      </c>
      <c r="I460" t="s">
        <v>1951</v>
      </c>
    </row>
    <row r="461" spans="1:9" x14ac:dyDescent="0.25">
      <c r="A461" t="s">
        <v>915</v>
      </c>
      <c r="B461" t="s">
        <v>3981</v>
      </c>
      <c r="C461" t="s">
        <v>3982</v>
      </c>
      <c r="D461" t="s">
        <v>3983</v>
      </c>
      <c r="E461" t="s">
        <v>3984</v>
      </c>
      <c r="F461" t="s">
        <v>2137</v>
      </c>
      <c r="G461" t="s">
        <v>1941</v>
      </c>
      <c r="H461">
        <v>55480</v>
      </c>
      <c r="I461" t="s">
        <v>1951</v>
      </c>
    </row>
    <row r="462" spans="1:9" x14ac:dyDescent="0.25">
      <c r="A462" t="s">
        <v>917</v>
      </c>
      <c r="B462" t="s">
        <v>3985</v>
      </c>
      <c r="C462" t="s">
        <v>3986</v>
      </c>
      <c r="D462" t="s">
        <v>3987</v>
      </c>
      <c r="E462" t="s">
        <v>3988</v>
      </c>
      <c r="F462" t="s">
        <v>3989</v>
      </c>
      <c r="G462" t="s">
        <v>1949</v>
      </c>
      <c r="H462" t="s">
        <v>3990</v>
      </c>
      <c r="I462" t="s">
        <v>1942</v>
      </c>
    </row>
    <row r="463" spans="1:9" x14ac:dyDescent="0.25">
      <c r="A463" t="s">
        <v>919</v>
      </c>
      <c r="B463" t="s">
        <v>3991</v>
      </c>
      <c r="C463" t="s">
        <v>3992</v>
      </c>
      <c r="D463" t="s">
        <v>3993</v>
      </c>
      <c r="E463" t="s">
        <v>3994</v>
      </c>
      <c r="F463" t="s">
        <v>3995</v>
      </c>
      <c r="G463" t="s">
        <v>2116</v>
      </c>
      <c r="H463" t="s">
        <v>3996</v>
      </c>
      <c r="I463" t="s">
        <v>1942</v>
      </c>
    </row>
    <row r="464" spans="1:9" x14ac:dyDescent="0.25">
      <c r="A464" t="s">
        <v>921</v>
      </c>
      <c r="B464" t="s">
        <v>3997</v>
      </c>
      <c r="C464" t="s">
        <v>3998</v>
      </c>
      <c r="D464" t="s">
        <v>3999</v>
      </c>
      <c r="E464" t="s">
        <v>4000</v>
      </c>
      <c r="F464" t="s">
        <v>3049</v>
      </c>
      <c r="G464" t="s">
        <v>1941</v>
      </c>
      <c r="H464">
        <v>31119</v>
      </c>
      <c r="I464" t="s">
        <v>1942</v>
      </c>
    </row>
    <row r="465" spans="1:9" x14ac:dyDescent="0.25">
      <c r="A465" t="s">
        <v>923</v>
      </c>
      <c r="B465" t="s">
        <v>4001</v>
      </c>
      <c r="C465" t="s">
        <v>4002</v>
      </c>
      <c r="D465" t="s">
        <v>4003</v>
      </c>
      <c r="E465" t="s">
        <v>4004</v>
      </c>
      <c r="F465" t="s">
        <v>4005</v>
      </c>
      <c r="G465" t="s">
        <v>1949</v>
      </c>
      <c r="H465" t="s">
        <v>4006</v>
      </c>
      <c r="I465" t="s">
        <v>1951</v>
      </c>
    </row>
    <row r="466" spans="1:9" x14ac:dyDescent="0.25">
      <c r="A466" t="s">
        <v>925</v>
      </c>
      <c r="B466" t="s">
        <v>4007</v>
      </c>
      <c r="C466" t="s">
        <v>4008</v>
      </c>
      <c r="D466" t="s">
        <v>4009</v>
      </c>
      <c r="E466" t="s">
        <v>4010</v>
      </c>
      <c r="F466" t="s">
        <v>2872</v>
      </c>
      <c r="G466" t="s">
        <v>2116</v>
      </c>
      <c r="H466" t="s">
        <v>2873</v>
      </c>
      <c r="I466" t="s">
        <v>1951</v>
      </c>
    </row>
    <row r="467" spans="1:9" x14ac:dyDescent="0.25">
      <c r="A467" t="s">
        <v>927</v>
      </c>
      <c r="B467" t="s">
        <v>4011</v>
      </c>
      <c r="C467" t="s">
        <v>4012</v>
      </c>
      <c r="D467" t="s">
        <v>4013</v>
      </c>
      <c r="E467" t="s">
        <v>4014</v>
      </c>
      <c r="F467" t="s">
        <v>3412</v>
      </c>
      <c r="G467" t="s">
        <v>1941</v>
      </c>
      <c r="H467">
        <v>37939</v>
      </c>
      <c r="I467" t="s">
        <v>1942</v>
      </c>
    </row>
    <row r="468" spans="1:9" x14ac:dyDescent="0.25">
      <c r="A468" t="s">
        <v>929</v>
      </c>
      <c r="B468" t="s">
        <v>4015</v>
      </c>
      <c r="C468" t="s">
        <v>4016</v>
      </c>
      <c r="D468" t="s">
        <v>4017</v>
      </c>
      <c r="E468" t="s">
        <v>4018</v>
      </c>
      <c r="F468" t="s">
        <v>4019</v>
      </c>
      <c r="G468" t="s">
        <v>1941</v>
      </c>
      <c r="H468">
        <v>48604</v>
      </c>
      <c r="I468" t="s">
        <v>1942</v>
      </c>
    </row>
    <row r="469" spans="1:9" x14ac:dyDescent="0.25">
      <c r="A469" t="s">
        <v>931</v>
      </c>
      <c r="B469" t="s">
        <v>4020</v>
      </c>
      <c r="C469" t="s">
        <v>4021</v>
      </c>
      <c r="D469" t="s">
        <v>4022</v>
      </c>
      <c r="E469" t="s">
        <v>4023</v>
      </c>
      <c r="F469" t="s">
        <v>4024</v>
      </c>
      <c r="G469" t="s">
        <v>1941</v>
      </c>
      <c r="H469">
        <v>32092</v>
      </c>
      <c r="I469" t="s">
        <v>1951</v>
      </c>
    </row>
    <row r="470" spans="1:9" x14ac:dyDescent="0.25">
      <c r="A470" t="s">
        <v>933</v>
      </c>
      <c r="B470" t="s">
        <v>4025</v>
      </c>
      <c r="C470" t="s">
        <v>4026</v>
      </c>
      <c r="E470" t="s">
        <v>4027</v>
      </c>
      <c r="F470" t="s">
        <v>4028</v>
      </c>
      <c r="G470" t="s">
        <v>1941</v>
      </c>
      <c r="H470">
        <v>94913</v>
      </c>
      <c r="I470" t="s">
        <v>1942</v>
      </c>
    </row>
    <row r="471" spans="1:9" x14ac:dyDescent="0.25">
      <c r="A471" t="s">
        <v>4029</v>
      </c>
      <c r="B471" t="s">
        <v>4030</v>
      </c>
      <c r="C471" t="s">
        <v>4031</v>
      </c>
      <c r="D471" t="s">
        <v>4032</v>
      </c>
      <c r="E471" t="s">
        <v>4033</v>
      </c>
      <c r="F471" t="s">
        <v>1995</v>
      </c>
      <c r="G471" t="s">
        <v>1941</v>
      </c>
      <c r="H471">
        <v>95113</v>
      </c>
      <c r="I471" t="s">
        <v>1942</v>
      </c>
    </row>
    <row r="472" spans="1:9" x14ac:dyDescent="0.25">
      <c r="A472" t="s">
        <v>937</v>
      </c>
      <c r="B472" t="s">
        <v>4034</v>
      </c>
      <c r="C472" t="s">
        <v>4035</v>
      </c>
      <c r="D472" t="s">
        <v>4036</v>
      </c>
      <c r="E472" t="s">
        <v>4037</v>
      </c>
      <c r="F472" t="s">
        <v>3682</v>
      </c>
      <c r="G472" t="s">
        <v>1941</v>
      </c>
      <c r="H472">
        <v>30045</v>
      </c>
      <c r="I472" t="s">
        <v>1942</v>
      </c>
    </row>
    <row r="473" spans="1:9" x14ac:dyDescent="0.25">
      <c r="A473" t="s">
        <v>939</v>
      </c>
      <c r="B473" t="s">
        <v>4038</v>
      </c>
      <c r="D473" t="s">
        <v>4039</v>
      </c>
      <c r="E473" t="s">
        <v>4040</v>
      </c>
      <c r="F473" t="s">
        <v>3510</v>
      </c>
      <c r="G473" t="s">
        <v>1941</v>
      </c>
      <c r="H473">
        <v>66622</v>
      </c>
      <c r="I473" t="s">
        <v>1942</v>
      </c>
    </row>
    <row r="474" spans="1:9" x14ac:dyDescent="0.25">
      <c r="A474" t="s">
        <v>941</v>
      </c>
      <c r="B474" t="s">
        <v>4041</v>
      </c>
      <c r="C474" t="s">
        <v>4042</v>
      </c>
      <c r="D474" t="s">
        <v>4043</v>
      </c>
      <c r="E474" t="s">
        <v>4044</v>
      </c>
      <c r="F474" t="s">
        <v>2988</v>
      </c>
      <c r="G474" t="s">
        <v>1941</v>
      </c>
      <c r="H474">
        <v>66276</v>
      </c>
      <c r="I474" t="s">
        <v>1951</v>
      </c>
    </row>
    <row r="475" spans="1:9" x14ac:dyDescent="0.25">
      <c r="A475" t="s">
        <v>943</v>
      </c>
      <c r="B475" t="s">
        <v>4045</v>
      </c>
      <c r="C475" t="s">
        <v>4046</v>
      </c>
      <c r="D475" t="s">
        <v>4047</v>
      </c>
      <c r="E475" t="s">
        <v>4048</v>
      </c>
      <c r="F475" t="s">
        <v>3492</v>
      </c>
      <c r="G475" t="s">
        <v>1941</v>
      </c>
      <c r="H475">
        <v>98148</v>
      </c>
      <c r="I475" t="s">
        <v>1951</v>
      </c>
    </row>
    <row r="476" spans="1:9" x14ac:dyDescent="0.25">
      <c r="A476" t="s">
        <v>945</v>
      </c>
      <c r="B476" t="s">
        <v>4049</v>
      </c>
      <c r="C476" t="s">
        <v>4050</v>
      </c>
      <c r="D476" t="s">
        <v>4051</v>
      </c>
      <c r="E476" t="s">
        <v>4052</v>
      </c>
      <c r="F476" t="s">
        <v>3080</v>
      </c>
      <c r="G476" t="s">
        <v>1949</v>
      </c>
      <c r="H476" t="s">
        <v>3081</v>
      </c>
      <c r="I476" t="s">
        <v>1942</v>
      </c>
    </row>
    <row r="477" spans="1:9" x14ac:dyDescent="0.25">
      <c r="A477" t="s">
        <v>947</v>
      </c>
      <c r="B477" t="s">
        <v>4053</v>
      </c>
      <c r="C477" t="s">
        <v>4054</v>
      </c>
      <c r="E477" t="s">
        <v>4055</v>
      </c>
      <c r="F477" t="s">
        <v>4056</v>
      </c>
      <c r="G477" t="s">
        <v>1941</v>
      </c>
      <c r="H477">
        <v>34745</v>
      </c>
      <c r="I477" t="s">
        <v>1951</v>
      </c>
    </row>
    <row r="478" spans="1:9" x14ac:dyDescent="0.25">
      <c r="A478" t="s">
        <v>949</v>
      </c>
      <c r="B478" t="s">
        <v>4057</v>
      </c>
      <c r="C478" t="s">
        <v>4058</v>
      </c>
      <c r="D478" t="s">
        <v>4059</v>
      </c>
      <c r="E478" t="s">
        <v>4060</v>
      </c>
      <c r="F478" t="s">
        <v>2163</v>
      </c>
      <c r="G478" t="s">
        <v>1941</v>
      </c>
      <c r="H478">
        <v>14683</v>
      </c>
      <c r="I478" t="s">
        <v>1942</v>
      </c>
    </row>
    <row r="479" spans="1:9" x14ac:dyDescent="0.25">
      <c r="A479" t="s">
        <v>951</v>
      </c>
      <c r="B479" t="s">
        <v>4061</v>
      </c>
      <c r="C479" t="s">
        <v>4062</v>
      </c>
      <c r="D479" t="s">
        <v>4063</v>
      </c>
      <c r="E479" t="s">
        <v>4064</v>
      </c>
      <c r="F479" t="s">
        <v>3515</v>
      </c>
      <c r="G479" t="s">
        <v>1941</v>
      </c>
      <c r="H479">
        <v>75799</v>
      </c>
      <c r="I479" t="s">
        <v>1951</v>
      </c>
    </row>
    <row r="480" spans="1:9" x14ac:dyDescent="0.25">
      <c r="A480" t="s">
        <v>935</v>
      </c>
      <c r="B480" t="s">
        <v>4065</v>
      </c>
      <c r="C480" t="s">
        <v>4066</v>
      </c>
      <c r="D480" t="s">
        <v>4067</v>
      </c>
      <c r="E480" t="s">
        <v>4068</v>
      </c>
      <c r="F480" t="s">
        <v>4069</v>
      </c>
      <c r="G480" t="s">
        <v>1941</v>
      </c>
      <c r="H480">
        <v>11388</v>
      </c>
      <c r="I480" t="s">
        <v>1942</v>
      </c>
    </row>
    <row r="481" spans="1:9" x14ac:dyDescent="0.25">
      <c r="A481" t="s">
        <v>4070</v>
      </c>
      <c r="B481" t="s">
        <v>4071</v>
      </c>
      <c r="D481" t="s">
        <v>4072</v>
      </c>
      <c r="E481" t="s">
        <v>4073</v>
      </c>
      <c r="F481" t="s">
        <v>4074</v>
      </c>
      <c r="G481" t="s">
        <v>1941</v>
      </c>
      <c r="H481">
        <v>20167</v>
      </c>
      <c r="I481" t="s">
        <v>1942</v>
      </c>
    </row>
    <row r="482" spans="1:9" x14ac:dyDescent="0.25">
      <c r="A482" t="s">
        <v>4075</v>
      </c>
      <c r="B482" t="s">
        <v>4076</v>
      </c>
      <c r="C482" t="s">
        <v>4077</v>
      </c>
      <c r="D482" t="s">
        <v>4078</v>
      </c>
      <c r="E482" t="s">
        <v>4079</v>
      </c>
      <c r="F482" t="s">
        <v>2004</v>
      </c>
      <c r="G482" t="s">
        <v>1941</v>
      </c>
      <c r="H482">
        <v>23203</v>
      </c>
      <c r="I482" t="s">
        <v>1951</v>
      </c>
    </row>
    <row r="483" spans="1:9" x14ac:dyDescent="0.25">
      <c r="A483" t="s">
        <v>954</v>
      </c>
      <c r="B483" t="s">
        <v>4080</v>
      </c>
      <c r="C483" t="s">
        <v>4081</v>
      </c>
      <c r="D483" t="s">
        <v>4082</v>
      </c>
      <c r="E483" t="s">
        <v>4083</v>
      </c>
      <c r="F483" t="s">
        <v>4084</v>
      </c>
      <c r="G483" t="s">
        <v>2116</v>
      </c>
      <c r="H483" t="s">
        <v>2393</v>
      </c>
      <c r="I483" t="s">
        <v>1951</v>
      </c>
    </row>
    <row r="484" spans="1:9" x14ac:dyDescent="0.25">
      <c r="A484" t="s">
        <v>956</v>
      </c>
      <c r="B484" t="s">
        <v>4085</v>
      </c>
      <c r="C484" t="s">
        <v>4086</v>
      </c>
      <c r="D484" t="s">
        <v>4087</v>
      </c>
      <c r="E484" t="s">
        <v>4088</v>
      </c>
      <c r="F484" t="s">
        <v>2699</v>
      </c>
      <c r="G484" t="s">
        <v>1941</v>
      </c>
      <c r="H484">
        <v>22309</v>
      </c>
      <c r="I484" t="s">
        <v>1942</v>
      </c>
    </row>
    <row r="485" spans="1:9" x14ac:dyDescent="0.25">
      <c r="A485" t="s">
        <v>958</v>
      </c>
      <c r="B485" t="s">
        <v>4089</v>
      </c>
      <c r="D485" t="s">
        <v>4090</v>
      </c>
      <c r="E485" t="s">
        <v>4091</v>
      </c>
      <c r="F485" t="s">
        <v>2938</v>
      </c>
      <c r="G485" t="s">
        <v>1941</v>
      </c>
      <c r="H485">
        <v>84115</v>
      </c>
      <c r="I485" t="s">
        <v>1942</v>
      </c>
    </row>
    <row r="486" spans="1:9" x14ac:dyDescent="0.25">
      <c r="A486" t="s">
        <v>960</v>
      </c>
      <c r="B486" t="s">
        <v>4092</v>
      </c>
      <c r="C486" t="s">
        <v>4093</v>
      </c>
      <c r="E486" t="s">
        <v>4094</v>
      </c>
      <c r="F486" t="s">
        <v>1995</v>
      </c>
      <c r="G486" t="s">
        <v>1941</v>
      </c>
      <c r="H486">
        <v>95108</v>
      </c>
      <c r="I486" t="s">
        <v>1951</v>
      </c>
    </row>
    <row r="487" spans="1:9" x14ac:dyDescent="0.25">
      <c r="A487" t="s">
        <v>962</v>
      </c>
      <c r="B487" t="s">
        <v>4095</v>
      </c>
      <c r="C487" t="s">
        <v>4096</v>
      </c>
      <c r="D487" t="s">
        <v>4097</v>
      </c>
      <c r="E487" t="s">
        <v>4098</v>
      </c>
      <c r="F487" t="s">
        <v>4099</v>
      </c>
      <c r="G487" t="s">
        <v>1949</v>
      </c>
      <c r="H487" t="s">
        <v>4100</v>
      </c>
      <c r="I487" t="s">
        <v>1942</v>
      </c>
    </row>
    <row r="488" spans="1:9" x14ac:dyDescent="0.25">
      <c r="A488" t="s">
        <v>964</v>
      </c>
      <c r="B488" t="s">
        <v>4101</v>
      </c>
      <c r="C488" t="s">
        <v>4102</v>
      </c>
      <c r="D488" t="s">
        <v>4103</v>
      </c>
      <c r="E488" t="s">
        <v>4104</v>
      </c>
      <c r="F488" t="s">
        <v>4105</v>
      </c>
      <c r="G488" t="s">
        <v>1949</v>
      </c>
      <c r="H488" t="s">
        <v>2545</v>
      </c>
      <c r="I488" t="s">
        <v>1942</v>
      </c>
    </row>
    <row r="489" spans="1:9" x14ac:dyDescent="0.25">
      <c r="A489" t="s">
        <v>966</v>
      </c>
      <c r="B489" t="s">
        <v>4106</v>
      </c>
      <c r="C489" t="s">
        <v>4107</v>
      </c>
      <c r="D489" t="s">
        <v>4108</v>
      </c>
      <c r="E489" t="s">
        <v>4109</v>
      </c>
      <c r="F489" t="s">
        <v>4105</v>
      </c>
      <c r="G489" t="s">
        <v>1949</v>
      </c>
      <c r="H489" t="s">
        <v>2545</v>
      </c>
      <c r="I489" t="s">
        <v>1951</v>
      </c>
    </row>
    <row r="490" spans="1:9" x14ac:dyDescent="0.25">
      <c r="A490" t="s">
        <v>968</v>
      </c>
      <c r="B490" t="s">
        <v>4110</v>
      </c>
      <c r="C490" t="s">
        <v>4111</v>
      </c>
      <c r="D490" t="s">
        <v>4112</v>
      </c>
      <c r="E490" t="s">
        <v>4113</v>
      </c>
      <c r="F490" t="s">
        <v>4114</v>
      </c>
      <c r="G490" t="s">
        <v>1949</v>
      </c>
      <c r="H490" t="s">
        <v>2855</v>
      </c>
      <c r="I490" t="s">
        <v>1942</v>
      </c>
    </row>
    <row r="491" spans="1:9" x14ac:dyDescent="0.25">
      <c r="A491" t="s">
        <v>970</v>
      </c>
      <c r="B491" t="s">
        <v>4115</v>
      </c>
      <c r="C491" t="s">
        <v>4116</v>
      </c>
      <c r="D491" t="s">
        <v>4117</v>
      </c>
      <c r="E491" t="s">
        <v>4118</v>
      </c>
      <c r="F491" t="s">
        <v>2448</v>
      </c>
      <c r="G491" t="s">
        <v>1941</v>
      </c>
      <c r="H491">
        <v>79945</v>
      </c>
      <c r="I491" t="s">
        <v>1951</v>
      </c>
    </row>
    <row r="492" spans="1:9" x14ac:dyDescent="0.25">
      <c r="A492" t="s">
        <v>972</v>
      </c>
      <c r="B492" t="s">
        <v>4119</v>
      </c>
      <c r="C492" t="s">
        <v>4120</v>
      </c>
      <c r="D492" t="s">
        <v>4121</v>
      </c>
      <c r="E492" t="s">
        <v>4122</v>
      </c>
      <c r="F492" t="s">
        <v>2191</v>
      </c>
      <c r="G492" t="s">
        <v>1941</v>
      </c>
      <c r="H492">
        <v>33355</v>
      </c>
      <c r="I492" t="s">
        <v>1951</v>
      </c>
    </row>
    <row r="493" spans="1:9" x14ac:dyDescent="0.25">
      <c r="A493" t="s">
        <v>974</v>
      </c>
      <c r="B493" t="s">
        <v>4123</v>
      </c>
      <c r="D493" t="s">
        <v>4124</v>
      </c>
      <c r="E493" t="s">
        <v>4125</v>
      </c>
      <c r="F493" t="s">
        <v>3483</v>
      </c>
      <c r="G493" t="s">
        <v>1941</v>
      </c>
      <c r="H493">
        <v>46295</v>
      </c>
      <c r="I493" t="s">
        <v>1951</v>
      </c>
    </row>
    <row r="494" spans="1:9" x14ac:dyDescent="0.25">
      <c r="A494" t="s">
        <v>976</v>
      </c>
      <c r="B494" t="s">
        <v>4126</v>
      </c>
      <c r="C494" t="s">
        <v>4127</v>
      </c>
      <c r="D494" t="s">
        <v>4128</v>
      </c>
      <c r="E494" t="s">
        <v>4129</v>
      </c>
      <c r="F494" t="s">
        <v>3121</v>
      </c>
      <c r="G494" t="s">
        <v>1941</v>
      </c>
      <c r="H494">
        <v>53234</v>
      </c>
      <c r="I494" t="s">
        <v>1942</v>
      </c>
    </row>
    <row r="495" spans="1:9" x14ac:dyDescent="0.25">
      <c r="A495" t="s">
        <v>978</v>
      </c>
      <c r="B495" t="s">
        <v>4130</v>
      </c>
      <c r="C495" t="s">
        <v>4131</v>
      </c>
      <c r="D495" t="s">
        <v>4132</v>
      </c>
      <c r="E495" t="s">
        <v>4133</v>
      </c>
      <c r="F495" t="s">
        <v>3330</v>
      </c>
      <c r="G495" t="s">
        <v>2116</v>
      </c>
      <c r="H495" t="s">
        <v>3331</v>
      </c>
      <c r="I495" t="s">
        <v>1951</v>
      </c>
    </row>
    <row r="496" spans="1:9" x14ac:dyDescent="0.25">
      <c r="A496" t="s">
        <v>980</v>
      </c>
      <c r="B496" t="s">
        <v>4134</v>
      </c>
      <c r="C496" t="s">
        <v>4135</v>
      </c>
      <c r="D496" t="s">
        <v>4136</v>
      </c>
      <c r="E496" t="s">
        <v>4137</v>
      </c>
      <c r="F496" t="s">
        <v>3070</v>
      </c>
      <c r="G496" t="s">
        <v>1941</v>
      </c>
      <c r="H496">
        <v>70836</v>
      </c>
      <c r="I496" t="s">
        <v>1951</v>
      </c>
    </row>
    <row r="497" spans="1:9" x14ac:dyDescent="0.25">
      <c r="A497" t="s">
        <v>982</v>
      </c>
      <c r="B497" t="s">
        <v>4138</v>
      </c>
      <c r="D497" t="s">
        <v>4139</v>
      </c>
      <c r="E497" t="s">
        <v>4140</v>
      </c>
      <c r="F497" t="s">
        <v>3283</v>
      </c>
      <c r="G497" t="s">
        <v>1941</v>
      </c>
      <c r="H497">
        <v>6816</v>
      </c>
      <c r="I497" t="s">
        <v>1942</v>
      </c>
    </row>
    <row r="498" spans="1:9" x14ac:dyDescent="0.25">
      <c r="A498" t="s">
        <v>984</v>
      </c>
      <c r="B498" t="s">
        <v>4141</v>
      </c>
      <c r="C498" t="s">
        <v>4142</v>
      </c>
      <c r="D498" t="s">
        <v>4143</v>
      </c>
      <c r="E498" t="s">
        <v>4144</v>
      </c>
      <c r="F498" t="s">
        <v>2225</v>
      </c>
      <c r="G498" t="s">
        <v>1941</v>
      </c>
      <c r="H498">
        <v>32590</v>
      </c>
      <c r="I498" t="s">
        <v>1951</v>
      </c>
    </row>
    <row r="499" spans="1:9" x14ac:dyDescent="0.25">
      <c r="A499" t="s">
        <v>986</v>
      </c>
      <c r="B499" t="s">
        <v>4145</v>
      </c>
      <c r="C499" t="s">
        <v>4146</v>
      </c>
      <c r="D499" t="s">
        <v>4147</v>
      </c>
      <c r="E499" t="s">
        <v>4148</v>
      </c>
      <c r="F499" t="s">
        <v>4149</v>
      </c>
      <c r="G499" t="s">
        <v>1949</v>
      </c>
      <c r="H499" t="s">
        <v>2083</v>
      </c>
      <c r="I499" t="s">
        <v>1951</v>
      </c>
    </row>
    <row r="500" spans="1:9" x14ac:dyDescent="0.25">
      <c r="A500" t="s">
        <v>4150</v>
      </c>
      <c r="B500" t="s">
        <v>4151</v>
      </c>
      <c r="C500" t="s">
        <v>4152</v>
      </c>
      <c r="D500" t="s">
        <v>4153</v>
      </c>
      <c r="E500" t="s">
        <v>4154</v>
      </c>
      <c r="F500" t="s">
        <v>3238</v>
      </c>
      <c r="G500" t="s">
        <v>2116</v>
      </c>
      <c r="H500" t="s">
        <v>3239</v>
      </c>
      <c r="I500" t="s">
        <v>1942</v>
      </c>
    </row>
    <row r="501" spans="1:9" x14ac:dyDescent="0.25">
      <c r="A501" t="s">
        <v>990</v>
      </c>
      <c r="B501" t="s">
        <v>4155</v>
      </c>
      <c r="D501" t="s">
        <v>4156</v>
      </c>
      <c r="E501" t="s">
        <v>4157</v>
      </c>
      <c r="F501" t="s">
        <v>2933</v>
      </c>
      <c r="G501" t="s">
        <v>1949</v>
      </c>
      <c r="H501" t="s">
        <v>2083</v>
      </c>
      <c r="I501" t="s">
        <v>1942</v>
      </c>
    </row>
    <row r="502" spans="1:9" x14ac:dyDescent="0.25">
      <c r="A502" t="s">
        <v>992</v>
      </c>
      <c r="B502" t="s">
        <v>4158</v>
      </c>
      <c r="D502" t="s">
        <v>4159</v>
      </c>
      <c r="E502" t="s">
        <v>4160</v>
      </c>
      <c r="F502" t="s">
        <v>2048</v>
      </c>
      <c r="G502" t="s">
        <v>1941</v>
      </c>
      <c r="H502">
        <v>49518</v>
      </c>
      <c r="I502" t="s">
        <v>1951</v>
      </c>
    </row>
    <row r="503" spans="1:9" x14ac:dyDescent="0.25">
      <c r="A503" t="s">
        <v>994</v>
      </c>
      <c r="B503" t="s">
        <v>4161</v>
      </c>
      <c r="C503" t="s">
        <v>4162</v>
      </c>
      <c r="D503" t="s">
        <v>4163</v>
      </c>
      <c r="E503" t="s">
        <v>4164</v>
      </c>
      <c r="F503" t="s">
        <v>3365</v>
      </c>
      <c r="G503" t="s">
        <v>2116</v>
      </c>
      <c r="H503" t="s">
        <v>3366</v>
      </c>
      <c r="I503" t="s">
        <v>1951</v>
      </c>
    </row>
    <row r="504" spans="1:9" x14ac:dyDescent="0.25">
      <c r="A504" t="s">
        <v>4165</v>
      </c>
      <c r="B504" t="s">
        <v>4166</v>
      </c>
      <c r="C504" t="s">
        <v>4167</v>
      </c>
      <c r="D504" t="s">
        <v>4168</v>
      </c>
      <c r="E504" t="s">
        <v>4169</v>
      </c>
      <c r="F504" t="s">
        <v>2375</v>
      </c>
      <c r="G504" t="s">
        <v>1941</v>
      </c>
      <c r="H504">
        <v>66160</v>
      </c>
      <c r="I504" t="s">
        <v>1951</v>
      </c>
    </row>
    <row r="505" spans="1:9" x14ac:dyDescent="0.25">
      <c r="A505" t="s">
        <v>4170</v>
      </c>
      <c r="B505" t="s">
        <v>4171</v>
      </c>
      <c r="D505" t="s">
        <v>4172</v>
      </c>
      <c r="E505" t="s">
        <v>4173</v>
      </c>
      <c r="F505" t="s">
        <v>4174</v>
      </c>
      <c r="G505" t="s">
        <v>1941</v>
      </c>
      <c r="H505">
        <v>14905</v>
      </c>
      <c r="I505" t="s">
        <v>1951</v>
      </c>
    </row>
    <row r="506" spans="1:9" x14ac:dyDescent="0.25">
      <c r="A506" t="s">
        <v>4175</v>
      </c>
      <c r="B506" t="s">
        <v>4176</v>
      </c>
      <c r="C506" t="s">
        <v>4177</v>
      </c>
      <c r="D506" t="s">
        <v>4178</v>
      </c>
      <c r="E506" t="s">
        <v>4179</v>
      </c>
      <c r="F506" t="s">
        <v>3121</v>
      </c>
      <c r="G506" t="s">
        <v>1941</v>
      </c>
      <c r="H506">
        <v>53205</v>
      </c>
      <c r="I506" t="s">
        <v>1942</v>
      </c>
    </row>
    <row r="507" spans="1:9" x14ac:dyDescent="0.25">
      <c r="A507" t="s">
        <v>996</v>
      </c>
      <c r="B507" t="s">
        <v>4180</v>
      </c>
      <c r="C507" t="s">
        <v>4181</v>
      </c>
      <c r="D507" t="s">
        <v>4182</v>
      </c>
      <c r="E507" t="s">
        <v>4183</v>
      </c>
      <c r="F507" t="s">
        <v>4184</v>
      </c>
      <c r="G507" t="s">
        <v>1941</v>
      </c>
      <c r="H507">
        <v>27264</v>
      </c>
      <c r="I507" t="s">
        <v>1951</v>
      </c>
    </row>
    <row r="508" spans="1:9" x14ac:dyDescent="0.25">
      <c r="A508" t="s">
        <v>998</v>
      </c>
      <c r="B508" t="s">
        <v>4185</v>
      </c>
      <c r="C508" t="s">
        <v>4186</v>
      </c>
      <c r="D508" t="s">
        <v>4187</v>
      </c>
      <c r="E508" t="s">
        <v>4188</v>
      </c>
      <c r="F508" t="s">
        <v>2448</v>
      </c>
      <c r="G508" t="s">
        <v>1941</v>
      </c>
      <c r="H508">
        <v>88546</v>
      </c>
      <c r="I508" t="s">
        <v>1942</v>
      </c>
    </row>
    <row r="509" spans="1:9" x14ac:dyDescent="0.25">
      <c r="A509" t="s">
        <v>1000</v>
      </c>
      <c r="B509" t="s">
        <v>4189</v>
      </c>
      <c r="C509" t="s">
        <v>4190</v>
      </c>
      <c r="D509" t="s">
        <v>4191</v>
      </c>
      <c r="E509" t="s">
        <v>4192</v>
      </c>
      <c r="F509" t="s">
        <v>4193</v>
      </c>
      <c r="G509" t="s">
        <v>1941</v>
      </c>
      <c r="H509">
        <v>44185</v>
      </c>
      <c r="I509" t="s">
        <v>1942</v>
      </c>
    </row>
    <row r="510" spans="1:9" x14ac:dyDescent="0.25">
      <c r="A510" t="s">
        <v>1002</v>
      </c>
      <c r="B510" t="s">
        <v>4194</v>
      </c>
      <c r="C510" t="s">
        <v>4195</v>
      </c>
      <c r="D510" t="s">
        <v>4196</v>
      </c>
      <c r="E510" t="s">
        <v>4197</v>
      </c>
      <c r="F510" t="s">
        <v>4198</v>
      </c>
      <c r="G510" t="s">
        <v>1949</v>
      </c>
      <c r="H510" t="s">
        <v>4199</v>
      </c>
      <c r="I510" t="s">
        <v>1951</v>
      </c>
    </row>
    <row r="511" spans="1:9" x14ac:dyDescent="0.25">
      <c r="A511" t="s">
        <v>988</v>
      </c>
      <c r="B511" t="s">
        <v>4200</v>
      </c>
      <c r="C511" t="s">
        <v>4201</v>
      </c>
      <c r="D511" t="s">
        <v>4202</v>
      </c>
      <c r="E511" t="s">
        <v>4203</v>
      </c>
      <c r="F511" t="s">
        <v>4204</v>
      </c>
      <c r="G511" t="s">
        <v>1949</v>
      </c>
      <c r="H511" t="s">
        <v>4205</v>
      </c>
      <c r="I511" t="s">
        <v>1942</v>
      </c>
    </row>
    <row r="512" spans="1:9" x14ac:dyDescent="0.25">
      <c r="A512" t="s">
        <v>1005</v>
      </c>
      <c r="B512" t="s">
        <v>4206</v>
      </c>
      <c r="C512" t="s">
        <v>4207</v>
      </c>
      <c r="D512" t="s">
        <v>4208</v>
      </c>
      <c r="E512" t="s">
        <v>4209</v>
      </c>
      <c r="F512" t="s">
        <v>3749</v>
      </c>
      <c r="G512" t="s">
        <v>1949</v>
      </c>
      <c r="H512" t="s">
        <v>3750</v>
      </c>
      <c r="I512" t="s">
        <v>1942</v>
      </c>
    </row>
    <row r="513" spans="1:9" x14ac:dyDescent="0.25">
      <c r="A513" t="s">
        <v>1007</v>
      </c>
      <c r="B513" t="s">
        <v>4210</v>
      </c>
      <c r="C513" t="s">
        <v>4211</v>
      </c>
      <c r="D513" t="s">
        <v>4212</v>
      </c>
      <c r="E513" t="s">
        <v>4213</v>
      </c>
      <c r="F513" t="s">
        <v>2172</v>
      </c>
      <c r="G513" t="s">
        <v>1941</v>
      </c>
      <c r="H513">
        <v>35244</v>
      </c>
      <c r="I513" t="s">
        <v>1942</v>
      </c>
    </row>
    <row r="514" spans="1:9" x14ac:dyDescent="0.25">
      <c r="A514" t="s">
        <v>1009</v>
      </c>
      <c r="B514" t="s">
        <v>4214</v>
      </c>
      <c r="C514" t="s">
        <v>4215</v>
      </c>
      <c r="D514" t="s">
        <v>4216</v>
      </c>
      <c r="E514" t="s">
        <v>4217</v>
      </c>
      <c r="F514" t="s">
        <v>4218</v>
      </c>
      <c r="G514" t="s">
        <v>1941</v>
      </c>
      <c r="H514">
        <v>56372</v>
      </c>
      <c r="I514" t="s">
        <v>1951</v>
      </c>
    </row>
    <row r="515" spans="1:9" x14ac:dyDescent="0.25">
      <c r="A515" t="s">
        <v>1011</v>
      </c>
      <c r="B515" t="s">
        <v>4219</v>
      </c>
      <c r="C515" t="s">
        <v>4220</v>
      </c>
      <c r="E515" t="s">
        <v>4221</v>
      </c>
      <c r="F515" t="s">
        <v>2017</v>
      </c>
      <c r="G515" t="s">
        <v>1941</v>
      </c>
      <c r="H515">
        <v>19191</v>
      </c>
      <c r="I515" t="s">
        <v>1951</v>
      </c>
    </row>
    <row r="516" spans="1:9" x14ac:dyDescent="0.25">
      <c r="A516" t="s">
        <v>1013</v>
      </c>
      <c r="B516" t="s">
        <v>4222</v>
      </c>
      <c r="C516" t="s">
        <v>4223</v>
      </c>
      <c r="D516" t="s">
        <v>4224</v>
      </c>
      <c r="E516" t="s">
        <v>4225</v>
      </c>
      <c r="F516" t="s">
        <v>2821</v>
      </c>
      <c r="G516" t="s">
        <v>1941</v>
      </c>
      <c r="H516">
        <v>48211</v>
      </c>
      <c r="I516" t="s">
        <v>1942</v>
      </c>
    </row>
    <row r="517" spans="1:9" x14ac:dyDescent="0.25">
      <c r="A517" t="s">
        <v>1015</v>
      </c>
      <c r="B517" t="s">
        <v>4226</v>
      </c>
      <c r="C517" t="s">
        <v>4227</v>
      </c>
      <c r="D517" t="s">
        <v>4228</v>
      </c>
      <c r="E517" t="s">
        <v>4229</v>
      </c>
      <c r="F517" t="s">
        <v>2013</v>
      </c>
      <c r="G517" t="s">
        <v>1941</v>
      </c>
      <c r="H517">
        <v>63180</v>
      </c>
      <c r="I517" t="s">
        <v>1951</v>
      </c>
    </row>
    <row r="518" spans="1:9" x14ac:dyDescent="0.25">
      <c r="A518" t="s">
        <v>1017</v>
      </c>
      <c r="B518" t="s">
        <v>4230</v>
      </c>
      <c r="D518" t="s">
        <v>4231</v>
      </c>
      <c r="E518" t="s">
        <v>4232</v>
      </c>
      <c r="F518" t="s">
        <v>4233</v>
      </c>
      <c r="G518" t="s">
        <v>1941</v>
      </c>
      <c r="H518">
        <v>12305</v>
      </c>
      <c r="I518" t="s">
        <v>1942</v>
      </c>
    </row>
    <row r="519" spans="1:9" x14ac:dyDescent="0.25">
      <c r="A519" t="s">
        <v>1019</v>
      </c>
      <c r="B519" t="s">
        <v>4234</v>
      </c>
      <c r="D519" t="s">
        <v>4235</v>
      </c>
      <c r="E519" t="s">
        <v>4236</v>
      </c>
      <c r="F519" t="s">
        <v>4237</v>
      </c>
      <c r="G519" t="s">
        <v>1941</v>
      </c>
      <c r="H519">
        <v>33805</v>
      </c>
      <c r="I519" t="s">
        <v>1951</v>
      </c>
    </row>
    <row r="520" spans="1:9" x14ac:dyDescent="0.25">
      <c r="A520" t="s">
        <v>1021</v>
      </c>
      <c r="B520" t="s">
        <v>4238</v>
      </c>
      <c r="C520" t="s">
        <v>4239</v>
      </c>
      <c r="D520" t="s">
        <v>4240</v>
      </c>
      <c r="E520" t="s">
        <v>4241</v>
      </c>
      <c r="F520" t="s">
        <v>4242</v>
      </c>
      <c r="G520" t="s">
        <v>1941</v>
      </c>
      <c r="H520">
        <v>32941</v>
      </c>
      <c r="I520" t="s">
        <v>1951</v>
      </c>
    </row>
    <row r="521" spans="1:9" x14ac:dyDescent="0.25">
      <c r="A521" t="s">
        <v>4243</v>
      </c>
      <c r="B521" t="s">
        <v>4244</v>
      </c>
      <c r="C521" t="s">
        <v>4245</v>
      </c>
      <c r="D521" t="s">
        <v>4246</v>
      </c>
      <c r="E521" t="s">
        <v>4247</v>
      </c>
      <c r="F521" t="s">
        <v>2027</v>
      </c>
      <c r="G521" t="s">
        <v>1941</v>
      </c>
      <c r="H521">
        <v>77075</v>
      </c>
      <c r="I521" t="s">
        <v>1951</v>
      </c>
    </row>
    <row r="522" spans="1:9" x14ac:dyDescent="0.25">
      <c r="A522" t="s">
        <v>1024</v>
      </c>
      <c r="B522" t="s">
        <v>4248</v>
      </c>
      <c r="C522" t="s">
        <v>4249</v>
      </c>
      <c r="D522" t="s">
        <v>4250</v>
      </c>
      <c r="E522" t="s">
        <v>4251</v>
      </c>
      <c r="F522" t="s">
        <v>2144</v>
      </c>
      <c r="G522" t="s">
        <v>1941</v>
      </c>
      <c r="H522">
        <v>70179</v>
      </c>
      <c r="I522" t="s">
        <v>1951</v>
      </c>
    </row>
    <row r="523" spans="1:9" x14ac:dyDescent="0.25">
      <c r="A523" t="s">
        <v>4252</v>
      </c>
      <c r="B523" t="s">
        <v>4253</v>
      </c>
      <c r="C523" t="s">
        <v>4254</v>
      </c>
      <c r="D523" t="s">
        <v>4255</v>
      </c>
      <c r="E523" t="s">
        <v>4256</v>
      </c>
      <c r="F523" t="s">
        <v>2362</v>
      </c>
      <c r="G523" t="s">
        <v>1941</v>
      </c>
      <c r="H523">
        <v>73142</v>
      </c>
      <c r="I523" t="s">
        <v>1951</v>
      </c>
    </row>
    <row r="524" spans="1:9" x14ac:dyDescent="0.25">
      <c r="A524" t="s">
        <v>1026</v>
      </c>
      <c r="B524" t="s">
        <v>4257</v>
      </c>
      <c r="C524" t="s">
        <v>4258</v>
      </c>
      <c r="D524" t="s">
        <v>4259</v>
      </c>
      <c r="E524" t="s">
        <v>4260</v>
      </c>
      <c r="F524" t="s">
        <v>3510</v>
      </c>
      <c r="G524" t="s">
        <v>1941</v>
      </c>
      <c r="H524">
        <v>66617</v>
      </c>
      <c r="I524" t="s">
        <v>1951</v>
      </c>
    </row>
    <row r="525" spans="1:9" x14ac:dyDescent="0.25">
      <c r="A525" t="s">
        <v>1028</v>
      </c>
      <c r="B525" t="s">
        <v>4261</v>
      </c>
      <c r="C525" t="s">
        <v>4262</v>
      </c>
      <c r="D525" t="s">
        <v>4263</v>
      </c>
      <c r="E525" t="s">
        <v>4264</v>
      </c>
      <c r="F525" t="s">
        <v>4265</v>
      </c>
      <c r="G525" t="s">
        <v>1949</v>
      </c>
      <c r="H525" t="s">
        <v>3618</v>
      </c>
      <c r="I525" t="s">
        <v>1951</v>
      </c>
    </row>
    <row r="526" spans="1:9" x14ac:dyDescent="0.25">
      <c r="A526" t="s">
        <v>1030</v>
      </c>
      <c r="B526" t="s">
        <v>4266</v>
      </c>
      <c r="D526" t="s">
        <v>4267</v>
      </c>
      <c r="E526" t="s">
        <v>4268</v>
      </c>
      <c r="F526" t="s">
        <v>1962</v>
      </c>
      <c r="G526" t="s">
        <v>1941</v>
      </c>
      <c r="H526">
        <v>62723</v>
      </c>
      <c r="I526" t="s">
        <v>1951</v>
      </c>
    </row>
    <row r="527" spans="1:9" x14ac:dyDescent="0.25">
      <c r="A527" t="s">
        <v>1032</v>
      </c>
      <c r="B527" t="s">
        <v>4269</v>
      </c>
      <c r="D527" t="s">
        <v>4270</v>
      </c>
      <c r="E527" t="s">
        <v>4271</v>
      </c>
      <c r="F527" t="s">
        <v>4272</v>
      </c>
      <c r="G527" t="s">
        <v>1941</v>
      </c>
      <c r="H527">
        <v>8104</v>
      </c>
      <c r="I527" t="s">
        <v>1942</v>
      </c>
    </row>
    <row r="528" spans="1:9" x14ac:dyDescent="0.25">
      <c r="A528" t="s">
        <v>1034</v>
      </c>
      <c r="B528" t="s">
        <v>4273</v>
      </c>
      <c r="C528" t="s">
        <v>4274</v>
      </c>
      <c r="D528" t="s">
        <v>4275</v>
      </c>
      <c r="E528" t="s">
        <v>4276</v>
      </c>
      <c r="F528" t="s">
        <v>3492</v>
      </c>
      <c r="G528" t="s">
        <v>1941</v>
      </c>
      <c r="H528">
        <v>98185</v>
      </c>
      <c r="I528" t="s">
        <v>1942</v>
      </c>
    </row>
    <row r="529" spans="1:9" x14ac:dyDescent="0.25">
      <c r="A529" t="s">
        <v>1036</v>
      </c>
      <c r="B529" t="s">
        <v>4277</v>
      </c>
      <c r="C529" t="s">
        <v>4278</v>
      </c>
      <c r="D529" t="s">
        <v>4279</v>
      </c>
      <c r="E529" t="s">
        <v>4280</v>
      </c>
      <c r="F529" t="s">
        <v>2242</v>
      </c>
      <c r="G529" t="s">
        <v>2116</v>
      </c>
      <c r="H529" t="s">
        <v>2243</v>
      </c>
      <c r="I529" t="s">
        <v>1951</v>
      </c>
    </row>
    <row r="530" spans="1:9" x14ac:dyDescent="0.25">
      <c r="A530" t="s">
        <v>1038</v>
      </c>
      <c r="B530" t="s">
        <v>4281</v>
      </c>
      <c r="C530" t="s">
        <v>4282</v>
      </c>
      <c r="D530" t="s">
        <v>4283</v>
      </c>
      <c r="E530" t="s">
        <v>4284</v>
      </c>
      <c r="F530" t="s">
        <v>4285</v>
      </c>
      <c r="G530" t="s">
        <v>1941</v>
      </c>
      <c r="H530">
        <v>76711</v>
      </c>
      <c r="I530" t="s">
        <v>1951</v>
      </c>
    </row>
    <row r="531" spans="1:9" x14ac:dyDescent="0.25">
      <c r="A531" t="s">
        <v>1040</v>
      </c>
      <c r="B531" t="s">
        <v>4286</v>
      </c>
      <c r="C531" t="s">
        <v>4287</v>
      </c>
      <c r="D531" t="s">
        <v>4288</v>
      </c>
      <c r="E531" t="s">
        <v>4289</v>
      </c>
      <c r="F531" t="s">
        <v>2004</v>
      </c>
      <c r="G531" t="s">
        <v>1941</v>
      </c>
      <c r="H531">
        <v>23242</v>
      </c>
      <c r="I531" t="s">
        <v>1951</v>
      </c>
    </row>
    <row r="532" spans="1:9" x14ac:dyDescent="0.25">
      <c r="A532" t="s">
        <v>1042</v>
      </c>
      <c r="B532" t="s">
        <v>4290</v>
      </c>
      <c r="C532" t="s">
        <v>4291</v>
      </c>
      <c r="D532" t="s">
        <v>4292</v>
      </c>
      <c r="E532" t="s">
        <v>4293</v>
      </c>
      <c r="F532" t="s">
        <v>2211</v>
      </c>
      <c r="G532" t="s">
        <v>1941</v>
      </c>
      <c r="H532">
        <v>43610</v>
      </c>
      <c r="I532" t="s">
        <v>1951</v>
      </c>
    </row>
    <row r="533" spans="1:9" x14ac:dyDescent="0.25">
      <c r="A533" t="s">
        <v>1044</v>
      </c>
      <c r="B533" t="s">
        <v>4294</v>
      </c>
      <c r="C533" t="s">
        <v>4295</v>
      </c>
      <c r="D533" t="s">
        <v>4296</v>
      </c>
      <c r="E533" t="s">
        <v>4297</v>
      </c>
      <c r="F533" t="s">
        <v>2481</v>
      </c>
      <c r="G533" t="s">
        <v>1941</v>
      </c>
      <c r="H533">
        <v>25705</v>
      </c>
      <c r="I533" t="s">
        <v>1951</v>
      </c>
    </row>
    <row r="534" spans="1:9" x14ac:dyDescent="0.25">
      <c r="A534" t="s">
        <v>1046</v>
      </c>
      <c r="B534" t="s">
        <v>4298</v>
      </c>
      <c r="C534" t="s">
        <v>4299</v>
      </c>
      <c r="D534" t="s">
        <v>4300</v>
      </c>
      <c r="E534" t="s">
        <v>4301</v>
      </c>
      <c r="F534" t="s">
        <v>4302</v>
      </c>
      <c r="G534" t="s">
        <v>1941</v>
      </c>
      <c r="H534">
        <v>33884</v>
      </c>
      <c r="I534" t="s">
        <v>1942</v>
      </c>
    </row>
    <row r="535" spans="1:9" x14ac:dyDescent="0.25">
      <c r="A535" t="s">
        <v>1048</v>
      </c>
      <c r="B535" t="s">
        <v>4303</v>
      </c>
      <c r="D535" t="s">
        <v>4304</v>
      </c>
      <c r="E535" t="s">
        <v>4305</v>
      </c>
      <c r="F535" t="s">
        <v>2325</v>
      </c>
      <c r="G535" t="s">
        <v>1941</v>
      </c>
      <c r="H535">
        <v>75323</v>
      </c>
      <c r="I535" t="s">
        <v>1951</v>
      </c>
    </row>
    <row r="536" spans="1:9" x14ac:dyDescent="0.25">
      <c r="A536" t="s">
        <v>1050</v>
      </c>
      <c r="B536" t="s">
        <v>4306</v>
      </c>
      <c r="C536" t="s">
        <v>4307</v>
      </c>
      <c r="D536" t="s">
        <v>4308</v>
      </c>
      <c r="E536" t="s">
        <v>4309</v>
      </c>
      <c r="F536" t="s">
        <v>2345</v>
      </c>
      <c r="G536" t="s">
        <v>1949</v>
      </c>
      <c r="H536" t="s">
        <v>2346</v>
      </c>
      <c r="I536" t="s">
        <v>1942</v>
      </c>
    </row>
    <row r="537" spans="1:9" x14ac:dyDescent="0.25">
      <c r="A537" t="s">
        <v>1052</v>
      </c>
      <c r="B537" t="s">
        <v>4310</v>
      </c>
      <c r="D537" t="s">
        <v>4311</v>
      </c>
      <c r="E537" t="s">
        <v>4312</v>
      </c>
      <c r="F537" t="s">
        <v>2600</v>
      </c>
      <c r="G537" t="s">
        <v>1949</v>
      </c>
      <c r="H537" t="s">
        <v>2545</v>
      </c>
      <c r="I537" t="s">
        <v>1951</v>
      </c>
    </row>
    <row r="538" spans="1:9" x14ac:dyDescent="0.25">
      <c r="A538" t="s">
        <v>4313</v>
      </c>
      <c r="B538" t="s">
        <v>4314</v>
      </c>
      <c r="C538" t="s">
        <v>4315</v>
      </c>
      <c r="D538" t="s">
        <v>4316</v>
      </c>
      <c r="E538" t="s">
        <v>4317</v>
      </c>
      <c r="F538" t="s">
        <v>2287</v>
      </c>
      <c r="G538" t="s">
        <v>1941</v>
      </c>
      <c r="H538">
        <v>43231</v>
      </c>
      <c r="I538" t="s">
        <v>1951</v>
      </c>
    </row>
    <row r="539" spans="1:9" x14ac:dyDescent="0.25">
      <c r="A539" t="s">
        <v>1055</v>
      </c>
      <c r="B539" t="s">
        <v>4318</v>
      </c>
      <c r="C539" t="s">
        <v>4319</v>
      </c>
      <c r="E539" t="s">
        <v>4320</v>
      </c>
      <c r="F539" t="s">
        <v>2555</v>
      </c>
      <c r="G539" t="s">
        <v>1941</v>
      </c>
      <c r="H539">
        <v>47747</v>
      </c>
      <c r="I539" t="s">
        <v>1942</v>
      </c>
    </row>
    <row r="540" spans="1:9" x14ac:dyDescent="0.25">
      <c r="A540" t="s">
        <v>1057</v>
      </c>
      <c r="B540" t="s">
        <v>4321</v>
      </c>
      <c r="C540" t="s">
        <v>4322</v>
      </c>
      <c r="E540" t="s">
        <v>4323</v>
      </c>
      <c r="F540" t="s">
        <v>4324</v>
      </c>
      <c r="G540" t="s">
        <v>1941</v>
      </c>
      <c r="H540">
        <v>60567</v>
      </c>
      <c r="I540" t="s">
        <v>1942</v>
      </c>
    </row>
    <row r="541" spans="1:9" x14ac:dyDescent="0.25">
      <c r="A541" t="s">
        <v>1059</v>
      </c>
      <c r="B541" t="s">
        <v>4325</v>
      </c>
      <c r="C541" t="s">
        <v>4326</v>
      </c>
      <c r="E541" t="s">
        <v>4327</v>
      </c>
      <c r="F541" t="s">
        <v>2122</v>
      </c>
      <c r="G541" t="s">
        <v>1941</v>
      </c>
      <c r="H541">
        <v>29424</v>
      </c>
      <c r="I541" t="s">
        <v>1951</v>
      </c>
    </row>
    <row r="542" spans="1:9" x14ac:dyDescent="0.25">
      <c r="A542" t="s">
        <v>1061</v>
      </c>
      <c r="B542" t="s">
        <v>4328</v>
      </c>
      <c r="C542" t="s">
        <v>4329</v>
      </c>
      <c r="D542" t="s">
        <v>4330</v>
      </c>
      <c r="E542" t="s">
        <v>4331</v>
      </c>
      <c r="F542" t="s">
        <v>2800</v>
      </c>
      <c r="G542" t="s">
        <v>1941</v>
      </c>
      <c r="H542">
        <v>48930</v>
      </c>
      <c r="I542" t="s">
        <v>1942</v>
      </c>
    </row>
    <row r="543" spans="1:9" x14ac:dyDescent="0.25">
      <c r="A543" t="s">
        <v>1063</v>
      </c>
      <c r="B543" t="s">
        <v>4332</v>
      </c>
      <c r="D543" t="s">
        <v>4333</v>
      </c>
      <c r="E543" t="s">
        <v>4334</v>
      </c>
      <c r="F543" t="s">
        <v>4335</v>
      </c>
      <c r="G543" t="s">
        <v>1949</v>
      </c>
      <c r="H543" t="s">
        <v>4199</v>
      </c>
      <c r="I543" t="s">
        <v>1942</v>
      </c>
    </row>
    <row r="544" spans="1:9" x14ac:dyDescent="0.25">
      <c r="A544" t="s">
        <v>1065</v>
      </c>
      <c r="B544" t="s">
        <v>4336</v>
      </c>
      <c r="C544" t="s">
        <v>4337</v>
      </c>
      <c r="D544" t="s">
        <v>4338</v>
      </c>
      <c r="E544" t="s">
        <v>4339</v>
      </c>
      <c r="F544" t="s">
        <v>3524</v>
      </c>
      <c r="G544" t="s">
        <v>1941</v>
      </c>
      <c r="H544">
        <v>71115</v>
      </c>
      <c r="I544" t="s">
        <v>1951</v>
      </c>
    </row>
    <row r="545" spans="1:9" x14ac:dyDescent="0.25">
      <c r="A545" t="s">
        <v>1067</v>
      </c>
      <c r="B545" t="s">
        <v>4340</v>
      </c>
      <c r="C545" t="s">
        <v>4341</v>
      </c>
      <c r="D545" t="s">
        <v>4342</v>
      </c>
      <c r="E545" t="s">
        <v>4343</v>
      </c>
      <c r="F545" t="s">
        <v>1995</v>
      </c>
      <c r="G545" t="s">
        <v>1941</v>
      </c>
      <c r="H545">
        <v>95194</v>
      </c>
      <c r="I545" t="s">
        <v>1951</v>
      </c>
    </row>
    <row r="546" spans="1:9" x14ac:dyDescent="0.25">
      <c r="A546" t="s">
        <v>1069</v>
      </c>
      <c r="B546" t="s">
        <v>4344</v>
      </c>
      <c r="C546" t="s">
        <v>4345</v>
      </c>
      <c r="D546" t="s">
        <v>4346</v>
      </c>
      <c r="E546" t="s">
        <v>4347</v>
      </c>
      <c r="F546" t="s">
        <v>2017</v>
      </c>
      <c r="G546" t="s">
        <v>1941</v>
      </c>
      <c r="H546">
        <v>19104</v>
      </c>
      <c r="I546" t="s">
        <v>1951</v>
      </c>
    </row>
    <row r="547" spans="1:9" x14ac:dyDescent="0.25">
      <c r="A547" t="s">
        <v>1071</v>
      </c>
      <c r="B547" t="s">
        <v>4348</v>
      </c>
      <c r="C547" t="s">
        <v>4349</v>
      </c>
      <c r="D547" t="s">
        <v>4350</v>
      </c>
      <c r="E547" t="s">
        <v>4351</v>
      </c>
      <c r="F547" t="s">
        <v>3134</v>
      </c>
      <c r="G547" t="s">
        <v>2116</v>
      </c>
      <c r="H547" t="s">
        <v>3135</v>
      </c>
      <c r="I547" t="s">
        <v>1951</v>
      </c>
    </row>
    <row r="548" spans="1:9" x14ac:dyDescent="0.25">
      <c r="A548" t="s">
        <v>1073</v>
      </c>
      <c r="B548" t="s">
        <v>4352</v>
      </c>
      <c r="D548" t="s">
        <v>4353</v>
      </c>
      <c r="E548" t="s">
        <v>4354</v>
      </c>
      <c r="F548" t="s">
        <v>4355</v>
      </c>
      <c r="G548" t="s">
        <v>1949</v>
      </c>
      <c r="H548" t="s">
        <v>4356</v>
      </c>
      <c r="I548" t="s">
        <v>1951</v>
      </c>
    </row>
    <row r="549" spans="1:9" x14ac:dyDescent="0.25">
      <c r="A549" t="s">
        <v>4357</v>
      </c>
      <c r="B549" t="s">
        <v>4358</v>
      </c>
      <c r="D549" t="s">
        <v>4359</v>
      </c>
      <c r="E549" t="s">
        <v>4360</v>
      </c>
      <c r="F549" t="s">
        <v>3316</v>
      </c>
      <c r="G549" t="s">
        <v>1941</v>
      </c>
      <c r="H549">
        <v>21229</v>
      </c>
      <c r="I549" t="s">
        <v>1942</v>
      </c>
    </row>
    <row r="550" spans="1:9" x14ac:dyDescent="0.25">
      <c r="A550" t="s">
        <v>1077</v>
      </c>
      <c r="B550" t="s">
        <v>4361</v>
      </c>
      <c r="C550" t="s">
        <v>4362</v>
      </c>
      <c r="D550" t="s">
        <v>4363</v>
      </c>
      <c r="E550" t="s">
        <v>4364</v>
      </c>
      <c r="F550" t="s">
        <v>2362</v>
      </c>
      <c r="G550" t="s">
        <v>1941</v>
      </c>
      <c r="H550">
        <v>73119</v>
      </c>
      <c r="I550" t="s">
        <v>1942</v>
      </c>
    </row>
    <row r="551" spans="1:9" x14ac:dyDescent="0.25">
      <c r="A551" t="s">
        <v>1075</v>
      </c>
      <c r="B551" t="s">
        <v>4365</v>
      </c>
      <c r="C551" t="s">
        <v>4366</v>
      </c>
      <c r="D551" t="s">
        <v>4367</v>
      </c>
      <c r="E551" t="s">
        <v>4368</v>
      </c>
      <c r="F551" t="s">
        <v>2037</v>
      </c>
      <c r="G551" t="s">
        <v>1941</v>
      </c>
      <c r="H551">
        <v>10060</v>
      </c>
      <c r="I551" t="s">
        <v>1942</v>
      </c>
    </row>
    <row r="552" spans="1:9" x14ac:dyDescent="0.25">
      <c r="A552" t="s">
        <v>1080</v>
      </c>
      <c r="B552" t="s">
        <v>4369</v>
      </c>
      <c r="C552" t="s">
        <v>4370</v>
      </c>
      <c r="D552" t="s">
        <v>4371</v>
      </c>
      <c r="E552" t="s">
        <v>4372</v>
      </c>
      <c r="F552" t="s">
        <v>2256</v>
      </c>
      <c r="G552" t="s">
        <v>1941</v>
      </c>
      <c r="H552">
        <v>7112</v>
      </c>
      <c r="I552" t="s">
        <v>1942</v>
      </c>
    </row>
    <row r="553" spans="1:9" x14ac:dyDescent="0.25">
      <c r="A553" t="s">
        <v>1082</v>
      </c>
      <c r="B553" t="s">
        <v>4373</v>
      </c>
      <c r="C553" t="s">
        <v>4374</v>
      </c>
      <c r="D553" t="s">
        <v>4375</v>
      </c>
      <c r="E553" t="s">
        <v>4376</v>
      </c>
      <c r="F553" t="s">
        <v>3677</v>
      </c>
      <c r="G553" t="s">
        <v>1941</v>
      </c>
      <c r="H553">
        <v>6510</v>
      </c>
      <c r="I553" t="s">
        <v>1951</v>
      </c>
    </row>
    <row r="554" spans="1:9" x14ac:dyDescent="0.25">
      <c r="A554" t="s">
        <v>1084</v>
      </c>
      <c r="B554" t="s">
        <v>4377</v>
      </c>
      <c r="C554" t="s">
        <v>4378</v>
      </c>
      <c r="D554" t="s">
        <v>4379</v>
      </c>
      <c r="E554" t="s">
        <v>4380</v>
      </c>
      <c r="F554" t="s">
        <v>3365</v>
      </c>
      <c r="G554" t="s">
        <v>2116</v>
      </c>
      <c r="H554" t="s">
        <v>3366</v>
      </c>
      <c r="I554" t="s">
        <v>1942</v>
      </c>
    </row>
    <row r="555" spans="1:9" x14ac:dyDescent="0.25">
      <c r="A555" t="s">
        <v>1086</v>
      </c>
      <c r="B555" t="s">
        <v>4381</v>
      </c>
      <c r="C555" t="s">
        <v>4382</v>
      </c>
      <c r="E555" t="s">
        <v>4383</v>
      </c>
      <c r="F555" t="s">
        <v>2211</v>
      </c>
      <c r="G555" t="s">
        <v>1941</v>
      </c>
      <c r="H555">
        <v>43610</v>
      </c>
      <c r="I555" t="s">
        <v>1951</v>
      </c>
    </row>
    <row r="556" spans="1:9" x14ac:dyDescent="0.25">
      <c r="A556" t="s">
        <v>1088</v>
      </c>
      <c r="B556" t="s">
        <v>4384</v>
      </c>
      <c r="D556" t="s">
        <v>4385</v>
      </c>
      <c r="E556" t="s">
        <v>4386</v>
      </c>
      <c r="F556" t="s">
        <v>3164</v>
      </c>
      <c r="G556" t="s">
        <v>2116</v>
      </c>
      <c r="H556" t="s">
        <v>4387</v>
      </c>
      <c r="I556" t="s">
        <v>1942</v>
      </c>
    </row>
    <row r="557" spans="1:9" x14ac:dyDescent="0.25">
      <c r="A557" t="s">
        <v>1090</v>
      </c>
      <c r="B557" t="s">
        <v>4388</v>
      </c>
      <c r="C557" t="s">
        <v>4389</v>
      </c>
      <c r="D557" t="s">
        <v>4390</v>
      </c>
      <c r="E557" t="s">
        <v>4391</v>
      </c>
      <c r="F557" t="s">
        <v>4392</v>
      </c>
      <c r="G557" t="s">
        <v>1949</v>
      </c>
      <c r="H557" t="s">
        <v>4393</v>
      </c>
      <c r="I557" t="s">
        <v>1951</v>
      </c>
    </row>
    <row r="558" spans="1:9" x14ac:dyDescent="0.25">
      <c r="A558" t="s">
        <v>1092</v>
      </c>
      <c r="B558" t="s">
        <v>4394</v>
      </c>
      <c r="C558" t="s">
        <v>4395</v>
      </c>
      <c r="E558" t="s">
        <v>4396</v>
      </c>
      <c r="F558" t="s">
        <v>3524</v>
      </c>
      <c r="G558" t="s">
        <v>1941</v>
      </c>
      <c r="H558">
        <v>71161</v>
      </c>
      <c r="I558" t="s">
        <v>1942</v>
      </c>
    </row>
    <row r="559" spans="1:9" x14ac:dyDescent="0.25">
      <c r="A559" t="s">
        <v>4397</v>
      </c>
      <c r="B559" t="s">
        <v>4398</v>
      </c>
      <c r="D559" t="s">
        <v>4399</v>
      </c>
      <c r="E559" t="s">
        <v>4400</v>
      </c>
      <c r="F559" t="s">
        <v>4401</v>
      </c>
      <c r="G559" t="s">
        <v>1941</v>
      </c>
      <c r="H559">
        <v>32835</v>
      </c>
      <c r="I559" t="s">
        <v>1951</v>
      </c>
    </row>
    <row r="560" spans="1:9" x14ac:dyDescent="0.25">
      <c r="A560" t="s">
        <v>1095</v>
      </c>
      <c r="B560" t="s">
        <v>4402</v>
      </c>
      <c r="D560" t="s">
        <v>4403</v>
      </c>
      <c r="E560" t="s">
        <v>4404</v>
      </c>
      <c r="F560" t="s">
        <v>3320</v>
      </c>
      <c r="G560" t="s">
        <v>1941</v>
      </c>
      <c r="H560">
        <v>40515</v>
      </c>
      <c r="I560" t="s">
        <v>1942</v>
      </c>
    </row>
    <row r="561" spans="1:9" x14ac:dyDescent="0.25">
      <c r="A561" t="s">
        <v>1097</v>
      </c>
      <c r="B561" t="s">
        <v>4405</v>
      </c>
      <c r="C561" t="s">
        <v>4406</v>
      </c>
      <c r="D561" t="s">
        <v>4407</v>
      </c>
      <c r="E561" t="s">
        <v>4408</v>
      </c>
      <c r="F561" t="s">
        <v>3121</v>
      </c>
      <c r="G561" t="s">
        <v>1941</v>
      </c>
      <c r="H561">
        <v>53263</v>
      </c>
      <c r="I561" t="s">
        <v>1942</v>
      </c>
    </row>
    <row r="562" spans="1:9" x14ac:dyDescent="0.25">
      <c r="A562" t="s">
        <v>1099</v>
      </c>
      <c r="B562" t="s">
        <v>4409</v>
      </c>
      <c r="D562" t="s">
        <v>4410</v>
      </c>
      <c r="E562" t="s">
        <v>4411</v>
      </c>
      <c r="F562" t="s">
        <v>4412</v>
      </c>
      <c r="G562" t="s">
        <v>1941</v>
      </c>
      <c r="H562">
        <v>79176</v>
      </c>
      <c r="I562" t="s">
        <v>1942</v>
      </c>
    </row>
    <row r="563" spans="1:9" x14ac:dyDescent="0.25">
      <c r="A563" t="s">
        <v>1101</v>
      </c>
      <c r="B563" t="s">
        <v>4413</v>
      </c>
      <c r="D563" t="s">
        <v>4414</v>
      </c>
      <c r="E563" t="s">
        <v>4415</v>
      </c>
      <c r="F563" t="s">
        <v>4416</v>
      </c>
      <c r="G563" t="s">
        <v>1949</v>
      </c>
      <c r="H563" t="s">
        <v>4417</v>
      </c>
      <c r="I563" t="s">
        <v>1942</v>
      </c>
    </row>
    <row r="564" spans="1:9" x14ac:dyDescent="0.25">
      <c r="A564" t="s">
        <v>1103</v>
      </c>
      <c r="B564" t="s">
        <v>4418</v>
      </c>
      <c r="C564" t="s">
        <v>4419</v>
      </c>
      <c r="D564" t="s">
        <v>4420</v>
      </c>
      <c r="E564" t="s">
        <v>4421</v>
      </c>
      <c r="F564" t="s">
        <v>4422</v>
      </c>
      <c r="G564" t="s">
        <v>2116</v>
      </c>
      <c r="H564" t="s">
        <v>4423</v>
      </c>
      <c r="I564" t="s">
        <v>1951</v>
      </c>
    </row>
    <row r="565" spans="1:9" x14ac:dyDescent="0.25">
      <c r="A565" t="s">
        <v>4424</v>
      </c>
      <c r="B565" t="s">
        <v>4425</v>
      </c>
      <c r="C565" t="s">
        <v>4426</v>
      </c>
      <c r="D565" t="s">
        <v>4427</v>
      </c>
      <c r="E565" t="s">
        <v>4428</v>
      </c>
      <c r="F565" t="s">
        <v>3049</v>
      </c>
      <c r="G565" t="s">
        <v>1941</v>
      </c>
      <c r="H565">
        <v>30323</v>
      </c>
      <c r="I565" t="s">
        <v>1951</v>
      </c>
    </row>
    <row r="566" spans="1:9" x14ac:dyDescent="0.25">
      <c r="A566" t="s">
        <v>1107</v>
      </c>
      <c r="B566" t="s">
        <v>4429</v>
      </c>
      <c r="C566" t="s">
        <v>4430</v>
      </c>
      <c r="D566" t="s">
        <v>4431</v>
      </c>
      <c r="E566" t="s">
        <v>4432</v>
      </c>
      <c r="F566" t="s">
        <v>3412</v>
      </c>
      <c r="G566" t="s">
        <v>1941</v>
      </c>
      <c r="H566">
        <v>37924</v>
      </c>
      <c r="I566" t="s">
        <v>1951</v>
      </c>
    </row>
    <row r="567" spans="1:9" x14ac:dyDescent="0.25">
      <c r="A567" t="s">
        <v>1109</v>
      </c>
      <c r="B567" t="s">
        <v>4433</v>
      </c>
      <c r="C567" t="s">
        <v>4434</v>
      </c>
      <c r="D567" t="s">
        <v>4435</v>
      </c>
      <c r="E567" t="s">
        <v>4436</v>
      </c>
      <c r="F567" t="s">
        <v>2988</v>
      </c>
      <c r="G567" t="s">
        <v>1941</v>
      </c>
      <c r="H567">
        <v>66225</v>
      </c>
      <c r="I567" t="s">
        <v>1951</v>
      </c>
    </row>
    <row r="568" spans="1:9" x14ac:dyDescent="0.25">
      <c r="A568" t="s">
        <v>1111</v>
      </c>
      <c r="B568" t="s">
        <v>4437</v>
      </c>
      <c r="C568" t="s">
        <v>4438</v>
      </c>
      <c r="D568" t="s">
        <v>4439</v>
      </c>
      <c r="E568" t="s">
        <v>4440</v>
      </c>
      <c r="F568" t="s">
        <v>2191</v>
      </c>
      <c r="G568" t="s">
        <v>1941</v>
      </c>
      <c r="H568">
        <v>33330</v>
      </c>
      <c r="I568" t="s">
        <v>1942</v>
      </c>
    </row>
    <row r="569" spans="1:9" x14ac:dyDescent="0.25">
      <c r="A569" t="s">
        <v>1113</v>
      </c>
      <c r="B569" t="s">
        <v>4441</v>
      </c>
      <c r="D569" t="s">
        <v>4442</v>
      </c>
      <c r="E569" t="s">
        <v>4443</v>
      </c>
      <c r="F569" t="s">
        <v>2076</v>
      </c>
      <c r="G569" t="s">
        <v>1949</v>
      </c>
      <c r="H569" t="s">
        <v>2077</v>
      </c>
      <c r="I569" t="s">
        <v>1951</v>
      </c>
    </row>
    <row r="570" spans="1:9" x14ac:dyDescent="0.25">
      <c r="A570" t="s">
        <v>1115</v>
      </c>
      <c r="B570" t="s">
        <v>4444</v>
      </c>
      <c r="C570" t="s">
        <v>4445</v>
      </c>
      <c r="D570" t="s">
        <v>4446</v>
      </c>
      <c r="E570" t="s">
        <v>4447</v>
      </c>
      <c r="F570" t="s">
        <v>2387</v>
      </c>
      <c r="G570" t="s">
        <v>1941</v>
      </c>
      <c r="H570">
        <v>78715</v>
      </c>
      <c r="I570" t="s">
        <v>1942</v>
      </c>
    </row>
    <row r="571" spans="1:9" x14ac:dyDescent="0.25">
      <c r="A571" t="s">
        <v>4448</v>
      </c>
      <c r="B571" t="s">
        <v>4449</v>
      </c>
      <c r="C571" t="s">
        <v>4450</v>
      </c>
      <c r="D571" t="s">
        <v>4451</v>
      </c>
      <c r="E571" t="s">
        <v>4452</v>
      </c>
      <c r="F571" t="s">
        <v>4193</v>
      </c>
      <c r="G571" t="s">
        <v>1941</v>
      </c>
      <c r="H571">
        <v>44105</v>
      </c>
      <c r="I571" t="s">
        <v>1951</v>
      </c>
    </row>
    <row r="572" spans="1:9" x14ac:dyDescent="0.25">
      <c r="A572" t="s">
        <v>1118</v>
      </c>
      <c r="B572" t="s">
        <v>4453</v>
      </c>
      <c r="C572" t="s">
        <v>4454</v>
      </c>
      <c r="D572" t="s">
        <v>4455</v>
      </c>
      <c r="E572" t="s">
        <v>4456</v>
      </c>
      <c r="F572" t="s">
        <v>4457</v>
      </c>
      <c r="G572" t="s">
        <v>1941</v>
      </c>
      <c r="H572">
        <v>20784</v>
      </c>
      <c r="I572" t="s">
        <v>1951</v>
      </c>
    </row>
    <row r="573" spans="1:9" x14ac:dyDescent="0.25">
      <c r="A573" t="s">
        <v>1120</v>
      </c>
      <c r="B573" t="s">
        <v>4458</v>
      </c>
      <c r="C573" t="s">
        <v>4459</v>
      </c>
      <c r="D573" t="s">
        <v>4460</v>
      </c>
      <c r="E573" t="s">
        <v>4461</v>
      </c>
      <c r="F573" t="s">
        <v>4462</v>
      </c>
      <c r="G573" t="s">
        <v>2116</v>
      </c>
      <c r="H573" t="s">
        <v>4463</v>
      </c>
      <c r="I573" t="s">
        <v>1951</v>
      </c>
    </row>
    <row r="574" spans="1:9" x14ac:dyDescent="0.25">
      <c r="A574" t="s">
        <v>1122</v>
      </c>
      <c r="B574" t="s">
        <v>4464</v>
      </c>
      <c r="E574" t="s">
        <v>4465</v>
      </c>
      <c r="F574" t="s">
        <v>2947</v>
      </c>
      <c r="G574" t="s">
        <v>1941</v>
      </c>
      <c r="H574">
        <v>91103</v>
      </c>
      <c r="I574" t="s">
        <v>1942</v>
      </c>
    </row>
    <row r="575" spans="1:9" x14ac:dyDescent="0.25">
      <c r="A575" t="s">
        <v>1124</v>
      </c>
      <c r="B575" t="s">
        <v>4466</v>
      </c>
      <c r="C575" t="s">
        <v>4467</v>
      </c>
      <c r="D575" t="s">
        <v>4468</v>
      </c>
      <c r="E575" t="s">
        <v>4469</v>
      </c>
      <c r="F575" t="s">
        <v>3524</v>
      </c>
      <c r="G575" t="s">
        <v>1941</v>
      </c>
      <c r="H575">
        <v>71161</v>
      </c>
      <c r="I575" t="s">
        <v>1951</v>
      </c>
    </row>
    <row r="576" spans="1:9" x14ac:dyDescent="0.25">
      <c r="A576" t="s">
        <v>1126</v>
      </c>
      <c r="B576" t="s">
        <v>4470</v>
      </c>
      <c r="C576" t="s">
        <v>4471</v>
      </c>
      <c r="E576" t="s">
        <v>4472</v>
      </c>
      <c r="F576" t="s">
        <v>2225</v>
      </c>
      <c r="G576" t="s">
        <v>1941</v>
      </c>
      <c r="H576">
        <v>32590</v>
      </c>
      <c r="I576" t="s">
        <v>1942</v>
      </c>
    </row>
    <row r="577" spans="1:9" x14ac:dyDescent="0.25">
      <c r="A577" t="s">
        <v>1128</v>
      </c>
      <c r="B577" t="s">
        <v>4473</v>
      </c>
      <c r="C577" t="s">
        <v>4474</v>
      </c>
      <c r="D577" t="s">
        <v>4475</v>
      </c>
      <c r="E577" t="s">
        <v>4476</v>
      </c>
      <c r="F577" t="s">
        <v>1986</v>
      </c>
      <c r="G577" t="s">
        <v>1941</v>
      </c>
      <c r="H577">
        <v>90035</v>
      </c>
      <c r="I577" t="s">
        <v>1951</v>
      </c>
    </row>
    <row r="578" spans="1:9" x14ac:dyDescent="0.25">
      <c r="A578" t="s">
        <v>1130</v>
      </c>
      <c r="B578" t="s">
        <v>4477</v>
      </c>
      <c r="C578" t="s">
        <v>4478</v>
      </c>
      <c r="D578" t="s">
        <v>4479</v>
      </c>
      <c r="E578" t="s">
        <v>4480</v>
      </c>
      <c r="F578" t="s">
        <v>4481</v>
      </c>
      <c r="G578" t="s">
        <v>1941</v>
      </c>
      <c r="H578">
        <v>27705</v>
      </c>
      <c r="I578" t="s">
        <v>1951</v>
      </c>
    </row>
    <row r="579" spans="1:9" x14ac:dyDescent="0.25">
      <c r="A579" t="s">
        <v>1105</v>
      </c>
      <c r="B579" t="s">
        <v>4482</v>
      </c>
      <c r="C579" t="s">
        <v>4483</v>
      </c>
      <c r="E579" t="s">
        <v>4484</v>
      </c>
      <c r="F579" t="s">
        <v>4485</v>
      </c>
      <c r="G579" t="s">
        <v>2116</v>
      </c>
      <c r="H579" t="s">
        <v>4486</v>
      </c>
      <c r="I579" t="s">
        <v>1951</v>
      </c>
    </row>
    <row r="580" spans="1:9" x14ac:dyDescent="0.25">
      <c r="A580" t="s">
        <v>1133</v>
      </c>
      <c r="B580" t="s">
        <v>4487</v>
      </c>
      <c r="C580" t="s">
        <v>4488</v>
      </c>
      <c r="D580" t="s">
        <v>4489</v>
      </c>
      <c r="E580" t="s">
        <v>4490</v>
      </c>
      <c r="F580" t="s">
        <v>4491</v>
      </c>
      <c r="G580" t="s">
        <v>1949</v>
      </c>
      <c r="H580" t="s">
        <v>4492</v>
      </c>
      <c r="I580" t="s">
        <v>1951</v>
      </c>
    </row>
    <row r="581" spans="1:9" x14ac:dyDescent="0.25">
      <c r="A581" t="s">
        <v>4493</v>
      </c>
      <c r="B581" t="s">
        <v>4494</v>
      </c>
      <c r="C581" t="s">
        <v>4495</v>
      </c>
      <c r="D581" t="s">
        <v>4496</v>
      </c>
      <c r="E581" t="s">
        <v>4497</v>
      </c>
      <c r="F581" t="s">
        <v>4416</v>
      </c>
      <c r="G581" t="s">
        <v>1949</v>
      </c>
      <c r="H581" t="s">
        <v>4417</v>
      </c>
      <c r="I581" t="s">
        <v>1951</v>
      </c>
    </row>
    <row r="582" spans="1:9" x14ac:dyDescent="0.25">
      <c r="A582" t="s">
        <v>1135</v>
      </c>
      <c r="B582" t="s">
        <v>4498</v>
      </c>
      <c r="C582" t="s">
        <v>4499</v>
      </c>
      <c r="D582" t="s">
        <v>4500</v>
      </c>
      <c r="E582" t="s">
        <v>4501</v>
      </c>
      <c r="F582" t="s">
        <v>2758</v>
      </c>
      <c r="G582" t="s">
        <v>1941</v>
      </c>
      <c r="H582">
        <v>90605</v>
      </c>
      <c r="I582" t="s">
        <v>1942</v>
      </c>
    </row>
    <row r="583" spans="1:9" x14ac:dyDescent="0.25">
      <c r="A583" t="s">
        <v>1137</v>
      </c>
      <c r="B583" t="s">
        <v>4502</v>
      </c>
      <c r="C583" t="s">
        <v>4503</v>
      </c>
      <c r="E583" t="s">
        <v>4504</v>
      </c>
      <c r="F583" t="s">
        <v>2172</v>
      </c>
      <c r="G583" t="s">
        <v>2116</v>
      </c>
      <c r="H583" t="s">
        <v>2486</v>
      </c>
      <c r="I583" t="s">
        <v>1942</v>
      </c>
    </row>
    <row r="584" spans="1:9" x14ac:dyDescent="0.25">
      <c r="A584" t="s">
        <v>1139</v>
      </c>
      <c r="B584" t="s">
        <v>4505</v>
      </c>
      <c r="C584" t="s">
        <v>4506</v>
      </c>
      <c r="D584" t="s">
        <v>4507</v>
      </c>
      <c r="E584" t="s">
        <v>4508</v>
      </c>
      <c r="F584" t="s">
        <v>2004</v>
      </c>
      <c r="G584" t="s">
        <v>1941</v>
      </c>
      <c r="H584">
        <v>23237</v>
      </c>
      <c r="I584" t="s">
        <v>1951</v>
      </c>
    </row>
    <row r="585" spans="1:9" x14ac:dyDescent="0.25">
      <c r="A585" t="s">
        <v>1141</v>
      </c>
      <c r="B585" t="s">
        <v>4509</v>
      </c>
      <c r="C585" t="s">
        <v>4510</v>
      </c>
      <c r="D585" t="s">
        <v>4511</v>
      </c>
      <c r="E585" t="s">
        <v>4512</v>
      </c>
      <c r="F585" t="s">
        <v>4074</v>
      </c>
      <c r="G585" t="s">
        <v>1941</v>
      </c>
      <c r="H585">
        <v>20167</v>
      </c>
      <c r="I585" t="s">
        <v>1942</v>
      </c>
    </row>
    <row r="586" spans="1:9" x14ac:dyDescent="0.25">
      <c r="A586" t="s">
        <v>1143</v>
      </c>
      <c r="B586" t="s">
        <v>4513</v>
      </c>
      <c r="C586" t="s">
        <v>4514</v>
      </c>
      <c r="D586" t="s">
        <v>4515</v>
      </c>
      <c r="E586" t="s">
        <v>4516</v>
      </c>
      <c r="F586" t="s">
        <v>2625</v>
      </c>
      <c r="G586" t="s">
        <v>1941</v>
      </c>
      <c r="H586">
        <v>89706</v>
      </c>
      <c r="I586" t="s">
        <v>1951</v>
      </c>
    </row>
    <row r="587" spans="1:9" x14ac:dyDescent="0.25">
      <c r="A587" t="s">
        <v>4517</v>
      </c>
      <c r="B587" t="s">
        <v>4518</v>
      </c>
      <c r="C587" t="s">
        <v>4519</v>
      </c>
      <c r="D587" t="s">
        <v>4520</v>
      </c>
      <c r="E587" t="s">
        <v>4521</v>
      </c>
      <c r="F587" t="s">
        <v>2673</v>
      </c>
      <c r="G587" t="s">
        <v>1949</v>
      </c>
      <c r="H587" t="s">
        <v>2674</v>
      </c>
      <c r="I587" t="s">
        <v>1942</v>
      </c>
    </row>
    <row r="588" spans="1:9" x14ac:dyDescent="0.25">
      <c r="A588" t="s">
        <v>1147</v>
      </c>
      <c r="B588" t="s">
        <v>4522</v>
      </c>
      <c r="D588" t="s">
        <v>4523</v>
      </c>
      <c r="E588" t="s">
        <v>4524</v>
      </c>
      <c r="F588" t="s">
        <v>2233</v>
      </c>
      <c r="G588" t="s">
        <v>1941</v>
      </c>
      <c r="H588">
        <v>55123</v>
      </c>
      <c r="I588" t="s">
        <v>1951</v>
      </c>
    </row>
    <row r="589" spans="1:9" x14ac:dyDescent="0.25">
      <c r="A589" t="s">
        <v>1149</v>
      </c>
      <c r="B589" t="s">
        <v>4525</v>
      </c>
      <c r="C589" t="s">
        <v>4526</v>
      </c>
      <c r="E589" t="s">
        <v>4527</v>
      </c>
      <c r="F589" t="s">
        <v>2567</v>
      </c>
      <c r="G589" t="s">
        <v>1941</v>
      </c>
      <c r="H589">
        <v>35895</v>
      </c>
      <c r="I589" t="s">
        <v>1942</v>
      </c>
    </row>
    <row r="590" spans="1:9" x14ac:dyDescent="0.25">
      <c r="A590" t="s">
        <v>1151</v>
      </c>
      <c r="B590" t="s">
        <v>4528</v>
      </c>
      <c r="C590" t="s">
        <v>4529</v>
      </c>
      <c r="D590" t="s">
        <v>4530</v>
      </c>
      <c r="E590" t="s">
        <v>4531</v>
      </c>
      <c r="F590" t="s">
        <v>2448</v>
      </c>
      <c r="G590" t="s">
        <v>1941</v>
      </c>
      <c r="H590">
        <v>88553</v>
      </c>
      <c r="I590" t="s">
        <v>1942</v>
      </c>
    </row>
    <row r="591" spans="1:9" x14ac:dyDescent="0.25">
      <c r="A591" t="s">
        <v>1153</v>
      </c>
      <c r="B591" t="s">
        <v>4532</v>
      </c>
      <c r="C591" t="s">
        <v>4533</v>
      </c>
      <c r="E591" t="s">
        <v>4534</v>
      </c>
      <c r="F591" t="s">
        <v>4535</v>
      </c>
      <c r="G591" t="s">
        <v>1941</v>
      </c>
      <c r="H591">
        <v>30033</v>
      </c>
      <c r="I591" t="s">
        <v>1951</v>
      </c>
    </row>
    <row r="592" spans="1:9" x14ac:dyDescent="0.25">
      <c r="A592" t="s">
        <v>1155</v>
      </c>
      <c r="B592" t="s">
        <v>4536</v>
      </c>
      <c r="C592" t="s">
        <v>4537</v>
      </c>
      <c r="D592" t="s">
        <v>4538</v>
      </c>
      <c r="E592" t="s">
        <v>4539</v>
      </c>
      <c r="F592" t="s">
        <v>2616</v>
      </c>
      <c r="G592" t="s">
        <v>1941</v>
      </c>
      <c r="H592">
        <v>92668</v>
      </c>
      <c r="I592" t="s">
        <v>1942</v>
      </c>
    </row>
    <row r="593" spans="1:9" x14ac:dyDescent="0.25">
      <c r="A593" t="s">
        <v>1157</v>
      </c>
      <c r="B593" t="s">
        <v>4540</v>
      </c>
      <c r="C593" t="s">
        <v>4541</v>
      </c>
      <c r="E593" t="s">
        <v>4542</v>
      </c>
      <c r="F593" t="s">
        <v>4543</v>
      </c>
      <c r="G593" t="s">
        <v>1941</v>
      </c>
      <c r="H593">
        <v>92648</v>
      </c>
      <c r="I593" t="s">
        <v>1942</v>
      </c>
    </row>
    <row r="594" spans="1:9" x14ac:dyDescent="0.25">
      <c r="A594" t="s">
        <v>1159</v>
      </c>
      <c r="B594" t="s">
        <v>4544</v>
      </c>
      <c r="D594" t="s">
        <v>4545</v>
      </c>
      <c r="E594" t="s">
        <v>4546</v>
      </c>
      <c r="F594" t="s">
        <v>3121</v>
      </c>
      <c r="G594" t="s">
        <v>1941</v>
      </c>
      <c r="H594">
        <v>53285</v>
      </c>
      <c r="I594" t="s">
        <v>1951</v>
      </c>
    </row>
    <row r="595" spans="1:9" x14ac:dyDescent="0.25">
      <c r="A595" t="s">
        <v>1145</v>
      </c>
      <c r="B595" t="s">
        <v>4547</v>
      </c>
      <c r="C595" t="s">
        <v>4548</v>
      </c>
      <c r="E595" t="s">
        <v>4549</v>
      </c>
      <c r="F595" t="s">
        <v>2115</v>
      </c>
      <c r="G595" t="s">
        <v>2116</v>
      </c>
      <c r="H595" t="s">
        <v>2117</v>
      </c>
      <c r="I595" t="s">
        <v>1942</v>
      </c>
    </row>
    <row r="596" spans="1:9" x14ac:dyDescent="0.25">
      <c r="A596" t="s">
        <v>1162</v>
      </c>
      <c r="B596" t="s">
        <v>4550</v>
      </c>
      <c r="C596" t="s">
        <v>4551</v>
      </c>
      <c r="D596" t="s">
        <v>4552</v>
      </c>
      <c r="E596" t="s">
        <v>4553</v>
      </c>
      <c r="F596" t="s">
        <v>2678</v>
      </c>
      <c r="G596" t="s">
        <v>1941</v>
      </c>
      <c r="H596">
        <v>37416</v>
      </c>
      <c r="I596" t="s">
        <v>1951</v>
      </c>
    </row>
    <row r="597" spans="1:9" x14ac:dyDescent="0.25">
      <c r="A597" t="s">
        <v>1164</v>
      </c>
      <c r="B597" t="s">
        <v>4554</v>
      </c>
      <c r="E597" t="s">
        <v>4555</v>
      </c>
      <c r="F597" t="s">
        <v>4556</v>
      </c>
      <c r="G597" t="s">
        <v>2116</v>
      </c>
      <c r="H597" t="s">
        <v>4557</v>
      </c>
      <c r="I597" t="s">
        <v>1951</v>
      </c>
    </row>
    <row r="598" spans="1:9" x14ac:dyDescent="0.25">
      <c r="A598" t="s">
        <v>1166</v>
      </c>
      <c r="B598" t="s">
        <v>4558</v>
      </c>
      <c r="C598" t="s">
        <v>4559</v>
      </c>
      <c r="D598" t="s">
        <v>4560</v>
      </c>
      <c r="E598" t="s">
        <v>4561</v>
      </c>
      <c r="F598" t="s">
        <v>2287</v>
      </c>
      <c r="G598" t="s">
        <v>1941</v>
      </c>
      <c r="H598">
        <v>43268</v>
      </c>
      <c r="I598" t="s">
        <v>1951</v>
      </c>
    </row>
    <row r="599" spans="1:9" x14ac:dyDescent="0.25">
      <c r="A599" t="s">
        <v>1168</v>
      </c>
      <c r="B599" t="s">
        <v>4562</v>
      </c>
      <c r="C599" t="s">
        <v>4563</v>
      </c>
      <c r="D599" t="s">
        <v>4564</v>
      </c>
      <c r="E599" t="s">
        <v>4565</v>
      </c>
      <c r="F599" t="s">
        <v>2947</v>
      </c>
      <c r="G599" t="s">
        <v>1941</v>
      </c>
      <c r="H599">
        <v>91186</v>
      </c>
      <c r="I599" t="s">
        <v>1942</v>
      </c>
    </row>
    <row r="600" spans="1:9" x14ac:dyDescent="0.25">
      <c r="A600" t="s">
        <v>1170</v>
      </c>
      <c r="B600" t="s">
        <v>4566</v>
      </c>
      <c r="C600" t="s">
        <v>4567</v>
      </c>
      <c r="D600" t="s">
        <v>4568</v>
      </c>
      <c r="E600" t="s">
        <v>4569</v>
      </c>
      <c r="F600" t="s">
        <v>3090</v>
      </c>
      <c r="G600" t="s">
        <v>1941</v>
      </c>
      <c r="H600">
        <v>94159</v>
      </c>
      <c r="I600" t="s">
        <v>1942</v>
      </c>
    </row>
    <row r="601" spans="1:9" x14ac:dyDescent="0.25">
      <c r="A601" t="s">
        <v>1172</v>
      </c>
      <c r="B601" t="s">
        <v>4570</v>
      </c>
      <c r="C601" t="s">
        <v>4571</v>
      </c>
      <c r="E601" t="s">
        <v>4572</v>
      </c>
      <c r="F601" t="s">
        <v>3524</v>
      </c>
      <c r="G601" t="s">
        <v>1941</v>
      </c>
      <c r="H601">
        <v>71137</v>
      </c>
      <c r="I601" t="s">
        <v>1942</v>
      </c>
    </row>
    <row r="602" spans="1:9" x14ac:dyDescent="0.25">
      <c r="A602" t="s">
        <v>1174</v>
      </c>
      <c r="B602" t="s">
        <v>4573</v>
      </c>
      <c r="C602" t="s">
        <v>4574</v>
      </c>
      <c r="D602" t="s">
        <v>4575</v>
      </c>
      <c r="E602" t="s">
        <v>4576</v>
      </c>
      <c r="F602" t="s">
        <v>2017</v>
      </c>
      <c r="G602" t="s">
        <v>1941</v>
      </c>
      <c r="H602">
        <v>19141</v>
      </c>
      <c r="I602" t="s">
        <v>1951</v>
      </c>
    </row>
    <row r="603" spans="1:9" x14ac:dyDescent="0.25">
      <c r="A603" t="s">
        <v>1176</v>
      </c>
      <c r="B603" t="s">
        <v>4577</v>
      </c>
      <c r="C603" t="s">
        <v>4578</v>
      </c>
      <c r="D603" t="s">
        <v>4579</v>
      </c>
      <c r="E603" t="s">
        <v>4580</v>
      </c>
      <c r="F603" t="s">
        <v>2008</v>
      </c>
      <c r="G603" t="s">
        <v>1941</v>
      </c>
      <c r="H603">
        <v>41905</v>
      </c>
      <c r="I603" t="s">
        <v>1942</v>
      </c>
    </row>
    <row r="604" spans="1:9" x14ac:dyDescent="0.25">
      <c r="A604" t="s">
        <v>1178</v>
      </c>
      <c r="B604" t="s">
        <v>4581</v>
      </c>
      <c r="C604" t="s">
        <v>4582</v>
      </c>
      <c r="D604" t="s">
        <v>4583</v>
      </c>
      <c r="E604" t="s">
        <v>4584</v>
      </c>
      <c r="F604" t="s">
        <v>2211</v>
      </c>
      <c r="G604" t="s">
        <v>1941</v>
      </c>
      <c r="H604">
        <v>43666</v>
      </c>
      <c r="I604" t="s">
        <v>1942</v>
      </c>
    </row>
    <row r="605" spans="1:9" x14ac:dyDescent="0.25">
      <c r="A605" t="s">
        <v>1180</v>
      </c>
      <c r="B605" t="s">
        <v>4585</v>
      </c>
      <c r="C605" t="s">
        <v>4586</v>
      </c>
      <c r="E605" t="s">
        <v>4587</v>
      </c>
      <c r="F605" t="s">
        <v>2340</v>
      </c>
      <c r="G605" t="s">
        <v>1941</v>
      </c>
      <c r="H605">
        <v>80945</v>
      </c>
      <c r="I605" t="s">
        <v>1951</v>
      </c>
    </row>
    <row r="606" spans="1:9" x14ac:dyDescent="0.25">
      <c r="A606" t="s">
        <v>1182</v>
      </c>
      <c r="B606" t="s">
        <v>4588</v>
      </c>
      <c r="D606" t="s">
        <v>4589</v>
      </c>
      <c r="E606" t="s">
        <v>4590</v>
      </c>
      <c r="F606" t="s">
        <v>3839</v>
      </c>
      <c r="G606" t="s">
        <v>1949</v>
      </c>
      <c r="H606" t="s">
        <v>3840</v>
      </c>
      <c r="I606" t="s">
        <v>1951</v>
      </c>
    </row>
    <row r="607" spans="1:9" x14ac:dyDescent="0.25">
      <c r="A607" t="s">
        <v>1184</v>
      </c>
      <c r="B607" t="s">
        <v>4591</v>
      </c>
      <c r="C607" t="s">
        <v>4592</v>
      </c>
      <c r="D607" t="s">
        <v>4593</v>
      </c>
      <c r="E607" t="s">
        <v>4594</v>
      </c>
      <c r="F607" t="s">
        <v>4595</v>
      </c>
      <c r="G607" t="s">
        <v>1941</v>
      </c>
      <c r="H607">
        <v>15274</v>
      </c>
      <c r="I607" t="s">
        <v>1942</v>
      </c>
    </row>
    <row r="608" spans="1:9" x14ac:dyDescent="0.25">
      <c r="A608" t="s">
        <v>4596</v>
      </c>
      <c r="B608" t="s">
        <v>4597</v>
      </c>
      <c r="C608" t="s">
        <v>4598</v>
      </c>
      <c r="D608" t="s">
        <v>4599</v>
      </c>
      <c r="E608" t="s">
        <v>4600</v>
      </c>
      <c r="F608" t="s">
        <v>3388</v>
      </c>
      <c r="G608" t="s">
        <v>1941</v>
      </c>
      <c r="H608">
        <v>33411</v>
      </c>
      <c r="I608" t="s">
        <v>1951</v>
      </c>
    </row>
    <row r="609" spans="1:9" x14ac:dyDescent="0.25">
      <c r="A609" t="s">
        <v>1187</v>
      </c>
      <c r="B609" t="s">
        <v>4601</v>
      </c>
      <c r="C609" t="s">
        <v>4602</v>
      </c>
      <c r="D609" t="s">
        <v>4603</v>
      </c>
      <c r="E609" t="s">
        <v>4604</v>
      </c>
      <c r="F609" t="s">
        <v>3524</v>
      </c>
      <c r="G609" t="s">
        <v>1941</v>
      </c>
      <c r="H609">
        <v>71115</v>
      </c>
      <c r="I609" t="s">
        <v>1942</v>
      </c>
    </row>
    <row r="610" spans="1:9" x14ac:dyDescent="0.25">
      <c r="A610" t="s">
        <v>1189</v>
      </c>
      <c r="B610" t="s">
        <v>4605</v>
      </c>
      <c r="E610" t="s">
        <v>4606</v>
      </c>
      <c r="F610" t="s">
        <v>4193</v>
      </c>
      <c r="G610" t="s">
        <v>1941</v>
      </c>
      <c r="H610">
        <v>44105</v>
      </c>
      <c r="I610" t="s">
        <v>1951</v>
      </c>
    </row>
    <row r="611" spans="1:9" x14ac:dyDescent="0.25">
      <c r="A611" t="s">
        <v>1191</v>
      </c>
      <c r="B611" t="s">
        <v>4607</v>
      </c>
      <c r="C611" t="s">
        <v>4608</v>
      </c>
      <c r="D611" t="s">
        <v>4609</v>
      </c>
      <c r="E611" t="s">
        <v>4610</v>
      </c>
      <c r="F611" t="s">
        <v>3121</v>
      </c>
      <c r="G611" t="s">
        <v>1941</v>
      </c>
      <c r="H611">
        <v>53234</v>
      </c>
      <c r="I611" t="s">
        <v>1942</v>
      </c>
    </row>
    <row r="612" spans="1:9" x14ac:dyDescent="0.25">
      <c r="A612" t="s">
        <v>1193</v>
      </c>
      <c r="B612" t="s">
        <v>4611</v>
      </c>
      <c r="C612" t="s">
        <v>4612</v>
      </c>
      <c r="D612" t="s">
        <v>4613</v>
      </c>
      <c r="E612" t="s">
        <v>4614</v>
      </c>
      <c r="F612" t="s">
        <v>2191</v>
      </c>
      <c r="G612" t="s">
        <v>1941</v>
      </c>
      <c r="H612">
        <v>33345</v>
      </c>
      <c r="I612" t="s">
        <v>1951</v>
      </c>
    </row>
    <row r="613" spans="1:9" x14ac:dyDescent="0.25">
      <c r="A613" t="s">
        <v>1195</v>
      </c>
      <c r="B613" t="s">
        <v>4615</v>
      </c>
      <c r="C613" t="s">
        <v>4616</v>
      </c>
      <c r="D613" t="s">
        <v>4617</v>
      </c>
      <c r="E613" t="s">
        <v>4618</v>
      </c>
      <c r="F613" t="s">
        <v>3524</v>
      </c>
      <c r="G613" t="s">
        <v>1941</v>
      </c>
      <c r="H613">
        <v>71105</v>
      </c>
      <c r="I613" t="s">
        <v>1951</v>
      </c>
    </row>
    <row r="614" spans="1:9" x14ac:dyDescent="0.25">
      <c r="A614" t="s">
        <v>1197</v>
      </c>
      <c r="B614" t="s">
        <v>4619</v>
      </c>
      <c r="D614" t="s">
        <v>4620</v>
      </c>
      <c r="E614" t="s">
        <v>4621</v>
      </c>
      <c r="F614" t="s">
        <v>2366</v>
      </c>
      <c r="G614" t="s">
        <v>1949</v>
      </c>
      <c r="H614" t="s">
        <v>2545</v>
      </c>
      <c r="I614" t="s">
        <v>1951</v>
      </c>
    </row>
    <row r="615" spans="1:9" x14ac:dyDescent="0.25">
      <c r="A615" t="s">
        <v>1199</v>
      </c>
      <c r="B615" t="s">
        <v>4622</v>
      </c>
      <c r="D615" t="s">
        <v>4623</v>
      </c>
      <c r="E615" t="s">
        <v>4624</v>
      </c>
      <c r="F615" t="s">
        <v>2999</v>
      </c>
      <c r="G615" t="s">
        <v>1941</v>
      </c>
      <c r="H615">
        <v>94207</v>
      </c>
      <c r="I615" t="s">
        <v>1951</v>
      </c>
    </row>
    <row r="616" spans="1:9" x14ac:dyDescent="0.25">
      <c r="A616" t="s">
        <v>4625</v>
      </c>
      <c r="B616" t="s">
        <v>4626</v>
      </c>
      <c r="D616" t="s">
        <v>4627</v>
      </c>
      <c r="E616" t="s">
        <v>4628</v>
      </c>
      <c r="F616" t="s">
        <v>2506</v>
      </c>
      <c r="G616" t="s">
        <v>1941</v>
      </c>
      <c r="H616">
        <v>37240</v>
      </c>
      <c r="I616" t="s">
        <v>1951</v>
      </c>
    </row>
    <row r="617" spans="1:9" x14ac:dyDescent="0.25">
      <c r="A617" t="s">
        <v>1202</v>
      </c>
      <c r="B617" t="s">
        <v>4629</v>
      </c>
      <c r="C617" t="s">
        <v>4630</v>
      </c>
      <c r="D617" t="s">
        <v>4631</v>
      </c>
      <c r="E617" t="s">
        <v>4632</v>
      </c>
      <c r="F617" t="s">
        <v>2550</v>
      </c>
      <c r="G617" t="s">
        <v>1941</v>
      </c>
      <c r="H617">
        <v>58122</v>
      </c>
      <c r="I617" t="s">
        <v>1942</v>
      </c>
    </row>
    <row r="618" spans="1:9" x14ac:dyDescent="0.25">
      <c r="A618" t="s">
        <v>1204</v>
      </c>
      <c r="B618" t="s">
        <v>4633</v>
      </c>
      <c r="C618" t="s">
        <v>4634</v>
      </c>
      <c r="D618" t="s">
        <v>4635</v>
      </c>
      <c r="E618" t="s">
        <v>4636</v>
      </c>
      <c r="F618" t="s">
        <v>4637</v>
      </c>
      <c r="G618" t="s">
        <v>2116</v>
      </c>
      <c r="H618" t="s">
        <v>4638</v>
      </c>
      <c r="I618" t="s">
        <v>1951</v>
      </c>
    </row>
    <row r="619" spans="1:9" x14ac:dyDescent="0.25">
      <c r="A619" t="s">
        <v>1206</v>
      </c>
      <c r="B619" t="s">
        <v>4639</v>
      </c>
      <c r="C619" t="s">
        <v>4640</v>
      </c>
      <c r="D619" t="s">
        <v>4641</v>
      </c>
      <c r="E619" t="s">
        <v>4642</v>
      </c>
      <c r="F619" t="s">
        <v>2816</v>
      </c>
      <c r="G619" t="s">
        <v>1941</v>
      </c>
      <c r="H619">
        <v>74184</v>
      </c>
      <c r="I619" t="s">
        <v>1951</v>
      </c>
    </row>
    <row r="620" spans="1:9" x14ac:dyDescent="0.25">
      <c r="A620" t="s">
        <v>1208</v>
      </c>
      <c r="B620" t="s">
        <v>4643</v>
      </c>
      <c r="C620" t="s">
        <v>4644</v>
      </c>
      <c r="D620" t="s">
        <v>4645</v>
      </c>
      <c r="E620" t="s">
        <v>4646</v>
      </c>
      <c r="F620" t="s">
        <v>2037</v>
      </c>
      <c r="G620" t="s">
        <v>1941</v>
      </c>
      <c r="H620">
        <v>10045</v>
      </c>
      <c r="I620" t="s">
        <v>1942</v>
      </c>
    </row>
    <row r="621" spans="1:9" x14ac:dyDescent="0.25">
      <c r="A621" t="s">
        <v>1210</v>
      </c>
      <c r="B621" t="s">
        <v>4647</v>
      </c>
      <c r="C621" t="s">
        <v>4648</v>
      </c>
      <c r="D621" t="s">
        <v>4649</v>
      </c>
      <c r="E621" t="s">
        <v>4650</v>
      </c>
      <c r="F621" t="s">
        <v>4651</v>
      </c>
      <c r="G621" t="s">
        <v>1941</v>
      </c>
      <c r="H621">
        <v>34642</v>
      </c>
      <c r="I621" t="s">
        <v>1942</v>
      </c>
    </row>
    <row r="622" spans="1:9" x14ac:dyDescent="0.25">
      <c r="A622" t="s">
        <v>4652</v>
      </c>
      <c r="B622" t="s">
        <v>4653</v>
      </c>
      <c r="C622" t="s">
        <v>4654</v>
      </c>
      <c r="D622" t="s">
        <v>4655</v>
      </c>
      <c r="E622" t="s">
        <v>4656</v>
      </c>
      <c r="F622" t="s">
        <v>3918</v>
      </c>
      <c r="G622" t="s">
        <v>1949</v>
      </c>
      <c r="H622" t="s">
        <v>3919</v>
      </c>
      <c r="I622" t="s">
        <v>1951</v>
      </c>
    </row>
    <row r="623" spans="1:9" x14ac:dyDescent="0.25">
      <c r="A623" t="s">
        <v>1214</v>
      </c>
      <c r="B623" t="s">
        <v>4657</v>
      </c>
      <c r="C623" t="s">
        <v>4658</v>
      </c>
      <c r="D623" t="s">
        <v>4659</v>
      </c>
      <c r="E623" t="s">
        <v>4660</v>
      </c>
      <c r="F623" t="s">
        <v>2022</v>
      </c>
      <c r="G623" t="s">
        <v>1941</v>
      </c>
      <c r="H623">
        <v>97296</v>
      </c>
      <c r="I623" t="s">
        <v>1951</v>
      </c>
    </row>
    <row r="624" spans="1:9" x14ac:dyDescent="0.25">
      <c r="A624" t="s">
        <v>1216</v>
      </c>
      <c r="B624" t="s">
        <v>4661</v>
      </c>
      <c r="C624" t="s">
        <v>4662</v>
      </c>
      <c r="E624" t="s">
        <v>4663</v>
      </c>
      <c r="F624" t="s">
        <v>3370</v>
      </c>
      <c r="G624" t="s">
        <v>1941</v>
      </c>
      <c r="H624">
        <v>89115</v>
      </c>
      <c r="I624" t="s">
        <v>1951</v>
      </c>
    </row>
    <row r="625" spans="1:9" x14ac:dyDescent="0.25">
      <c r="A625" t="s">
        <v>1218</v>
      </c>
      <c r="B625" t="s">
        <v>4664</v>
      </c>
      <c r="D625" t="s">
        <v>4665</v>
      </c>
      <c r="E625" t="s">
        <v>4666</v>
      </c>
      <c r="F625" t="s">
        <v>4667</v>
      </c>
      <c r="G625" t="s">
        <v>2116</v>
      </c>
      <c r="H625" t="s">
        <v>4668</v>
      </c>
      <c r="I625" t="s">
        <v>1951</v>
      </c>
    </row>
    <row r="626" spans="1:9" x14ac:dyDescent="0.25">
      <c r="A626" t="s">
        <v>1220</v>
      </c>
      <c r="B626" t="s">
        <v>4669</v>
      </c>
      <c r="C626" t="s">
        <v>4670</v>
      </c>
      <c r="E626" t="s">
        <v>4671</v>
      </c>
      <c r="F626" t="s">
        <v>4672</v>
      </c>
      <c r="G626" t="s">
        <v>1949</v>
      </c>
      <c r="H626" t="s">
        <v>4673</v>
      </c>
      <c r="I626" t="s">
        <v>1942</v>
      </c>
    </row>
    <row r="627" spans="1:9" x14ac:dyDescent="0.25">
      <c r="A627" t="s">
        <v>1222</v>
      </c>
      <c r="B627" t="s">
        <v>4674</v>
      </c>
      <c r="C627" t="s">
        <v>4675</v>
      </c>
      <c r="D627" t="s">
        <v>4676</v>
      </c>
      <c r="E627" t="s">
        <v>4677</v>
      </c>
      <c r="F627" t="s">
        <v>3090</v>
      </c>
      <c r="G627" t="s">
        <v>1941</v>
      </c>
      <c r="H627">
        <v>94159</v>
      </c>
      <c r="I627" t="s">
        <v>1951</v>
      </c>
    </row>
    <row r="628" spans="1:9" x14ac:dyDescent="0.25">
      <c r="A628" t="s">
        <v>1224</v>
      </c>
      <c r="B628" t="s">
        <v>4678</v>
      </c>
      <c r="C628" t="s">
        <v>4679</v>
      </c>
      <c r="D628" t="s">
        <v>4680</v>
      </c>
      <c r="E628" t="s">
        <v>4681</v>
      </c>
      <c r="F628" t="s">
        <v>4595</v>
      </c>
      <c r="G628" t="s">
        <v>1941</v>
      </c>
      <c r="H628">
        <v>15274</v>
      </c>
      <c r="I628" t="s">
        <v>1951</v>
      </c>
    </row>
    <row r="629" spans="1:9" x14ac:dyDescent="0.25">
      <c r="A629" t="s">
        <v>1226</v>
      </c>
      <c r="B629" t="s">
        <v>4682</v>
      </c>
      <c r="C629" t="s">
        <v>4683</v>
      </c>
      <c r="D629" t="s">
        <v>4684</v>
      </c>
      <c r="E629" t="s">
        <v>4685</v>
      </c>
      <c r="F629" t="s">
        <v>2027</v>
      </c>
      <c r="G629" t="s">
        <v>1941</v>
      </c>
      <c r="H629">
        <v>77281</v>
      </c>
      <c r="I629" t="s">
        <v>1942</v>
      </c>
    </row>
    <row r="630" spans="1:9" x14ac:dyDescent="0.25">
      <c r="A630" t="s">
        <v>1228</v>
      </c>
      <c r="B630" t="s">
        <v>4686</v>
      </c>
      <c r="C630" t="s">
        <v>4687</v>
      </c>
      <c r="D630" t="s">
        <v>4688</v>
      </c>
      <c r="E630" t="s">
        <v>4689</v>
      </c>
      <c r="F630" t="s">
        <v>4690</v>
      </c>
      <c r="G630" t="s">
        <v>1949</v>
      </c>
      <c r="H630" t="s">
        <v>2032</v>
      </c>
      <c r="I630" t="s">
        <v>1942</v>
      </c>
    </row>
    <row r="631" spans="1:9" x14ac:dyDescent="0.25">
      <c r="A631" t="s">
        <v>1212</v>
      </c>
      <c r="B631" t="s">
        <v>4691</v>
      </c>
      <c r="C631" t="s">
        <v>4692</v>
      </c>
      <c r="E631" t="s">
        <v>4693</v>
      </c>
      <c r="F631" t="s">
        <v>2191</v>
      </c>
      <c r="G631" t="s">
        <v>1941</v>
      </c>
      <c r="H631">
        <v>33345</v>
      </c>
      <c r="I631" t="s">
        <v>1951</v>
      </c>
    </row>
    <row r="632" spans="1:9" x14ac:dyDescent="0.25">
      <c r="A632" t="s">
        <v>4694</v>
      </c>
      <c r="B632" t="s">
        <v>4695</v>
      </c>
      <c r="C632" t="s">
        <v>4696</v>
      </c>
      <c r="D632" t="s">
        <v>4697</v>
      </c>
      <c r="E632" t="s">
        <v>4698</v>
      </c>
      <c r="F632" t="s">
        <v>3179</v>
      </c>
      <c r="G632" t="s">
        <v>1941</v>
      </c>
      <c r="H632">
        <v>76210</v>
      </c>
      <c r="I632" t="s">
        <v>1951</v>
      </c>
    </row>
    <row r="633" spans="1:9" x14ac:dyDescent="0.25">
      <c r="A633" t="s">
        <v>4699</v>
      </c>
      <c r="B633" t="s">
        <v>4700</v>
      </c>
      <c r="C633" t="s">
        <v>4701</v>
      </c>
      <c r="D633" t="s">
        <v>4702</v>
      </c>
      <c r="E633" t="s">
        <v>4703</v>
      </c>
      <c r="F633" t="s">
        <v>3967</v>
      </c>
      <c r="G633" t="s">
        <v>1949</v>
      </c>
      <c r="H633" t="s">
        <v>2771</v>
      </c>
      <c r="I633" t="s">
        <v>1942</v>
      </c>
    </row>
    <row r="634" spans="1:9" x14ac:dyDescent="0.25">
      <c r="A634" t="s">
        <v>1230</v>
      </c>
      <c r="B634" t="s">
        <v>4704</v>
      </c>
      <c r="C634" t="s">
        <v>4705</v>
      </c>
      <c r="D634" t="s">
        <v>4706</v>
      </c>
      <c r="E634" t="s">
        <v>4707</v>
      </c>
      <c r="F634" t="s">
        <v>1986</v>
      </c>
      <c r="G634" t="s">
        <v>1941</v>
      </c>
      <c r="H634">
        <v>90005</v>
      </c>
      <c r="I634" t="s">
        <v>1951</v>
      </c>
    </row>
    <row r="635" spans="1:9" x14ac:dyDescent="0.25">
      <c r="A635" t="s">
        <v>1232</v>
      </c>
      <c r="B635" t="s">
        <v>4708</v>
      </c>
      <c r="C635" t="s">
        <v>4709</v>
      </c>
      <c r="D635" t="s">
        <v>4710</v>
      </c>
      <c r="E635" t="s">
        <v>4711</v>
      </c>
      <c r="F635" t="s">
        <v>3004</v>
      </c>
      <c r="G635" t="s">
        <v>1941</v>
      </c>
      <c r="H635">
        <v>18706</v>
      </c>
      <c r="I635" t="s">
        <v>1951</v>
      </c>
    </row>
    <row r="636" spans="1:9" x14ac:dyDescent="0.25">
      <c r="A636" t="s">
        <v>1234</v>
      </c>
      <c r="B636" t="s">
        <v>4712</v>
      </c>
      <c r="C636" t="s">
        <v>4713</v>
      </c>
      <c r="D636" t="s">
        <v>4714</v>
      </c>
      <c r="E636" t="s">
        <v>4715</v>
      </c>
      <c r="F636" t="s">
        <v>3179</v>
      </c>
      <c r="G636" t="s">
        <v>1941</v>
      </c>
      <c r="H636">
        <v>76205</v>
      </c>
      <c r="I636" t="s">
        <v>1951</v>
      </c>
    </row>
    <row r="637" spans="1:9" x14ac:dyDescent="0.25">
      <c r="A637" t="s">
        <v>1236</v>
      </c>
      <c r="B637" t="s">
        <v>4716</v>
      </c>
      <c r="C637" t="s">
        <v>4717</v>
      </c>
      <c r="D637" t="s">
        <v>4718</v>
      </c>
      <c r="E637" t="s">
        <v>4719</v>
      </c>
      <c r="F637" t="s">
        <v>2957</v>
      </c>
      <c r="G637" t="s">
        <v>1941</v>
      </c>
      <c r="H637">
        <v>64082</v>
      </c>
      <c r="I637" t="s">
        <v>1942</v>
      </c>
    </row>
    <row r="638" spans="1:9" x14ac:dyDescent="0.25">
      <c r="A638" t="s">
        <v>1238</v>
      </c>
      <c r="B638" t="s">
        <v>4720</v>
      </c>
      <c r="C638" t="s">
        <v>4721</v>
      </c>
      <c r="D638" t="s">
        <v>4722</v>
      </c>
      <c r="E638" t="s">
        <v>4723</v>
      </c>
      <c r="F638" t="s">
        <v>2127</v>
      </c>
      <c r="G638" t="s">
        <v>1941</v>
      </c>
      <c r="H638">
        <v>72209</v>
      </c>
      <c r="I638" t="s">
        <v>1942</v>
      </c>
    </row>
    <row r="639" spans="1:9" x14ac:dyDescent="0.25">
      <c r="A639" t="s">
        <v>1240</v>
      </c>
      <c r="B639" t="s">
        <v>4724</v>
      </c>
      <c r="C639" t="s">
        <v>4725</v>
      </c>
      <c r="D639" t="s">
        <v>4726</v>
      </c>
      <c r="E639" t="s">
        <v>4727</v>
      </c>
      <c r="F639" t="s">
        <v>4728</v>
      </c>
      <c r="G639" t="s">
        <v>1949</v>
      </c>
      <c r="H639" t="s">
        <v>2831</v>
      </c>
      <c r="I639" t="s">
        <v>1942</v>
      </c>
    </row>
    <row r="640" spans="1:9" x14ac:dyDescent="0.25">
      <c r="A640" t="s">
        <v>1242</v>
      </c>
      <c r="B640" t="s">
        <v>4729</v>
      </c>
      <c r="D640" t="s">
        <v>4730</v>
      </c>
      <c r="E640" t="s">
        <v>4731</v>
      </c>
      <c r="F640" t="s">
        <v>4416</v>
      </c>
      <c r="G640" t="s">
        <v>1949</v>
      </c>
      <c r="H640" t="s">
        <v>4417</v>
      </c>
      <c r="I640" t="s">
        <v>1942</v>
      </c>
    </row>
    <row r="641" spans="1:9" x14ac:dyDescent="0.25">
      <c r="A641" t="s">
        <v>1244</v>
      </c>
      <c r="B641" t="s">
        <v>4732</v>
      </c>
      <c r="C641" t="s">
        <v>4733</v>
      </c>
      <c r="D641" t="s">
        <v>4734</v>
      </c>
      <c r="E641" t="s">
        <v>4735</v>
      </c>
      <c r="F641" t="s">
        <v>3143</v>
      </c>
      <c r="G641" t="s">
        <v>1941</v>
      </c>
      <c r="H641">
        <v>16534</v>
      </c>
      <c r="I641" t="s">
        <v>1942</v>
      </c>
    </row>
    <row r="642" spans="1:9" x14ac:dyDescent="0.25">
      <c r="A642" t="s">
        <v>4736</v>
      </c>
      <c r="B642" t="s">
        <v>4737</v>
      </c>
      <c r="D642" t="s">
        <v>4738</v>
      </c>
      <c r="E642" t="s">
        <v>4739</v>
      </c>
      <c r="F642" t="s">
        <v>3164</v>
      </c>
      <c r="G642" t="s">
        <v>2116</v>
      </c>
      <c r="H642" t="s">
        <v>3165</v>
      </c>
      <c r="I642" t="s">
        <v>1951</v>
      </c>
    </row>
    <row r="643" spans="1:9" x14ac:dyDescent="0.25">
      <c r="A643" t="s">
        <v>1248</v>
      </c>
      <c r="B643" t="s">
        <v>4740</v>
      </c>
      <c r="C643" t="s">
        <v>4741</v>
      </c>
      <c r="D643" t="s">
        <v>4742</v>
      </c>
      <c r="E643" t="s">
        <v>4743</v>
      </c>
      <c r="F643" t="s">
        <v>4595</v>
      </c>
      <c r="G643" t="s">
        <v>1941</v>
      </c>
      <c r="H643">
        <v>15255</v>
      </c>
      <c r="I643" t="s">
        <v>1942</v>
      </c>
    </row>
    <row r="644" spans="1:9" x14ac:dyDescent="0.25">
      <c r="A644" t="s">
        <v>1250</v>
      </c>
      <c r="B644" t="s">
        <v>4744</v>
      </c>
      <c r="C644" t="s">
        <v>4745</v>
      </c>
      <c r="D644" t="s">
        <v>4746</v>
      </c>
      <c r="E644" t="s">
        <v>4747</v>
      </c>
      <c r="F644" t="s">
        <v>4748</v>
      </c>
      <c r="G644" t="s">
        <v>2116</v>
      </c>
      <c r="H644" t="s">
        <v>4749</v>
      </c>
      <c r="I644" t="s">
        <v>1942</v>
      </c>
    </row>
    <row r="645" spans="1:9" x14ac:dyDescent="0.25">
      <c r="A645" t="s">
        <v>1252</v>
      </c>
      <c r="B645" t="s">
        <v>4750</v>
      </c>
      <c r="C645" t="s">
        <v>4751</v>
      </c>
      <c r="E645" t="s">
        <v>4752</v>
      </c>
      <c r="F645" t="s">
        <v>2325</v>
      </c>
      <c r="G645" t="s">
        <v>1941</v>
      </c>
      <c r="H645">
        <v>75260</v>
      </c>
      <c r="I645" t="s">
        <v>1942</v>
      </c>
    </row>
    <row r="646" spans="1:9" x14ac:dyDescent="0.25">
      <c r="A646" t="s">
        <v>1254</v>
      </c>
      <c r="B646" t="s">
        <v>4753</v>
      </c>
      <c r="D646" t="s">
        <v>4754</v>
      </c>
      <c r="E646" t="s">
        <v>4755</v>
      </c>
      <c r="F646" t="s">
        <v>3581</v>
      </c>
      <c r="G646" t="s">
        <v>1941</v>
      </c>
      <c r="H646">
        <v>33233</v>
      </c>
      <c r="I646" t="s">
        <v>1951</v>
      </c>
    </row>
    <row r="647" spans="1:9" x14ac:dyDescent="0.25">
      <c r="A647" t="s">
        <v>1256</v>
      </c>
      <c r="B647" t="s">
        <v>4756</v>
      </c>
      <c r="C647" t="s">
        <v>4757</v>
      </c>
      <c r="D647" t="s">
        <v>4758</v>
      </c>
      <c r="E647" t="s">
        <v>4759</v>
      </c>
      <c r="F647" t="s">
        <v>4760</v>
      </c>
      <c r="G647" t="s">
        <v>1941</v>
      </c>
      <c r="H647">
        <v>76905</v>
      </c>
      <c r="I647" t="s">
        <v>1942</v>
      </c>
    </row>
    <row r="648" spans="1:9" x14ac:dyDescent="0.25">
      <c r="A648" t="s">
        <v>1258</v>
      </c>
      <c r="B648" t="s">
        <v>4761</v>
      </c>
      <c r="C648" t="s">
        <v>4762</v>
      </c>
      <c r="D648" t="s">
        <v>4763</v>
      </c>
      <c r="E648" t="s">
        <v>4764</v>
      </c>
      <c r="F648" t="s">
        <v>2881</v>
      </c>
      <c r="G648" t="s">
        <v>1941</v>
      </c>
      <c r="H648">
        <v>12205</v>
      </c>
      <c r="I648" t="s">
        <v>1942</v>
      </c>
    </row>
    <row r="649" spans="1:9" x14ac:dyDescent="0.25">
      <c r="A649" t="s">
        <v>1260</v>
      </c>
      <c r="B649" t="s">
        <v>4765</v>
      </c>
      <c r="C649" t="s">
        <v>4766</v>
      </c>
      <c r="D649" t="s">
        <v>4767</v>
      </c>
      <c r="E649" t="s">
        <v>4768</v>
      </c>
      <c r="F649" t="s">
        <v>4769</v>
      </c>
      <c r="G649" t="s">
        <v>2116</v>
      </c>
      <c r="H649" t="s">
        <v>4770</v>
      </c>
      <c r="I649" t="s">
        <v>1942</v>
      </c>
    </row>
    <row r="650" spans="1:9" x14ac:dyDescent="0.25">
      <c r="A650" t="s">
        <v>1246</v>
      </c>
      <c r="B650" t="s">
        <v>4771</v>
      </c>
      <c r="C650" t="s">
        <v>4772</v>
      </c>
      <c r="D650" t="s">
        <v>4773</v>
      </c>
      <c r="E650" t="s">
        <v>4774</v>
      </c>
      <c r="F650" t="s">
        <v>2287</v>
      </c>
      <c r="G650" t="s">
        <v>1941</v>
      </c>
      <c r="H650">
        <v>43240</v>
      </c>
      <c r="I650" t="s">
        <v>1951</v>
      </c>
    </row>
    <row r="651" spans="1:9" x14ac:dyDescent="0.25">
      <c r="A651" t="s">
        <v>1263</v>
      </c>
      <c r="B651" t="s">
        <v>4775</v>
      </c>
      <c r="C651" t="s">
        <v>4776</v>
      </c>
      <c r="D651" t="s">
        <v>4777</v>
      </c>
      <c r="E651" t="s">
        <v>4778</v>
      </c>
      <c r="F651" t="s">
        <v>4779</v>
      </c>
      <c r="G651" t="s">
        <v>2116</v>
      </c>
      <c r="H651" t="s">
        <v>4780</v>
      </c>
      <c r="I651" t="s">
        <v>1951</v>
      </c>
    </row>
    <row r="652" spans="1:9" x14ac:dyDescent="0.25">
      <c r="A652" t="s">
        <v>1265</v>
      </c>
      <c r="B652" t="s">
        <v>4781</v>
      </c>
      <c r="C652" t="s">
        <v>4782</v>
      </c>
      <c r="D652" t="s">
        <v>4783</v>
      </c>
      <c r="E652" t="s">
        <v>4784</v>
      </c>
      <c r="F652" t="s">
        <v>2383</v>
      </c>
      <c r="G652" t="s">
        <v>1941</v>
      </c>
      <c r="H652">
        <v>92883</v>
      </c>
      <c r="I652" t="s">
        <v>1942</v>
      </c>
    </row>
    <row r="653" spans="1:9" x14ac:dyDescent="0.25">
      <c r="A653" t="s">
        <v>1267</v>
      </c>
      <c r="B653" t="s">
        <v>4785</v>
      </c>
      <c r="D653" t="s">
        <v>4786</v>
      </c>
      <c r="E653" t="s">
        <v>4787</v>
      </c>
      <c r="F653" t="s">
        <v>2186</v>
      </c>
      <c r="G653" t="s">
        <v>1941</v>
      </c>
      <c r="H653">
        <v>20436</v>
      </c>
      <c r="I653" t="s">
        <v>1951</v>
      </c>
    </row>
    <row r="654" spans="1:9" x14ac:dyDescent="0.25">
      <c r="A654" t="s">
        <v>1269</v>
      </c>
      <c r="B654" t="s">
        <v>4788</v>
      </c>
      <c r="C654" t="s">
        <v>4789</v>
      </c>
      <c r="E654" t="s">
        <v>4790</v>
      </c>
      <c r="F654" t="s">
        <v>4791</v>
      </c>
      <c r="G654" t="s">
        <v>1949</v>
      </c>
      <c r="H654" t="s">
        <v>1950</v>
      </c>
      <c r="I654" t="s">
        <v>1951</v>
      </c>
    </row>
    <row r="655" spans="1:9" x14ac:dyDescent="0.25">
      <c r="A655" t="s">
        <v>1271</v>
      </c>
      <c r="B655" t="s">
        <v>4792</v>
      </c>
      <c r="C655" t="s">
        <v>4793</v>
      </c>
      <c r="D655" t="s">
        <v>4794</v>
      </c>
      <c r="E655" t="s">
        <v>4795</v>
      </c>
      <c r="F655" t="s">
        <v>2211</v>
      </c>
      <c r="G655" t="s">
        <v>1941</v>
      </c>
      <c r="H655">
        <v>43610</v>
      </c>
      <c r="I655" t="s">
        <v>1951</v>
      </c>
    </row>
    <row r="656" spans="1:9" x14ac:dyDescent="0.25">
      <c r="A656" t="s">
        <v>1273</v>
      </c>
      <c r="B656" t="s">
        <v>4796</v>
      </c>
      <c r="C656" t="s">
        <v>4797</v>
      </c>
      <c r="D656" t="s">
        <v>4798</v>
      </c>
      <c r="E656" t="s">
        <v>4799</v>
      </c>
      <c r="F656" t="s">
        <v>2186</v>
      </c>
      <c r="G656" t="s">
        <v>1941</v>
      </c>
      <c r="H656">
        <v>20088</v>
      </c>
      <c r="I656" t="s">
        <v>1951</v>
      </c>
    </row>
    <row r="657" spans="1:9" x14ac:dyDescent="0.25">
      <c r="A657" t="s">
        <v>1275</v>
      </c>
      <c r="B657" t="s">
        <v>4800</v>
      </c>
      <c r="C657" t="s">
        <v>4801</v>
      </c>
      <c r="E657" t="s">
        <v>4802</v>
      </c>
      <c r="F657" t="s">
        <v>4803</v>
      </c>
      <c r="G657" t="s">
        <v>1941</v>
      </c>
      <c r="H657">
        <v>52405</v>
      </c>
      <c r="I657" t="s">
        <v>1942</v>
      </c>
    </row>
    <row r="658" spans="1:9" x14ac:dyDescent="0.25">
      <c r="A658" t="s">
        <v>1277</v>
      </c>
      <c r="B658" t="s">
        <v>4804</v>
      </c>
      <c r="C658" t="s">
        <v>4805</v>
      </c>
      <c r="E658" t="s">
        <v>4806</v>
      </c>
      <c r="F658" t="s">
        <v>2093</v>
      </c>
      <c r="G658" t="s">
        <v>1941</v>
      </c>
      <c r="H658">
        <v>80045</v>
      </c>
      <c r="I658" t="s">
        <v>1951</v>
      </c>
    </row>
    <row r="659" spans="1:9" x14ac:dyDescent="0.25">
      <c r="A659" t="s">
        <v>1279</v>
      </c>
      <c r="B659" t="s">
        <v>4807</v>
      </c>
      <c r="C659" t="s">
        <v>4808</v>
      </c>
      <c r="D659" t="s">
        <v>4809</v>
      </c>
      <c r="E659" t="s">
        <v>4810</v>
      </c>
      <c r="F659" t="s">
        <v>4811</v>
      </c>
      <c r="G659" t="s">
        <v>1941</v>
      </c>
      <c r="H659">
        <v>94089</v>
      </c>
      <c r="I659" t="s">
        <v>1942</v>
      </c>
    </row>
    <row r="660" spans="1:9" x14ac:dyDescent="0.25">
      <c r="A660" t="s">
        <v>4812</v>
      </c>
      <c r="B660" t="s">
        <v>4813</v>
      </c>
      <c r="E660" t="s">
        <v>4814</v>
      </c>
      <c r="F660" t="s">
        <v>4355</v>
      </c>
      <c r="G660" t="s">
        <v>1949</v>
      </c>
      <c r="H660" t="s">
        <v>4356</v>
      </c>
      <c r="I660" t="s">
        <v>1942</v>
      </c>
    </row>
    <row r="661" spans="1:9" x14ac:dyDescent="0.25">
      <c r="A661" t="s">
        <v>1283</v>
      </c>
      <c r="B661" t="s">
        <v>4815</v>
      </c>
      <c r="C661" t="s">
        <v>4816</v>
      </c>
      <c r="D661" t="s">
        <v>4817</v>
      </c>
      <c r="E661" t="s">
        <v>4818</v>
      </c>
      <c r="F661" t="s">
        <v>4819</v>
      </c>
      <c r="G661" t="s">
        <v>1949</v>
      </c>
      <c r="H661" t="s">
        <v>4417</v>
      </c>
      <c r="I661" t="s">
        <v>1942</v>
      </c>
    </row>
    <row r="662" spans="1:9" x14ac:dyDescent="0.25">
      <c r="A662" t="s">
        <v>1285</v>
      </c>
      <c r="B662" t="s">
        <v>4820</v>
      </c>
      <c r="C662" t="s">
        <v>4821</v>
      </c>
      <c r="D662" t="s">
        <v>4822</v>
      </c>
      <c r="E662" t="s">
        <v>4823</v>
      </c>
      <c r="F662" t="s">
        <v>2800</v>
      </c>
      <c r="G662" t="s">
        <v>1941</v>
      </c>
      <c r="H662">
        <v>48930</v>
      </c>
      <c r="I662" t="s">
        <v>1951</v>
      </c>
    </row>
    <row r="663" spans="1:9" x14ac:dyDescent="0.25">
      <c r="A663" t="s">
        <v>1287</v>
      </c>
      <c r="B663" t="s">
        <v>4824</v>
      </c>
      <c r="C663" t="s">
        <v>4825</v>
      </c>
      <c r="D663" t="s">
        <v>4826</v>
      </c>
      <c r="E663" t="s">
        <v>4827</v>
      </c>
      <c r="F663" t="s">
        <v>2027</v>
      </c>
      <c r="G663" t="s">
        <v>1941</v>
      </c>
      <c r="H663">
        <v>77281</v>
      </c>
      <c r="I663" t="s">
        <v>1942</v>
      </c>
    </row>
    <row r="664" spans="1:9" x14ac:dyDescent="0.25">
      <c r="A664" t="s">
        <v>1289</v>
      </c>
      <c r="B664" t="s">
        <v>4828</v>
      </c>
      <c r="C664" t="s">
        <v>4829</v>
      </c>
      <c r="E664" t="s">
        <v>4830</v>
      </c>
      <c r="F664" t="s">
        <v>4831</v>
      </c>
      <c r="G664" t="s">
        <v>1941</v>
      </c>
      <c r="H664">
        <v>37131</v>
      </c>
      <c r="I664" t="s">
        <v>1951</v>
      </c>
    </row>
    <row r="665" spans="1:9" x14ac:dyDescent="0.25">
      <c r="A665" t="s">
        <v>1291</v>
      </c>
      <c r="B665" t="s">
        <v>4832</v>
      </c>
      <c r="C665" t="s">
        <v>4833</v>
      </c>
      <c r="E665" t="s">
        <v>4834</v>
      </c>
      <c r="F665" t="s">
        <v>2122</v>
      </c>
      <c r="G665" t="s">
        <v>1941</v>
      </c>
      <c r="H665">
        <v>25362</v>
      </c>
      <c r="I665" t="s">
        <v>1951</v>
      </c>
    </row>
    <row r="666" spans="1:9" x14ac:dyDescent="0.25">
      <c r="A666" t="s">
        <v>1293</v>
      </c>
      <c r="B666" t="s">
        <v>4835</v>
      </c>
      <c r="C666" t="s">
        <v>4836</v>
      </c>
      <c r="D666" t="s">
        <v>4837</v>
      </c>
      <c r="E666" t="s">
        <v>4838</v>
      </c>
      <c r="F666" t="s">
        <v>3143</v>
      </c>
      <c r="G666" t="s">
        <v>1941</v>
      </c>
      <c r="H666">
        <v>16534</v>
      </c>
      <c r="I666" t="s">
        <v>1951</v>
      </c>
    </row>
    <row r="667" spans="1:9" x14ac:dyDescent="0.25">
      <c r="A667" t="s">
        <v>4839</v>
      </c>
      <c r="B667" t="s">
        <v>4840</v>
      </c>
      <c r="C667" t="s">
        <v>4841</v>
      </c>
      <c r="D667" t="s">
        <v>4842</v>
      </c>
      <c r="E667" t="s">
        <v>4843</v>
      </c>
      <c r="F667" t="s">
        <v>3858</v>
      </c>
      <c r="G667" t="s">
        <v>1941</v>
      </c>
      <c r="H667">
        <v>39204</v>
      </c>
      <c r="I667" t="s">
        <v>1942</v>
      </c>
    </row>
    <row r="668" spans="1:9" x14ac:dyDescent="0.25">
      <c r="A668" t="s">
        <v>1295</v>
      </c>
      <c r="B668" t="s">
        <v>4844</v>
      </c>
      <c r="C668" t="s">
        <v>4845</v>
      </c>
      <c r="D668" t="s">
        <v>4846</v>
      </c>
      <c r="E668" t="s">
        <v>4847</v>
      </c>
      <c r="F668" t="s">
        <v>2901</v>
      </c>
      <c r="G668" t="s">
        <v>1941</v>
      </c>
      <c r="H668">
        <v>79491</v>
      </c>
      <c r="I668" t="s">
        <v>1951</v>
      </c>
    </row>
    <row r="669" spans="1:9" x14ac:dyDescent="0.25">
      <c r="A669" t="s">
        <v>1297</v>
      </c>
      <c r="B669" t="s">
        <v>4848</v>
      </c>
      <c r="C669" t="s">
        <v>4849</v>
      </c>
      <c r="D669" t="s">
        <v>4850</v>
      </c>
      <c r="E669" t="s">
        <v>4851</v>
      </c>
      <c r="F669" t="s">
        <v>4852</v>
      </c>
      <c r="G669" t="s">
        <v>1949</v>
      </c>
      <c r="H669" t="s">
        <v>2089</v>
      </c>
      <c r="I669" t="s">
        <v>1951</v>
      </c>
    </row>
    <row r="670" spans="1:9" x14ac:dyDescent="0.25">
      <c r="A670" t="s">
        <v>1281</v>
      </c>
      <c r="B670" t="s">
        <v>4853</v>
      </c>
      <c r="C670" t="s">
        <v>4854</v>
      </c>
      <c r="D670" t="s">
        <v>4855</v>
      </c>
      <c r="E670" t="s">
        <v>4856</v>
      </c>
      <c r="F670" t="s">
        <v>4481</v>
      </c>
      <c r="G670" t="s">
        <v>1941</v>
      </c>
      <c r="H670">
        <v>27717</v>
      </c>
      <c r="I670" t="s">
        <v>1942</v>
      </c>
    </row>
    <row r="671" spans="1:9" x14ac:dyDescent="0.25">
      <c r="A671" t="s">
        <v>1300</v>
      </c>
      <c r="B671" t="s">
        <v>4857</v>
      </c>
      <c r="C671" t="s">
        <v>4858</v>
      </c>
      <c r="D671" t="s">
        <v>4859</v>
      </c>
      <c r="E671" t="s">
        <v>4860</v>
      </c>
      <c r="F671" t="s">
        <v>4861</v>
      </c>
      <c r="G671" t="s">
        <v>1941</v>
      </c>
      <c r="H671">
        <v>29505</v>
      </c>
      <c r="I671" t="s">
        <v>1951</v>
      </c>
    </row>
    <row r="672" spans="1:9" x14ac:dyDescent="0.25">
      <c r="A672" t="s">
        <v>1302</v>
      </c>
      <c r="B672" t="s">
        <v>4862</v>
      </c>
      <c r="C672" t="s">
        <v>4863</v>
      </c>
      <c r="D672" t="s">
        <v>4864</v>
      </c>
      <c r="E672" t="s">
        <v>4865</v>
      </c>
      <c r="F672" t="s">
        <v>4866</v>
      </c>
      <c r="G672" t="s">
        <v>1941</v>
      </c>
      <c r="H672">
        <v>13205</v>
      </c>
      <c r="I672" t="s">
        <v>1942</v>
      </c>
    </row>
    <row r="673" spans="1:9" x14ac:dyDescent="0.25">
      <c r="A673" t="s">
        <v>1304</v>
      </c>
      <c r="B673" t="s">
        <v>4867</v>
      </c>
      <c r="C673" t="s">
        <v>4868</v>
      </c>
      <c r="D673" t="s">
        <v>4869</v>
      </c>
      <c r="E673" t="s">
        <v>4870</v>
      </c>
      <c r="F673" t="s">
        <v>3682</v>
      </c>
      <c r="G673" t="s">
        <v>1941</v>
      </c>
      <c r="H673">
        <v>30245</v>
      </c>
      <c r="I673" t="s">
        <v>1951</v>
      </c>
    </row>
    <row r="674" spans="1:9" x14ac:dyDescent="0.25">
      <c r="A674" t="s">
        <v>1306</v>
      </c>
      <c r="B674" t="s">
        <v>4871</v>
      </c>
      <c r="C674" t="s">
        <v>4872</v>
      </c>
      <c r="E674" t="s">
        <v>4873</v>
      </c>
      <c r="F674" t="s">
        <v>2027</v>
      </c>
      <c r="G674" t="s">
        <v>1941</v>
      </c>
      <c r="H674">
        <v>77070</v>
      </c>
      <c r="I674" t="s">
        <v>1942</v>
      </c>
    </row>
    <row r="675" spans="1:9" x14ac:dyDescent="0.25">
      <c r="A675" t="s">
        <v>1308</v>
      </c>
      <c r="B675" t="s">
        <v>4874</v>
      </c>
      <c r="C675" t="s">
        <v>4875</v>
      </c>
      <c r="D675" t="s">
        <v>4876</v>
      </c>
      <c r="E675" t="s">
        <v>4877</v>
      </c>
      <c r="F675" t="s">
        <v>2375</v>
      </c>
      <c r="G675" t="s">
        <v>1941</v>
      </c>
      <c r="H675">
        <v>66160</v>
      </c>
      <c r="I675" t="s">
        <v>1942</v>
      </c>
    </row>
    <row r="676" spans="1:9" x14ac:dyDescent="0.25">
      <c r="A676" t="s">
        <v>1310</v>
      </c>
      <c r="B676" t="s">
        <v>4878</v>
      </c>
      <c r="C676" t="s">
        <v>4879</v>
      </c>
      <c r="D676" t="s">
        <v>4880</v>
      </c>
      <c r="E676" t="s">
        <v>4881</v>
      </c>
      <c r="F676" t="s">
        <v>4882</v>
      </c>
      <c r="G676" t="s">
        <v>1941</v>
      </c>
      <c r="H676">
        <v>34282</v>
      </c>
      <c r="I676" t="s">
        <v>1942</v>
      </c>
    </row>
    <row r="677" spans="1:9" x14ac:dyDescent="0.25">
      <c r="A677" t="s">
        <v>1312</v>
      </c>
      <c r="B677" t="s">
        <v>4883</v>
      </c>
      <c r="D677" t="s">
        <v>4884</v>
      </c>
      <c r="E677" t="s">
        <v>4885</v>
      </c>
      <c r="F677" t="s">
        <v>4886</v>
      </c>
      <c r="G677" t="s">
        <v>1941</v>
      </c>
      <c r="H677">
        <v>18105</v>
      </c>
      <c r="I677" t="s">
        <v>1942</v>
      </c>
    </row>
    <row r="678" spans="1:9" x14ac:dyDescent="0.25">
      <c r="A678" t="s">
        <v>1314</v>
      </c>
      <c r="B678" t="s">
        <v>4887</v>
      </c>
      <c r="D678" t="s">
        <v>4888</v>
      </c>
      <c r="E678" t="s">
        <v>4889</v>
      </c>
      <c r="F678" t="s">
        <v>4890</v>
      </c>
      <c r="G678" t="s">
        <v>1941</v>
      </c>
      <c r="H678">
        <v>23663</v>
      </c>
      <c r="I678" t="s">
        <v>1951</v>
      </c>
    </row>
    <row r="679" spans="1:9" x14ac:dyDescent="0.25">
      <c r="A679" t="s">
        <v>1316</v>
      </c>
      <c r="B679" t="s">
        <v>4891</v>
      </c>
      <c r="C679" t="s">
        <v>4892</v>
      </c>
      <c r="D679" t="s">
        <v>4893</v>
      </c>
      <c r="E679" t="s">
        <v>4894</v>
      </c>
      <c r="F679" t="s">
        <v>3749</v>
      </c>
      <c r="G679" t="s">
        <v>1949</v>
      </c>
      <c r="H679" t="s">
        <v>3750</v>
      </c>
      <c r="I679" t="s">
        <v>1951</v>
      </c>
    </row>
    <row r="680" spans="1:9" x14ac:dyDescent="0.25">
      <c r="A680" t="s">
        <v>1318</v>
      </c>
      <c r="B680" t="s">
        <v>4895</v>
      </c>
      <c r="C680" t="s">
        <v>4896</v>
      </c>
      <c r="D680" t="s">
        <v>4897</v>
      </c>
      <c r="E680" t="s">
        <v>4898</v>
      </c>
      <c r="F680" t="s">
        <v>4899</v>
      </c>
      <c r="G680" t="s">
        <v>1941</v>
      </c>
      <c r="H680">
        <v>67260</v>
      </c>
      <c r="I680" t="s">
        <v>1942</v>
      </c>
    </row>
    <row r="681" spans="1:9" x14ac:dyDescent="0.25">
      <c r="A681" t="s">
        <v>1320</v>
      </c>
      <c r="B681" t="s">
        <v>4900</v>
      </c>
      <c r="C681" t="s">
        <v>4901</v>
      </c>
      <c r="D681" t="s">
        <v>4902</v>
      </c>
      <c r="E681" t="s">
        <v>4903</v>
      </c>
      <c r="F681" t="s">
        <v>4769</v>
      </c>
      <c r="G681" t="s">
        <v>2116</v>
      </c>
      <c r="H681" t="s">
        <v>4770</v>
      </c>
      <c r="I681" t="s">
        <v>1951</v>
      </c>
    </row>
    <row r="682" spans="1:9" x14ac:dyDescent="0.25">
      <c r="A682" t="s">
        <v>1322</v>
      </c>
      <c r="B682" t="s">
        <v>4904</v>
      </c>
      <c r="C682" t="s">
        <v>4905</v>
      </c>
      <c r="E682" t="s">
        <v>4906</v>
      </c>
      <c r="F682" t="s">
        <v>3283</v>
      </c>
      <c r="G682" t="s">
        <v>1941</v>
      </c>
      <c r="H682">
        <v>6816</v>
      </c>
      <c r="I682" t="s">
        <v>1951</v>
      </c>
    </row>
    <row r="683" spans="1:9" x14ac:dyDescent="0.25">
      <c r="A683" t="s">
        <v>1324</v>
      </c>
      <c r="B683" t="s">
        <v>4907</v>
      </c>
      <c r="C683" t="s">
        <v>4908</v>
      </c>
      <c r="D683" t="s">
        <v>4909</v>
      </c>
      <c r="E683" t="s">
        <v>4910</v>
      </c>
      <c r="F683" t="s">
        <v>2199</v>
      </c>
      <c r="G683" t="s">
        <v>2116</v>
      </c>
      <c r="H683" t="s">
        <v>2200</v>
      </c>
      <c r="I683" t="s">
        <v>1942</v>
      </c>
    </row>
    <row r="684" spans="1:9" x14ac:dyDescent="0.25">
      <c r="A684" t="s">
        <v>1326</v>
      </c>
      <c r="B684" t="s">
        <v>4911</v>
      </c>
      <c r="C684" t="s">
        <v>4912</v>
      </c>
      <c r="D684" t="s">
        <v>4913</v>
      </c>
      <c r="E684" t="s">
        <v>4914</v>
      </c>
      <c r="F684" t="s">
        <v>3488</v>
      </c>
      <c r="G684" t="s">
        <v>1941</v>
      </c>
      <c r="H684">
        <v>32209</v>
      </c>
      <c r="I684" t="s">
        <v>1942</v>
      </c>
    </row>
    <row r="685" spans="1:9" x14ac:dyDescent="0.25">
      <c r="A685" t="s">
        <v>1328</v>
      </c>
      <c r="B685" t="s">
        <v>4915</v>
      </c>
      <c r="C685" t="s">
        <v>4916</v>
      </c>
      <c r="D685" t="s">
        <v>4917</v>
      </c>
      <c r="E685" t="s">
        <v>4918</v>
      </c>
      <c r="F685" t="s">
        <v>2027</v>
      </c>
      <c r="G685" t="s">
        <v>1941</v>
      </c>
      <c r="H685">
        <v>77299</v>
      </c>
      <c r="I685" t="s">
        <v>1951</v>
      </c>
    </row>
    <row r="686" spans="1:9" x14ac:dyDescent="0.25">
      <c r="A686" t="s">
        <v>1330</v>
      </c>
      <c r="B686" t="s">
        <v>4919</v>
      </c>
      <c r="D686" t="s">
        <v>4920</v>
      </c>
      <c r="E686" t="s">
        <v>4921</v>
      </c>
      <c r="F686" t="s">
        <v>2022</v>
      </c>
      <c r="G686" t="s">
        <v>1941</v>
      </c>
      <c r="H686">
        <v>97255</v>
      </c>
      <c r="I686" t="s">
        <v>1951</v>
      </c>
    </row>
    <row r="687" spans="1:9" x14ac:dyDescent="0.25">
      <c r="A687" t="s">
        <v>1332</v>
      </c>
      <c r="B687" t="s">
        <v>4922</v>
      </c>
      <c r="C687" t="s">
        <v>4923</v>
      </c>
      <c r="D687" t="s">
        <v>4924</v>
      </c>
      <c r="E687" t="s">
        <v>4925</v>
      </c>
      <c r="F687" t="s">
        <v>2947</v>
      </c>
      <c r="G687" t="s">
        <v>1941</v>
      </c>
      <c r="H687">
        <v>91186</v>
      </c>
      <c r="I687" t="s">
        <v>1942</v>
      </c>
    </row>
    <row r="688" spans="1:9" x14ac:dyDescent="0.25">
      <c r="A688" t="s">
        <v>1334</v>
      </c>
      <c r="B688" t="s">
        <v>4926</v>
      </c>
      <c r="C688" t="s">
        <v>4927</v>
      </c>
      <c r="D688" t="s">
        <v>4928</v>
      </c>
      <c r="E688" t="s">
        <v>4929</v>
      </c>
      <c r="F688" t="s">
        <v>2572</v>
      </c>
      <c r="G688" t="s">
        <v>1941</v>
      </c>
      <c r="H688">
        <v>92725</v>
      </c>
      <c r="I688" t="s">
        <v>1942</v>
      </c>
    </row>
    <row r="689" spans="1:9" x14ac:dyDescent="0.25">
      <c r="A689" t="s">
        <v>1336</v>
      </c>
      <c r="B689" t="s">
        <v>4930</v>
      </c>
      <c r="C689" t="s">
        <v>4931</v>
      </c>
      <c r="D689" t="s">
        <v>4932</v>
      </c>
      <c r="E689" t="s">
        <v>4933</v>
      </c>
      <c r="F689" t="s">
        <v>1995</v>
      </c>
      <c r="G689" t="s">
        <v>1941</v>
      </c>
      <c r="H689">
        <v>95160</v>
      </c>
      <c r="I689" t="s">
        <v>1951</v>
      </c>
    </row>
    <row r="690" spans="1:9" x14ac:dyDescent="0.25">
      <c r="A690" t="s">
        <v>1338</v>
      </c>
      <c r="B690" t="s">
        <v>4934</v>
      </c>
      <c r="C690" t="s">
        <v>4935</v>
      </c>
      <c r="D690" t="s">
        <v>4936</v>
      </c>
      <c r="E690" t="s">
        <v>4937</v>
      </c>
      <c r="F690" t="s">
        <v>4938</v>
      </c>
      <c r="G690" t="s">
        <v>1949</v>
      </c>
      <c r="H690" t="s">
        <v>2043</v>
      </c>
      <c r="I690" t="s">
        <v>1951</v>
      </c>
    </row>
    <row r="691" spans="1:9" x14ac:dyDescent="0.25">
      <c r="A691" t="s">
        <v>1340</v>
      </c>
      <c r="B691" t="s">
        <v>4939</v>
      </c>
      <c r="C691" t="s">
        <v>4940</v>
      </c>
      <c r="D691" t="s">
        <v>4941</v>
      </c>
      <c r="E691" t="s">
        <v>4942</v>
      </c>
      <c r="F691" t="s">
        <v>2340</v>
      </c>
      <c r="G691" t="s">
        <v>1941</v>
      </c>
      <c r="H691">
        <v>80935</v>
      </c>
      <c r="I691" t="s">
        <v>1951</v>
      </c>
    </row>
    <row r="692" spans="1:9" x14ac:dyDescent="0.25">
      <c r="A692" t="s">
        <v>1342</v>
      </c>
      <c r="B692" t="s">
        <v>4943</v>
      </c>
      <c r="E692" t="s">
        <v>4944</v>
      </c>
      <c r="F692" t="s">
        <v>2211</v>
      </c>
      <c r="G692" t="s">
        <v>1941</v>
      </c>
      <c r="H692">
        <v>43605</v>
      </c>
      <c r="I692" t="s">
        <v>1951</v>
      </c>
    </row>
    <row r="693" spans="1:9" x14ac:dyDescent="0.25">
      <c r="A693" t="s">
        <v>4945</v>
      </c>
      <c r="B693" t="s">
        <v>4946</v>
      </c>
      <c r="C693" t="s">
        <v>4947</v>
      </c>
      <c r="D693" t="s">
        <v>4948</v>
      </c>
      <c r="E693" t="s">
        <v>4949</v>
      </c>
      <c r="F693" t="s">
        <v>3442</v>
      </c>
      <c r="G693" t="s">
        <v>1941</v>
      </c>
      <c r="H693">
        <v>33436</v>
      </c>
      <c r="I693" t="s">
        <v>1942</v>
      </c>
    </row>
    <row r="694" spans="1:9" x14ac:dyDescent="0.25">
      <c r="A694" t="s">
        <v>1346</v>
      </c>
      <c r="B694" t="s">
        <v>4950</v>
      </c>
      <c r="C694" t="s">
        <v>4951</v>
      </c>
      <c r="D694" t="s">
        <v>4952</v>
      </c>
      <c r="E694" t="s">
        <v>4953</v>
      </c>
      <c r="F694" t="s">
        <v>3037</v>
      </c>
      <c r="G694" t="s">
        <v>1941</v>
      </c>
      <c r="H694">
        <v>45999</v>
      </c>
      <c r="I694" t="s">
        <v>1951</v>
      </c>
    </row>
    <row r="695" spans="1:9" x14ac:dyDescent="0.25">
      <c r="A695" t="s">
        <v>1348</v>
      </c>
      <c r="B695" t="s">
        <v>4954</v>
      </c>
      <c r="C695" t="s">
        <v>4955</v>
      </c>
      <c r="D695" t="s">
        <v>4956</v>
      </c>
      <c r="E695" t="s">
        <v>4957</v>
      </c>
      <c r="F695" t="s">
        <v>2013</v>
      </c>
      <c r="G695" t="s">
        <v>1941</v>
      </c>
      <c r="H695">
        <v>63121</v>
      </c>
      <c r="I695" t="s">
        <v>1942</v>
      </c>
    </row>
    <row r="696" spans="1:9" x14ac:dyDescent="0.25">
      <c r="A696" t="s">
        <v>1350</v>
      </c>
      <c r="B696" t="s">
        <v>4958</v>
      </c>
      <c r="C696" t="s">
        <v>4959</v>
      </c>
      <c r="D696" t="s">
        <v>4960</v>
      </c>
      <c r="E696" t="s">
        <v>4961</v>
      </c>
      <c r="F696" t="s">
        <v>4962</v>
      </c>
      <c r="G696" t="s">
        <v>1941</v>
      </c>
      <c r="H696">
        <v>10705</v>
      </c>
      <c r="I696" t="s">
        <v>1951</v>
      </c>
    </row>
    <row r="697" spans="1:9" x14ac:dyDescent="0.25">
      <c r="A697" t="s">
        <v>1352</v>
      </c>
      <c r="B697" t="s">
        <v>4963</v>
      </c>
      <c r="C697" t="s">
        <v>4964</v>
      </c>
      <c r="D697" t="s">
        <v>4965</v>
      </c>
      <c r="E697" t="s">
        <v>4966</v>
      </c>
      <c r="F697" t="s">
        <v>3316</v>
      </c>
      <c r="G697" t="s">
        <v>1941</v>
      </c>
      <c r="H697">
        <v>21290</v>
      </c>
      <c r="I697" t="s">
        <v>1942</v>
      </c>
    </row>
    <row r="698" spans="1:9" x14ac:dyDescent="0.25">
      <c r="A698" t="s">
        <v>1354</v>
      </c>
      <c r="B698" t="s">
        <v>4967</v>
      </c>
      <c r="C698" t="s">
        <v>4968</v>
      </c>
      <c r="D698" t="s">
        <v>4969</v>
      </c>
      <c r="E698" t="s">
        <v>4970</v>
      </c>
      <c r="F698" t="s">
        <v>3488</v>
      </c>
      <c r="G698" t="s">
        <v>1941</v>
      </c>
      <c r="H698">
        <v>32230</v>
      </c>
      <c r="I698" t="s">
        <v>1951</v>
      </c>
    </row>
    <row r="699" spans="1:9" x14ac:dyDescent="0.25">
      <c r="A699" t="s">
        <v>1356</v>
      </c>
      <c r="B699" t="s">
        <v>4971</v>
      </c>
      <c r="E699" t="s">
        <v>4972</v>
      </c>
      <c r="F699" t="s">
        <v>4973</v>
      </c>
      <c r="G699" t="s">
        <v>1949</v>
      </c>
      <c r="H699" t="s">
        <v>4974</v>
      </c>
      <c r="I699" t="s">
        <v>1951</v>
      </c>
    </row>
    <row r="700" spans="1:9" x14ac:dyDescent="0.25">
      <c r="A700" t="s">
        <v>1344</v>
      </c>
      <c r="B700" t="s">
        <v>4975</v>
      </c>
      <c r="C700" t="s">
        <v>4976</v>
      </c>
      <c r="D700" t="s">
        <v>4977</v>
      </c>
      <c r="E700" t="s">
        <v>4978</v>
      </c>
      <c r="F700" t="s">
        <v>2366</v>
      </c>
      <c r="G700" t="s">
        <v>1949</v>
      </c>
      <c r="H700" t="s">
        <v>2545</v>
      </c>
      <c r="I700" t="s">
        <v>1951</v>
      </c>
    </row>
    <row r="701" spans="1:9" x14ac:dyDescent="0.25">
      <c r="A701" t="s">
        <v>1359</v>
      </c>
      <c r="B701" t="s">
        <v>4979</v>
      </c>
      <c r="C701" t="s">
        <v>4980</v>
      </c>
      <c r="D701" t="s">
        <v>4981</v>
      </c>
      <c r="E701" t="s">
        <v>4982</v>
      </c>
      <c r="F701" t="s">
        <v>3581</v>
      </c>
      <c r="G701" t="s">
        <v>1941</v>
      </c>
      <c r="H701">
        <v>33196</v>
      </c>
      <c r="I701" t="s">
        <v>1942</v>
      </c>
    </row>
    <row r="702" spans="1:9" x14ac:dyDescent="0.25">
      <c r="A702" t="s">
        <v>1361</v>
      </c>
      <c r="B702" t="s">
        <v>4983</v>
      </c>
      <c r="C702" t="s">
        <v>4984</v>
      </c>
      <c r="E702" t="s">
        <v>4985</v>
      </c>
      <c r="F702" t="s">
        <v>3090</v>
      </c>
      <c r="G702" t="s">
        <v>1941</v>
      </c>
      <c r="H702">
        <v>94121</v>
      </c>
      <c r="I702" t="s">
        <v>1951</v>
      </c>
    </row>
    <row r="703" spans="1:9" x14ac:dyDescent="0.25">
      <c r="A703" t="s">
        <v>1363</v>
      </c>
      <c r="B703" t="s">
        <v>4986</v>
      </c>
      <c r="C703" t="s">
        <v>4987</v>
      </c>
      <c r="D703" t="s">
        <v>4988</v>
      </c>
      <c r="E703" t="s">
        <v>4989</v>
      </c>
      <c r="F703" t="s">
        <v>3402</v>
      </c>
      <c r="G703" t="s">
        <v>1949</v>
      </c>
      <c r="H703" t="s">
        <v>2083</v>
      </c>
      <c r="I703" t="s">
        <v>1942</v>
      </c>
    </row>
    <row r="704" spans="1:9" x14ac:dyDescent="0.25">
      <c r="A704" t="s">
        <v>1365</v>
      </c>
      <c r="B704" t="s">
        <v>4990</v>
      </c>
      <c r="C704" t="s">
        <v>4991</v>
      </c>
      <c r="E704" t="s">
        <v>4992</v>
      </c>
      <c r="F704" t="s">
        <v>2053</v>
      </c>
      <c r="G704" t="s">
        <v>1941</v>
      </c>
      <c r="H704">
        <v>33982</v>
      </c>
      <c r="I704" t="s">
        <v>1942</v>
      </c>
    </row>
    <row r="705" spans="1:9" x14ac:dyDescent="0.25">
      <c r="A705" t="s">
        <v>1367</v>
      </c>
      <c r="B705" t="s">
        <v>4993</v>
      </c>
      <c r="D705" t="s">
        <v>4994</v>
      </c>
      <c r="E705" t="s">
        <v>4995</v>
      </c>
      <c r="F705" t="s">
        <v>2600</v>
      </c>
      <c r="G705" t="s">
        <v>1949</v>
      </c>
      <c r="H705" t="s">
        <v>2545</v>
      </c>
      <c r="I705" t="s">
        <v>1942</v>
      </c>
    </row>
    <row r="706" spans="1:9" x14ac:dyDescent="0.25">
      <c r="A706" t="s">
        <v>1369</v>
      </c>
      <c r="B706" t="s">
        <v>4996</v>
      </c>
      <c r="D706" t="s">
        <v>4997</v>
      </c>
      <c r="E706" t="s">
        <v>4998</v>
      </c>
      <c r="F706" t="s">
        <v>2037</v>
      </c>
      <c r="G706" t="s">
        <v>1941</v>
      </c>
      <c r="H706">
        <v>10125</v>
      </c>
      <c r="I706" t="s">
        <v>1942</v>
      </c>
    </row>
    <row r="707" spans="1:9" x14ac:dyDescent="0.25">
      <c r="A707" t="s">
        <v>1371</v>
      </c>
      <c r="B707" t="s">
        <v>4999</v>
      </c>
      <c r="C707" t="s">
        <v>5000</v>
      </c>
      <c r="D707" t="s">
        <v>5001</v>
      </c>
      <c r="E707" t="s">
        <v>5002</v>
      </c>
      <c r="F707" t="s">
        <v>2886</v>
      </c>
      <c r="G707" t="s">
        <v>1941</v>
      </c>
      <c r="H707">
        <v>29305</v>
      </c>
      <c r="I707" t="s">
        <v>1951</v>
      </c>
    </row>
    <row r="708" spans="1:9" x14ac:dyDescent="0.25">
      <c r="A708" t="s">
        <v>1373</v>
      </c>
      <c r="B708" t="s">
        <v>5003</v>
      </c>
      <c r="C708" t="s">
        <v>5004</v>
      </c>
      <c r="D708" t="s">
        <v>5005</v>
      </c>
      <c r="E708" t="s">
        <v>5006</v>
      </c>
      <c r="F708" t="s">
        <v>5007</v>
      </c>
      <c r="G708" t="s">
        <v>1941</v>
      </c>
      <c r="H708">
        <v>93305</v>
      </c>
      <c r="I708" t="s">
        <v>1951</v>
      </c>
    </row>
    <row r="709" spans="1:9" x14ac:dyDescent="0.25">
      <c r="A709" t="s">
        <v>1375</v>
      </c>
      <c r="B709" t="s">
        <v>5008</v>
      </c>
      <c r="D709" t="s">
        <v>5009</v>
      </c>
      <c r="E709" t="s">
        <v>5010</v>
      </c>
      <c r="F709" t="s">
        <v>5011</v>
      </c>
      <c r="G709" t="s">
        <v>1949</v>
      </c>
      <c r="H709" t="s">
        <v>3913</v>
      </c>
      <c r="I709" t="s">
        <v>1951</v>
      </c>
    </row>
    <row r="710" spans="1:9" x14ac:dyDescent="0.25">
      <c r="A710" t="s">
        <v>1377</v>
      </c>
      <c r="B710" t="s">
        <v>5012</v>
      </c>
      <c r="C710" t="s">
        <v>5013</v>
      </c>
      <c r="D710" t="s">
        <v>5014</v>
      </c>
      <c r="E710" t="s">
        <v>5015</v>
      </c>
      <c r="F710" t="s">
        <v>2013</v>
      </c>
      <c r="G710" t="s">
        <v>1941</v>
      </c>
      <c r="H710">
        <v>63169</v>
      </c>
      <c r="I710" t="s">
        <v>1942</v>
      </c>
    </row>
    <row r="711" spans="1:9" x14ac:dyDescent="0.25">
      <c r="A711" t="s">
        <v>1379</v>
      </c>
      <c r="B711" t="s">
        <v>5016</v>
      </c>
      <c r="D711" t="s">
        <v>5017</v>
      </c>
      <c r="E711" t="s">
        <v>5018</v>
      </c>
      <c r="F711" t="s">
        <v>2238</v>
      </c>
      <c r="G711" t="s">
        <v>1941</v>
      </c>
      <c r="H711">
        <v>46896</v>
      </c>
      <c r="I711" t="s">
        <v>1942</v>
      </c>
    </row>
    <row r="712" spans="1:9" x14ac:dyDescent="0.25">
      <c r="A712" t="s">
        <v>1381</v>
      </c>
      <c r="B712" t="s">
        <v>5019</v>
      </c>
      <c r="C712" t="s">
        <v>5020</v>
      </c>
      <c r="D712" t="s">
        <v>5021</v>
      </c>
      <c r="E712" t="s">
        <v>5022</v>
      </c>
      <c r="F712" t="s">
        <v>5023</v>
      </c>
      <c r="G712" t="s">
        <v>1941</v>
      </c>
      <c r="H712">
        <v>55564</v>
      </c>
      <c r="I712" t="s">
        <v>1951</v>
      </c>
    </row>
    <row r="713" spans="1:9" x14ac:dyDescent="0.25">
      <c r="A713" t="s">
        <v>1383</v>
      </c>
      <c r="B713" t="s">
        <v>5024</v>
      </c>
      <c r="C713" t="s">
        <v>5025</v>
      </c>
      <c r="D713" t="s">
        <v>5026</v>
      </c>
      <c r="E713" t="s">
        <v>5027</v>
      </c>
      <c r="F713" t="s">
        <v>5028</v>
      </c>
      <c r="G713" t="s">
        <v>1941</v>
      </c>
      <c r="H713">
        <v>72905</v>
      </c>
      <c r="I713" t="s">
        <v>1951</v>
      </c>
    </row>
    <row r="714" spans="1:9" x14ac:dyDescent="0.25">
      <c r="A714" t="s">
        <v>1385</v>
      </c>
      <c r="B714" t="s">
        <v>5029</v>
      </c>
      <c r="E714" t="s">
        <v>5030</v>
      </c>
      <c r="F714" t="s">
        <v>3563</v>
      </c>
      <c r="G714" t="s">
        <v>2116</v>
      </c>
      <c r="H714" t="s">
        <v>3564</v>
      </c>
      <c r="I714" t="s">
        <v>1951</v>
      </c>
    </row>
    <row r="715" spans="1:9" x14ac:dyDescent="0.25">
      <c r="A715" t="s">
        <v>1387</v>
      </c>
      <c r="B715" t="s">
        <v>5031</v>
      </c>
      <c r="C715" t="s">
        <v>5032</v>
      </c>
      <c r="D715" t="s">
        <v>5033</v>
      </c>
      <c r="E715" t="s">
        <v>5034</v>
      </c>
      <c r="F715" t="s">
        <v>2419</v>
      </c>
      <c r="G715" t="s">
        <v>1941</v>
      </c>
      <c r="H715">
        <v>95210</v>
      </c>
      <c r="I715" t="s">
        <v>1951</v>
      </c>
    </row>
    <row r="716" spans="1:9" x14ac:dyDescent="0.25">
      <c r="A716" t="s">
        <v>1389</v>
      </c>
      <c r="B716" t="s">
        <v>5035</v>
      </c>
      <c r="C716" t="s">
        <v>5036</v>
      </c>
      <c r="D716" t="s">
        <v>5037</v>
      </c>
      <c r="E716" t="s">
        <v>5038</v>
      </c>
      <c r="F716" t="s">
        <v>5039</v>
      </c>
      <c r="G716" t="s">
        <v>1949</v>
      </c>
      <c r="H716" t="s">
        <v>2536</v>
      </c>
      <c r="I716" t="s">
        <v>1942</v>
      </c>
    </row>
    <row r="717" spans="1:9" x14ac:dyDescent="0.25">
      <c r="A717" t="s">
        <v>1391</v>
      </c>
      <c r="B717" t="s">
        <v>5040</v>
      </c>
      <c r="C717" t="s">
        <v>5041</v>
      </c>
      <c r="E717" t="s">
        <v>5042</v>
      </c>
      <c r="F717" t="s">
        <v>2220</v>
      </c>
      <c r="G717" t="s">
        <v>1941</v>
      </c>
      <c r="H717">
        <v>33686</v>
      </c>
      <c r="I717" t="s">
        <v>1951</v>
      </c>
    </row>
    <row r="718" spans="1:9" x14ac:dyDescent="0.25">
      <c r="A718" t="s">
        <v>5043</v>
      </c>
      <c r="B718" t="s">
        <v>5044</v>
      </c>
      <c r="C718" t="s">
        <v>5045</v>
      </c>
      <c r="D718" t="s">
        <v>5046</v>
      </c>
      <c r="E718" t="s">
        <v>5047</v>
      </c>
      <c r="F718" t="s">
        <v>2725</v>
      </c>
      <c r="G718" t="s">
        <v>1949</v>
      </c>
      <c r="H718" t="s">
        <v>2726</v>
      </c>
      <c r="I718" t="s">
        <v>1951</v>
      </c>
    </row>
    <row r="719" spans="1:9" x14ac:dyDescent="0.25">
      <c r="A719" t="s">
        <v>1394</v>
      </c>
      <c r="B719" t="s">
        <v>5048</v>
      </c>
      <c r="C719" t="s">
        <v>5049</v>
      </c>
      <c r="D719" t="s">
        <v>5050</v>
      </c>
      <c r="E719" t="s">
        <v>5051</v>
      </c>
      <c r="F719" t="s">
        <v>2017</v>
      </c>
      <c r="G719" t="s">
        <v>1941</v>
      </c>
      <c r="H719">
        <v>19104</v>
      </c>
      <c r="I719" t="s">
        <v>1951</v>
      </c>
    </row>
    <row r="720" spans="1:9" x14ac:dyDescent="0.25">
      <c r="A720" t="s">
        <v>1396</v>
      </c>
      <c r="B720" t="s">
        <v>5052</v>
      </c>
      <c r="C720" t="s">
        <v>5053</v>
      </c>
      <c r="D720" t="s">
        <v>5054</v>
      </c>
      <c r="E720" t="s">
        <v>5055</v>
      </c>
      <c r="F720" t="s">
        <v>4760</v>
      </c>
      <c r="G720" t="s">
        <v>1941</v>
      </c>
      <c r="H720">
        <v>76905</v>
      </c>
      <c r="I720" t="s">
        <v>1951</v>
      </c>
    </row>
    <row r="721" spans="1:9" x14ac:dyDescent="0.25">
      <c r="A721" t="s">
        <v>1398</v>
      </c>
      <c r="B721" t="s">
        <v>5056</v>
      </c>
      <c r="C721" t="s">
        <v>5057</v>
      </c>
      <c r="D721" t="s">
        <v>5058</v>
      </c>
      <c r="E721" t="s">
        <v>5059</v>
      </c>
      <c r="F721" t="s">
        <v>1986</v>
      </c>
      <c r="G721" t="s">
        <v>1941</v>
      </c>
      <c r="H721">
        <v>90035</v>
      </c>
      <c r="I721" t="s">
        <v>1942</v>
      </c>
    </row>
    <row r="722" spans="1:9" x14ac:dyDescent="0.25">
      <c r="A722" t="s">
        <v>1400</v>
      </c>
      <c r="B722" t="s">
        <v>5060</v>
      </c>
      <c r="C722" t="s">
        <v>5061</v>
      </c>
      <c r="D722" t="s">
        <v>5062</v>
      </c>
      <c r="E722" t="s">
        <v>5063</v>
      </c>
      <c r="F722" t="s">
        <v>2800</v>
      </c>
      <c r="G722" t="s">
        <v>1941</v>
      </c>
      <c r="H722">
        <v>48912</v>
      </c>
      <c r="I722" t="s">
        <v>1942</v>
      </c>
    </row>
    <row r="723" spans="1:9" x14ac:dyDescent="0.25">
      <c r="A723" t="s">
        <v>1402</v>
      </c>
      <c r="B723" t="s">
        <v>5064</v>
      </c>
      <c r="C723" t="s">
        <v>5065</v>
      </c>
      <c r="D723" t="s">
        <v>5066</v>
      </c>
      <c r="E723" t="s">
        <v>5067</v>
      </c>
      <c r="F723" t="s">
        <v>2713</v>
      </c>
      <c r="G723" t="s">
        <v>1941</v>
      </c>
      <c r="H723">
        <v>34615</v>
      </c>
      <c r="I723" t="s">
        <v>1942</v>
      </c>
    </row>
    <row r="724" spans="1:9" x14ac:dyDescent="0.25">
      <c r="A724" t="s">
        <v>1404</v>
      </c>
      <c r="B724" t="s">
        <v>5068</v>
      </c>
      <c r="D724" t="s">
        <v>5069</v>
      </c>
      <c r="E724" t="s">
        <v>5070</v>
      </c>
      <c r="F724" t="s">
        <v>2758</v>
      </c>
      <c r="G724" t="s">
        <v>1941</v>
      </c>
      <c r="H724">
        <v>90605</v>
      </c>
      <c r="I724" t="s">
        <v>1951</v>
      </c>
    </row>
    <row r="725" spans="1:9" x14ac:dyDescent="0.25">
      <c r="A725" t="s">
        <v>1406</v>
      </c>
      <c r="B725" t="s">
        <v>5071</v>
      </c>
      <c r="C725" t="s">
        <v>5072</v>
      </c>
      <c r="D725" t="s">
        <v>5073</v>
      </c>
      <c r="E725" t="s">
        <v>5074</v>
      </c>
      <c r="F725" t="s">
        <v>2355</v>
      </c>
      <c r="G725" t="s">
        <v>1941</v>
      </c>
      <c r="H725">
        <v>93773</v>
      </c>
      <c r="I725" t="s">
        <v>1951</v>
      </c>
    </row>
    <row r="726" spans="1:9" x14ac:dyDescent="0.25">
      <c r="A726" t="s">
        <v>1408</v>
      </c>
      <c r="B726" t="s">
        <v>5075</v>
      </c>
      <c r="D726" t="s">
        <v>5076</v>
      </c>
      <c r="E726" t="s">
        <v>5077</v>
      </c>
      <c r="F726" t="s">
        <v>2037</v>
      </c>
      <c r="G726" t="s">
        <v>1941</v>
      </c>
      <c r="H726">
        <v>10155</v>
      </c>
      <c r="I726" t="s">
        <v>1942</v>
      </c>
    </row>
    <row r="727" spans="1:9" x14ac:dyDescent="0.25">
      <c r="A727" t="s">
        <v>1410</v>
      </c>
      <c r="B727" t="s">
        <v>5078</v>
      </c>
      <c r="C727" t="s">
        <v>5079</v>
      </c>
      <c r="D727" t="s">
        <v>5080</v>
      </c>
      <c r="E727" t="s">
        <v>5081</v>
      </c>
      <c r="F727" t="s">
        <v>2340</v>
      </c>
      <c r="G727" t="s">
        <v>1941</v>
      </c>
      <c r="H727">
        <v>80935</v>
      </c>
      <c r="I727" t="s">
        <v>1951</v>
      </c>
    </row>
    <row r="728" spans="1:9" x14ac:dyDescent="0.25">
      <c r="A728" t="s">
        <v>1412</v>
      </c>
      <c r="B728" t="s">
        <v>5082</v>
      </c>
      <c r="D728" t="s">
        <v>5083</v>
      </c>
      <c r="E728" t="s">
        <v>5084</v>
      </c>
      <c r="F728" t="s">
        <v>5085</v>
      </c>
      <c r="G728" t="s">
        <v>1941</v>
      </c>
      <c r="H728">
        <v>90831</v>
      </c>
      <c r="I728" t="s">
        <v>1951</v>
      </c>
    </row>
    <row r="729" spans="1:9" x14ac:dyDescent="0.25">
      <c r="A729" t="s">
        <v>1414</v>
      </c>
      <c r="B729" t="s">
        <v>5086</v>
      </c>
      <c r="C729" t="s">
        <v>5087</v>
      </c>
      <c r="D729" t="s">
        <v>5088</v>
      </c>
      <c r="E729" t="s">
        <v>5089</v>
      </c>
      <c r="F729" t="s">
        <v>5090</v>
      </c>
      <c r="G729" t="s">
        <v>1949</v>
      </c>
      <c r="H729" t="s">
        <v>5091</v>
      </c>
      <c r="I729" t="s">
        <v>1942</v>
      </c>
    </row>
    <row r="730" spans="1:9" x14ac:dyDescent="0.25">
      <c r="A730" t="s">
        <v>1416</v>
      </c>
      <c r="B730" t="s">
        <v>5092</v>
      </c>
      <c r="C730" t="s">
        <v>5093</v>
      </c>
      <c r="D730" t="s">
        <v>5094</v>
      </c>
      <c r="E730" t="s">
        <v>5095</v>
      </c>
      <c r="F730" t="s">
        <v>2370</v>
      </c>
      <c r="G730" t="s">
        <v>1941</v>
      </c>
      <c r="H730">
        <v>89510</v>
      </c>
      <c r="I730" t="s">
        <v>1942</v>
      </c>
    </row>
    <row r="731" spans="1:9" x14ac:dyDescent="0.25">
      <c r="A731" t="s">
        <v>1418</v>
      </c>
      <c r="B731" t="s">
        <v>5096</v>
      </c>
      <c r="C731" t="s">
        <v>5097</v>
      </c>
      <c r="D731" t="s">
        <v>5098</v>
      </c>
      <c r="E731" t="s">
        <v>5099</v>
      </c>
      <c r="F731" t="s">
        <v>2115</v>
      </c>
      <c r="G731" t="s">
        <v>2116</v>
      </c>
      <c r="H731" t="s">
        <v>2117</v>
      </c>
      <c r="I731" t="s">
        <v>1951</v>
      </c>
    </row>
    <row r="732" spans="1:9" x14ac:dyDescent="0.25">
      <c r="A732" t="s">
        <v>1420</v>
      </c>
      <c r="B732" t="s">
        <v>5100</v>
      </c>
      <c r="C732" t="s">
        <v>5101</v>
      </c>
      <c r="D732" t="s">
        <v>5102</v>
      </c>
      <c r="E732" t="s">
        <v>5103</v>
      </c>
      <c r="F732" t="s">
        <v>3370</v>
      </c>
      <c r="G732" t="s">
        <v>1941</v>
      </c>
      <c r="H732">
        <v>89155</v>
      </c>
      <c r="I732" t="s">
        <v>1951</v>
      </c>
    </row>
    <row r="733" spans="1:9" x14ac:dyDescent="0.25">
      <c r="A733" t="s">
        <v>1422</v>
      </c>
      <c r="B733" t="s">
        <v>5104</v>
      </c>
      <c r="D733" t="s">
        <v>5105</v>
      </c>
      <c r="E733" t="s">
        <v>5106</v>
      </c>
      <c r="F733" t="s">
        <v>5107</v>
      </c>
      <c r="G733" t="s">
        <v>1941</v>
      </c>
      <c r="H733">
        <v>19805</v>
      </c>
      <c r="I733" t="s">
        <v>1942</v>
      </c>
    </row>
    <row r="734" spans="1:9" x14ac:dyDescent="0.25">
      <c r="A734" t="s">
        <v>1424</v>
      </c>
      <c r="B734" t="s">
        <v>5108</v>
      </c>
      <c r="C734" t="s">
        <v>5109</v>
      </c>
      <c r="D734" t="s">
        <v>5110</v>
      </c>
      <c r="E734" t="s">
        <v>5111</v>
      </c>
      <c r="F734" t="s">
        <v>2370</v>
      </c>
      <c r="G734" t="s">
        <v>1941</v>
      </c>
      <c r="H734">
        <v>89550</v>
      </c>
      <c r="I734" t="s">
        <v>1951</v>
      </c>
    </row>
    <row r="735" spans="1:9" x14ac:dyDescent="0.25">
      <c r="A735" t="s">
        <v>1426</v>
      </c>
      <c r="B735" t="s">
        <v>5112</v>
      </c>
      <c r="C735" t="s">
        <v>5113</v>
      </c>
      <c r="D735" t="s">
        <v>5114</v>
      </c>
      <c r="E735" t="s">
        <v>5115</v>
      </c>
      <c r="F735" t="s">
        <v>2439</v>
      </c>
      <c r="G735" t="s">
        <v>1941</v>
      </c>
      <c r="H735">
        <v>35487</v>
      </c>
      <c r="I735" t="s">
        <v>1942</v>
      </c>
    </row>
    <row r="736" spans="1:9" x14ac:dyDescent="0.25">
      <c r="A736" t="s">
        <v>1428</v>
      </c>
      <c r="B736" t="s">
        <v>5116</v>
      </c>
      <c r="D736" t="s">
        <v>5117</v>
      </c>
      <c r="E736" t="s">
        <v>5118</v>
      </c>
      <c r="F736" t="s">
        <v>5119</v>
      </c>
      <c r="G736" t="s">
        <v>1941</v>
      </c>
      <c r="H736">
        <v>92645</v>
      </c>
      <c r="I736" t="s">
        <v>1951</v>
      </c>
    </row>
    <row r="737" spans="1:9" x14ac:dyDescent="0.25">
      <c r="A737" t="s">
        <v>1430</v>
      </c>
      <c r="B737" t="s">
        <v>5120</v>
      </c>
      <c r="C737" t="s">
        <v>5121</v>
      </c>
      <c r="E737" t="s">
        <v>5122</v>
      </c>
      <c r="F737" t="s">
        <v>2988</v>
      </c>
      <c r="G737" t="s">
        <v>1941</v>
      </c>
      <c r="H737">
        <v>66225</v>
      </c>
      <c r="I737" t="s">
        <v>1951</v>
      </c>
    </row>
    <row r="738" spans="1:9" x14ac:dyDescent="0.25">
      <c r="A738" t="s">
        <v>1432</v>
      </c>
      <c r="B738" t="s">
        <v>5123</v>
      </c>
      <c r="C738" t="s">
        <v>5124</v>
      </c>
      <c r="D738" t="s">
        <v>5125</v>
      </c>
      <c r="E738" t="s">
        <v>5126</v>
      </c>
      <c r="F738" t="s">
        <v>2600</v>
      </c>
      <c r="G738" t="s">
        <v>1949</v>
      </c>
      <c r="H738" t="s">
        <v>2545</v>
      </c>
      <c r="I738" t="s">
        <v>1942</v>
      </c>
    </row>
    <row r="739" spans="1:9" x14ac:dyDescent="0.25">
      <c r="A739" t="s">
        <v>1434</v>
      </c>
      <c r="B739" t="s">
        <v>5127</v>
      </c>
      <c r="C739" t="s">
        <v>5128</v>
      </c>
      <c r="D739" t="s">
        <v>5129</v>
      </c>
      <c r="E739" t="s">
        <v>5130</v>
      </c>
      <c r="F739" t="s">
        <v>3037</v>
      </c>
      <c r="G739" t="s">
        <v>1941</v>
      </c>
      <c r="H739">
        <v>45228</v>
      </c>
      <c r="I739" t="s">
        <v>1951</v>
      </c>
    </row>
    <row r="740" spans="1:9" x14ac:dyDescent="0.25">
      <c r="A740" t="s">
        <v>1436</v>
      </c>
      <c r="B740" t="s">
        <v>5131</v>
      </c>
      <c r="C740" t="s">
        <v>5132</v>
      </c>
      <c r="D740" t="s">
        <v>5133</v>
      </c>
      <c r="E740" t="s">
        <v>5134</v>
      </c>
      <c r="F740" t="s">
        <v>2912</v>
      </c>
      <c r="G740" t="s">
        <v>2116</v>
      </c>
      <c r="H740" t="s">
        <v>2913</v>
      </c>
      <c r="I740" t="s">
        <v>1951</v>
      </c>
    </row>
    <row r="741" spans="1:9" x14ac:dyDescent="0.25">
      <c r="A741" t="s">
        <v>5135</v>
      </c>
      <c r="B741" t="s">
        <v>5136</v>
      </c>
      <c r="D741" t="s">
        <v>5137</v>
      </c>
      <c r="E741" t="s">
        <v>5138</v>
      </c>
      <c r="F741" t="s">
        <v>2022</v>
      </c>
      <c r="G741" t="s">
        <v>1941</v>
      </c>
      <c r="H741">
        <v>97296</v>
      </c>
      <c r="I741" t="s">
        <v>1942</v>
      </c>
    </row>
    <row r="742" spans="1:9" x14ac:dyDescent="0.25">
      <c r="A742" t="s">
        <v>1439</v>
      </c>
      <c r="B742" t="s">
        <v>5139</v>
      </c>
      <c r="C742" t="s">
        <v>5140</v>
      </c>
      <c r="D742" t="s">
        <v>5141</v>
      </c>
      <c r="E742" t="s">
        <v>5142</v>
      </c>
      <c r="F742" t="s">
        <v>5011</v>
      </c>
      <c r="G742" t="s">
        <v>1949</v>
      </c>
      <c r="H742" t="s">
        <v>3913</v>
      </c>
      <c r="I742" t="s">
        <v>1951</v>
      </c>
    </row>
    <row r="743" spans="1:9" x14ac:dyDescent="0.25">
      <c r="A743" t="s">
        <v>1441</v>
      </c>
      <c r="B743" t="s">
        <v>5143</v>
      </c>
      <c r="C743" t="s">
        <v>5144</v>
      </c>
      <c r="D743" t="s">
        <v>5145</v>
      </c>
      <c r="E743" t="s">
        <v>5146</v>
      </c>
      <c r="F743" t="s">
        <v>4811</v>
      </c>
      <c r="G743" t="s">
        <v>1941</v>
      </c>
      <c r="H743">
        <v>94089</v>
      </c>
      <c r="I743" t="s">
        <v>1951</v>
      </c>
    </row>
    <row r="744" spans="1:9" x14ac:dyDescent="0.25">
      <c r="A744" t="s">
        <v>1443</v>
      </c>
      <c r="B744" t="s">
        <v>5147</v>
      </c>
      <c r="C744" t="s">
        <v>5148</v>
      </c>
      <c r="D744" t="s">
        <v>5149</v>
      </c>
      <c r="E744" t="s">
        <v>5150</v>
      </c>
      <c r="F744" t="s">
        <v>2845</v>
      </c>
      <c r="G744" t="s">
        <v>1941</v>
      </c>
      <c r="H744">
        <v>38188</v>
      </c>
      <c r="I744" t="s">
        <v>1951</v>
      </c>
    </row>
    <row r="745" spans="1:9" x14ac:dyDescent="0.25">
      <c r="A745" t="s">
        <v>1445</v>
      </c>
      <c r="B745" t="s">
        <v>5151</v>
      </c>
      <c r="C745" t="s">
        <v>5152</v>
      </c>
      <c r="D745" t="s">
        <v>5153</v>
      </c>
      <c r="E745" t="s">
        <v>5154</v>
      </c>
      <c r="F745" t="s">
        <v>4401</v>
      </c>
      <c r="G745" t="s">
        <v>1941</v>
      </c>
      <c r="H745">
        <v>32868</v>
      </c>
      <c r="I745" t="s">
        <v>1951</v>
      </c>
    </row>
    <row r="746" spans="1:9" x14ac:dyDescent="0.25">
      <c r="A746" t="s">
        <v>1447</v>
      </c>
      <c r="B746" t="s">
        <v>5155</v>
      </c>
      <c r="D746" t="s">
        <v>5156</v>
      </c>
      <c r="E746" t="s">
        <v>5157</v>
      </c>
      <c r="F746" t="s">
        <v>2821</v>
      </c>
      <c r="G746" t="s">
        <v>1941</v>
      </c>
      <c r="H746">
        <v>48232</v>
      </c>
      <c r="I746" t="s">
        <v>1942</v>
      </c>
    </row>
    <row r="747" spans="1:9" x14ac:dyDescent="0.25">
      <c r="A747" t="s">
        <v>1449</v>
      </c>
      <c r="B747" t="s">
        <v>5158</v>
      </c>
      <c r="C747" t="s">
        <v>5159</v>
      </c>
      <c r="D747" t="s">
        <v>5160</v>
      </c>
      <c r="E747" t="s">
        <v>5161</v>
      </c>
      <c r="F747" t="s">
        <v>5162</v>
      </c>
      <c r="G747" t="s">
        <v>1949</v>
      </c>
      <c r="H747" t="s">
        <v>5163</v>
      </c>
      <c r="I747" t="s">
        <v>1951</v>
      </c>
    </row>
    <row r="748" spans="1:9" x14ac:dyDescent="0.25">
      <c r="A748" t="s">
        <v>1451</v>
      </c>
      <c r="B748" t="s">
        <v>5164</v>
      </c>
      <c r="C748" t="s">
        <v>5165</v>
      </c>
      <c r="D748" t="s">
        <v>5166</v>
      </c>
      <c r="E748" t="s">
        <v>5167</v>
      </c>
      <c r="F748" t="s">
        <v>5168</v>
      </c>
      <c r="G748" t="s">
        <v>1949</v>
      </c>
      <c r="H748" t="s">
        <v>2726</v>
      </c>
      <c r="I748" t="s">
        <v>1951</v>
      </c>
    </row>
    <row r="749" spans="1:9" x14ac:dyDescent="0.25">
      <c r="A749" t="s">
        <v>1453</v>
      </c>
      <c r="B749" t="s">
        <v>5169</v>
      </c>
      <c r="C749" t="s">
        <v>5170</v>
      </c>
      <c r="D749" t="s">
        <v>5171</v>
      </c>
      <c r="E749" t="s">
        <v>5172</v>
      </c>
      <c r="F749" t="s">
        <v>5173</v>
      </c>
      <c r="G749" t="s">
        <v>1949</v>
      </c>
      <c r="H749" t="s">
        <v>5174</v>
      </c>
      <c r="I749" t="s">
        <v>1942</v>
      </c>
    </row>
    <row r="750" spans="1:9" x14ac:dyDescent="0.25">
      <c r="A750" t="s">
        <v>1455</v>
      </c>
      <c r="B750" t="s">
        <v>5175</v>
      </c>
      <c r="C750" t="s">
        <v>5176</v>
      </c>
      <c r="D750" t="s">
        <v>5177</v>
      </c>
      <c r="E750" t="s">
        <v>5178</v>
      </c>
      <c r="F750" t="s">
        <v>2004</v>
      </c>
      <c r="G750" t="s">
        <v>1941</v>
      </c>
      <c r="H750">
        <v>23203</v>
      </c>
      <c r="I750" t="s">
        <v>1951</v>
      </c>
    </row>
    <row r="751" spans="1:9" x14ac:dyDescent="0.25">
      <c r="A751" t="s">
        <v>1457</v>
      </c>
      <c r="B751" t="s">
        <v>5179</v>
      </c>
      <c r="C751" t="s">
        <v>5180</v>
      </c>
      <c r="D751" t="s">
        <v>5181</v>
      </c>
      <c r="E751" t="s">
        <v>5182</v>
      </c>
      <c r="F751" t="s">
        <v>5183</v>
      </c>
      <c r="G751" t="s">
        <v>1949</v>
      </c>
      <c r="H751" t="s">
        <v>2536</v>
      </c>
      <c r="I751" t="s">
        <v>1942</v>
      </c>
    </row>
    <row r="752" spans="1:9" x14ac:dyDescent="0.25">
      <c r="A752" t="s">
        <v>1459</v>
      </c>
      <c r="B752" t="s">
        <v>5184</v>
      </c>
      <c r="D752" t="s">
        <v>5185</v>
      </c>
      <c r="E752" t="s">
        <v>5186</v>
      </c>
      <c r="F752" t="s">
        <v>2266</v>
      </c>
      <c r="G752" t="s">
        <v>1941</v>
      </c>
      <c r="H752">
        <v>76178</v>
      </c>
      <c r="I752" t="s">
        <v>1942</v>
      </c>
    </row>
    <row r="753" spans="1:9" x14ac:dyDescent="0.25">
      <c r="A753" t="s">
        <v>1461</v>
      </c>
      <c r="B753" t="s">
        <v>5187</v>
      </c>
      <c r="C753" t="s">
        <v>5188</v>
      </c>
      <c r="D753" t="s">
        <v>5189</v>
      </c>
      <c r="E753" t="s">
        <v>5190</v>
      </c>
      <c r="F753" t="s">
        <v>2776</v>
      </c>
      <c r="G753" t="s">
        <v>1941</v>
      </c>
      <c r="H753">
        <v>11254</v>
      </c>
      <c r="I753" t="s">
        <v>1951</v>
      </c>
    </row>
    <row r="754" spans="1:9" x14ac:dyDescent="0.25">
      <c r="A754" t="s">
        <v>1463</v>
      </c>
      <c r="B754" t="s">
        <v>5191</v>
      </c>
      <c r="C754" t="s">
        <v>5192</v>
      </c>
      <c r="D754" t="s">
        <v>5193</v>
      </c>
      <c r="E754" t="s">
        <v>5194</v>
      </c>
      <c r="F754" t="s">
        <v>2266</v>
      </c>
      <c r="G754" t="s">
        <v>1941</v>
      </c>
      <c r="H754">
        <v>76198</v>
      </c>
      <c r="I754" t="s">
        <v>1942</v>
      </c>
    </row>
    <row r="755" spans="1:9" x14ac:dyDescent="0.25">
      <c r="A755" t="s">
        <v>1465</v>
      </c>
      <c r="B755" t="s">
        <v>5195</v>
      </c>
      <c r="C755" t="s">
        <v>5196</v>
      </c>
      <c r="D755" t="s">
        <v>5197</v>
      </c>
      <c r="E755" t="s">
        <v>5198</v>
      </c>
      <c r="F755" t="s">
        <v>3099</v>
      </c>
      <c r="G755" t="s">
        <v>1941</v>
      </c>
      <c r="H755">
        <v>85053</v>
      </c>
      <c r="I755" t="s">
        <v>1951</v>
      </c>
    </row>
    <row r="756" spans="1:9" x14ac:dyDescent="0.25">
      <c r="A756" t="s">
        <v>5199</v>
      </c>
      <c r="B756" t="s">
        <v>5200</v>
      </c>
      <c r="C756" t="s">
        <v>5201</v>
      </c>
      <c r="E756" t="s">
        <v>5202</v>
      </c>
      <c r="F756" t="s">
        <v>2186</v>
      </c>
      <c r="G756" t="s">
        <v>1941</v>
      </c>
      <c r="H756">
        <v>20470</v>
      </c>
      <c r="I756" t="s">
        <v>1951</v>
      </c>
    </row>
    <row r="757" spans="1:9" x14ac:dyDescent="0.25">
      <c r="A757" t="s">
        <v>1468</v>
      </c>
      <c r="B757" t="s">
        <v>5203</v>
      </c>
      <c r="C757" t="s">
        <v>5204</v>
      </c>
      <c r="D757" t="s">
        <v>5205</v>
      </c>
      <c r="E757" t="s">
        <v>5206</v>
      </c>
      <c r="F757" t="s">
        <v>2325</v>
      </c>
      <c r="G757" t="s">
        <v>1941</v>
      </c>
      <c r="H757">
        <v>75287</v>
      </c>
      <c r="I757" t="s">
        <v>1951</v>
      </c>
    </row>
    <row r="758" spans="1:9" x14ac:dyDescent="0.25">
      <c r="A758" t="s">
        <v>1470</v>
      </c>
      <c r="B758" t="s">
        <v>5207</v>
      </c>
      <c r="C758" t="s">
        <v>5208</v>
      </c>
      <c r="D758" t="s">
        <v>5209</v>
      </c>
      <c r="E758" t="s">
        <v>5210</v>
      </c>
      <c r="F758" t="s">
        <v>3687</v>
      </c>
      <c r="G758" t="s">
        <v>1941</v>
      </c>
      <c r="H758">
        <v>28805</v>
      </c>
      <c r="I758" t="s">
        <v>1942</v>
      </c>
    </row>
    <row r="759" spans="1:9" x14ac:dyDescent="0.25">
      <c r="A759" t="s">
        <v>1472</v>
      </c>
      <c r="B759" t="s">
        <v>5211</v>
      </c>
      <c r="C759" t="s">
        <v>5212</v>
      </c>
      <c r="D759" t="s">
        <v>5213</v>
      </c>
      <c r="E759" t="s">
        <v>5214</v>
      </c>
      <c r="F759" t="s">
        <v>5215</v>
      </c>
      <c r="G759" t="s">
        <v>1941</v>
      </c>
      <c r="H759">
        <v>59112</v>
      </c>
      <c r="I759" t="s">
        <v>1942</v>
      </c>
    </row>
    <row r="760" spans="1:9" x14ac:dyDescent="0.25">
      <c r="A760" t="s">
        <v>1474</v>
      </c>
      <c r="B760" t="s">
        <v>5216</v>
      </c>
      <c r="C760" t="s">
        <v>5217</v>
      </c>
      <c r="E760" t="s">
        <v>5218</v>
      </c>
      <c r="F760" t="s">
        <v>2013</v>
      </c>
      <c r="G760" t="s">
        <v>1941</v>
      </c>
      <c r="H760">
        <v>63126</v>
      </c>
      <c r="I760" t="s">
        <v>1951</v>
      </c>
    </row>
    <row r="761" spans="1:9" x14ac:dyDescent="0.25">
      <c r="A761" t="s">
        <v>1476</v>
      </c>
      <c r="B761" t="s">
        <v>5219</v>
      </c>
      <c r="C761" t="s">
        <v>5220</v>
      </c>
      <c r="D761" t="s">
        <v>5221</v>
      </c>
      <c r="E761" t="s">
        <v>5222</v>
      </c>
      <c r="F761" t="s">
        <v>5223</v>
      </c>
      <c r="G761" t="s">
        <v>1941</v>
      </c>
      <c r="H761">
        <v>64054</v>
      </c>
      <c r="I761" t="s">
        <v>1942</v>
      </c>
    </row>
    <row r="762" spans="1:9" x14ac:dyDescent="0.25">
      <c r="A762" t="s">
        <v>1478</v>
      </c>
      <c r="B762" t="s">
        <v>5224</v>
      </c>
      <c r="C762" t="s">
        <v>5225</v>
      </c>
      <c r="E762" t="s">
        <v>5226</v>
      </c>
      <c r="F762" t="s">
        <v>2694</v>
      </c>
      <c r="G762" t="s">
        <v>1941</v>
      </c>
      <c r="H762">
        <v>27404</v>
      </c>
      <c r="I762" t="s">
        <v>1951</v>
      </c>
    </row>
    <row r="763" spans="1:9" x14ac:dyDescent="0.25">
      <c r="A763" t="s">
        <v>1480</v>
      </c>
      <c r="B763" t="s">
        <v>5227</v>
      </c>
      <c r="C763" t="s">
        <v>5228</v>
      </c>
      <c r="E763" t="s">
        <v>5229</v>
      </c>
      <c r="F763" t="s">
        <v>5230</v>
      </c>
      <c r="G763" t="s">
        <v>1941</v>
      </c>
      <c r="H763">
        <v>71213</v>
      </c>
      <c r="I763" t="s">
        <v>1942</v>
      </c>
    </row>
    <row r="764" spans="1:9" x14ac:dyDescent="0.25">
      <c r="A764" t="s">
        <v>1482</v>
      </c>
      <c r="B764" t="s">
        <v>5231</v>
      </c>
      <c r="C764" t="s">
        <v>5232</v>
      </c>
      <c r="D764" t="s">
        <v>5233</v>
      </c>
      <c r="E764" t="s">
        <v>5234</v>
      </c>
      <c r="F764" t="s">
        <v>4422</v>
      </c>
      <c r="G764" t="s">
        <v>2116</v>
      </c>
      <c r="H764" t="s">
        <v>4423</v>
      </c>
      <c r="I764" t="s">
        <v>1951</v>
      </c>
    </row>
    <row r="765" spans="1:9" x14ac:dyDescent="0.25">
      <c r="A765" t="s">
        <v>1484</v>
      </c>
      <c r="B765" t="s">
        <v>5235</v>
      </c>
      <c r="D765" t="s">
        <v>5236</v>
      </c>
      <c r="E765" t="s">
        <v>5237</v>
      </c>
      <c r="F765" t="s">
        <v>2266</v>
      </c>
      <c r="G765" t="s">
        <v>1941</v>
      </c>
      <c r="H765">
        <v>76129</v>
      </c>
      <c r="I765" t="s">
        <v>1951</v>
      </c>
    </row>
    <row r="766" spans="1:9" x14ac:dyDescent="0.25">
      <c r="A766" t="s">
        <v>1486</v>
      </c>
      <c r="B766" t="s">
        <v>5238</v>
      </c>
      <c r="C766" t="s">
        <v>5239</v>
      </c>
      <c r="D766" t="s">
        <v>5240</v>
      </c>
      <c r="E766" t="s">
        <v>5241</v>
      </c>
      <c r="F766" t="s">
        <v>2550</v>
      </c>
      <c r="G766" t="s">
        <v>1941</v>
      </c>
      <c r="H766">
        <v>58122</v>
      </c>
      <c r="I766" t="s">
        <v>1942</v>
      </c>
    </row>
    <row r="767" spans="1:9" x14ac:dyDescent="0.25">
      <c r="A767" t="s">
        <v>1488</v>
      </c>
      <c r="B767" t="s">
        <v>5242</v>
      </c>
      <c r="C767" t="s">
        <v>5243</v>
      </c>
      <c r="D767" t="s">
        <v>5244</v>
      </c>
      <c r="E767" t="s">
        <v>5245</v>
      </c>
      <c r="F767" t="s">
        <v>2791</v>
      </c>
      <c r="G767" t="s">
        <v>1941</v>
      </c>
      <c r="H767">
        <v>75044</v>
      </c>
      <c r="I767" t="s">
        <v>1942</v>
      </c>
    </row>
    <row r="768" spans="1:9" x14ac:dyDescent="0.25">
      <c r="A768" t="s">
        <v>5246</v>
      </c>
      <c r="B768" t="s">
        <v>5247</v>
      </c>
      <c r="C768" t="s">
        <v>5248</v>
      </c>
      <c r="D768" t="s">
        <v>5249</v>
      </c>
      <c r="E768" t="s">
        <v>5250</v>
      </c>
      <c r="F768" t="s">
        <v>2287</v>
      </c>
      <c r="G768" t="s">
        <v>1941</v>
      </c>
      <c r="H768">
        <v>43231</v>
      </c>
      <c r="I768" t="s">
        <v>1951</v>
      </c>
    </row>
    <row r="769" spans="1:9" x14ac:dyDescent="0.25">
      <c r="A769" t="s">
        <v>5251</v>
      </c>
      <c r="B769" t="s">
        <v>5252</v>
      </c>
      <c r="C769" t="s">
        <v>5253</v>
      </c>
      <c r="D769" t="s">
        <v>5254</v>
      </c>
      <c r="E769" t="s">
        <v>5255</v>
      </c>
      <c r="F769" t="s">
        <v>2387</v>
      </c>
      <c r="G769" t="s">
        <v>1941</v>
      </c>
      <c r="H769">
        <v>78737</v>
      </c>
      <c r="I769" t="s">
        <v>1951</v>
      </c>
    </row>
    <row r="770" spans="1:9" x14ac:dyDescent="0.25">
      <c r="A770" t="s">
        <v>5256</v>
      </c>
      <c r="B770" t="s">
        <v>5257</v>
      </c>
      <c r="D770" t="s">
        <v>5258</v>
      </c>
      <c r="E770" t="s">
        <v>5259</v>
      </c>
      <c r="F770" t="s">
        <v>2744</v>
      </c>
      <c r="G770" t="s">
        <v>1941</v>
      </c>
      <c r="H770">
        <v>36104</v>
      </c>
      <c r="I770" t="s">
        <v>1942</v>
      </c>
    </row>
    <row r="771" spans="1:9" x14ac:dyDescent="0.25">
      <c r="A771" t="s">
        <v>1492</v>
      </c>
      <c r="B771" t="s">
        <v>5260</v>
      </c>
      <c r="C771" t="s">
        <v>5261</v>
      </c>
      <c r="D771" t="s">
        <v>5262</v>
      </c>
      <c r="E771" t="s">
        <v>5263</v>
      </c>
      <c r="F771" t="s">
        <v>2172</v>
      </c>
      <c r="G771" t="s">
        <v>2116</v>
      </c>
      <c r="H771" t="s">
        <v>3927</v>
      </c>
      <c r="I771" t="s">
        <v>1951</v>
      </c>
    </row>
    <row r="772" spans="1:9" x14ac:dyDescent="0.25">
      <c r="A772" t="s">
        <v>1494</v>
      </c>
      <c r="B772" t="s">
        <v>5264</v>
      </c>
      <c r="C772" t="s">
        <v>5265</v>
      </c>
      <c r="E772" t="s">
        <v>5266</v>
      </c>
      <c r="F772" t="s">
        <v>1962</v>
      </c>
      <c r="G772" t="s">
        <v>1941</v>
      </c>
      <c r="H772">
        <v>22156</v>
      </c>
      <c r="I772" t="s">
        <v>1951</v>
      </c>
    </row>
    <row r="773" spans="1:9" x14ac:dyDescent="0.25">
      <c r="A773" t="s">
        <v>1496</v>
      </c>
      <c r="B773" t="s">
        <v>5267</v>
      </c>
      <c r="C773" t="s">
        <v>5268</v>
      </c>
      <c r="D773" t="s">
        <v>5269</v>
      </c>
      <c r="E773" t="s">
        <v>5270</v>
      </c>
      <c r="F773" t="s">
        <v>5271</v>
      </c>
      <c r="G773" t="s">
        <v>1941</v>
      </c>
      <c r="H773">
        <v>80126</v>
      </c>
      <c r="I773" t="s">
        <v>1951</v>
      </c>
    </row>
    <row r="774" spans="1:9" x14ac:dyDescent="0.25">
      <c r="A774" t="s">
        <v>1498</v>
      </c>
      <c r="B774" t="s">
        <v>5272</v>
      </c>
      <c r="D774" t="s">
        <v>5273</v>
      </c>
      <c r="E774" t="s">
        <v>5274</v>
      </c>
      <c r="F774" t="s">
        <v>3316</v>
      </c>
      <c r="G774" t="s">
        <v>1941</v>
      </c>
      <c r="H774">
        <v>21275</v>
      </c>
      <c r="I774" t="s">
        <v>1951</v>
      </c>
    </row>
    <row r="775" spans="1:9" x14ac:dyDescent="0.25">
      <c r="A775" t="s">
        <v>1500</v>
      </c>
      <c r="B775" t="s">
        <v>5275</v>
      </c>
      <c r="C775" t="s">
        <v>5276</v>
      </c>
      <c r="D775" t="s">
        <v>5277</v>
      </c>
      <c r="E775" t="s">
        <v>5278</v>
      </c>
      <c r="F775" t="s">
        <v>2314</v>
      </c>
      <c r="G775" t="s">
        <v>1949</v>
      </c>
      <c r="H775" t="s">
        <v>2315</v>
      </c>
      <c r="I775" t="s">
        <v>1951</v>
      </c>
    </row>
    <row r="776" spans="1:9" x14ac:dyDescent="0.25">
      <c r="A776" t="s">
        <v>1502</v>
      </c>
      <c r="B776" t="s">
        <v>5279</v>
      </c>
      <c r="D776" t="s">
        <v>5280</v>
      </c>
      <c r="E776" t="s">
        <v>5281</v>
      </c>
      <c r="F776" t="s">
        <v>2191</v>
      </c>
      <c r="G776" t="s">
        <v>1941</v>
      </c>
      <c r="H776">
        <v>33345</v>
      </c>
      <c r="I776" t="s">
        <v>1942</v>
      </c>
    </row>
    <row r="777" spans="1:9" x14ac:dyDescent="0.25">
      <c r="A777" t="s">
        <v>1504</v>
      </c>
      <c r="B777" t="s">
        <v>5282</v>
      </c>
      <c r="C777" t="s">
        <v>5283</v>
      </c>
      <c r="D777" t="s">
        <v>5284</v>
      </c>
      <c r="E777" t="s">
        <v>5285</v>
      </c>
      <c r="F777" t="s">
        <v>3785</v>
      </c>
      <c r="G777" t="s">
        <v>1941</v>
      </c>
      <c r="H777">
        <v>92191</v>
      </c>
      <c r="I777" t="s">
        <v>1942</v>
      </c>
    </row>
    <row r="778" spans="1:9" x14ac:dyDescent="0.25">
      <c r="A778" t="s">
        <v>1506</v>
      </c>
      <c r="B778" t="s">
        <v>5286</v>
      </c>
      <c r="C778" t="s">
        <v>5287</v>
      </c>
      <c r="D778" t="s">
        <v>5288</v>
      </c>
      <c r="E778" t="s">
        <v>5289</v>
      </c>
      <c r="F778" t="s">
        <v>2325</v>
      </c>
      <c r="G778" t="s">
        <v>1941</v>
      </c>
      <c r="H778">
        <v>75216</v>
      </c>
      <c r="I778" t="s">
        <v>1951</v>
      </c>
    </row>
    <row r="779" spans="1:9" x14ac:dyDescent="0.25">
      <c r="A779" t="s">
        <v>1508</v>
      </c>
      <c r="B779" t="s">
        <v>5290</v>
      </c>
      <c r="C779" t="s">
        <v>5291</v>
      </c>
      <c r="E779" t="s">
        <v>5292</v>
      </c>
      <c r="F779" t="s">
        <v>3325</v>
      </c>
      <c r="G779" t="s">
        <v>1941</v>
      </c>
      <c r="H779">
        <v>60435</v>
      </c>
      <c r="I779" t="s">
        <v>1951</v>
      </c>
    </row>
    <row r="780" spans="1:9" x14ac:dyDescent="0.25">
      <c r="A780" t="s">
        <v>5293</v>
      </c>
      <c r="B780" t="s">
        <v>5294</v>
      </c>
      <c r="C780" t="s">
        <v>5295</v>
      </c>
      <c r="D780" t="s">
        <v>5296</v>
      </c>
      <c r="E780" t="s">
        <v>5297</v>
      </c>
      <c r="F780" t="s">
        <v>2048</v>
      </c>
      <c r="G780" t="s">
        <v>1941</v>
      </c>
      <c r="H780">
        <v>49510</v>
      </c>
      <c r="I780" t="s">
        <v>1942</v>
      </c>
    </row>
    <row r="781" spans="1:9" x14ac:dyDescent="0.25">
      <c r="A781" t="s">
        <v>1512</v>
      </c>
      <c r="B781" t="s">
        <v>5298</v>
      </c>
      <c r="C781" t="s">
        <v>5299</v>
      </c>
      <c r="D781" t="s">
        <v>5300</v>
      </c>
      <c r="E781" t="s">
        <v>5301</v>
      </c>
      <c r="F781" t="s">
        <v>2713</v>
      </c>
      <c r="G781" t="s">
        <v>1941</v>
      </c>
      <c r="H781">
        <v>34620</v>
      </c>
      <c r="I781" t="s">
        <v>1942</v>
      </c>
    </row>
    <row r="782" spans="1:9" x14ac:dyDescent="0.25">
      <c r="A782" t="s">
        <v>1514</v>
      </c>
      <c r="B782" t="s">
        <v>5302</v>
      </c>
      <c r="D782" t="s">
        <v>5303</v>
      </c>
      <c r="E782" t="s">
        <v>5304</v>
      </c>
      <c r="F782" t="s">
        <v>2137</v>
      </c>
      <c r="G782" t="s">
        <v>1941</v>
      </c>
      <c r="H782">
        <v>55441</v>
      </c>
      <c r="I782" t="s">
        <v>1951</v>
      </c>
    </row>
    <row r="783" spans="1:9" x14ac:dyDescent="0.25">
      <c r="A783" t="s">
        <v>1516</v>
      </c>
      <c r="B783" t="s">
        <v>5305</v>
      </c>
      <c r="C783" t="s">
        <v>5306</v>
      </c>
      <c r="D783" t="s">
        <v>5307</v>
      </c>
      <c r="E783" t="s">
        <v>5308</v>
      </c>
      <c r="F783" t="s">
        <v>3682</v>
      </c>
      <c r="G783" t="s">
        <v>1941</v>
      </c>
      <c r="H783">
        <v>30045</v>
      </c>
      <c r="I783" t="s">
        <v>1951</v>
      </c>
    </row>
    <row r="784" spans="1:9" x14ac:dyDescent="0.25">
      <c r="A784" t="s">
        <v>1518</v>
      </c>
      <c r="B784" t="s">
        <v>5309</v>
      </c>
      <c r="C784" t="s">
        <v>5310</v>
      </c>
      <c r="D784" t="s">
        <v>5311</v>
      </c>
      <c r="E784" t="s">
        <v>5312</v>
      </c>
      <c r="F784" t="s">
        <v>5313</v>
      </c>
      <c r="G784" t="s">
        <v>1949</v>
      </c>
      <c r="H784" t="s">
        <v>5314</v>
      </c>
      <c r="I784" t="s">
        <v>1951</v>
      </c>
    </row>
    <row r="785" spans="1:9" x14ac:dyDescent="0.25">
      <c r="A785" t="s">
        <v>1520</v>
      </c>
      <c r="B785" t="s">
        <v>5315</v>
      </c>
      <c r="C785" t="s">
        <v>5316</v>
      </c>
      <c r="D785" t="s">
        <v>5317</v>
      </c>
      <c r="E785" t="s">
        <v>5318</v>
      </c>
      <c r="F785" t="s">
        <v>2220</v>
      </c>
      <c r="G785" t="s">
        <v>1941</v>
      </c>
      <c r="H785">
        <v>33673</v>
      </c>
      <c r="I785" t="s">
        <v>1942</v>
      </c>
    </row>
    <row r="786" spans="1:9" x14ac:dyDescent="0.25">
      <c r="A786" t="s">
        <v>1522</v>
      </c>
      <c r="B786" t="s">
        <v>5319</v>
      </c>
      <c r="C786" t="s">
        <v>5320</v>
      </c>
      <c r="E786" t="s">
        <v>5321</v>
      </c>
      <c r="F786" t="s">
        <v>2506</v>
      </c>
      <c r="G786" t="s">
        <v>1941</v>
      </c>
      <c r="H786">
        <v>37240</v>
      </c>
      <c r="I786" t="s">
        <v>1951</v>
      </c>
    </row>
    <row r="787" spans="1:9" x14ac:dyDescent="0.25">
      <c r="A787" t="s">
        <v>1524</v>
      </c>
      <c r="B787" t="s">
        <v>5322</v>
      </c>
      <c r="C787" t="s">
        <v>5323</v>
      </c>
      <c r="D787" t="s">
        <v>5324</v>
      </c>
      <c r="E787" t="s">
        <v>5325</v>
      </c>
      <c r="F787" t="s">
        <v>3581</v>
      </c>
      <c r="G787" t="s">
        <v>1941</v>
      </c>
      <c r="H787">
        <v>33175</v>
      </c>
      <c r="I787" t="s">
        <v>1951</v>
      </c>
    </row>
    <row r="788" spans="1:9" x14ac:dyDescent="0.25">
      <c r="A788" t="s">
        <v>1510</v>
      </c>
      <c r="B788" t="s">
        <v>5326</v>
      </c>
      <c r="C788" t="s">
        <v>5327</v>
      </c>
      <c r="D788" t="s">
        <v>5328</v>
      </c>
      <c r="E788" t="s">
        <v>5329</v>
      </c>
      <c r="F788" t="s">
        <v>1976</v>
      </c>
      <c r="G788" t="s">
        <v>1941</v>
      </c>
      <c r="H788">
        <v>45426</v>
      </c>
      <c r="I788" t="s">
        <v>1942</v>
      </c>
    </row>
    <row r="789" spans="1:9" x14ac:dyDescent="0.25">
      <c r="A789" t="s">
        <v>1527</v>
      </c>
      <c r="B789" t="s">
        <v>5330</v>
      </c>
      <c r="D789" t="s">
        <v>5331</v>
      </c>
      <c r="E789" t="s">
        <v>5332</v>
      </c>
      <c r="F789" t="s">
        <v>2252</v>
      </c>
      <c r="G789" t="s">
        <v>1941</v>
      </c>
      <c r="H789">
        <v>60686</v>
      </c>
      <c r="I789" t="s">
        <v>1942</v>
      </c>
    </row>
    <row r="790" spans="1:9" x14ac:dyDescent="0.25">
      <c r="A790" t="s">
        <v>1529</v>
      </c>
      <c r="B790" t="s">
        <v>5333</v>
      </c>
      <c r="C790" t="s">
        <v>5334</v>
      </c>
      <c r="D790" t="s">
        <v>5335</v>
      </c>
      <c r="E790" t="s">
        <v>5336</v>
      </c>
      <c r="F790" t="s">
        <v>5337</v>
      </c>
      <c r="G790" t="s">
        <v>1949</v>
      </c>
      <c r="H790" t="s">
        <v>5338</v>
      </c>
      <c r="I790" t="s">
        <v>1942</v>
      </c>
    </row>
    <row r="791" spans="1:9" x14ac:dyDescent="0.25">
      <c r="A791" t="s">
        <v>1531</v>
      </c>
      <c r="B791" t="s">
        <v>5339</v>
      </c>
      <c r="C791" t="s">
        <v>5340</v>
      </c>
      <c r="D791" t="s">
        <v>5341</v>
      </c>
      <c r="E791" t="s">
        <v>5342</v>
      </c>
      <c r="F791" t="s">
        <v>2004</v>
      </c>
      <c r="G791" t="s">
        <v>1941</v>
      </c>
      <c r="H791">
        <v>94807</v>
      </c>
      <c r="I791" t="s">
        <v>1951</v>
      </c>
    </row>
    <row r="792" spans="1:9" x14ac:dyDescent="0.25">
      <c r="A792" t="s">
        <v>1533</v>
      </c>
      <c r="B792" t="s">
        <v>5343</v>
      </c>
      <c r="C792" t="s">
        <v>5344</v>
      </c>
      <c r="D792" t="s">
        <v>5345</v>
      </c>
      <c r="E792" t="s">
        <v>5346</v>
      </c>
      <c r="F792" t="s">
        <v>5347</v>
      </c>
      <c r="G792" t="s">
        <v>1941</v>
      </c>
      <c r="H792">
        <v>98506</v>
      </c>
      <c r="I792" t="s">
        <v>1951</v>
      </c>
    </row>
    <row r="793" spans="1:9" x14ac:dyDescent="0.25">
      <c r="A793" t="s">
        <v>1535</v>
      </c>
      <c r="B793" t="s">
        <v>5348</v>
      </c>
      <c r="C793" t="s">
        <v>5349</v>
      </c>
      <c r="D793" t="s">
        <v>5350</v>
      </c>
      <c r="E793" t="s">
        <v>5351</v>
      </c>
      <c r="F793" t="s">
        <v>2668</v>
      </c>
      <c r="G793" t="s">
        <v>1941</v>
      </c>
      <c r="H793">
        <v>76011</v>
      </c>
      <c r="I793" t="s">
        <v>1942</v>
      </c>
    </row>
    <row r="794" spans="1:9" x14ac:dyDescent="0.25">
      <c r="A794" t="s">
        <v>1537</v>
      </c>
      <c r="B794" t="s">
        <v>5352</v>
      </c>
      <c r="C794" t="s">
        <v>5353</v>
      </c>
      <c r="D794" t="s">
        <v>5354</v>
      </c>
      <c r="E794" t="s">
        <v>5355</v>
      </c>
      <c r="F794" t="s">
        <v>5356</v>
      </c>
      <c r="G794" t="s">
        <v>2116</v>
      </c>
      <c r="H794" t="s">
        <v>5357</v>
      </c>
      <c r="I794" t="s">
        <v>1942</v>
      </c>
    </row>
    <row r="795" spans="1:9" x14ac:dyDescent="0.25">
      <c r="A795" t="s">
        <v>1539</v>
      </c>
      <c r="B795" t="s">
        <v>5358</v>
      </c>
      <c r="C795" t="s">
        <v>5359</v>
      </c>
      <c r="D795" t="s">
        <v>5360</v>
      </c>
      <c r="E795" t="s">
        <v>5361</v>
      </c>
      <c r="F795" t="s">
        <v>2643</v>
      </c>
      <c r="G795" t="s">
        <v>1941</v>
      </c>
      <c r="H795">
        <v>24009</v>
      </c>
      <c r="I795" t="s">
        <v>1951</v>
      </c>
    </row>
    <row r="796" spans="1:9" x14ac:dyDescent="0.25">
      <c r="A796" t="s">
        <v>1541</v>
      </c>
      <c r="B796" t="s">
        <v>5362</v>
      </c>
      <c r="C796" t="s">
        <v>5363</v>
      </c>
      <c r="D796" t="s">
        <v>5364</v>
      </c>
      <c r="E796" t="s">
        <v>5365</v>
      </c>
      <c r="F796" t="s">
        <v>5366</v>
      </c>
      <c r="G796" t="s">
        <v>1941</v>
      </c>
      <c r="H796">
        <v>11044</v>
      </c>
      <c r="I796" t="s">
        <v>1951</v>
      </c>
    </row>
    <row r="797" spans="1:9" x14ac:dyDescent="0.25">
      <c r="A797" t="s">
        <v>1543</v>
      </c>
      <c r="B797" t="s">
        <v>5367</v>
      </c>
      <c r="C797" t="s">
        <v>5368</v>
      </c>
      <c r="D797" t="s">
        <v>5369</v>
      </c>
      <c r="E797" t="s">
        <v>5370</v>
      </c>
      <c r="F797" t="s">
        <v>3589</v>
      </c>
      <c r="G797" t="s">
        <v>1941</v>
      </c>
      <c r="H797">
        <v>92825</v>
      </c>
      <c r="I797" t="s">
        <v>1951</v>
      </c>
    </row>
    <row r="798" spans="1:9" x14ac:dyDescent="0.25">
      <c r="A798" t="s">
        <v>1545</v>
      </c>
      <c r="B798" t="s">
        <v>5371</v>
      </c>
      <c r="D798" t="s">
        <v>5372</v>
      </c>
      <c r="E798" t="s">
        <v>5373</v>
      </c>
      <c r="F798" t="s">
        <v>3320</v>
      </c>
      <c r="G798" t="s">
        <v>1941</v>
      </c>
      <c r="H798">
        <v>40596</v>
      </c>
      <c r="I798" t="s">
        <v>1951</v>
      </c>
    </row>
    <row r="799" spans="1:9" x14ac:dyDescent="0.25">
      <c r="A799" t="s">
        <v>1547</v>
      </c>
      <c r="B799" t="s">
        <v>5374</v>
      </c>
      <c r="C799" t="s">
        <v>5375</v>
      </c>
      <c r="D799" t="s">
        <v>5376</v>
      </c>
      <c r="E799" t="s">
        <v>5377</v>
      </c>
      <c r="F799" t="s">
        <v>2220</v>
      </c>
      <c r="G799" t="s">
        <v>1941</v>
      </c>
      <c r="H799">
        <v>33673</v>
      </c>
      <c r="I799" t="s">
        <v>1951</v>
      </c>
    </row>
    <row r="800" spans="1:9" x14ac:dyDescent="0.25">
      <c r="A800" t="s">
        <v>1549</v>
      </c>
      <c r="B800" t="s">
        <v>5378</v>
      </c>
      <c r="C800" t="s">
        <v>5379</v>
      </c>
      <c r="D800" t="s">
        <v>5380</v>
      </c>
      <c r="E800" t="s">
        <v>5381</v>
      </c>
      <c r="F800" t="s">
        <v>1995</v>
      </c>
      <c r="G800" t="s">
        <v>1941</v>
      </c>
      <c r="H800">
        <v>95138</v>
      </c>
      <c r="I800" t="s">
        <v>1942</v>
      </c>
    </row>
    <row r="801" spans="1:9" x14ac:dyDescent="0.25">
      <c r="A801" t="s">
        <v>1551</v>
      </c>
      <c r="B801" t="s">
        <v>5382</v>
      </c>
      <c r="E801" t="s">
        <v>5383</v>
      </c>
      <c r="F801" t="s">
        <v>2186</v>
      </c>
      <c r="G801" t="s">
        <v>1941</v>
      </c>
      <c r="H801">
        <v>20470</v>
      </c>
      <c r="I801" t="s">
        <v>1942</v>
      </c>
    </row>
    <row r="802" spans="1:9" x14ac:dyDescent="0.25">
      <c r="A802" t="s">
        <v>1553</v>
      </c>
      <c r="B802" t="s">
        <v>5384</v>
      </c>
      <c r="C802" t="s">
        <v>5385</v>
      </c>
      <c r="D802" t="s">
        <v>5386</v>
      </c>
      <c r="E802" t="s">
        <v>5387</v>
      </c>
      <c r="F802" t="s">
        <v>4416</v>
      </c>
      <c r="G802" t="s">
        <v>1949</v>
      </c>
      <c r="H802" t="s">
        <v>4417</v>
      </c>
      <c r="I802" t="s">
        <v>1951</v>
      </c>
    </row>
    <row r="803" spans="1:9" x14ac:dyDescent="0.25">
      <c r="A803" t="s">
        <v>1555</v>
      </c>
      <c r="B803" t="s">
        <v>5388</v>
      </c>
      <c r="C803" t="s">
        <v>5389</v>
      </c>
      <c r="D803" t="s">
        <v>5390</v>
      </c>
      <c r="E803" t="s">
        <v>5391</v>
      </c>
      <c r="F803" t="s">
        <v>5347</v>
      </c>
      <c r="G803" t="s">
        <v>1941</v>
      </c>
      <c r="H803">
        <v>98506</v>
      </c>
      <c r="I803" t="s">
        <v>1942</v>
      </c>
    </row>
    <row r="804" spans="1:9" x14ac:dyDescent="0.25">
      <c r="A804" t="s">
        <v>1557</v>
      </c>
      <c r="B804" t="s">
        <v>5392</v>
      </c>
      <c r="C804" t="s">
        <v>5393</v>
      </c>
      <c r="D804" t="s">
        <v>5394</v>
      </c>
      <c r="E804" t="s">
        <v>5395</v>
      </c>
      <c r="F804" t="s">
        <v>5396</v>
      </c>
      <c r="G804" t="s">
        <v>1941</v>
      </c>
      <c r="H804">
        <v>75185</v>
      </c>
      <c r="I804" t="s">
        <v>1951</v>
      </c>
    </row>
    <row r="805" spans="1:9" x14ac:dyDescent="0.25">
      <c r="A805" t="s">
        <v>1559</v>
      </c>
      <c r="B805" t="s">
        <v>5397</v>
      </c>
      <c r="C805" t="s">
        <v>5398</v>
      </c>
      <c r="E805" t="s">
        <v>5399</v>
      </c>
      <c r="F805" t="s">
        <v>2999</v>
      </c>
      <c r="G805" t="s">
        <v>1941</v>
      </c>
      <c r="H805">
        <v>94207</v>
      </c>
      <c r="I805" t="s">
        <v>1951</v>
      </c>
    </row>
    <row r="806" spans="1:9" x14ac:dyDescent="0.25">
      <c r="A806" t="s">
        <v>1561</v>
      </c>
      <c r="B806" t="s">
        <v>5400</v>
      </c>
      <c r="D806" t="s">
        <v>5401</v>
      </c>
      <c r="E806" t="s">
        <v>5402</v>
      </c>
      <c r="F806" t="s">
        <v>3164</v>
      </c>
      <c r="G806" t="s">
        <v>2116</v>
      </c>
      <c r="H806" t="s">
        <v>3165</v>
      </c>
      <c r="I806" t="s">
        <v>1951</v>
      </c>
    </row>
    <row r="807" spans="1:9" x14ac:dyDescent="0.25">
      <c r="A807" t="s">
        <v>1563</v>
      </c>
      <c r="B807" t="s">
        <v>5403</v>
      </c>
      <c r="D807" t="s">
        <v>5404</v>
      </c>
      <c r="E807" t="s">
        <v>5405</v>
      </c>
      <c r="F807" t="s">
        <v>5406</v>
      </c>
      <c r="G807" t="s">
        <v>1941</v>
      </c>
      <c r="H807">
        <v>55590</v>
      </c>
      <c r="I807" t="s">
        <v>1951</v>
      </c>
    </row>
    <row r="808" spans="1:9" x14ac:dyDescent="0.25">
      <c r="A808" t="s">
        <v>1565</v>
      </c>
      <c r="B808" t="s">
        <v>5407</v>
      </c>
      <c r="E808" t="s">
        <v>5408</v>
      </c>
      <c r="F808" t="s">
        <v>2199</v>
      </c>
      <c r="G808" t="s">
        <v>2116</v>
      </c>
      <c r="H808" t="s">
        <v>2200</v>
      </c>
      <c r="I808" t="s">
        <v>1942</v>
      </c>
    </row>
    <row r="809" spans="1:9" x14ac:dyDescent="0.25">
      <c r="A809" t="s">
        <v>1567</v>
      </c>
      <c r="B809" t="s">
        <v>5409</v>
      </c>
      <c r="C809" t="s">
        <v>5410</v>
      </c>
      <c r="D809" t="s">
        <v>5411</v>
      </c>
      <c r="E809" t="s">
        <v>5412</v>
      </c>
      <c r="F809" t="s">
        <v>3763</v>
      </c>
      <c r="G809" t="s">
        <v>1949</v>
      </c>
      <c r="H809" t="s">
        <v>3764</v>
      </c>
      <c r="I809" t="s">
        <v>1951</v>
      </c>
    </row>
    <row r="810" spans="1:9" x14ac:dyDescent="0.25">
      <c r="A810" t="s">
        <v>5413</v>
      </c>
      <c r="B810" t="s">
        <v>5414</v>
      </c>
      <c r="C810" t="s">
        <v>5415</v>
      </c>
      <c r="D810" t="s">
        <v>5416</v>
      </c>
      <c r="E810" t="s">
        <v>5417</v>
      </c>
      <c r="F810" t="s">
        <v>2099</v>
      </c>
      <c r="G810" t="s">
        <v>1941</v>
      </c>
      <c r="H810">
        <v>11499</v>
      </c>
      <c r="I810" t="s">
        <v>1942</v>
      </c>
    </row>
    <row r="811" spans="1:9" x14ac:dyDescent="0.25">
      <c r="A811" t="s">
        <v>1571</v>
      </c>
      <c r="B811" t="s">
        <v>5418</v>
      </c>
      <c r="D811" t="s">
        <v>5419</v>
      </c>
      <c r="E811" t="s">
        <v>5420</v>
      </c>
      <c r="F811" t="s">
        <v>2448</v>
      </c>
      <c r="G811" t="s">
        <v>1941</v>
      </c>
      <c r="H811">
        <v>79934</v>
      </c>
      <c r="I811" t="s">
        <v>1942</v>
      </c>
    </row>
    <row r="812" spans="1:9" x14ac:dyDescent="0.25">
      <c r="A812" t="s">
        <v>1573</v>
      </c>
      <c r="B812" t="s">
        <v>5421</v>
      </c>
      <c r="C812" t="s">
        <v>5422</v>
      </c>
      <c r="D812" t="s">
        <v>5423</v>
      </c>
      <c r="E812" t="s">
        <v>5424</v>
      </c>
      <c r="F812" t="s">
        <v>5425</v>
      </c>
      <c r="G812" t="s">
        <v>1941</v>
      </c>
      <c r="H812">
        <v>34643</v>
      </c>
      <c r="I812" t="s">
        <v>1951</v>
      </c>
    </row>
    <row r="813" spans="1:9" x14ac:dyDescent="0.25">
      <c r="A813" t="s">
        <v>1575</v>
      </c>
      <c r="B813" t="s">
        <v>5426</v>
      </c>
      <c r="C813" t="s">
        <v>5427</v>
      </c>
      <c r="D813" t="s">
        <v>5428</v>
      </c>
      <c r="E813" t="s">
        <v>5429</v>
      </c>
      <c r="F813" t="s">
        <v>5430</v>
      </c>
      <c r="G813" t="s">
        <v>1949</v>
      </c>
      <c r="H813" t="s">
        <v>2083</v>
      </c>
      <c r="I813" t="s">
        <v>1942</v>
      </c>
    </row>
    <row r="814" spans="1:9" x14ac:dyDescent="0.25">
      <c r="A814" t="s">
        <v>5431</v>
      </c>
      <c r="B814" t="s">
        <v>5432</v>
      </c>
      <c r="C814" t="s">
        <v>5433</v>
      </c>
      <c r="D814" t="s">
        <v>5434</v>
      </c>
      <c r="E814" t="s">
        <v>5435</v>
      </c>
      <c r="F814" t="s">
        <v>5436</v>
      </c>
      <c r="G814" t="s">
        <v>2116</v>
      </c>
      <c r="H814" t="s">
        <v>5437</v>
      </c>
      <c r="I814" t="s">
        <v>1942</v>
      </c>
    </row>
    <row r="815" spans="1:9" x14ac:dyDescent="0.25">
      <c r="A815" t="s">
        <v>1577</v>
      </c>
      <c r="B815" t="s">
        <v>5438</v>
      </c>
      <c r="C815" t="s">
        <v>5439</v>
      </c>
      <c r="D815" t="s">
        <v>5440</v>
      </c>
      <c r="E815" t="s">
        <v>5441</v>
      </c>
      <c r="F815" t="s">
        <v>2362</v>
      </c>
      <c r="G815" t="s">
        <v>1941</v>
      </c>
      <c r="H815">
        <v>73179</v>
      </c>
      <c r="I815" t="s">
        <v>1942</v>
      </c>
    </row>
    <row r="816" spans="1:9" x14ac:dyDescent="0.25">
      <c r="A816" t="s">
        <v>1579</v>
      </c>
      <c r="B816" t="s">
        <v>5442</v>
      </c>
      <c r="C816" t="s">
        <v>5443</v>
      </c>
      <c r="D816" t="s">
        <v>5444</v>
      </c>
      <c r="E816" t="s">
        <v>5445</v>
      </c>
      <c r="F816" t="s">
        <v>2186</v>
      </c>
      <c r="G816" t="s">
        <v>1941</v>
      </c>
      <c r="H816">
        <v>20051</v>
      </c>
      <c r="I816" t="s">
        <v>1951</v>
      </c>
    </row>
    <row r="817" spans="1:9" x14ac:dyDescent="0.25">
      <c r="A817" t="s">
        <v>1581</v>
      </c>
      <c r="B817" t="s">
        <v>5446</v>
      </c>
      <c r="C817" t="s">
        <v>5447</v>
      </c>
      <c r="D817" t="s">
        <v>5448</v>
      </c>
      <c r="E817" t="s">
        <v>5449</v>
      </c>
      <c r="F817" t="s">
        <v>3049</v>
      </c>
      <c r="G817" t="s">
        <v>1941</v>
      </c>
      <c r="H817">
        <v>30351</v>
      </c>
      <c r="I817" t="s">
        <v>1951</v>
      </c>
    </row>
    <row r="818" spans="1:9" x14ac:dyDescent="0.25">
      <c r="A818" t="s">
        <v>1583</v>
      </c>
      <c r="B818" t="s">
        <v>5450</v>
      </c>
      <c r="C818" t="s">
        <v>5451</v>
      </c>
      <c r="D818" t="s">
        <v>5452</v>
      </c>
      <c r="E818" t="s">
        <v>5453</v>
      </c>
      <c r="F818" t="s">
        <v>2704</v>
      </c>
      <c r="G818" t="s">
        <v>1949</v>
      </c>
      <c r="H818" t="s">
        <v>2705</v>
      </c>
      <c r="I818" t="s">
        <v>1951</v>
      </c>
    </row>
    <row r="819" spans="1:9" x14ac:dyDescent="0.25">
      <c r="A819" t="s">
        <v>1585</v>
      </c>
      <c r="B819" t="s">
        <v>5454</v>
      </c>
      <c r="C819" t="s">
        <v>5455</v>
      </c>
      <c r="E819" t="s">
        <v>5456</v>
      </c>
      <c r="F819" t="s">
        <v>2350</v>
      </c>
      <c r="G819" t="s">
        <v>1941</v>
      </c>
      <c r="H819">
        <v>14276</v>
      </c>
      <c r="I819" t="s">
        <v>1951</v>
      </c>
    </row>
    <row r="820" spans="1:9" x14ac:dyDescent="0.25">
      <c r="A820" t="s">
        <v>1569</v>
      </c>
      <c r="B820" t="s">
        <v>5457</v>
      </c>
      <c r="D820" t="s">
        <v>5458</v>
      </c>
      <c r="E820" t="s">
        <v>5459</v>
      </c>
      <c r="F820" t="s">
        <v>2027</v>
      </c>
      <c r="G820" t="s">
        <v>1941</v>
      </c>
      <c r="H820">
        <v>77260</v>
      </c>
      <c r="I820" t="s">
        <v>1951</v>
      </c>
    </row>
    <row r="821" spans="1:9" x14ac:dyDescent="0.25">
      <c r="A821" t="s">
        <v>1588</v>
      </c>
      <c r="B821" t="s">
        <v>5460</v>
      </c>
      <c r="C821" t="s">
        <v>5461</v>
      </c>
      <c r="D821" t="s">
        <v>5462</v>
      </c>
      <c r="E821" t="s">
        <v>5463</v>
      </c>
      <c r="F821" t="s">
        <v>2186</v>
      </c>
      <c r="G821" t="s">
        <v>1941</v>
      </c>
      <c r="H821">
        <v>20470</v>
      </c>
      <c r="I821" t="s">
        <v>1942</v>
      </c>
    </row>
    <row r="822" spans="1:9" x14ac:dyDescent="0.25">
      <c r="A822" t="s">
        <v>1590</v>
      </c>
      <c r="B822" t="s">
        <v>5464</v>
      </c>
      <c r="C822" t="s">
        <v>5465</v>
      </c>
      <c r="D822" t="s">
        <v>5466</v>
      </c>
      <c r="E822" t="s">
        <v>5467</v>
      </c>
      <c r="F822" t="s">
        <v>2387</v>
      </c>
      <c r="G822" t="s">
        <v>1941</v>
      </c>
      <c r="H822">
        <v>78764</v>
      </c>
      <c r="I822" t="s">
        <v>1942</v>
      </c>
    </row>
    <row r="823" spans="1:9" x14ac:dyDescent="0.25">
      <c r="A823" t="s">
        <v>1592</v>
      </c>
      <c r="B823" t="s">
        <v>5468</v>
      </c>
      <c r="C823" t="s">
        <v>5469</v>
      </c>
      <c r="D823" t="s">
        <v>5470</v>
      </c>
      <c r="E823" t="s">
        <v>5471</v>
      </c>
      <c r="F823" t="s">
        <v>2835</v>
      </c>
      <c r="G823" t="s">
        <v>1941</v>
      </c>
      <c r="H823">
        <v>85205</v>
      </c>
      <c r="I823" t="s">
        <v>1951</v>
      </c>
    </row>
    <row r="824" spans="1:9" x14ac:dyDescent="0.25">
      <c r="A824" t="s">
        <v>1594</v>
      </c>
      <c r="B824" t="s">
        <v>5472</v>
      </c>
      <c r="C824" t="s">
        <v>5473</v>
      </c>
      <c r="D824" t="s">
        <v>5474</v>
      </c>
      <c r="E824" t="s">
        <v>5475</v>
      </c>
      <c r="F824" t="s">
        <v>5476</v>
      </c>
      <c r="G824" t="s">
        <v>1941</v>
      </c>
      <c r="H824">
        <v>31416</v>
      </c>
      <c r="I824" t="s">
        <v>1951</v>
      </c>
    </row>
    <row r="825" spans="1:9" x14ac:dyDescent="0.25">
      <c r="A825" t="s">
        <v>1596</v>
      </c>
      <c r="B825" t="s">
        <v>5477</v>
      </c>
      <c r="C825" t="s">
        <v>5478</v>
      </c>
      <c r="D825" t="s">
        <v>5479</v>
      </c>
      <c r="E825" t="s">
        <v>5480</v>
      </c>
      <c r="F825" t="s">
        <v>5481</v>
      </c>
      <c r="G825" t="s">
        <v>1941</v>
      </c>
      <c r="H825">
        <v>87140</v>
      </c>
      <c r="I825" t="s">
        <v>1942</v>
      </c>
    </row>
    <row r="826" spans="1:9" x14ac:dyDescent="0.25">
      <c r="A826" t="s">
        <v>1598</v>
      </c>
      <c r="B826" t="s">
        <v>5482</v>
      </c>
      <c r="C826" t="s">
        <v>5483</v>
      </c>
      <c r="E826" t="s">
        <v>5484</v>
      </c>
      <c r="F826" t="s">
        <v>2300</v>
      </c>
      <c r="G826" t="s">
        <v>1941</v>
      </c>
      <c r="H826">
        <v>28299</v>
      </c>
      <c r="I826" t="s">
        <v>1942</v>
      </c>
    </row>
    <row r="827" spans="1:9" x14ac:dyDescent="0.25">
      <c r="A827" t="s">
        <v>5485</v>
      </c>
      <c r="B827" t="s">
        <v>5486</v>
      </c>
      <c r="C827" t="s">
        <v>5487</v>
      </c>
      <c r="D827" t="s">
        <v>5488</v>
      </c>
      <c r="E827" t="s">
        <v>5489</v>
      </c>
      <c r="F827" t="s">
        <v>3785</v>
      </c>
      <c r="G827" t="s">
        <v>1941</v>
      </c>
      <c r="H827">
        <v>92191</v>
      </c>
      <c r="I827" t="s">
        <v>1942</v>
      </c>
    </row>
    <row r="828" spans="1:9" x14ac:dyDescent="0.25">
      <c r="A828" t="s">
        <v>1602</v>
      </c>
      <c r="B828" t="s">
        <v>5490</v>
      </c>
      <c r="C828" t="s">
        <v>5491</v>
      </c>
      <c r="D828" t="s">
        <v>5492</v>
      </c>
      <c r="E828" t="s">
        <v>5493</v>
      </c>
      <c r="F828" t="s">
        <v>2225</v>
      </c>
      <c r="G828" t="s">
        <v>1941</v>
      </c>
      <c r="H828">
        <v>32575</v>
      </c>
      <c r="I828" t="s">
        <v>1942</v>
      </c>
    </row>
    <row r="829" spans="1:9" x14ac:dyDescent="0.25">
      <c r="A829" t="s">
        <v>1604</v>
      </c>
      <c r="B829" t="s">
        <v>5494</v>
      </c>
      <c r="C829" t="s">
        <v>5495</v>
      </c>
      <c r="D829" t="s">
        <v>5496</v>
      </c>
      <c r="E829" t="s">
        <v>5497</v>
      </c>
      <c r="F829" t="s">
        <v>2186</v>
      </c>
      <c r="G829" t="s">
        <v>1941</v>
      </c>
      <c r="H829">
        <v>20470</v>
      </c>
      <c r="I829" t="s">
        <v>1951</v>
      </c>
    </row>
    <row r="830" spans="1:9" x14ac:dyDescent="0.25">
      <c r="A830" t="s">
        <v>1606</v>
      </c>
      <c r="B830" t="s">
        <v>5498</v>
      </c>
      <c r="C830" t="s">
        <v>5499</v>
      </c>
      <c r="D830" t="s">
        <v>5500</v>
      </c>
      <c r="E830" t="s">
        <v>5501</v>
      </c>
      <c r="F830" t="s">
        <v>5502</v>
      </c>
      <c r="G830" t="s">
        <v>1941</v>
      </c>
      <c r="H830">
        <v>34985</v>
      </c>
      <c r="I830" t="s">
        <v>1942</v>
      </c>
    </row>
    <row r="831" spans="1:9" x14ac:dyDescent="0.25">
      <c r="A831" t="s">
        <v>1608</v>
      </c>
      <c r="B831" t="s">
        <v>5503</v>
      </c>
      <c r="C831" t="s">
        <v>5504</v>
      </c>
      <c r="D831" t="s">
        <v>5505</v>
      </c>
      <c r="E831" t="s">
        <v>5506</v>
      </c>
      <c r="F831" t="s">
        <v>2481</v>
      </c>
      <c r="G831" t="s">
        <v>1941</v>
      </c>
      <c r="H831">
        <v>25705</v>
      </c>
      <c r="I831" t="s">
        <v>1951</v>
      </c>
    </row>
    <row r="832" spans="1:9" x14ac:dyDescent="0.25">
      <c r="A832" t="s">
        <v>1610</v>
      </c>
      <c r="B832" t="s">
        <v>5507</v>
      </c>
      <c r="C832" t="s">
        <v>5508</v>
      </c>
      <c r="D832" t="s">
        <v>5509</v>
      </c>
      <c r="E832" t="s">
        <v>5510</v>
      </c>
      <c r="F832" t="s">
        <v>2017</v>
      </c>
      <c r="G832" t="s">
        <v>1941</v>
      </c>
      <c r="H832">
        <v>19172</v>
      </c>
      <c r="I832" t="s">
        <v>1951</v>
      </c>
    </row>
    <row r="833" spans="1:9" x14ac:dyDescent="0.25">
      <c r="A833" t="s">
        <v>1600</v>
      </c>
      <c r="B833" t="s">
        <v>5511</v>
      </c>
      <c r="C833" t="s">
        <v>5512</v>
      </c>
      <c r="D833" t="s">
        <v>5513</v>
      </c>
      <c r="E833" t="s">
        <v>5514</v>
      </c>
      <c r="F833" t="s">
        <v>2362</v>
      </c>
      <c r="G833" t="s">
        <v>1941</v>
      </c>
      <c r="H833">
        <v>73167</v>
      </c>
      <c r="I833" t="s">
        <v>1942</v>
      </c>
    </row>
    <row r="834" spans="1:9" x14ac:dyDescent="0.25">
      <c r="A834" t="s">
        <v>1612</v>
      </c>
      <c r="B834" t="s">
        <v>5515</v>
      </c>
      <c r="C834" t="s">
        <v>5516</v>
      </c>
      <c r="D834" t="s">
        <v>5517</v>
      </c>
      <c r="E834" t="s">
        <v>5518</v>
      </c>
      <c r="F834" t="s">
        <v>2247</v>
      </c>
      <c r="G834" t="s">
        <v>1941</v>
      </c>
      <c r="H834">
        <v>34114</v>
      </c>
      <c r="I834" t="s">
        <v>1951</v>
      </c>
    </row>
    <row r="835" spans="1:9" x14ac:dyDescent="0.25">
      <c r="A835" t="s">
        <v>1614</v>
      </c>
      <c r="B835" t="s">
        <v>5519</v>
      </c>
      <c r="C835" t="s">
        <v>5520</v>
      </c>
      <c r="D835" t="s">
        <v>5521</v>
      </c>
      <c r="E835" t="s">
        <v>5522</v>
      </c>
      <c r="F835" t="s">
        <v>2266</v>
      </c>
      <c r="G835" t="s">
        <v>1941</v>
      </c>
      <c r="H835">
        <v>76105</v>
      </c>
      <c r="I835" t="s">
        <v>1942</v>
      </c>
    </row>
    <row r="836" spans="1:9" x14ac:dyDescent="0.25">
      <c r="A836" t="s">
        <v>1616</v>
      </c>
      <c r="B836" t="s">
        <v>5523</v>
      </c>
      <c r="C836" t="s">
        <v>5524</v>
      </c>
      <c r="D836" t="s">
        <v>5525</v>
      </c>
      <c r="E836" t="s">
        <v>5526</v>
      </c>
      <c r="F836" t="s">
        <v>5527</v>
      </c>
      <c r="G836" t="s">
        <v>1941</v>
      </c>
      <c r="H836">
        <v>68117</v>
      </c>
      <c r="I836" t="s">
        <v>1951</v>
      </c>
    </row>
    <row r="837" spans="1:9" x14ac:dyDescent="0.25">
      <c r="A837" t="s">
        <v>1618</v>
      </c>
      <c r="B837" t="s">
        <v>5528</v>
      </c>
      <c r="C837" t="s">
        <v>5529</v>
      </c>
      <c r="E837" t="s">
        <v>5530</v>
      </c>
      <c r="F837" t="s">
        <v>2140</v>
      </c>
      <c r="G837" t="s">
        <v>1941</v>
      </c>
      <c r="H837">
        <v>85732</v>
      </c>
      <c r="I837" t="s">
        <v>1942</v>
      </c>
    </row>
    <row r="838" spans="1:9" x14ac:dyDescent="0.25">
      <c r="A838" t="s">
        <v>1620</v>
      </c>
      <c r="B838" t="s">
        <v>5531</v>
      </c>
      <c r="C838" t="s">
        <v>5532</v>
      </c>
      <c r="D838" t="s">
        <v>5533</v>
      </c>
      <c r="E838" t="s">
        <v>5534</v>
      </c>
      <c r="F838" t="s">
        <v>2748</v>
      </c>
      <c r="G838" t="s">
        <v>1941</v>
      </c>
      <c r="H838">
        <v>89436</v>
      </c>
      <c r="I838" t="s">
        <v>1951</v>
      </c>
    </row>
    <row r="839" spans="1:9" x14ac:dyDescent="0.25">
      <c r="A839" t="s">
        <v>5535</v>
      </c>
      <c r="B839" t="s">
        <v>5536</v>
      </c>
      <c r="C839" t="s">
        <v>5537</v>
      </c>
      <c r="D839" t="s">
        <v>5538</v>
      </c>
      <c r="E839" t="s">
        <v>5539</v>
      </c>
      <c r="F839" t="s">
        <v>4401</v>
      </c>
      <c r="G839" t="s">
        <v>1941</v>
      </c>
      <c r="H839">
        <v>32835</v>
      </c>
      <c r="I839" t="s">
        <v>1942</v>
      </c>
    </row>
    <row r="840" spans="1:9" x14ac:dyDescent="0.25">
      <c r="A840" t="s">
        <v>1623</v>
      </c>
      <c r="B840" t="s">
        <v>5540</v>
      </c>
      <c r="C840" t="s">
        <v>5541</v>
      </c>
      <c r="D840" t="s">
        <v>5542</v>
      </c>
      <c r="E840" t="s">
        <v>5543</v>
      </c>
      <c r="F840" t="s">
        <v>2186</v>
      </c>
      <c r="G840" t="s">
        <v>1941</v>
      </c>
      <c r="H840">
        <v>20067</v>
      </c>
      <c r="I840" t="s">
        <v>1951</v>
      </c>
    </row>
    <row r="841" spans="1:9" x14ac:dyDescent="0.25">
      <c r="A841" t="s">
        <v>1625</v>
      </c>
      <c r="B841" t="s">
        <v>5544</v>
      </c>
      <c r="C841" t="s">
        <v>5545</v>
      </c>
      <c r="D841" t="s">
        <v>5546</v>
      </c>
      <c r="E841" t="s">
        <v>5547</v>
      </c>
      <c r="F841" t="s">
        <v>5548</v>
      </c>
      <c r="G841" t="s">
        <v>1941</v>
      </c>
      <c r="H841">
        <v>93907</v>
      </c>
      <c r="I841" t="s">
        <v>1951</v>
      </c>
    </row>
    <row r="842" spans="1:9" x14ac:dyDescent="0.25">
      <c r="A842" t="s">
        <v>1627</v>
      </c>
      <c r="B842" t="s">
        <v>5549</v>
      </c>
      <c r="C842" t="s">
        <v>5550</v>
      </c>
      <c r="D842" t="s">
        <v>5551</v>
      </c>
      <c r="E842" t="s">
        <v>5552</v>
      </c>
      <c r="F842" t="s">
        <v>2191</v>
      </c>
      <c r="G842" t="s">
        <v>1941</v>
      </c>
      <c r="H842">
        <v>33345</v>
      </c>
      <c r="I842" t="s">
        <v>1942</v>
      </c>
    </row>
    <row r="843" spans="1:9" x14ac:dyDescent="0.25">
      <c r="A843" t="s">
        <v>1629</v>
      </c>
      <c r="B843" t="s">
        <v>5553</v>
      </c>
      <c r="C843" t="s">
        <v>5554</v>
      </c>
      <c r="E843" t="s">
        <v>5555</v>
      </c>
      <c r="F843" t="s">
        <v>2448</v>
      </c>
      <c r="G843" t="s">
        <v>1941</v>
      </c>
      <c r="H843">
        <v>88553</v>
      </c>
      <c r="I843" t="s">
        <v>1951</v>
      </c>
    </row>
    <row r="844" spans="1:9" x14ac:dyDescent="0.25">
      <c r="A844" t="s">
        <v>5556</v>
      </c>
      <c r="B844" t="s">
        <v>5557</v>
      </c>
      <c r="C844" t="s">
        <v>5558</v>
      </c>
      <c r="E844" t="s">
        <v>5559</v>
      </c>
      <c r="F844" t="s">
        <v>5560</v>
      </c>
      <c r="G844" t="s">
        <v>1941</v>
      </c>
      <c r="H844">
        <v>91210</v>
      </c>
      <c r="I844" t="s">
        <v>1942</v>
      </c>
    </row>
    <row r="845" spans="1:9" x14ac:dyDescent="0.25">
      <c r="A845" t="s">
        <v>1632</v>
      </c>
      <c r="B845" t="s">
        <v>5561</v>
      </c>
      <c r="C845" t="s">
        <v>5562</v>
      </c>
      <c r="D845" t="s">
        <v>5563</v>
      </c>
      <c r="E845" t="s">
        <v>5564</v>
      </c>
      <c r="F845" t="s">
        <v>2699</v>
      </c>
      <c r="G845" t="s">
        <v>1941</v>
      </c>
      <c r="H845">
        <v>22313</v>
      </c>
      <c r="I845" t="s">
        <v>1942</v>
      </c>
    </row>
    <row r="846" spans="1:9" x14ac:dyDescent="0.25">
      <c r="A846" t="s">
        <v>1634</v>
      </c>
      <c r="B846" t="s">
        <v>5565</v>
      </c>
      <c r="C846" t="s">
        <v>5566</v>
      </c>
      <c r="D846" t="s">
        <v>5567</v>
      </c>
      <c r="E846" t="s">
        <v>5568</v>
      </c>
      <c r="F846" t="s">
        <v>3316</v>
      </c>
      <c r="G846" t="s">
        <v>1941</v>
      </c>
      <c r="H846">
        <v>21290</v>
      </c>
      <c r="I846" t="s">
        <v>1942</v>
      </c>
    </row>
    <row r="847" spans="1:9" x14ac:dyDescent="0.25">
      <c r="A847" t="s">
        <v>1636</v>
      </c>
      <c r="B847" t="s">
        <v>5569</v>
      </c>
      <c r="C847" t="s">
        <v>5570</v>
      </c>
      <c r="E847" t="s">
        <v>5571</v>
      </c>
      <c r="F847" t="s">
        <v>2555</v>
      </c>
      <c r="G847" t="s">
        <v>1941</v>
      </c>
      <c r="H847">
        <v>47732</v>
      </c>
      <c r="I847" t="s">
        <v>1951</v>
      </c>
    </row>
    <row r="848" spans="1:9" x14ac:dyDescent="0.25">
      <c r="A848" t="s">
        <v>1638</v>
      </c>
      <c r="B848" t="s">
        <v>5572</v>
      </c>
      <c r="D848" t="s">
        <v>5573</v>
      </c>
      <c r="E848" t="s">
        <v>5574</v>
      </c>
      <c r="F848" t="s">
        <v>3682</v>
      </c>
      <c r="G848" t="s">
        <v>1941</v>
      </c>
      <c r="H848">
        <v>30045</v>
      </c>
      <c r="I848" t="s">
        <v>1942</v>
      </c>
    </row>
    <row r="849" spans="1:9" x14ac:dyDescent="0.25">
      <c r="A849" t="s">
        <v>1640</v>
      </c>
      <c r="B849" t="s">
        <v>5575</v>
      </c>
      <c r="C849" t="s">
        <v>5576</v>
      </c>
      <c r="E849" t="s">
        <v>5577</v>
      </c>
      <c r="F849" t="s">
        <v>5578</v>
      </c>
      <c r="G849" t="s">
        <v>1941</v>
      </c>
      <c r="H849">
        <v>36670</v>
      </c>
      <c r="I849" t="s">
        <v>1942</v>
      </c>
    </row>
    <row r="850" spans="1:9" x14ac:dyDescent="0.25">
      <c r="A850" t="s">
        <v>1642</v>
      </c>
      <c r="B850" t="s">
        <v>5579</v>
      </c>
      <c r="D850" t="s">
        <v>5580</v>
      </c>
      <c r="E850" t="s">
        <v>5581</v>
      </c>
      <c r="F850" t="s">
        <v>2320</v>
      </c>
      <c r="G850" t="s">
        <v>1941</v>
      </c>
      <c r="H850">
        <v>79705</v>
      </c>
      <c r="I850" t="s">
        <v>1951</v>
      </c>
    </row>
    <row r="851" spans="1:9" x14ac:dyDescent="0.25">
      <c r="A851" t="s">
        <v>1644</v>
      </c>
      <c r="B851" t="s">
        <v>5582</v>
      </c>
      <c r="C851" t="s">
        <v>5583</v>
      </c>
      <c r="D851" t="s">
        <v>5584</v>
      </c>
      <c r="E851" t="s">
        <v>5585</v>
      </c>
      <c r="F851" t="s">
        <v>5586</v>
      </c>
      <c r="G851" t="s">
        <v>1941</v>
      </c>
      <c r="H851">
        <v>33023</v>
      </c>
      <c r="I851" t="s">
        <v>1942</v>
      </c>
    </row>
    <row r="852" spans="1:9" x14ac:dyDescent="0.25">
      <c r="A852" t="s">
        <v>5587</v>
      </c>
      <c r="B852" t="s">
        <v>5588</v>
      </c>
      <c r="C852" t="s">
        <v>5589</v>
      </c>
      <c r="D852" t="s">
        <v>5590</v>
      </c>
      <c r="E852" t="s">
        <v>5591</v>
      </c>
      <c r="F852" t="s">
        <v>3510</v>
      </c>
      <c r="G852" t="s">
        <v>1941</v>
      </c>
      <c r="H852">
        <v>66611</v>
      </c>
      <c r="I852" t="s">
        <v>1942</v>
      </c>
    </row>
    <row r="853" spans="1:9" x14ac:dyDescent="0.25">
      <c r="A853" t="s">
        <v>1646</v>
      </c>
      <c r="B853" t="s">
        <v>5592</v>
      </c>
      <c r="C853" t="s">
        <v>5593</v>
      </c>
      <c r="D853" t="s">
        <v>5594</v>
      </c>
      <c r="E853" t="s">
        <v>5595</v>
      </c>
      <c r="F853" t="s">
        <v>3755</v>
      </c>
      <c r="G853" t="s">
        <v>1941</v>
      </c>
      <c r="H853">
        <v>95973</v>
      </c>
      <c r="I853" t="s">
        <v>1942</v>
      </c>
    </row>
    <row r="854" spans="1:9" x14ac:dyDescent="0.25">
      <c r="A854" t="s">
        <v>1648</v>
      </c>
      <c r="B854" t="s">
        <v>5596</v>
      </c>
      <c r="C854" t="s">
        <v>5597</v>
      </c>
      <c r="E854" t="s">
        <v>5598</v>
      </c>
      <c r="F854" t="s">
        <v>2387</v>
      </c>
      <c r="G854" t="s">
        <v>1941</v>
      </c>
      <c r="H854">
        <v>78737</v>
      </c>
      <c r="I854" t="s">
        <v>1942</v>
      </c>
    </row>
    <row r="855" spans="1:9" x14ac:dyDescent="0.25">
      <c r="A855" t="s">
        <v>1650</v>
      </c>
      <c r="B855" t="s">
        <v>5599</v>
      </c>
      <c r="C855" t="s">
        <v>5600</v>
      </c>
      <c r="E855" t="s">
        <v>5601</v>
      </c>
      <c r="F855" t="s">
        <v>2448</v>
      </c>
      <c r="G855" t="s">
        <v>1941</v>
      </c>
      <c r="H855">
        <v>88546</v>
      </c>
      <c r="I855" t="s">
        <v>1951</v>
      </c>
    </row>
    <row r="856" spans="1:9" x14ac:dyDescent="0.25">
      <c r="A856" t="s">
        <v>1652</v>
      </c>
      <c r="B856" t="s">
        <v>5602</v>
      </c>
      <c r="C856" t="s">
        <v>5603</v>
      </c>
      <c r="D856" t="s">
        <v>5604</v>
      </c>
      <c r="E856" t="s">
        <v>5605</v>
      </c>
      <c r="F856" t="s">
        <v>2122</v>
      </c>
      <c r="G856" t="s">
        <v>1941</v>
      </c>
      <c r="H856">
        <v>25326</v>
      </c>
      <c r="I856" t="s">
        <v>1942</v>
      </c>
    </row>
    <row r="857" spans="1:9" x14ac:dyDescent="0.25">
      <c r="A857" t="s">
        <v>1654</v>
      </c>
      <c r="B857" t="s">
        <v>5606</v>
      </c>
      <c r="C857" t="s">
        <v>5607</v>
      </c>
      <c r="D857" t="s">
        <v>5608</v>
      </c>
      <c r="E857" t="s">
        <v>5609</v>
      </c>
      <c r="F857" t="s">
        <v>4886</v>
      </c>
      <c r="G857" t="s">
        <v>1941</v>
      </c>
      <c r="H857">
        <v>18105</v>
      </c>
      <c r="I857" t="s">
        <v>1951</v>
      </c>
    </row>
    <row r="858" spans="1:9" x14ac:dyDescent="0.25">
      <c r="A858" t="s">
        <v>5610</v>
      </c>
      <c r="B858" t="s">
        <v>5611</v>
      </c>
      <c r="C858" t="s">
        <v>5612</v>
      </c>
      <c r="D858" t="s">
        <v>5613</v>
      </c>
      <c r="E858" t="s">
        <v>5614</v>
      </c>
      <c r="F858" t="s">
        <v>4485</v>
      </c>
      <c r="G858" t="s">
        <v>2116</v>
      </c>
      <c r="H858" t="s">
        <v>5615</v>
      </c>
      <c r="I858" t="s">
        <v>1942</v>
      </c>
    </row>
    <row r="859" spans="1:9" x14ac:dyDescent="0.25">
      <c r="A859" t="s">
        <v>1657</v>
      </c>
      <c r="B859" t="s">
        <v>5616</v>
      </c>
      <c r="C859" t="s">
        <v>5617</v>
      </c>
      <c r="D859" t="s">
        <v>5618</v>
      </c>
      <c r="E859" t="s">
        <v>5619</v>
      </c>
      <c r="F859" t="s">
        <v>5425</v>
      </c>
      <c r="G859" t="s">
        <v>1941</v>
      </c>
      <c r="H859">
        <v>34643</v>
      </c>
      <c r="I859" t="s">
        <v>1951</v>
      </c>
    </row>
    <row r="860" spans="1:9" x14ac:dyDescent="0.25">
      <c r="A860" t="s">
        <v>1659</v>
      </c>
      <c r="B860" t="s">
        <v>5620</v>
      </c>
      <c r="C860" t="s">
        <v>5621</v>
      </c>
      <c r="D860" t="s">
        <v>5622</v>
      </c>
      <c r="E860" t="s">
        <v>5623</v>
      </c>
      <c r="F860" t="s">
        <v>2550</v>
      </c>
      <c r="G860" t="s">
        <v>1941</v>
      </c>
      <c r="H860">
        <v>58122</v>
      </c>
      <c r="I860" t="s">
        <v>1951</v>
      </c>
    </row>
    <row r="861" spans="1:9" x14ac:dyDescent="0.25">
      <c r="A861" t="s">
        <v>1661</v>
      </c>
      <c r="B861" t="s">
        <v>5624</v>
      </c>
      <c r="C861" t="s">
        <v>5625</v>
      </c>
      <c r="D861" t="s">
        <v>5626</v>
      </c>
      <c r="E861" t="s">
        <v>5627</v>
      </c>
      <c r="F861" t="s">
        <v>5028</v>
      </c>
      <c r="G861" t="s">
        <v>1941</v>
      </c>
      <c r="H861">
        <v>72905</v>
      </c>
      <c r="I861" t="s">
        <v>1951</v>
      </c>
    </row>
    <row r="862" spans="1:9" x14ac:dyDescent="0.25">
      <c r="A862" t="s">
        <v>1663</v>
      </c>
      <c r="B862" t="s">
        <v>5628</v>
      </c>
      <c r="D862" t="s">
        <v>5629</v>
      </c>
      <c r="E862" t="s">
        <v>5630</v>
      </c>
      <c r="F862" t="s">
        <v>4237</v>
      </c>
      <c r="G862" t="s">
        <v>1941</v>
      </c>
      <c r="H862">
        <v>33811</v>
      </c>
      <c r="I862" t="s">
        <v>1951</v>
      </c>
    </row>
    <row r="863" spans="1:9" x14ac:dyDescent="0.25">
      <c r="A863" t="s">
        <v>1665</v>
      </c>
      <c r="B863" t="s">
        <v>5631</v>
      </c>
      <c r="C863" t="s">
        <v>5632</v>
      </c>
      <c r="D863" t="s">
        <v>5633</v>
      </c>
      <c r="E863" t="s">
        <v>5634</v>
      </c>
      <c r="F863" t="s">
        <v>3412</v>
      </c>
      <c r="G863" t="s">
        <v>1941</v>
      </c>
      <c r="H863">
        <v>37924</v>
      </c>
      <c r="I863" t="s">
        <v>1942</v>
      </c>
    </row>
    <row r="864" spans="1:9" x14ac:dyDescent="0.25">
      <c r="A864" t="s">
        <v>1667</v>
      </c>
      <c r="B864" t="s">
        <v>5635</v>
      </c>
      <c r="C864" t="s">
        <v>5636</v>
      </c>
      <c r="D864" t="s">
        <v>5637</v>
      </c>
      <c r="E864" t="s">
        <v>5638</v>
      </c>
      <c r="F864" t="s">
        <v>1986</v>
      </c>
      <c r="G864" t="s">
        <v>1941</v>
      </c>
      <c r="H864">
        <v>90030</v>
      </c>
      <c r="I864" t="s">
        <v>1942</v>
      </c>
    </row>
    <row r="865" spans="1:9" x14ac:dyDescent="0.25">
      <c r="A865" t="s">
        <v>1669</v>
      </c>
      <c r="B865" t="s">
        <v>5639</v>
      </c>
      <c r="C865" t="s">
        <v>5640</v>
      </c>
      <c r="D865" t="s">
        <v>5641</v>
      </c>
      <c r="E865" t="s">
        <v>5642</v>
      </c>
      <c r="F865" t="s">
        <v>3581</v>
      </c>
      <c r="G865" t="s">
        <v>1941</v>
      </c>
      <c r="H865">
        <v>33169</v>
      </c>
      <c r="I865" t="s">
        <v>1942</v>
      </c>
    </row>
    <row r="866" spans="1:9" x14ac:dyDescent="0.25">
      <c r="A866" t="s">
        <v>1671</v>
      </c>
      <c r="B866" t="s">
        <v>5643</v>
      </c>
      <c r="C866" t="s">
        <v>5644</v>
      </c>
      <c r="D866" t="s">
        <v>5645</v>
      </c>
      <c r="E866" t="s">
        <v>5646</v>
      </c>
      <c r="F866" t="s">
        <v>5162</v>
      </c>
      <c r="G866" t="s">
        <v>1949</v>
      </c>
      <c r="H866" t="s">
        <v>5163</v>
      </c>
      <c r="I866" t="s">
        <v>1951</v>
      </c>
    </row>
    <row r="867" spans="1:9" x14ac:dyDescent="0.25">
      <c r="A867" t="s">
        <v>5647</v>
      </c>
      <c r="B867" t="s">
        <v>5648</v>
      </c>
      <c r="D867" t="s">
        <v>5649</v>
      </c>
      <c r="E867" t="s">
        <v>5650</v>
      </c>
      <c r="F867" t="s">
        <v>2252</v>
      </c>
      <c r="G867" t="s">
        <v>1941</v>
      </c>
      <c r="H867">
        <v>60604</v>
      </c>
      <c r="I867" t="s">
        <v>1942</v>
      </c>
    </row>
    <row r="868" spans="1:9" x14ac:dyDescent="0.25">
      <c r="A868" t="s">
        <v>1675</v>
      </c>
      <c r="B868" t="s">
        <v>5651</v>
      </c>
      <c r="C868" t="s">
        <v>5652</v>
      </c>
      <c r="D868" t="s">
        <v>5653</v>
      </c>
      <c r="E868" t="s">
        <v>5654</v>
      </c>
      <c r="F868" t="s">
        <v>5655</v>
      </c>
      <c r="G868" t="s">
        <v>1949</v>
      </c>
      <c r="H868" t="s">
        <v>2397</v>
      </c>
      <c r="I868" t="s">
        <v>1951</v>
      </c>
    </row>
    <row r="869" spans="1:9" x14ac:dyDescent="0.25">
      <c r="A869" t="s">
        <v>1677</v>
      </c>
      <c r="B869" t="s">
        <v>5656</v>
      </c>
      <c r="C869" t="s">
        <v>5657</v>
      </c>
      <c r="E869" t="s">
        <v>5658</v>
      </c>
      <c r="F869" t="s">
        <v>5659</v>
      </c>
      <c r="G869" t="s">
        <v>1949</v>
      </c>
      <c r="H869" t="s">
        <v>5660</v>
      </c>
      <c r="I869" t="s">
        <v>1942</v>
      </c>
    </row>
    <row r="870" spans="1:9" x14ac:dyDescent="0.25">
      <c r="A870" t="s">
        <v>1679</v>
      </c>
      <c r="B870" t="s">
        <v>5661</v>
      </c>
      <c r="C870" t="s">
        <v>5662</v>
      </c>
      <c r="D870" t="s">
        <v>5663</v>
      </c>
      <c r="E870" t="s">
        <v>5664</v>
      </c>
      <c r="F870" t="s">
        <v>2861</v>
      </c>
      <c r="G870" t="s">
        <v>1941</v>
      </c>
      <c r="H870">
        <v>33064</v>
      </c>
      <c r="I870" t="s">
        <v>1942</v>
      </c>
    </row>
    <row r="871" spans="1:9" x14ac:dyDescent="0.25">
      <c r="A871" t="s">
        <v>1681</v>
      </c>
      <c r="B871" t="s">
        <v>5665</v>
      </c>
      <c r="D871" t="s">
        <v>5666</v>
      </c>
      <c r="E871" t="s">
        <v>5667</v>
      </c>
      <c r="F871" t="s">
        <v>2999</v>
      </c>
      <c r="G871" t="s">
        <v>1941</v>
      </c>
      <c r="H871">
        <v>94297</v>
      </c>
      <c r="I871" t="s">
        <v>1942</v>
      </c>
    </row>
    <row r="872" spans="1:9" x14ac:dyDescent="0.25">
      <c r="A872" t="s">
        <v>1683</v>
      </c>
      <c r="B872" t="s">
        <v>5668</v>
      </c>
      <c r="C872" t="s">
        <v>5669</v>
      </c>
      <c r="D872" t="s">
        <v>5670</v>
      </c>
      <c r="E872" t="s">
        <v>5671</v>
      </c>
      <c r="F872" t="s">
        <v>2082</v>
      </c>
      <c r="G872" t="s">
        <v>1949</v>
      </c>
      <c r="H872" t="s">
        <v>2083</v>
      </c>
      <c r="I872" t="s">
        <v>1942</v>
      </c>
    </row>
    <row r="873" spans="1:9" x14ac:dyDescent="0.25">
      <c r="A873" t="s">
        <v>1685</v>
      </c>
      <c r="B873" t="s">
        <v>5672</v>
      </c>
      <c r="C873" t="s">
        <v>5673</v>
      </c>
      <c r="D873" t="s">
        <v>5674</v>
      </c>
      <c r="E873" t="s">
        <v>5675</v>
      </c>
      <c r="F873" t="s">
        <v>5676</v>
      </c>
      <c r="G873" t="s">
        <v>2116</v>
      </c>
      <c r="H873" t="s">
        <v>5677</v>
      </c>
      <c r="I873" t="s">
        <v>1942</v>
      </c>
    </row>
    <row r="874" spans="1:9" x14ac:dyDescent="0.25">
      <c r="A874" t="s">
        <v>1687</v>
      </c>
      <c r="B874" t="s">
        <v>5678</v>
      </c>
      <c r="C874" t="s">
        <v>5679</v>
      </c>
      <c r="D874" t="s">
        <v>5680</v>
      </c>
      <c r="E874" t="s">
        <v>5681</v>
      </c>
      <c r="F874" t="s">
        <v>3687</v>
      </c>
      <c r="G874" t="s">
        <v>1941</v>
      </c>
      <c r="H874">
        <v>28805</v>
      </c>
      <c r="I874" t="s">
        <v>1951</v>
      </c>
    </row>
    <row r="875" spans="1:9" x14ac:dyDescent="0.25">
      <c r="A875" t="s">
        <v>1673</v>
      </c>
      <c r="B875" t="s">
        <v>5682</v>
      </c>
      <c r="C875" t="s">
        <v>5683</v>
      </c>
      <c r="D875" t="s">
        <v>5684</v>
      </c>
      <c r="E875" t="s">
        <v>5685</v>
      </c>
      <c r="F875" t="s">
        <v>2122</v>
      </c>
      <c r="G875" t="s">
        <v>1941</v>
      </c>
      <c r="H875">
        <v>25362</v>
      </c>
      <c r="I875" t="s">
        <v>1942</v>
      </c>
    </row>
    <row r="876" spans="1:9" x14ac:dyDescent="0.25">
      <c r="A876" t="s">
        <v>1690</v>
      </c>
      <c r="B876" t="s">
        <v>5686</v>
      </c>
      <c r="C876" t="s">
        <v>5687</v>
      </c>
      <c r="D876" t="s">
        <v>5688</v>
      </c>
      <c r="E876" t="s">
        <v>5689</v>
      </c>
      <c r="F876" t="s">
        <v>2027</v>
      </c>
      <c r="G876" t="s">
        <v>1941</v>
      </c>
      <c r="H876">
        <v>77281</v>
      </c>
      <c r="I876" t="s">
        <v>1951</v>
      </c>
    </row>
    <row r="877" spans="1:9" x14ac:dyDescent="0.25">
      <c r="A877" t="s">
        <v>1692</v>
      </c>
      <c r="B877" t="s">
        <v>5690</v>
      </c>
      <c r="C877" t="s">
        <v>5691</v>
      </c>
      <c r="D877" t="s">
        <v>5692</v>
      </c>
      <c r="E877" t="s">
        <v>5693</v>
      </c>
      <c r="F877" t="s">
        <v>2411</v>
      </c>
      <c r="G877" t="s">
        <v>1949</v>
      </c>
      <c r="H877" t="s">
        <v>2412</v>
      </c>
      <c r="I877" t="s">
        <v>1951</v>
      </c>
    </row>
    <row r="878" spans="1:9" x14ac:dyDescent="0.25">
      <c r="A878" t="s">
        <v>5694</v>
      </c>
      <c r="B878" t="s">
        <v>5695</v>
      </c>
      <c r="C878" t="s">
        <v>5696</v>
      </c>
      <c r="D878" t="s">
        <v>5697</v>
      </c>
      <c r="E878" t="s">
        <v>5698</v>
      </c>
      <c r="F878" t="s">
        <v>2186</v>
      </c>
      <c r="G878" t="s">
        <v>1941</v>
      </c>
      <c r="H878">
        <v>20575</v>
      </c>
      <c r="I878" t="s">
        <v>1942</v>
      </c>
    </row>
    <row r="879" spans="1:9" x14ac:dyDescent="0.25">
      <c r="A879" t="s">
        <v>1694</v>
      </c>
      <c r="B879" t="s">
        <v>5699</v>
      </c>
      <c r="C879" t="s">
        <v>5700</v>
      </c>
      <c r="D879" t="s">
        <v>5701</v>
      </c>
      <c r="E879" t="s">
        <v>5702</v>
      </c>
      <c r="F879" t="s">
        <v>2256</v>
      </c>
      <c r="G879" t="s">
        <v>1941</v>
      </c>
      <c r="H879">
        <v>7195</v>
      </c>
      <c r="I879" t="s">
        <v>1951</v>
      </c>
    </row>
    <row r="880" spans="1:9" x14ac:dyDescent="0.25">
      <c r="A880" t="s">
        <v>1696</v>
      </c>
      <c r="B880" t="s">
        <v>5703</v>
      </c>
      <c r="D880" t="s">
        <v>5704</v>
      </c>
      <c r="E880" t="s">
        <v>5705</v>
      </c>
      <c r="F880" t="s">
        <v>3492</v>
      </c>
      <c r="G880" t="s">
        <v>1941</v>
      </c>
      <c r="H880">
        <v>98195</v>
      </c>
      <c r="I880" t="s">
        <v>1942</v>
      </c>
    </row>
    <row r="881" spans="1:9" x14ac:dyDescent="0.25">
      <c r="A881" t="s">
        <v>1698</v>
      </c>
      <c r="B881" t="s">
        <v>5706</v>
      </c>
      <c r="D881" t="s">
        <v>5707</v>
      </c>
      <c r="E881" t="s">
        <v>5708</v>
      </c>
      <c r="F881" t="s">
        <v>2063</v>
      </c>
      <c r="G881" t="s">
        <v>1941</v>
      </c>
      <c r="H881">
        <v>80150</v>
      </c>
      <c r="I881" t="s">
        <v>1951</v>
      </c>
    </row>
    <row r="882" spans="1:9" x14ac:dyDescent="0.25">
      <c r="A882" t="s">
        <v>1700</v>
      </c>
      <c r="B882" t="s">
        <v>5709</v>
      </c>
      <c r="C882" t="s">
        <v>5710</v>
      </c>
      <c r="D882" t="s">
        <v>5711</v>
      </c>
      <c r="E882" t="s">
        <v>5712</v>
      </c>
      <c r="F882" t="s">
        <v>5713</v>
      </c>
      <c r="G882" t="s">
        <v>1941</v>
      </c>
      <c r="H882">
        <v>61105</v>
      </c>
      <c r="I882" t="s">
        <v>1951</v>
      </c>
    </row>
    <row r="883" spans="1:9" x14ac:dyDescent="0.25">
      <c r="A883" t="s">
        <v>1702</v>
      </c>
      <c r="B883" t="s">
        <v>5714</v>
      </c>
      <c r="D883" t="s">
        <v>5715</v>
      </c>
      <c r="E883" t="s">
        <v>5716</v>
      </c>
      <c r="F883" t="s">
        <v>5215</v>
      </c>
      <c r="G883" t="s">
        <v>1941</v>
      </c>
      <c r="H883">
        <v>59112</v>
      </c>
      <c r="I883" t="s">
        <v>1942</v>
      </c>
    </row>
    <row r="884" spans="1:9" x14ac:dyDescent="0.25">
      <c r="A884" t="s">
        <v>5717</v>
      </c>
      <c r="B884" t="s">
        <v>5718</v>
      </c>
      <c r="C884" t="s">
        <v>5719</v>
      </c>
      <c r="D884" t="s">
        <v>5720</v>
      </c>
      <c r="E884" t="s">
        <v>5721</v>
      </c>
      <c r="F884" t="s">
        <v>3049</v>
      </c>
      <c r="G884" t="s">
        <v>1941</v>
      </c>
      <c r="H884">
        <v>31165</v>
      </c>
      <c r="I884" t="s">
        <v>1951</v>
      </c>
    </row>
    <row r="885" spans="1:9" x14ac:dyDescent="0.25">
      <c r="A885" t="s">
        <v>1706</v>
      </c>
      <c r="B885" t="s">
        <v>5722</v>
      </c>
      <c r="C885" t="s">
        <v>5723</v>
      </c>
      <c r="D885" t="s">
        <v>5724</v>
      </c>
      <c r="E885" t="s">
        <v>5725</v>
      </c>
      <c r="F885" t="s">
        <v>2816</v>
      </c>
      <c r="G885" t="s">
        <v>1941</v>
      </c>
      <c r="H885">
        <v>74108</v>
      </c>
      <c r="I885" t="s">
        <v>1942</v>
      </c>
    </row>
    <row r="886" spans="1:9" x14ac:dyDescent="0.25">
      <c r="A886" t="s">
        <v>1708</v>
      </c>
      <c r="B886" t="s">
        <v>5726</v>
      </c>
      <c r="C886" t="s">
        <v>5727</v>
      </c>
      <c r="D886" t="s">
        <v>5728</v>
      </c>
      <c r="E886" t="s">
        <v>5729</v>
      </c>
      <c r="F886" t="s">
        <v>2355</v>
      </c>
      <c r="G886" t="s">
        <v>1941</v>
      </c>
      <c r="H886">
        <v>93704</v>
      </c>
      <c r="I886" t="s">
        <v>1942</v>
      </c>
    </row>
    <row r="887" spans="1:9" x14ac:dyDescent="0.25">
      <c r="A887" t="s">
        <v>1710</v>
      </c>
      <c r="B887" t="s">
        <v>5730</v>
      </c>
      <c r="C887" t="s">
        <v>5731</v>
      </c>
      <c r="D887" t="s">
        <v>5732</v>
      </c>
      <c r="E887" t="s">
        <v>5733</v>
      </c>
      <c r="F887" t="s">
        <v>5734</v>
      </c>
      <c r="G887" t="s">
        <v>1949</v>
      </c>
      <c r="H887" t="s">
        <v>2310</v>
      </c>
      <c r="I887" t="s">
        <v>1951</v>
      </c>
    </row>
    <row r="888" spans="1:9" x14ac:dyDescent="0.25">
      <c r="A888" t="s">
        <v>1712</v>
      </c>
      <c r="B888" t="s">
        <v>5735</v>
      </c>
      <c r="C888" t="s">
        <v>5736</v>
      </c>
      <c r="D888" t="s">
        <v>5737</v>
      </c>
      <c r="E888" t="s">
        <v>5738</v>
      </c>
      <c r="F888" t="s">
        <v>3090</v>
      </c>
      <c r="G888" t="s">
        <v>1941</v>
      </c>
      <c r="H888">
        <v>94154</v>
      </c>
      <c r="I888" t="s">
        <v>1951</v>
      </c>
    </row>
    <row r="889" spans="1:9" x14ac:dyDescent="0.25">
      <c r="A889" t="s">
        <v>1714</v>
      </c>
      <c r="B889" t="s">
        <v>5739</v>
      </c>
      <c r="C889" t="s">
        <v>5740</v>
      </c>
      <c r="D889" t="s">
        <v>5741</v>
      </c>
      <c r="E889" t="s">
        <v>5742</v>
      </c>
      <c r="F889" t="s">
        <v>5578</v>
      </c>
      <c r="G889" t="s">
        <v>1941</v>
      </c>
      <c r="H889">
        <v>36689</v>
      </c>
      <c r="I889" t="s">
        <v>1951</v>
      </c>
    </row>
    <row r="890" spans="1:9" x14ac:dyDescent="0.25">
      <c r="A890" t="s">
        <v>1716</v>
      </c>
      <c r="B890" t="s">
        <v>5743</v>
      </c>
      <c r="C890" t="s">
        <v>5744</v>
      </c>
      <c r="D890" t="s">
        <v>5745</v>
      </c>
      <c r="E890" t="s">
        <v>5746</v>
      </c>
      <c r="F890" t="s">
        <v>3090</v>
      </c>
      <c r="G890" t="s">
        <v>1941</v>
      </c>
      <c r="H890">
        <v>94110</v>
      </c>
      <c r="I890" t="s">
        <v>1942</v>
      </c>
    </row>
    <row r="891" spans="1:9" x14ac:dyDescent="0.25">
      <c r="A891" t="s">
        <v>1718</v>
      </c>
      <c r="B891" t="s">
        <v>5747</v>
      </c>
      <c r="C891" t="s">
        <v>5748</v>
      </c>
      <c r="D891" t="s">
        <v>5749</v>
      </c>
      <c r="E891" t="s">
        <v>5750</v>
      </c>
      <c r="F891" t="s">
        <v>2099</v>
      </c>
      <c r="G891" t="s">
        <v>1941</v>
      </c>
      <c r="H891">
        <v>11470</v>
      </c>
      <c r="I891" t="s">
        <v>1942</v>
      </c>
    </row>
    <row r="892" spans="1:9" x14ac:dyDescent="0.25">
      <c r="A892" t="s">
        <v>1704</v>
      </c>
      <c r="B892" t="s">
        <v>5751</v>
      </c>
      <c r="C892" t="s">
        <v>5752</v>
      </c>
      <c r="D892" t="s">
        <v>5753</v>
      </c>
      <c r="E892" t="s">
        <v>5754</v>
      </c>
      <c r="F892" t="s">
        <v>2132</v>
      </c>
      <c r="G892" t="s">
        <v>1941</v>
      </c>
      <c r="H892">
        <v>80243</v>
      </c>
      <c r="I892" t="s">
        <v>1942</v>
      </c>
    </row>
    <row r="893" spans="1:9" x14ac:dyDescent="0.25">
      <c r="A893" t="s">
        <v>1721</v>
      </c>
      <c r="B893" t="s">
        <v>5755</v>
      </c>
      <c r="C893" t="s">
        <v>5756</v>
      </c>
      <c r="D893" t="s">
        <v>5757</v>
      </c>
      <c r="E893" t="s">
        <v>5758</v>
      </c>
      <c r="F893" t="s">
        <v>3785</v>
      </c>
      <c r="G893" t="s">
        <v>1941</v>
      </c>
      <c r="H893">
        <v>92165</v>
      </c>
      <c r="I893" t="s">
        <v>1942</v>
      </c>
    </row>
    <row r="894" spans="1:9" x14ac:dyDescent="0.25">
      <c r="A894" t="s">
        <v>1723</v>
      </c>
      <c r="B894" t="s">
        <v>5759</v>
      </c>
      <c r="C894" t="s">
        <v>5760</v>
      </c>
      <c r="D894" t="s">
        <v>5761</v>
      </c>
      <c r="E894" t="s">
        <v>5762</v>
      </c>
      <c r="F894" t="s">
        <v>3727</v>
      </c>
      <c r="G894" t="s">
        <v>2116</v>
      </c>
      <c r="H894" t="s">
        <v>3728</v>
      </c>
      <c r="I894" t="s">
        <v>1951</v>
      </c>
    </row>
    <row r="895" spans="1:9" x14ac:dyDescent="0.25">
      <c r="A895" t="s">
        <v>1725</v>
      </c>
      <c r="B895" t="s">
        <v>5763</v>
      </c>
      <c r="C895" t="s">
        <v>5764</v>
      </c>
      <c r="E895" t="s">
        <v>5765</v>
      </c>
      <c r="F895" t="s">
        <v>4595</v>
      </c>
      <c r="G895" t="s">
        <v>1941</v>
      </c>
      <c r="H895">
        <v>15250</v>
      </c>
      <c r="I895" t="s">
        <v>1942</v>
      </c>
    </row>
    <row r="896" spans="1:9" x14ac:dyDescent="0.25">
      <c r="A896" t="s">
        <v>1727</v>
      </c>
      <c r="B896" t="s">
        <v>5766</v>
      </c>
      <c r="D896" t="s">
        <v>5767</v>
      </c>
      <c r="E896" t="s">
        <v>5768</v>
      </c>
      <c r="F896" t="s">
        <v>5769</v>
      </c>
      <c r="G896" t="s">
        <v>1949</v>
      </c>
      <c r="H896" t="s">
        <v>2674</v>
      </c>
      <c r="I896" t="s">
        <v>1942</v>
      </c>
    </row>
    <row r="897" spans="1:9" x14ac:dyDescent="0.25">
      <c r="A897" t="s">
        <v>1729</v>
      </c>
      <c r="B897" t="s">
        <v>5770</v>
      </c>
      <c r="D897" t="s">
        <v>5771</v>
      </c>
      <c r="E897" t="s">
        <v>5772</v>
      </c>
      <c r="F897" t="s">
        <v>2037</v>
      </c>
      <c r="G897" t="s">
        <v>1941</v>
      </c>
      <c r="H897">
        <v>10004</v>
      </c>
      <c r="I897" t="s">
        <v>1951</v>
      </c>
    </row>
    <row r="898" spans="1:9" x14ac:dyDescent="0.25">
      <c r="A898" t="s">
        <v>1731</v>
      </c>
      <c r="B898" t="s">
        <v>5773</v>
      </c>
      <c r="C898" t="s">
        <v>5774</v>
      </c>
      <c r="D898" t="s">
        <v>5775</v>
      </c>
      <c r="E898" t="s">
        <v>5776</v>
      </c>
      <c r="F898" t="s">
        <v>3492</v>
      </c>
      <c r="G898" t="s">
        <v>1941</v>
      </c>
      <c r="H898">
        <v>98148</v>
      </c>
      <c r="I898" t="s">
        <v>1942</v>
      </c>
    </row>
    <row r="899" spans="1:9" x14ac:dyDescent="0.25">
      <c r="A899" t="s">
        <v>1733</v>
      </c>
      <c r="B899" t="s">
        <v>5777</v>
      </c>
      <c r="C899" t="s">
        <v>5778</v>
      </c>
      <c r="D899" t="s">
        <v>5779</v>
      </c>
      <c r="E899" t="s">
        <v>5780</v>
      </c>
      <c r="F899" t="s">
        <v>2172</v>
      </c>
      <c r="G899" t="s">
        <v>2116</v>
      </c>
      <c r="H899" t="s">
        <v>2486</v>
      </c>
      <c r="I899" t="s">
        <v>1951</v>
      </c>
    </row>
    <row r="900" spans="1:9" x14ac:dyDescent="0.25">
      <c r="A900" t="s">
        <v>1735</v>
      </c>
      <c r="B900" t="s">
        <v>5781</v>
      </c>
      <c r="D900" t="s">
        <v>5782</v>
      </c>
      <c r="E900" t="s">
        <v>5783</v>
      </c>
      <c r="F900" t="s">
        <v>5784</v>
      </c>
      <c r="G900" t="s">
        <v>1941</v>
      </c>
      <c r="H900">
        <v>49018</v>
      </c>
      <c r="I900" t="s">
        <v>1951</v>
      </c>
    </row>
    <row r="901" spans="1:9" x14ac:dyDescent="0.25">
      <c r="A901" t="s">
        <v>5785</v>
      </c>
      <c r="B901" t="s">
        <v>5786</v>
      </c>
      <c r="C901" t="s">
        <v>5787</v>
      </c>
      <c r="E901" t="s">
        <v>5788</v>
      </c>
      <c r="F901" t="s">
        <v>2424</v>
      </c>
      <c r="G901" t="s">
        <v>1949</v>
      </c>
      <c r="H901" t="s">
        <v>2425</v>
      </c>
      <c r="I901" t="s">
        <v>1942</v>
      </c>
    </row>
    <row r="902" spans="1:9" x14ac:dyDescent="0.25">
      <c r="A902" t="s">
        <v>1738</v>
      </c>
      <c r="B902" t="s">
        <v>5789</v>
      </c>
      <c r="D902" t="s">
        <v>5790</v>
      </c>
      <c r="E902" t="s">
        <v>5791</v>
      </c>
      <c r="F902" t="s">
        <v>5792</v>
      </c>
      <c r="G902" t="s">
        <v>1949</v>
      </c>
      <c r="H902" t="s">
        <v>2536</v>
      </c>
      <c r="I902" t="s">
        <v>1951</v>
      </c>
    </row>
    <row r="903" spans="1:9" x14ac:dyDescent="0.25">
      <c r="A903" t="s">
        <v>1740</v>
      </c>
      <c r="B903" t="s">
        <v>5793</v>
      </c>
      <c r="C903" t="s">
        <v>5794</v>
      </c>
      <c r="D903" t="s">
        <v>5795</v>
      </c>
      <c r="E903" t="s">
        <v>5796</v>
      </c>
      <c r="F903" t="s">
        <v>2027</v>
      </c>
      <c r="G903" t="s">
        <v>1941</v>
      </c>
      <c r="H903">
        <v>77070</v>
      </c>
      <c r="I903" t="s">
        <v>1942</v>
      </c>
    </row>
    <row r="904" spans="1:9" x14ac:dyDescent="0.25">
      <c r="A904" t="s">
        <v>1742</v>
      </c>
      <c r="B904" t="s">
        <v>5797</v>
      </c>
      <c r="C904" t="s">
        <v>5798</v>
      </c>
      <c r="D904" t="s">
        <v>5799</v>
      </c>
      <c r="E904" t="s">
        <v>5800</v>
      </c>
      <c r="F904" t="s">
        <v>3037</v>
      </c>
      <c r="G904" t="s">
        <v>1941</v>
      </c>
      <c r="H904">
        <v>45249</v>
      </c>
      <c r="I904" t="s">
        <v>1951</v>
      </c>
    </row>
    <row r="905" spans="1:9" x14ac:dyDescent="0.25">
      <c r="A905" t="s">
        <v>1744</v>
      </c>
      <c r="B905" t="s">
        <v>5801</v>
      </c>
      <c r="C905" t="s">
        <v>5802</v>
      </c>
      <c r="D905" t="s">
        <v>5803</v>
      </c>
      <c r="E905" t="s">
        <v>5804</v>
      </c>
      <c r="F905" t="s">
        <v>2355</v>
      </c>
      <c r="G905" t="s">
        <v>1941</v>
      </c>
      <c r="H905">
        <v>93704</v>
      </c>
      <c r="I905" t="s">
        <v>1951</v>
      </c>
    </row>
    <row r="906" spans="1:9" x14ac:dyDescent="0.25">
      <c r="A906" t="s">
        <v>1746</v>
      </c>
      <c r="B906" t="s">
        <v>5805</v>
      </c>
      <c r="C906" t="s">
        <v>5806</v>
      </c>
      <c r="D906" t="s">
        <v>5807</v>
      </c>
      <c r="E906" t="s">
        <v>5808</v>
      </c>
      <c r="F906" t="s">
        <v>2233</v>
      </c>
      <c r="G906" t="s">
        <v>1941</v>
      </c>
      <c r="H906">
        <v>55123</v>
      </c>
      <c r="I906" t="s">
        <v>1951</v>
      </c>
    </row>
    <row r="907" spans="1:9" x14ac:dyDescent="0.25">
      <c r="A907" t="s">
        <v>1748</v>
      </c>
      <c r="B907" t="s">
        <v>5809</v>
      </c>
      <c r="D907" t="s">
        <v>5810</v>
      </c>
      <c r="E907" t="s">
        <v>5811</v>
      </c>
      <c r="F907" t="s">
        <v>2448</v>
      </c>
      <c r="G907" t="s">
        <v>1941</v>
      </c>
      <c r="H907">
        <v>88519</v>
      </c>
      <c r="I907" t="s">
        <v>1942</v>
      </c>
    </row>
    <row r="908" spans="1:9" x14ac:dyDescent="0.25">
      <c r="A908" t="s">
        <v>1750</v>
      </c>
      <c r="B908" t="s">
        <v>5812</v>
      </c>
      <c r="C908" t="s">
        <v>5813</v>
      </c>
      <c r="D908" t="s">
        <v>5814</v>
      </c>
      <c r="E908" t="s">
        <v>5815</v>
      </c>
      <c r="F908" t="s">
        <v>2647</v>
      </c>
      <c r="G908" t="s">
        <v>1941</v>
      </c>
      <c r="H908">
        <v>50981</v>
      </c>
      <c r="I908" t="s">
        <v>1942</v>
      </c>
    </row>
    <row r="909" spans="1:9" x14ac:dyDescent="0.25">
      <c r="A909" t="s">
        <v>1752</v>
      </c>
      <c r="B909" t="s">
        <v>5816</v>
      </c>
      <c r="C909" t="s">
        <v>5817</v>
      </c>
      <c r="D909" t="s">
        <v>5818</v>
      </c>
      <c r="E909" t="s">
        <v>5819</v>
      </c>
      <c r="F909" t="s">
        <v>2022</v>
      </c>
      <c r="G909" t="s">
        <v>1941</v>
      </c>
      <c r="H909">
        <v>97240</v>
      </c>
      <c r="I909" t="s">
        <v>1951</v>
      </c>
    </row>
    <row r="910" spans="1:9" x14ac:dyDescent="0.25">
      <c r="A910" t="s">
        <v>1754</v>
      </c>
      <c r="B910" t="s">
        <v>5820</v>
      </c>
      <c r="C910" t="s">
        <v>5821</v>
      </c>
      <c r="D910" t="s">
        <v>5822</v>
      </c>
      <c r="E910" t="s">
        <v>5823</v>
      </c>
      <c r="F910" t="s">
        <v>2027</v>
      </c>
      <c r="G910" t="s">
        <v>1941</v>
      </c>
      <c r="H910">
        <v>77070</v>
      </c>
      <c r="I910" t="s">
        <v>1951</v>
      </c>
    </row>
    <row r="911" spans="1:9" x14ac:dyDescent="0.25">
      <c r="A911" t="s">
        <v>1756</v>
      </c>
      <c r="B911" t="s">
        <v>5824</v>
      </c>
      <c r="D911" t="s">
        <v>5825</v>
      </c>
      <c r="E911" t="s">
        <v>5826</v>
      </c>
      <c r="F911" t="s">
        <v>4481</v>
      </c>
      <c r="G911" t="s">
        <v>1941</v>
      </c>
      <c r="H911">
        <v>27705</v>
      </c>
      <c r="I911" t="s">
        <v>1951</v>
      </c>
    </row>
    <row r="912" spans="1:9" x14ac:dyDescent="0.25">
      <c r="A912" t="s">
        <v>1758</v>
      </c>
      <c r="B912" t="s">
        <v>5827</v>
      </c>
      <c r="C912" t="s">
        <v>5828</v>
      </c>
      <c r="D912" t="s">
        <v>5829</v>
      </c>
      <c r="E912" t="s">
        <v>5830</v>
      </c>
      <c r="F912" t="s">
        <v>2158</v>
      </c>
      <c r="G912" t="s">
        <v>1941</v>
      </c>
      <c r="H912">
        <v>2298</v>
      </c>
      <c r="I912" t="s">
        <v>1951</v>
      </c>
    </row>
    <row r="913" spans="1:9" x14ac:dyDescent="0.25">
      <c r="A913" t="s">
        <v>1760</v>
      </c>
      <c r="B913" t="s">
        <v>5831</v>
      </c>
      <c r="C913" t="s">
        <v>5832</v>
      </c>
      <c r="D913" t="s">
        <v>5833</v>
      </c>
      <c r="E913" t="s">
        <v>5834</v>
      </c>
      <c r="F913" t="s">
        <v>2186</v>
      </c>
      <c r="G913" t="s">
        <v>1941</v>
      </c>
      <c r="H913">
        <v>20226</v>
      </c>
      <c r="I913" t="s">
        <v>1942</v>
      </c>
    </row>
    <row r="914" spans="1:9" x14ac:dyDescent="0.25">
      <c r="A914" t="s">
        <v>1762</v>
      </c>
      <c r="B914" t="s">
        <v>5835</v>
      </c>
      <c r="D914" t="s">
        <v>5836</v>
      </c>
      <c r="E914" t="s">
        <v>5837</v>
      </c>
      <c r="F914" t="s">
        <v>2881</v>
      </c>
      <c r="G914" t="s">
        <v>1941</v>
      </c>
      <c r="H914">
        <v>12205</v>
      </c>
      <c r="I914" t="s">
        <v>1942</v>
      </c>
    </row>
    <row r="915" spans="1:9" x14ac:dyDescent="0.25">
      <c r="A915" t="s">
        <v>1764</v>
      </c>
      <c r="B915" t="s">
        <v>5838</v>
      </c>
      <c r="C915" t="s">
        <v>5839</v>
      </c>
      <c r="D915" t="s">
        <v>5840</v>
      </c>
      <c r="E915" t="s">
        <v>5841</v>
      </c>
      <c r="F915" t="s">
        <v>2140</v>
      </c>
      <c r="G915" t="s">
        <v>1941</v>
      </c>
      <c r="H915">
        <v>85732</v>
      </c>
      <c r="I915" t="s">
        <v>1951</v>
      </c>
    </row>
    <row r="916" spans="1:9" x14ac:dyDescent="0.25">
      <c r="A916" t="s">
        <v>1766</v>
      </c>
      <c r="B916" t="s">
        <v>5842</v>
      </c>
      <c r="C916" t="s">
        <v>5843</v>
      </c>
      <c r="D916" t="s">
        <v>5844</v>
      </c>
      <c r="E916" t="s">
        <v>5845</v>
      </c>
      <c r="F916" t="s">
        <v>2744</v>
      </c>
      <c r="G916" t="s">
        <v>1941</v>
      </c>
      <c r="H916">
        <v>36195</v>
      </c>
      <c r="I916" t="s">
        <v>1951</v>
      </c>
    </row>
    <row r="917" spans="1:9" x14ac:dyDescent="0.25">
      <c r="A917" t="s">
        <v>1768</v>
      </c>
      <c r="B917" t="s">
        <v>5846</v>
      </c>
      <c r="C917" t="s">
        <v>5847</v>
      </c>
      <c r="D917" t="s">
        <v>5848</v>
      </c>
      <c r="E917" t="s">
        <v>5849</v>
      </c>
      <c r="F917" t="s">
        <v>5850</v>
      </c>
      <c r="G917" t="s">
        <v>1941</v>
      </c>
      <c r="H917">
        <v>99709</v>
      </c>
      <c r="I917" t="s">
        <v>1942</v>
      </c>
    </row>
    <row r="918" spans="1:9" x14ac:dyDescent="0.25">
      <c r="A918" t="s">
        <v>1770</v>
      </c>
      <c r="B918" t="s">
        <v>5851</v>
      </c>
      <c r="E918" t="s">
        <v>5852</v>
      </c>
      <c r="F918" t="s">
        <v>3918</v>
      </c>
      <c r="G918" t="s">
        <v>1949</v>
      </c>
      <c r="H918" t="s">
        <v>3919</v>
      </c>
      <c r="I918" t="s">
        <v>1942</v>
      </c>
    </row>
    <row r="919" spans="1:9" x14ac:dyDescent="0.25">
      <c r="A919" t="s">
        <v>1772</v>
      </c>
      <c r="B919" t="s">
        <v>5853</v>
      </c>
      <c r="C919" t="s">
        <v>5854</v>
      </c>
      <c r="D919" t="s">
        <v>5855</v>
      </c>
      <c r="E919" t="s">
        <v>5856</v>
      </c>
      <c r="F919" t="s">
        <v>3238</v>
      </c>
      <c r="G919" t="s">
        <v>2116</v>
      </c>
      <c r="H919" t="s">
        <v>5857</v>
      </c>
      <c r="I919" t="s">
        <v>1951</v>
      </c>
    </row>
    <row r="920" spans="1:9" x14ac:dyDescent="0.25">
      <c r="A920" t="s">
        <v>5858</v>
      </c>
      <c r="B920" t="s">
        <v>5859</v>
      </c>
      <c r="C920" t="s">
        <v>5860</v>
      </c>
      <c r="D920" t="s">
        <v>5861</v>
      </c>
      <c r="E920" t="s">
        <v>5862</v>
      </c>
      <c r="F920" t="s">
        <v>2713</v>
      </c>
      <c r="G920" t="s">
        <v>1941</v>
      </c>
      <c r="H920">
        <v>34615</v>
      </c>
      <c r="I920" t="s">
        <v>1951</v>
      </c>
    </row>
    <row r="921" spans="1:9" x14ac:dyDescent="0.25">
      <c r="A921" t="s">
        <v>1774</v>
      </c>
      <c r="B921" t="s">
        <v>5863</v>
      </c>
      <c r="C921" t="s">
        <v>5864</v>
      </c>
      <c r="D921" t="s">
        <v>5865</v>
      </c>
      <c r="E921" t="s">
        <v>5866</v>
      </c>
      <c r="F921" t="s">
        <v>3320</v>
      </c>
      <c r="G921" t="s">
        <v>1941</v>
      </c>
      <c r="H921">
        <v>40515</v>
      </c>
      <c r="I921" t="s">
        <v>1942</v>
      </c>
    </row>
    <row r="922" spans="1:9" x14ac:dyDescent="0.25">
      <c r="A922" t="s">
        <v>1776</v>
      </c>
      <c r="B922" t="s">
        <v>5867</v>
      </c>
      <c r="C922" t="s">
        <v>5868</v>
      </c>
      <c r="D922" t="s">
        <v>5869</v>
      </c>
      <c r="E922" t="s">
        <v>5870</v>
      </c>
      <c r="F922" t="s">
        <v>2048</v>
      </c>
      <c r="G922" t="s">
        <v>1941</v>
      </c>
      <c r="H922">
        <v>49560</v>
      </c>
      <c r="I922" t="s">
        <v>1951</v>
      </c>
    </row>
    <row r="923" spans="1:9" x14ac:dyDescent="0.25">
      <c r="A923" t="s">
        <v>1778</v>
      </c>
      <c r="B923" t="s">
        <v>5871</v>
      </c>
      <c r="C923" t="s">
        <v>5872</v>
      </c>
      <c r="D923" t="s">
        <v>5873</v>
      </c>
      <c r="E923" t="s">
        <v>5874</v>
      </c>
      <c r="F923" t="s">
        <v>2647</v>
      </c>
      <c r="G923" t="s">
        <v>1941</v>
      </c>
      <c r="H923">
        <v>50369</v>
      </c>
      <c r="I923" t="s">
        <v>1951</v>
      </c>
    </row>
    <row r="924" spans="1:9" x14ac:dyDescent="0.25">
      <c r="A924" t="s">
        <v>1780</v>
      </c>
      <c r="B924" t="s">
        <v>5875</v>
      </c>
      <c r="E924" t="s">
        <v>5876</v>
      </c>
      <c r="F924" t="s">
        <v>5107</v>
      </c>
      <c r="G924" t="s">
        <v>1941</v>
      </c>
      <c r="H924">
        <v>19810</v>
      </c>
      <c r="I924" t="s">
        <v>1942</v>
      </c>
    </row>
    <row r="925" spans="1:9" x14ac:dyDescent="0.25">
      <c r="A925" t="s">
        <v>1782</v>
      </c>
      <c r="B925" t="s">
        <v>5877</v>
      </c>
      <c r="C925" t="s">
        <v>5878</v>
      </c>
      <c r="D925" t="s">
        <v>5879</v>
      </c>
      <c r="E925" t="s">
        <v>5880</v>
      </c>
      <c r="F925" t="s">
        <v>2387</v>
      </c>
      <c r="G925" t="s">
        <v>1941</v>
      </c>
      <c r="H925">
        <v>78726</v>
      </c>
      <c r="I925" t="s">
        <v>1951</v>
      </c>
    </row>
    <row r="926" spans="1:9" x14ac:dyDescent="0.25">
      <c r="A926" t="s">
        <v>1784</v>
      </c>
      <c r="B926" t="s">
        <v>5881</v>
      </c>
      <c r="C926" t="s">
        <v>5882</v>
      </c>
      <c r="E926" t="s">
        <v>5883</v>
      </c>
      <c r="F926" t="s">
        <v>4401</v>
      </c>
      <c r="G926" t="s">
        <v>1941</v>
      </c>
      <c r="H926">
        <v>32835</v>
      </c>
      <c r="I926" t="s">
        <v>1951</v>
      </c>
    </row>
    <row r="927" spans="1:9" x14ac:dyDescent="0.25">
      <c r="A927" t="s">
        <v>5884</v>
      </c>
      <c r="B927" t="s">
        <v>5885</v>
      </c>
      <c r="D927" t="s">
        <v>5886</v>
      </c>
      <c r="E927" t="s">
        <v>5887</v>
      </c>
      <c r="F927" t="s">
        <v>2947</v>
      </c>
      <c r="G927" t="s">
        <v>1941</v>
      </c>
      <c r="H927">
        <v>91199</v>
      </c>
      <c r="I927" t="s">
        <v>1942</v>
      </c>
    </row>
    <row r="928" spans="1:9" x14ac:dyDescent="0.25">
      <c r="A928" t="s">
        <v>1787</v>
      </c>
      <c r="B928" t="s">
        <v>5888</v>
      </c>
      <c r="C928" t="s">
        <v>5889</v>
      </c>
      <c r="D928" t="s">
        <v>5890</v>
      </c>
      <c r="E928" t="s">
        <v>5891</v>
      </c>
      <c r="F928" t="s">
        <v>2186</v>
      </c>
      <c r="G928" t="s">
        <v>1941</v>
      </c>
      <c r="H928">
        <v>20238</v>
      </c>
      <c r="I928" t="s">
        <v>1942</v>
      </c>
    </row>
    <row r="929" spans="1:9" x14ac:dyDescent="0.25">
      <c r="A929" t="s">
        <v>1789</v>
      </c>
      <c r="B929" t="s">
        <v>5892</v>
      </c>
      <c r="C929" t="s">
        <v>5893</v>
      </c>
      <c r="D929" t="s">
        <v>5894</v>
      </c>
      <c r="E929" t="s">
        <v>5895</v>
      </c>
      <c r="F929" t="s">
        <v>2022</v>
      </c>
      <c r="G929" t="s">
        <v>1941</v>
      </c>
      <c r="H929">
        <v>97271</v>
      </c>
      <c r="I929" t="s">
        <v>1951</v>
      </c>
    </row>
    <row r="930" spans="1:9" x14ac:dyDescent="0.25">
      <c r="A930" t="s">
        <v>1791</v>
      </c>
      <c r="B930" t="s">
        <v>5896</v>
      </c>
      <c r="C930" t="s">
        <v>5897</v>
      </c>
      <c r="E930" t="s">
        <v>5898</v>
      </c>
      <c r="F930" t="s">
        <v>2037</v>
      </c>
      <c r="G930" t="s">
        <v>1941</v>
      </c>
      <c r="H930">
        <v>10004</v>
      </c>
      <c r="I930" t="s">
        <v>1942</v>
      </c>
    </row>
    <row r="931" spans="1:9" x14ac:dyDescent="0.25">
      <c r="A931" t="s">
        <v>1793</v>
      </c>
      <c r="B931" t="s">
        <v>5899</v>
      </c>
      <c r="C931" t="s">
        <v>5900</v>
      </c>
      <c r="D931" t="s">
        <v>5901</v>
      </c>
      <c r="E931" t="s">
        <v>5902</v>
      </c>
      <c r="F931" t="s">
        <v>2186</v>
      </c>
      <c r="G931" t="s">
        <v>1941</v>
      </c>
      <c r="H931">
        <v>20404</v>
      </c>
      <c r="I931" t="s">
        <v>1942</v>
      </c>
    </row>
    <row r="932" spans="1:9" x14ac:dyDescent="0.25">
      <c r="A932" t="s">
        <v>1795</v>
      </c>
      <c r="B932" t="s">
        <v>5903</v>
      </c>
      <c r="C932" t="s">
        <v>5904</v>
      </c>
      <c r="E932" t="s">
        <v>5905</v>
      </c>
      <c r="F932" t="s">
        <v>2186</v>
      </c>
      <c r="G932" t="s">
        <v>1941</v>
      </c>
      <c r="H932">
        <v>20067</v>
      </c>
      <c r="I932" t="s">
        <v>1942</v>
      </c>
    </row>
    <row r="933" spans="1:9" x14ac:dyDescent="0.25">
      <c r="A933" t="s">
        <v>1797</v>
      </c>
      <c r="B933" t="s">
        <v>5906</v>
      </c>
      <c r="E933" t="s">
        <v>5907</v>
      </c>
      <c r="F933" t="s">
        <v>4886</v>
      </c>
      <c r="G933" t="s">
        <v>1941</v>
      </c>
      <c r="H933">
        <v>18105</v>
      </c>
      <c r="I933" t="s">
        <v>1942</v>
      </c>
    </row>
    <row r="934" spans="1:9" x14ac:dyDescent="0.25">
      <c r="A934" t="s">
        <v>1799</v>
      </c>
      <c r="B934" t="s">
        <v>5908</v>
      </c>
      <c r="C934" t="s">
        <v>5909</v>
      </c>
      <c r="D934" t="s">
        <v>5910</v>
      </c>
      <c r="E934" t="s">
        <v>5911</v>
      </c>
      <c r="F934" t="s">
        <v>3581</v>
      </c>
      <c r="G934" t="s">
        <v>1941</v>
      </c>
      <c r="H934">
        <v>33169</v>
      </c>
      <c r="I934" t="s">
        <v>1951</v>
      </c>
    </row>
    <row r="935" spans="1:9" x14ac:dyDescent="0.25">
      <c r="A935" t="s">
        <v>1801</v>
      </c>
      <c r="B935" t="s">
        <v>5912</v>
      </c>
      <c r="D935" t="s">
        <v>5913</v>
      </c>
      <c r="E935" t="s">
        <v>5914</v>
      </c>
      <c r="F935" t="s">
        <v>2362</v>
      </c>
      <c r="G935" t="s">
        <v>1941</v>
      </c>
      <c r="H935">
        <v>73129</v>
      </c>
      <c r="I935" t="s">
        <v>1942</v>
      </c>
    </row>
    <row r="936" spans="1:9" x14ac:dyDescent="0.25">
      <c r="A936" t="s">
        <v>1803</v>
      </c>
      <c r="B936" t="s">
        <v>5915</v>
      </c>
      <c r="C936" t="s">
        <v>5916</v>
      </c>
      <c r="D936" t="s">
        <v>5917</v>
      </c>
      <c r="E936" t="s">
        <v>5918</v>
      </c>
      <c r="F936" t="s">
        <v>5713</v>
      </c>
      <c r="G936" t="s">
        <v>1941</v>
      </c>
      <c r="H936">
        <v>61105</v>
      </c>
      <c r="I936" t="s">
        <v>1951</v>
      </c>
    </row>
    <row r="937" spans="1:9" x14ac:dyDescent="0.25">
      <c r="A937" t="s">
        <v>1805</v>
      </c>
      <c r="B937" t="s">
        <v>5919</v>
      </c>
      <c r="C937" t="s">
        <v>5920</v>
      </c>
      <c r="D937" t="s">
        <v>5921</v>
      </c>
      <c r="E937" t="s">
        <v>5922</v>
      </c>
      <c r="F937" t="s">
        <v>2744</v>
      </c>
      <c r="G937" t="s">
        <v>1941</v>
      </c>
      <c r="H937">
        <v>36177</v>
      </c>
      <c r="I937" t="s">
        <v>1942</v>
      </c>
    </row>
    <row r="938" spans="1:9" x14ac:dyDescent="0.25">
      <c r="A938" t="s">
        <v>1807</v>
      </c>
      <c r="B938" t="s">
        <v>5923</v>
      </c>
      <c r="C938" t="s">
        <v>5924</v>
      </c>
      <c r="D938" t="s">
        <v>5925</v>
      </c>
      <c r="E938" t="s">
        <v>5926</v>
      </c>
      <c r="F938" t="s">
        <v>2947</v>
      </c>
      <c r="G938" t="s">
        <v>1941</v>
      </c>
      <c r="H938">
        <v>91117</v>
      </c>
      <c r="I938" t="s">
        <v>1942</v>
      </c>
    </row>
    <row r="939" spans="1:9" x14ac:dyDescent="0.25">
      <c r="A939" t="s">
        <v>5927</v>
      </c>
      <c r="B939" t="s">
        <v>5928</v>
      </c>
      <c r="C939" t="s">
        <v>5929</v>
      </c>
      <c r="D939" t="s">
        <v>5930</v>
      </c>
      <c r="E939" t="s">
        <v>5931</v>
      </c>
      <c r="F939" t="s">
        <v>2252</v>
      </c>
      <c r="G939" t="s">
        <v>1941</v>
      </c>
      <c r="H939">
        <v>60624</v>
      </c>
      <c r="I939" t="s">
        <v>1951</v>
      </c>
    </row>
    <row r="940" spans="1:9" x14ac:dyDescent="0.25">
      <c r="A940" t="s">
        <v>1809</v>
      </c>
      <c r="B940" t="s">
        <v>5932</v>
      </c>
      <c r="C940" t="s">
        <v>5933</v>
      </c>
      <c r="D940" t="s">
        <v>5934</v>
      </c>
      <c r="E940" t="s">
        <v>5935</v>
      </c>
      <c r="F940" t="s">
        <v>2027</v>
      </c>
      <c r="G940" t="s">
        <v>1941</v>
      </c>
      <c r="H940">
        <v>77293</v>
      </c>
      <c r="I940" t="s">
        <v>1942</v>
      </c>
    </row>
    <row r="941" spans="1:9" x14ac:dyDescent="0.25">
      <c r="A941" t="s">
        <v>1811</v>
      </c>
      <c r="B941" t="s">
        <v>5936</v>
      </c>
      <c r="C941" t="s">
        <v>5937</v>
      </c>
      <c r="D941" t="s">
        <v>5938</v>
      </c>
      <c r="E941" t="s">
        <v>5939</v>
      </c>
      <c r="F941" t="s">
        <v>5940</v>
      </c>
      <c r="G941" t="s">
        <v>1941</v>
      </c>
      <c r="H941">
        <v>49444</v>
      </c>
      <c r="I941" t="s">
        <v>1951</v>
      </c>
    </row>
    <row r="942" spans="1:9" x14ac:dyDescent="0.25">
      <c r="A942" t="s">
        <v>1813</v>
      </c>
      <c r="B942" t="s">
        <v>5941</v>
      </c>
      <c r="C942" t="s">
        <v>5942</v>
      </c>
      <c r="D942" t="s">
        <v>5943</v>
      </c>
      <c r="E942" t="s">
        <v>5944</v>
      </c>
      <c r="F942" t="s">
        <v>2186</v>
      </c>
      <c r="G942" t="s">
        <v>1941</v>
      </c>
      <c r="H942">
        <v>20380</v>
      </c>
      <c r="I942" t="s">
        <v>1942</v>
      </c>
    </row>
    <row r="943" spans="1:9" x14ac:dyDescent="0.25">
      <c r="A943" t="s">
        <v>1815</v>
      </c>
      <c r="B943" t="s">
        <v>5945</v>
      </c>
      <c r="C943" t="s">
        <v>5946</v>
      </c>
      <c r="D943" t="s">
        <v>5947</v>
      </c>
      <c r="E943" t="s">
        <v>5948</v>
      </c>
      <c r="F943" t="s">
        <v>5949</v>
      </c>
      <c r="G943" t="s">
        <v>1949</v>
      </c>
      <c r="H943" t="s">
        <v>5950</v>
      </c>
      <c r="I943" t="s">
        <v>1942</v>
      </c>
    </row>
    <row r="944" spans="1:9" x14ac:dyDescent="0.25">
      <c r="A944" t="s">
        <v>1817</v>
      </c>
      <c r="B944" t="s">
        <v>5951</v>
      </c>
      <c r="C944" t="s">
        <v>5952</v>
      </c>
      <c r="D944" t="s">
        <v>5953</v>
      </c>
      <c r="E944" t="s">
        <v>5954</v>
      </c>
      <c r="F944" t="s">
        <v>2753</v>
      </c>
      <c r="G944" t="s">
        <v>1941</v>
      </c>
      <c r="H944">
        <v>31205</v>
      </c>
      <c r="I944" t="s">
        <v>1951</v>
      </c>
    </row>
    <row r="945" spans="1:9" x14ac:dyDescent="0.25">
      <c r="A945" t="s">
        <v>1819</v>
      </c>
      <c r="B945" t="s">
        <v>5955</v>
      </c>
      <c r="C945" t="s">
        <v>5956</v>
      </c>
      <c r="D945" t="s">
        <v>5957</v>
      </c>
      <c r="E945" t="s">
        <v>5958</v>
      </c>
      <c r="F945" t="s">
        <v>3524</v>
      </c>
      <c r="G945" t="s">
        <v>1941</v>
      </c>
      <c r="H945">
        <v>71105</v>
      </c>
      <c r="I945" t="s">
        <v>1951</v>
      </c>
    </row>
    <row r="946" spans="1:9" x14ac:dyDescent="0.25">
      <c r="A946" t="s">
        <v>1821</v>
      </c>
      <c r="B946" t="s">
        <v>5959</v>
      </c>
      <c r="C946" t="s">
        <v>5960</v>
      </c>
      <c r="D946" t="s">
        <v>5961</v>
      </c>
      <c r="E946" t="s">
        <v>5962</v>
      </c>
      <c r="F946" t="s">
        <v>3148</v>
      </c>
      <c r="G946" t="s">
        <v>1941</v>
      </c>
      <c r="H946">
        <v>98405</v>
      </c>
      <c r="I946" t="s">
        <v>1951</v>
      </c>
    </row>
    <row r="947" spans="1:9" x14ac:dyDescent="0.25">
      <c r="A947" t="s">
        <v>1823</v>
      </c>
      <c r="B947" t="s">
        <v>5963</v>
      </c>
      <c r="D947" t="s">
        <v>5964</v>
      </c>
      <c r="E947" t="s">
        <v>5965</v>
      </c>
      <c r="F947" t="s">
        <v>2448</v>
      </c>
      <c r="G947" t="s">
        <v>1941</v>
      </c>
      <c r="H947">
        <v>79934</v>
      </c>
      <c r="I947" t="s">
        <v>1951</v>
      </c>
    </row>
    <row r="948" spans="1:9" x14ac:dyDescent="0.25">
      <c r="A948" t="s">
        <v>1825</v>
      </c>
      <c r="B948" t="s">
        <v>5966</v>
      </c>
      <c r="D948" t="s">
        <v>5967</v>
      </c>
      <c r="E948" t="s">
        <v>5968</v>
      </c>
      <c r="F948" t="s">
        <v>2172</v>
      </c>
      <c r="G948" t="s">
        <v>1941</v>
      </c>
      <c r="H948">
        <v>35263</v>
      </c>
      <c r="I948" t="s">
        <v>1951</v>
      </c>
    </row>
    <row r="949" spans="1:9" x14ac:dyDescent="0.25">
      <c r="A949" t="s">
        <v>1827</v>
      </c>
      <c r="B949" t="s">
        <v>5969</v>
      </c>
      <c r="C949" t="s">
        <v>5970</v>
      </c>
      <c r="E949" t="s">
        <v>5971</v>
      </c>
      <c r="F949" t="s">
        <v>2607</v>
      </c>
      <c r="G949" t="s">
        <v>1949</v>
      </c>
      <c r="H949" t="s">
        <v>2310</v>
      </c>
      <c r="I949" t="s">
        <v>1951</v>
      </c>
    </row>
    <row r="950" spans="1:9" x14ac:dyDescent="0.25">
      <c r="A950" t="s">
        <v>1829</v>
      </c>
      <c r="B950" t="s">
        <v>5972</v>
      </c>
      <c r="C950" t="s">
        <v>5973</v>
      </c>
      <c r="D950" t="s">
        <v>5974</v>
      </c>
      <c r="E950" t="s">
        <v>5975</v>
      </c>
      <c r="F950" t="s">
        <v>4485</v>
      </c>
      <c r="G950" t="s">
        <v>2116</v>
      </c>
      <c r="H950" t="s">
        <v>5976</v>
      </c>
      <c r="I950" t="s">
        <v>1942</v>
      </c>
    </row>
    <row r="951" spans="1:9" x14ac:dyDescent="0.25">
      <c r="A951" t="s">
        <v>1831</v>
      </c>
      <c r="B951" t="s">
        <v>5977</v>
      </c>
      <c r="C951" t="s">
        <v>5978</v>
      </c>
      <c r="D951" t="s">
        <v>5979</v>
      </c>
      <c r="E951" t="s">
        <v>5980</v>
      </c>
      <c r="F951" t="s">
        <v>5981</v>
      </c>
      <c r="G951" t="s">
        <v>1949</v>
      </c>
      <c r="H951" t="s">
        <v>5982</v>
      </c>
      <c r="I951" t="s">
        <v>1951</v>
      </c>
    </row>
    <row r="952" spans="1:9" x14ac:dyDescent="0.25">
      <c r="A952" t="s">
        <v>1833</v>
      </c>
      <c r="B952" t="s">
        <v>5983</v>
      </c>
      <c r="D952" t="s">
        <v>5984</v>
      </c>
      <c r="E952" t="s">
        <v>5985</v>
      </c>
      <c r="F952" t="s">
        <v>5107</v>
      </c>
      <c r="G952" t="s">
        <v>1941</v>
      </c>
      <c r="H952">
        <v>19810</v>
      </c>
      <c r="I952" t="s">
        <v>1942</v>
      </c>
    </row>
    <row r="953" spans="1:9" x14ac:dyDescent="0.25">
      <c r="A953" t="s">
        <v>1835</v>
      </c>
      <c r="B953" t="s">
        <v>5986</v>
      </c>
      <c r="C953" t="s">
        <v>5987</v>
      </c>
      <c r="D953" t="s">
        <v>5988</v>
      </c>
      <c r="E953" t="s">
        <v>5989</v>
      </c>
      <c r="F953" t="s">
        <v>3662</v>
      </c>
      <c r="G953" t="s">
        <v>1941</v>
      </c>
      <c r="H953">
        <v>17121</v>
      </c>
      <c r="I953" t="s">
        <v>1951</v>
      </c>
    </row>
    <row r="954" spans="1:9" x14ac:dyDescent="0.25">
      <c r="A954" t="s">
        <v>1837</v>
      </c>
      <c r="B954" t="s">
        <v>5990</v>
      </c>
      <c r="C954" t="s">
        <v>5991</v>
      </c>
      <c r="D954" t="s">
        <v>5992</v>
      </c>
      <c r="E954" t="s">
        <v>5993</v>
      </c>
      <c r="F954" t="s">
        <v>5949</v>
      </c>
      <c r="G954" t="s">
        <v>1949</v>
      </c>
      <c r="H954" t="s">
        <v>5950</v>
      </c>
      <c r="I954" t="s">
        <v>1942</v>
      </c>
    </row>
    <row r="955" spans="1:9" x14ac:dyDescent="0.25">
      <c r="A955" t="s">
        <v>5994</v>
      </c>
      <c r="B955" t="s">
        <v>5995</v>
      </c>
      <c r="C955" t="s">
        <v>5996</v>
      </c>
      <c r="D955" t="s">
        <v>5997</v>
      </c>
      <c r="E955" t="s">
        <v>5998</v>
      </c>
      <c r="F955" t="s">
        <v>2448</v>
      </c>
      <c r="G955" t="s">
        <v>1941</v>
      </c>
      <c r="H955">
        <v>79940</v>
      </c>
      <c r="I955" t="s">
        <v>1942</v>
      </c>
    </row>
    <row r="956" spans="1:9" x14ac:dyDescent="0.25">
      <c r="A956" t="s">
        <v>5999</v>
      </c>
      <c r="B956" t="s">
        <v>6000</v>
      </c>
      <c r="C956" t="s">
        <v>6001</v>
      </c>
      <c r="D956" t="s">
        <v>6002</v>
      </c>
      <c r="E956" t="s">
        <v>6003</v>
      </c>
      <c r="F956" t="s">
        <v>2013</v>
      </c>
      <c r="G956" t="s">
        <v>1941</v>
      </c>
      <c r="H956">
        <v>63136</v>
      </c>
      <c r="I956" t="s">
        <v>1942</v>
      </c>
    </row>
    <row r="957" spans="1:9" x14ac:dyDescent="0.25">
      <c r="A957" t="s">
        <v>6004</v>
      </c>
      <c r="B957" t="s">
        <v>6005</v>
      </c>
      <c r="C957" t="s">
        <v>6006</v>
      </c>
      <c r="D957" t="s">
        <v>6007</v>
      </c>
      <c r="E957" t="s">
        <v>6008</v>
      </c>
      <c r="F957" t="s">
        <v>5028</v>
      </c>
      <c r="G957" t="s">
        <v>1941</v>
      </c>
      <c r="H957">
        <v>72905</v>
      </c>
      <c r="I957" t="s">
        <v>1942</v>
      </c>
    </row>
    <row r="958" spans="1:9" x14ac:dyDescent="0.25">
      <c r="A958" t="s">
        <v>6009</v>
      </c>
      <c r="B958" t="s">
        <v>6010</v>
      </c>
      <c r="C958" t="s">
        <v>6011</v>
      </c>
      <c r="D958" t="s">
        <v>6012</v>
      </c>
      <c r="E958" t="s">
        <v>6013</v>
      </c>
      <c r="F958" t="s">
        <v>2506</v>
      </c>
      <c r="G958" t="s">
        <v>1941</v>
      </c>
      <c r="H958">
        <v>37245</v>
      </c>
      <c r="I958" t="s">
        <v>1951</v>
      </c>
    </row>
    <row r="959" spans="1:9" x14ac:dyDescent="0.25">
      <c r="A959" t="s">
        <v>6014</v>
      </c>
      <c r="B959" t="s">
        <v>6015</v>
      </c>
      <c r="C959" t="s">
        <v>6016</v>
      </c>
      <c r="D959" t="s">
        <v>6017</v>
      </c>
      <c r="E959" t="s">
        <v>6018</v>
      </c>
      <c r="F959" t="s">
        <v>2186</v>
      </c>
      <c r="G959" t="s">
        <v>1941</v>
      </c>
      <c r="H959">
        <v>20088</v>
      </c>
      <c r="I959" t="s">
        <v>1942</v>
      </c>
    </row>
    <row r="960" spans="1:9" x14ac:dyDescent="0.25">
      <c r="A960" t="s">
        <v>6019</v>
      </c>
      <c r="B960" t="s">
        <v>6020</v>
      </c>
      <c r="C960" t="s">
        <v>6021</v>
      </c>
      <c r="E960" t="s">
        <v>6022</v>
      </c>
      <c r="F960" t="s">
        <v>6023</v>
      </c>
      <c r="G960" t="s">
        <v>1941</v>
      </c>
      <c r="H960">
        <v>90305</v>
      </c>
      <c r="I960" t="s">
        <v>1942</v>
      </c>
    </row>
    <row r="961" spans="1:9" x14ac:dyDescent="0.25">
      <c r="A961" t="s">
        <v>1842</v>
      </c>
      <c r="B961" t="s">
        <v>6024</v>
      </c>
      <c r="C961" t="s">
        <v>6025</v>
      </c>
      <c r="E961" t="s">
        <v>6026</v>
      </c>
      <c r="F961" t="s">
        <v>2127</v>
      </c>
      <c r="G961" t="s">
        <v>1941</v>
      </c>
      <c r="H961">
        <v>72215</v>
      </c>
      <c r="I961" t="s">
        <v>1942</v>
      </c>
    </row>
    <row r="962" spans="1:9" x14ac:dyDescent="0.25">
      <c r="A962" t="s">
        <v>1844</v>
      </c>
      <c r="B962" t="s">
        <v>6027</v>
      </c>
      <c r="C962" t="s">
        <v>6028</v>
      </c>
      <c r="D962" t="s">
        <v>6029</v>
      </c>
      <c r="E962" t="s">
        <v>6030</v>
      </c>
      <c r="F962" t="s">
        <v>3703</v>
      </c>
      <c r="G962" t="s">
        <v>1941</v>
      </c>
      <c r="H962">
        <v>21747</v>
      </c>
      <c r="I962" t="s">
        <v>1942</v>
      </c>
    </row>
    <row r="963" spans="1:9" x14ac:dyDescent="0.25">
      <c r="A963" t="s">
        <v>1846</v>
      </c>
      <c r="B963" t="s">
        <v>6031</v>
      </c>
      <c r="D963" t="s">
        <v>6032</v>
      </c>
      <c r="E963" t="s">
        <v>6033</v>
      </c>
      <c r="F963" t="s">
        <v>2881</v>
      </c>
      <c r="G963" t="s">
        <v>1941</v>
      </c>
      <c r="H963">
        <v>12205</v>
      </c>
      <c r="I963" t="s">
        <v>1942</v>
      </c>
    </row>
    <row r="964" spans="1:9" x14ac:dyDescent="0.25">
      <c r="A964" t="s">
        <v>1848</v>
      </c>
      <c r="B964" t="s">
        <v>6034</v>
      </c>
      <c r="C964" t="s">
        <v>6035</v>
      </c>
      <c r="D964" t="s">
        <v>6036</v>
      </c>
      <c r="E964" t="s">
        <v>6037</v>
      </c>
      <c r="F964" t="s">
        <v>6038</v>
      </c>
      <c r="G964" t="s">
        <v>1949</v>
      </c>
      <c r="H964" t="s">
        <v>3194</v>
      </c>
      <c r="I964" t="s">
        <v>1942</v>
      </c>
    </row>
    <row r="965" spans="1:9" x14ac:dyDescent="0.25">
      <c r="A965" t="s">
        <v>1850</v>
      </c>
      <c r="B965" t="s">
        <v>6039</v>
      </c>
      <c r="C965" t="s">
        <v>6040</v>
      </c>
      <c r="D965" t="s">
        <v>6041</v>
      </c>
      <c r="E965" t="s">
        <v>6042</v>
      </c>
      <c r="F965" t="s">
        <v>3320</v>
      </c>
      <c r="G965" t="s">
        <v>1941</v>
      </c>
      <c r="H965">
        <v>40510</v>
      </c>
      <c r="I965" t="s">
        <v>1942</v>
      </c>
    </row>
    <row r="966" spans="1:9" x14ac:dyDescent="0.25">
      <c r="A966" t="s">
        <v>1852</v>
      </c>
      <c r="B966" t="s">
        <v>6043</v>
      </c>
      <c r="C966" t="s">
        <v>6044</v>
      </c>
      <c r="D966" t="s">
        <v>6045</v>
      </c>
      <c r="E966" t="s">
        <v>6046</v>
      </c>
      <c r="F966" t="s">
        <v>3785</v>
      </c>
      <c r="G966" t="s">
        <v>1941</v>
      </c>
      <c r="H966">
        <v>92165</v>
      </c>
      <c r="I966" t="s">
        <v>1951</v>
      </c>
    </row>
    <row r="967" spans="1:9" x14ac:dyDescent="0.25">
      <c r="A967" t="s">
        <v>1854</v>
      </c>
      <c r="B967" t="s">
        <v>6047</v>
      </c>
      <c r="C967" t="s">
        <v>6048</v>
      </c>
      <c r="E967" t="s">
        <v>6049</v>
      </c>
      <c r="F967" t="s">
        <v>1986</v>
      </c>
      <c r="G967" t="s">
        <v>1941</v>
      </c>
      <c r="H967">
        <v>90040</v>
      </c>
      <c r="I967" t="s">
        <v>1942</v>
      </c>
    </row>
    <row r="968" spans="1:9" x14ac:dyDescent="0.25">
      <c r="A968" t="s">
        <v>1856</v>
      </c>
      <c r="B968" t="s">
        <v>6050</v>
      </c>
      <c r="C968" t="s">
        <v>6051</v>
      </c>
      <c r="D968" t="s">
        <v>6052</v>
      </c>
      <c r="E968" t="s">
        <v>6053</v>
      </c>
      <c r="F968" t="s">
        <v>2776</v>
      </c>
      <c r="G968" t="s">
        <v>1941</v>
      </c>
      <c r="H968">
        <v>11210</v>
      </c>
      <c r="I968" t="s">
        <v>1942</v>
      </c>
    </row>
    <row r="969" spans="1:9" x14ac:dyDescent="0.25">
      <c r="A969" t="s">
        <v>1858</v>
      </c>
      <c r="B969" t="s">
        <v>6054</v>
      </c>
      <c r="C969" t="s">
        <v>6055</v>
      </c>
      <c r="D969" t="s">
        <v>6056</v>
      </c>
      <c r="E969" t="s">
        <v>6057</v>
      </c>
      <c r="F969" t="s">
        <v>6058</v>
      </c>
      <c r="G969" t="s">
        <v>1949</v>
      </c>
      <c r="H969" t="s">
        <v>2083</v>
      </c>
      <c r="I969" t="s">
        <v>1942</v>
      </c>
    </row>
    <row r="970" spans="1:9" x14ac:dyDescent="0.25">
      <c r="A970" t="s">
        <v>1860</v>
      </c>
      <c r="B970" t="s">
        <v>6059</v>
      </c>
      <c r="C970" t="s">
        <v>6060</v>
      </c>
      <c r="D970" t="s">
        <v>6061</v>
      </c>
      <c r="E970" t="s">
        <v>6062</v>
      </c>
      <c r="F970" t="s">
        <v>6063</v>
      </c>
      <c r="G970" t="s">
        <v>1941</v>
      </c>
      <c r="H970">
        <v>32627</v>
      </c>
      <c r="I970" t="s">
        <v>1951</v>
      </c>
    </row>
    <row r="971" spans="1:9" x14ac:dyDescent="0.25">
      <c r="A971" t="s">
        <v>1862</v>
      </c>
      <c r="B971" t="s">
        <v>6064</v>
      </c>
      <c r="C971" t="s">
        <v>6065</v>
      </c>
      <c r="D971" t="s">
        <v>6066</v>
      </c>
      <c r="E971" t="s">
        <v>6067</v>
      </c>
      <c r="F971" t="s">
        <v>2713</v>
      </c>
      <c r="G971" t="s">
        <v>1941</v>
      </c>
      <c r="H971">
        <v>34620</v>
      </c>
      <c r="I971" t="s">
        <v>1942</v>
      </c>
    </row>
    <row r="972" spans="1:9" x14ac:dyDescent="0.25">
      <c r="A972" t="s">
        <v>1864</v>
      </c>
      <c r="B972" t="s">
        <v>6068</v>
      </c>
      <c r="D972" t="s">
        <v>6069</v>
      </c>
      <c r="E972" t="s">
        <v>6070</v>
      </c>
      <c r="F972" t="s">
        <v>4412</v>
      </c>
      <c r="G972" t="s">
        <v>1941</v>
      </c>
      <c r="H972">
        <v>79165</v>
      </c>
      <c r="I972" t="s">
        <v>1951</v>
      </c>
    </row>
    <row r="973" spans="1:9" x14ac:dyDescent="0.25">
      <c r="A973" t="s">
        <v>1866</v>
      </c>
      <c r="B973" t="s">
        <v>6071</v>
      </c>
      <c r="C973" t="s">
        <v>6072</v>
      </c>
      <c r="D973" t="s">
        <v>6073</v>
      </c>
      <c r="E973" t="s">
        <v>6074</v>
      </c>
      <c r="F973" t="s">
        <v>2266</v>
      </c>
      <c r="G973" t="s">
        <v>1941</v>
      </c>
      <c r="H973">
        <v>76121</v>
      </c>
      <c r="I973" t="s">
        <v>1951</v>
      </c>
    </row>
    <row r="974" spans="1:9" x14ac:dyDescent="0.25">
      <c r="A974" t="s">
        <v>1868</v>
      </c>
      <c r="B974" t="s">
        <v>6075</v>
      </c>
      <c r="D974" t="s">
        <v>6076</v>
      </c>
      <c r="E974" t="s">
        <v>6077</v>
      </c>
      <c r="F974" t="s">
        <v>5090</v>
      </c>
      <c r="G974" t="s">
        <v>1949</v>
      </c>
      <c r="H974" t="s">
        <v>5091</v>
      </c>
      <c r="I974" t="s">
        <v>1942</v>
      </c>
    </row>
    <row r="975" spans="1:9" x14ac:dyDescent="0.25">
      <c r="A975" t="s">
        <v>1870</v>
      </c>
      <c r="B975" t="s">
        <v>6078</v>
      </c>
      <c r="C975" t="s">
        <v>6079</v>
      </c>
      <c r="D975" t="s">
        <v>6080</v>
      </c>
      <c r="E975" t="s">
        <v>6081</v>
      </c>
      <c r="F975" t="s">
        <v>2225</v>
      </c>
      <c r="G975" t="s">
        <v>1941</v>
      </c>
      <c r="H975">
        <v>32575</v>
      </c>
      <c r="I975" t="s">
        <v>1951</v>
      </c>
    </row>
    <row r="976" spans="1:9" x14ac:dyDescent="0.25">
      <c r="A976" t="s">
        <v>1872</v>
      </c>
      <c r="B976" t="s">
        <v>6082</v>
      </c>
      <c r="C976" t="s">
        <v>6083</v>
      </c>
      <c r="D976" t="s">
        <v>6084</v>
      </c>
      <c r="E976" t="s">
        <v>6085</v>
      </c>
      <c r="F976" t="s">
        <v>3148</v>
      </c>
      <c r="G976" t="s">
        <v>1941</v>
      </c>
      <c r="H976">
        <v>98405</v>
      </c>
      <c r="I976" t="s">
        <v>1942</v>
      </c>
    </row>
    <row r="977" spans="1:9" x14ac:dyDescent="0.25">
      <c r="A977" t="s">
        <v>1874</v>
      </c>
      <c r="B977" t="s">
        <v>6086</v>
      </c>
      <c r="C977" t="s">
        <v>6087</v>
      </c>
      <c r="D977" t="s">
        <v>6088</v>
      </c>
      <c r="E977" t="s">
        <v>6089</v>
      </c>
      <c r="F977" t="s">
        <v>6090</v>
      </c>
      <c r="G977" t="s">
        <v>1949</v>
      </c>
      <c r="H977" t="s">
        <v>3183</v>
      </c>
      <c r="I977" t="s">
        <v>1942</v>
      </c>
    </row>
    <row r="978" spans="1:9" x14ac:dyDescent="0.25">
      <c r="A978" t="s">
        <v>1876</v>
      </c>
      <c r="B978" t="s">
        <v>6091</v>
      </c>
      <c r="C978" t="s">
        <v>6092</v>
      </c>
      <c r="D978" t="s">
        <v>6093</v>
      </c>
      <c r="E978" t="s">
        <v>6094</v>
      </c>
      <c r="F978" t="s">
        <v>2238</v>
      </c>
      <c r="G978" t="s">
        <v>1941</v>
      </c>
      <c r="H978">
        <v>46896</v>
      </c>
      <c r="I978" t="s">
        <v>1942</v>
      </c>
    </row>
    <row r="979" spans="1:9" x14ac:dyDescent="0.25">
      <c r="A979" t="s">
        <v>1878</v>
      </c>
      <c r="B979" t="s">
        <v>6095</v>
      </c>
      <c r="C979" t="s">
        <v>6096</v>
      </c>
      <c r="D979" t="s">
        <v>6097</v>
      </c>
      <c r="E979" t="s">
        <v>6098</v>
      </c>
      <c r="F979" t="s">
        <v>4412</v>
      </c>
      <c r="G979" t="s">
        <v>1941</v>
      </c>
      <c r="H979">
        <v>79105</v>
      </c>
      <c r="I979" t="s">
        <v>1951</v>
      </c>
    </row>
    <row r="980" spans="1:9" x14ac:dyDescent="0.25">
      <c r="A980" t="s">
        <v>6099</v>
      </c>
      <c r="B980" t="s">
        <v>6100</v>
      </c>
      <c r="C980" t="s">
        <v>6101</v>
      </c>
      <c r="D980" t="s">
        <v>6102</v>
      </c>
      <c r="E980" t="s">
        <v>6103</v>
      </c>
      <c r="F980" t="s">
        <v>2186</v>
      </c>
      <c r="G980" t="s">
        <v>1941</v>
      </c>
      <c r="H980">
        <v>20436</v>
      </c>
      <c r="I980" t="s">
        <v>1942</v>
      </c>
    </row>
    <row r="981" spans="1:9" x14ac:dyDescent="0.25">
      <c r="A981" t="s">
        <v>1881</v>
      </c>
      <c r="B981" t="s">
        <v>6104</v>
      </c>
      <c r="D981" t="s">
        <v>6105</v>
      </c>
      <c r="E981" t="s">
        <v>6106</v>
      </c>
      <c r="F981" t="s">
        <v>6107</v>
      </c>
      <c r="G981" t="s">
        <v>1941</v>
      </c>
      <c r="H981">
        <v>20910</v>
      </c>
      <c r="I981" t="s">
        <v>1951</v>
      </c>
    </row>
    <row r="982" spans="1:9" x14ac:dyDescent="0.25">
      <c r="A982" t="s">
        <v>1883</v>
      </c>
      <c r="B982" t="s">
        <v>6108</v>
      </c>
      <c r="D982" t="s">
        <v>6109</v>
      </c>
      <c r="E982" t="s">
        <v>6110</v>
      </c>
      <c r="F982" t="s">
        <v>3823</v>
      </c>
      <c r="G982" t="s">
        <v>1941</v>
      </c>
      <c r="H982">
        <v>53726</v>
      </c>
      <c r="I982" t="s">
        <v>1942</v>
      </c>
    </row>
    <row r="983" spans="1:9" x14ac:dyDescent="0.25">
      <c r="A983" t="s">
        <v>1885</v>
      </c>
      <c r="B983" t="s">
        <v>6111</v>
      </c>
      <c r="C983" t="s">
        <v>6112</v>
      </c>
      <c r="D983" t="s">
        <v>6113</v>
      </c>
      <c r="E983" t="s">
        <v>6114</v>
      </c>
      <c r="F983" t="s">
        <v>6115</v>
      </c>
      <c r="G983" t="s">
        <v>1941</v>
      </c>
      <c r="H983">
        <v>77305</v>
      </c>
      <c r="I983" t="s">
        <v>1942</v>
      </c>
    </row>
    <row r="984" spans="1:9" x14ac:dyDescent="0.25">
      <c r="A984" t="s">
        <v>1887</v>
      </c>
      <c r="B984" t="s">
        <v>6116</v>
      </c>
      <c r="C984" t="s">
        <v>6117</v>
      </c>
      <c r="D984" t="s">
        <v>6118</v>
      </c>
      <c r="E984" t="s">
        <v>6119</v>
      </c>
      <c r="F984" t="s">
        <v>3179</v>
      </c>
      <c r="G984" t="s">
        <v>1941</v>
      </c>
      <c r="H984">
        <v>76205</v>
      </c>
      <c r="I984" t="s">
        <v>1942</v>
      </c>
    </row>
    <row r="985" spans="1:9" x14ac:dyDescent="0.25">
      <c r="A985" t="s">
        <v>1889</v>
      </c>
      <c r="B985" t="s">
        <v>6120</v>
      </c>
      <c r="C985" t="s">
        <v>6121</v>
      </c>
      <c r="D985" t="s">
        <v>6122</v>
      </c>
      <c r="E985" t="s">
        <v>6123</v>
      </c>
      <c r="F985" t="s">
        <v>2287</v>
      </c>
      <c r="G985" t="s">
        <v>1941</v>
      </c>
      <c r="H985">
        <v>43231</v>
      </c>
      <c r="I985" t="s">
        <v>1942</v>
      </c>
    </row>
    <row r="986" spans="1:9" x14ac:dyDescent="0.25">
      <c r="A986" t="s">
        <v>1891</v>
      </c>
      <c r="B986" t="s">
        <v>6124</v>
      </c>
      <c r="C986" t="s">
        <v>6125</v>
      </c>
      <c r="E986" t="s">
        <v>6126</v>
      </c>
      <c r="F986" t="s">
        <v>6127</v>
      </c>
      <c r="G986" t="s">
        <v>1949</v>
      </c>
      <c r="H986" t="s">
        <v>3263</v>
      </c>
      <c r="I986" t="s">
        <v>1942</v>
      </c>
    </row>
    <row r="987" spans="1:9" x14ac:dyDescent="0.25">
      <c r="A987" t="s">
        <v>1893</v>
      </c>
      <c r="B987" t="s">
        <v>6128</v>
      </c>
      <c r="C987" t="s">
        <v>6129</v>
      </c>
      <c r="D987" t="s">
        <v>6130</v>
      </c>
      <c r="E987" t="s">
        <v>6131</v>
      </c>
      <c r="F987" t="s">
        <v>2093</v>
      </c>
      <c r="G987" t="s">
        <v>1941</v>
      </c>
      <c r="H987">
        <v>80045</v>
      </c>
      <c r="I987" t="s">
        <v>1951</v>
      </c>
    </row>
    <row r="988" spans="1:9" x14ac:dyDescent="0.25">
      <c r="A988" t="s">
        <v>1895</v>
      </c>
      <c r="B988" t="s">
        <v>6132</v>
      </c>
      <c r="C988" t="s">
        <v>6133</v>
      </c>
      <c r="D988" t="s">
        <v>6134</v>
      </c>
      <c r="E988" t="s">
        <v>6135</v>
      </c>
      <c r="F988" t="s">
        <v>6136</v>
      </c>
      <c r="G988" t="s">
        <v>1941</v>
      </c>
      <c r="H988">
        <v>32128</v>
      </c>
      <c r="I988" t="s">
        <v>1951</v>
      </c>
    </row>
    <row r="989" spans="1:9" x14ac:dyDescent="0.25">
      <c r="A989" t="s">
        <v>1897</v>
      </c>
      <c r="B989" t="s">
        <v>6137</v>
      </c>
      <c r="C989" t="s">
        <v>6138</v>
      </c>
      <c r="D989" t="s">
        <v>6139</v>
      </c>
      <c r="E989" t="s">
        <v>6140</v>
      </c>
      <c r="F989" t="s">
        <v>4084</v>
      </c>
      <c r="G989" t="s">
        <v>2116</v>
      </c>
      <c r="H989" t="s">
        <v>2393</v>
      </c>
      <c r="I989" t="s">
        <v>1942</v>
      </c>
    </row>
    <row r="990" spans="1:9" x14ac:dyDescent="0.25">
      <c r="A990" t="s">
        <v>1899</v>
      </c>
      <c r="B990" t="s">
        <v>6141</v>
      </c>
      <c r="D990" t="s">
        <v>6142</v>
      </c>
      <c r="E990" t="s">
        <v>6143</v>
      </c>
      <c r="F990" t="s">
        <v>6144</v>
      </c>
      <c r="G990" t="s">
        <v>2116</v>
      </c>
      <c r="H990" t="s">
        <v>6145</v>
      </c>
      <c r="I990" t="s">
        <v>1942</v>
      </c>
    </row>
    <row r="991" spans="1:9" x14ac:dyDescent="0.25">
      <c r="A991" t="s">
        <v>1901</v>
      </c>
      <c r="B991" t="s">
        <v>6146</v>
      </c>
      <c r="D991" t="s">
        <v>6147</v>
      </c>
      <c r="E991" t="s">
        <v>6148</v>
      </c>
      <c r="F991" t="s">
        <v>2013</v>
      </c>
      <c r="G991" t="s">
        <v>1941</v>
      </c>
      <c r="H991">
        <v>63131</v>
      </c>
      <c r="I991" t="s">
        <v>1942</v>
      </c>
    </row>
    <row r="992" spans="1:9" x14ac:dyDescent="0.25">
      <c r="A992" t="s">
        <v>6149</v>
      </c>
      <c r="B992" t="s">
        <v>6150</v>
      </c>
      <c r="C992" t="s">
        <v>6151</v>
      </c>
      <c r="D992" t="s">
        <v>6152</v>
      </c>
      <c r="E992" t="s">
        <v>6153</v>
      </c>
      <c r="F992" t="s">
        <v>6154</v>
      </c>
      <c r="G992" t="s">
        <v>1941</v>
      </c>
      <c r="H992">
        <v>92056</v>
      </c>
      <c r="I992" t="s">
        <v>1951</v>
      </c>
    </row>
    <row r="993" spans="1:9" x14ac:dyDescent="0.25">
      <c r="A993" t="s">
        <v>6155</v>
      </c>
      <c r="B993" t="s">
        <v>6156</v>
      </c>
      <c r="D993" t="s">
        <v>6157</v>
      </c>
      <c r="E993" t="s">
        <v>6158</v>
      </c>
      <c r="F993" t="s">
        <v>2678</v>
      </c>
      <c r="G993" t="s">
        <v>1941</v>
      </c>
      <c r="H993">
        <v>37416</v>
      </c>
      <c r="I993" t="s">
        <v>1942</v>
      </c>
    </row>
    <row r="994" spans="1:9" x14ac:dyDescent="0.25">
      <c r="A994" t="s">
        <v>1905</v>
      </c>
      <c r="B994" t="s">
        <v>6159</v>
      </c>
      <c r="D994" t="s">
        <v>6160</v>
      </c>
      <c r="E994" t="s">
        <v>6161</v>
      </c>
      <c r="F994" t="s">
        <v>3967</v>
      </c>
      <c r="G994" t="s">
        <v>1949</v>
      </c>
      <c r="H994" t="s">
        <v>2771</v>
      </c>
      <c r="I994" t="s">
        <v>1951</v>
      </c>
    </row>
    <row r="995" spans="1:9" x14ac:dyDescent="0.25">
      <c r="A995" t="s">
        <v>1907</v>
      </c>
      <c r="B995" t="s">
        <v>6162</v>
      </c>
      <c r="D995" t="s">
        <v>6163</v>
      </c>
      <c r="E995" t="s">
        <v>6164</v>
      </c>
      <c r="F995" t="s">
        <v>2017</v>
      </c>
      <c r="G995" t="s">
        <v>1941</v>
      </c>
      <c r="H995">
        <v>19125</v>
      </c>
      <c r="I995" t="s">
        <v>1951</v>
      </c>
    </row>
    <row r="996" spans="1:9" x14ac:dyDescent="0.25">
      <c r="A996" t="s">
        <v>1909</v>
      </c>
      <c r="B996" t="s">
        <v>6165</v>
      </c>
      <c r="D996" t="s">
        <v>6166</v>
      </c>
      <c r="E996" t="s">
        <v>6167</v>
      </c>
      <c r="F996" t="s">
        <v>3912</v>
      </c>
      <c r="G996" t="s">
        <v>1949</v>
      </c>
      <c r="H996" t="s">
        <v>3913</v>
      </c>
      <c r="I996" t="s">
        <v>1951</v>
      </c>
    </row>
    <row r="997" spans="1:9" x14ac:dyDescent="0.25">
      <c r="A997" t="s">
        <v>1911</v>
      </c>
      <c r="B997" t="s">
        <v>6168</v>
      </c>
      <c r="C997" t="s">
        <v>6169</v>
      </c>
      <c r="D997" t="s">
        <v>6170</v>
      </c>
      <c r="E997" t="s">
        <v>6171</v>
      </c>
      <c r="F997" t="s">
        <v>2325</v>
      </c>
      <c r="G997" t="s">
        <v>1941</v>
      </c>
      <c r="H997">
        <v>75210</v>
      </c>
      <c r="I997" t="s">
        <v>1951</v>
      </c>
    </row>
    <row r="998" spans="1:9" x14ac:dyDescent="0.25">
      <c r="A998" t="s">
        <v>1903</v>
      </c>
      <c r="B998" t="s">
        <v>6172</v>
      </c>
      <c r="D998" t="s">
        <v>6173</v>
      </c>
      <c r="E998" t="s">
        <v>6174</v>
      </c>
      <c r="F998" t="s">
        <v>5028</v>
      </c>
      <c r="G998" t="s">
        <v>1941</v>
      </c>
      <c r="H998">
        <v>72905</v>
      </c>
      <c r="I998" t="s">
        <v>1951</v>
      </c>
    </row>
    <row r="999" spans="1:9" x14ac:dyDescent="0.25">
      <c r="A999" t="s">
        <v>6175</v>
      </c>
      <c r="B999" t="s">
        <v>6176</v>
      </c>
      <c r="D999" t="s">
        <v>6177</v>
      </c>
      <c r="E999" t="s">
        <v>6178</v>
      </c>
      <c r="F999" t="s">
        <v>2340</v>
      </c>
      <c r="G999" t="s">
        <v>1941</v>
      </c>
      <c r="H999">
        <v>80920</v>
      </c>
      <c r="I999" t="s">
        <v>1942</v>
      </c>
    </row>
    <row r="1000" spans="1:9" x14ac:dyDescent="0.25">
      <c r="A1000" t="s">
        <v>1915</v>
      </c>
      <c r="B1000" t="s">
        <v>6179</v>
      </c>
      <c r="C1000" t="s">
        <v>6180</v>
      </c>
      <c r="D1000" t="s">
        <v>6181</v>
      </c>
      <c r="E1000" t="s">
        <v>6182</v>
      </c>
      <c r="F1000" t="s">
        <v>2758</v>
      </c>
      <c r="G1000" t="s">
        <v>1941</v>
      </c>
      <c r="H1000">
        <v>90610</v>
      </c>
      <c r="I1000" t="s">
        <v>1951</v>
      </c>
    </row>
    <row r="1001" spans="1:9" x14ac:dyDescent="0.25">
      <c r="A1001" t="s">
        <v>1917</v>
      </c>
      <c r="B1001" t="s">
        <v>6183</v>
      </c>
      <c r="D1001" t="s">
        <v>6184</v>
      </c>
      <c r="E1001" t="s">
        <v>6185</v>
      </c>
      <c r="F1001" t="s">
        <v>4485</v>
      </c>
      <c r="G1001" t="s">
        <v>2116</v>
      </c>
      <c r="H1001" t="s">
        <v>6186</v>
      </c>
      <c r="I1001" t="s">
        <v>1942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9"/>
  <sheetViews>
    <sheetView workbookViewId="0">
      <selection activeCell="F1" sqref="F1:F1048576"/>
    </sheetView>
  </sheetViews>
  <sheetFormatPr defaultRowHeight="15" x14ac:dyDescent="0.25"/>
  <cols>
    <col min="2" max="2" width="10.7109375" bestFit="1" customWidth="1"/>
    <col min="3" max="3" width="9.85546875" bestFit="1" customWidth="1"/>
    <col min="5" max="5" width="9.140625" customWidth="1"/>
    <col min="6" max="6" width="7.140625" customWidth="1"/>
  </cols>
  <sheetData>
    <row r="1" spans="1:7" x14ac:dyDescent="0.25">
      <c r="A1" t="s">
        <v>1921</v>
      </c>
      <c r="B1" t="s">
        <v>1926</v>
      </c>
      <c r="C1" t="s">
        <v>1927</v>
      </c>
      <c r="D1" t="s">
        <v>1928</v>
      </c>
      <c r="E1" t="s">
        <v>1929</v>
      </c>
      <c r="F1" t="s">
        <v>6187</v>
      </c>
      <c r="G1" t="s">
        <v>6188</v>
      </c>
    </row>
    <row r="2" spans="1:7" x14ac:dyDescent="0.25">
      <c r="A2" t="s">
        <v>115</v>
      </c>
      <c r="B2" t="s">
        <v>6196</v>
      </c>
      <c r="C2" t="s">
        <v>6200</v>
      </c>
      <c r="D2">
        <v>0.2</v>
      </c>
      <c r="E2">
        <v>3.8849999999999998</v>
      </c>
      <c r="F2">
        <v>1.9424999999999999</v>
      </c>
      <c r="G2">
        <v>0.34964999999999996</v>
      </c>
    </row>
    <row r="3" spans="1:7" x14ac:dyDescent="0.25">
      <c r="A3" t="s">
        <v>192</v>
      </c>
      <c r="B3" t="s">
        <v>6196</v>
      </c>
      <c r="C3" t="s">
        <v>6200</v>
      </c>
      <c r="D3">
        <v>0.5</v>
      </c>
      <c r="E3">
        <v>7.77</v>
      </c>
      <c r="F3">
        <v>1.5539999999999998</v>
      </c>
      <c r="G3">
        <v>0.69929999999999992</v>
      </c>
    </row>
    <row r="4" spans="1:7" x14ac:dyDescent="0.25">
      <c r="A4" t="s">
        <v>6</v>
      </c>
      <c r="B4" t="s">
        <v>6196</v>
      </c>
      <c r="C4" t="s">
        <v>6200</v>
      </c>
      <c r="D4">
        <v>1</v>
      </c>
      <c r="E4">
        <v>12.95</v>
      </c>
      <c r="F4">
        <v>1.2949999999999999</v>
      </c>
      <c r="G4">
        <v>1.1655</v>
      </c>
    </row>
    <row r="5" spans="1:7" x14ac:dyDescent="0.25">
      <c r="A5" t="s">
        <v>204</v>
      </c>
      <c r="B5" t="s">
        <v>6196</v>
      </c>
      <c r="C5" t="s">
        <v>6200</v>
      </c>
      <c r="D5">
        <v>2.5</v>
      </c>
      <c r="E5">
        <v>29.784999999999997</v>
      </c>
      <c r="F5">
        <v>1.1913999999999998</v>
      </c>
      <c r="G5">
        <v>2.6806499999999995</v>
      </c>
    </row>
    <row r="6" spans="1:7" x14ac:dyDescent="0.25">
      <c r="A6" t="s">
        <v>44</v>
      </c>
      <c r="B6" t="s">
        <v>6196</v>
      </c>
      <c r="C6" t="s">
        <v>6201</v>
      </c>
      <c r="D6">
        <v>0.2</v>
      </c>
      <c r="E6">
        <v>3.375</v>
      </c>
      <c r="F6">
        <v>1.6875</v>
      </c>
      <c r="G6">
        <v>0.30374999999999996</v>
      </c>
    </row>
    <row r="7" spans="1:7" x14ac:dyDescent="0.25">
      <c r="A7" t="s">
        <v>67</v>
      </c>
      <c r="B7" t="s">
        <v>6196</v>
      </c>
      <c r="C7" t="s">
        <v>6201</v>
      </c>
      <c r="D7">
        <v>0.5</v>
      </c>
      <c r="E7">
        <v>6.75</v>
      </c>
      <c r="F7">
        <v>1.35</v>
      </c>
      <c r="G7">
        <v>0.60749999999999993</v>
      </c>
    </row>
    <row r="8" spans="1:7" x14ac:dyDescent="0.25">
      <c r="A8" t="s">
        <v>61</v>
      </c>
      <c r="B8" t="s">
        <v>6196</v>
      </c>
      <c r="C8" t="s">
        <v>6201</v>
      </c>
      <c r="D8">
        <v>1</v>
      </c>
      <c r="E8">
        <v>11.25</v>
      </c>
      <c r="F8">
        <v>1.125</v>
      </c>
      <c r="G8">
        <v>1.0125</v>
      </c>
    </row>
    <row r="9" spans="1:7" x14ac:dyDescent="0.25">
      <c r="A9" t="s">
        <v>171</v>
      </c>
      <c r="B9" t="s">
        <v>6196</v>
      </c>
      <c r="C9" t="s">
        <v>6201</v>
      </c>
      <c r="D9">
        <v>2.5</v>
      </c>
      <c r="E9">
        <v>25.874999999999996</v>
      </c>
      <c r="F9">
        <v>1.0349999999999999</v>
      </c>
      <c r="G9">
        <v>2.3287499999999994</v>
      </c>
    </row>
    <row r="10" spans="1:7" x14ac:dyDescent="0.25">
      <c r="A10" t="s">
        <v>54</v>
      </c>
      <c r="B10" t="s">
        <v>6196</v>
      </c>
      <c r="C10" t="s">
        <v>6202</v>
      </c>
      <c r="D10">
        <v>0.2</v>
      </c>
      <c r="E10">
        <v>2.9849999999999999</v>
      </c>
      <c r="F10">
        <v>1.4924999999999999</v>
      </c>
      <c r="G10">
        <v>0.26865</v>
      </c>
    </row>
    <row r="11" spans="1:7" x14ac:dyDescent="0.25">
      <c r="A11" t="s">
        <v>72</v>
      </c>
      <c r="B11" t="s">
        <v>6196</v>
      </c>
      <c r="C11" t="s">
        <v>6202</v>
      </c>
      <c r="D11">
        <v>0.5</v>
      </c>
      <c r="E11">
        <v>5.97</v>
      </c>
      <c r="F11">
        <v>1.194</v>
      </c>
      <c r="G11">
        <v>0.5373</v>
      </c>
    </row>
    <row r="12" spans="1:7" x14ac:dyDescent="0.25">
      <c r="A12" t="s">
        <v>27</v>
      </c>
      <c r="B12" t="s">
        <v>6196</v>
      </c>
      <c r="C12" t="s">
        <v>6202</v>
      </c>
      <c r="D12">
        <v>1</v>
      </c>
      <c r="E12">
        <v>9.9499999999999993</v>
      </c>
      <c r="F12">
        <v>0.99499999999999988</v>
      </c>
      <c r="G12">
        <v>0.89549999999999985</v>
      </c>
    </row>
    <row r="13" spans="1:7" x14ac:dyDescent="0.25">
      <c r="A13" t="s">
        <v>118</v>
      </c>
      <c r="B13" t="s">
        <v>6196</v>
      </c>
      <c r="C13" t="s">
        <v>6202</v>
      </c>
      <c r="D13">
        <v>2.5</v>
      </c>
      <c r="E13">
        <v>22.884999999999998</v>
      </c>
      <c r="F13">
        <v>0.91539999999999988</v>
      </c>
      <c r="G13">
        <v>2.0596499999999995</v>
      </c>
    </row>
    <row r="14" spans="1:7" x14ac:dyDescent="0.25">
      <c r="A14" t="s">
        <v>182</v>
      </c>
      <c r="B14" t="s">
        <v>6197</v>
      </c>
      <c r="C14" t="s">
        <v>6200</v>
      </c>
      <c r="D14">
        <v>0.2</v>
      </c>
      <c r="E14">
        <v>3.5849999999999995</v>
      </c>
      <c r="F14">
        <v>1.7924999999999998</v>
      </c>
      <c r="G14">
        <v>0.21509999999999996</v>
      </c>
    </row>
    <row r="15" spans="1:7" x14ac:dyDescent="0.25">
      <c r="A15" t="s">
        <v>157</v>
      </c>
      <c r="B15" t="s">
        <v>6197</v>
      </c>
      <c r="C15" t="s">
        <v>6200</v>
      </c>
      <c r="D15">
        <v>0.5</v>
      </c>
      <c r="E15">
        <v>7.169999999999999</v>
      </c>
      <c r="F15">
        <v>1.4339999999999997</v>
      </c>
      <c r="G15">
        <v>0.43019999999999992</v>
      </c>
    </row>
    <row r="16" spans="1:7" x14ac:dyDescent="0.25">
      <c r="A16" t="s">
        <v>189</v>
      </c>
      <c r="B16" t="s">
        <v>6197</v>
      </c>
      <c r="C16" t="s">
        <v>6200</v>
      </c>
      <c r="D16">
        <v>1</v>
      </c>
      <c r="E16">
        <v>11.95</v>
      </c>
      <c r="F16">
        <v>1.1949999999999998</v>
      </c>
      <c r="G16">
        <v>0.71699999999999997</v>
      </c>
    </row>
    <row r="17" spans="1:7" x14ac:dyDescent="0.25">
      <c r="A17" t="s">
        <v>10</v>
      </c>
      <c r="B17" t="s">
        <v>6197</v>
      </c>
      <c r="C17" t="s">
        <v>6200</v>
      </c>
      <c r="D17">
        <v>2.5</v>
      </c>
      <c r="E17">
        <v>27.484999999999996</v>
      </c>
      <c r="F17">
        <v>1.0993999999999999</v>
      </c>
      <c r="G17">
        <v>1.6490999999999998</v>
      </c>
    </row>
    <row r="18" spans="1:7" x14ac:dyDescent="0.25">
      <c r="A18" t="s">
        <v>162</v>
      </c>
      <c r="B18" t="s">
        <v>6197</v>
      </c>
      <c r="C18" t="s">
        <v>6201</v>
      </c>
      <c r="D18">
        <v>0.2</v>
      </c>
      <c r="E18">
        <v>2.9849999999999999</v>
      </c>
      <c r="F18">
        <v>1.4924999999999999</v>
      </c>
      <c r="G18">
        <v>0.17909999999999998</v>
      </c>
    </row>
    <row r="19" spans="1:7" x14ac:dyDescent="0.25">
      <c r="A19" t="s">
        <v>22</v>
      </c>
      <c r="B19" t="s">
        <v>6197</v>
      </c>
      <c r="C19" t="s">
        <v>6201</v>
      </c>
      <c r="D19">
        <v>0.5</v>
      </c>
      <c r="E19">
        <v>5.97</v>
      </c>
      <c r="F19">
        <v>1.194</v>
      </c>
      <c r="G19">
        <v>0.35819999999999996</v>
      </c>
    </row>
    <row r="20" spans="1:7" x14ac:dyDescent="0.25">
      <c r="A20" t="s">
        <v>2</v>
      </c>
      <c r="B20" t="s">
        <v>6197</v>
      </c>
      <c r="C20" t="s">
        <v>6201</v>
      </c>
      <c r="D20">
        <v>1</v>
      </c>
      <c r="E20">
        <v>9.9499999999999993</v>
      </c>
      <c r="F20">
        <v>0.99499999999999988</v>
      </c>
      <c r="G20">
        <v>0.59699999999999998</v>
      </c>
    </row>
    <row r="21" spans="1:7" x14ac:dyDescent="0.25">
      <c r="A21" t="s">
        <v>41</v>
      </c>
      <c r="B21" t="s">
        <v>6197</v>
      </c>
      <c r="C21" t="s">
        <v>6201</v>
      </c>
      <c r="D21">
        <v>2.5</v>
      </c>
      <c r="E21">
        <v>22.884999999999998</v>
      </c>
      <c r="F21">
        <v>0.91539999999999988</v>
      </c>
      <c r="G21">
        <v>1.3730999999999998</v>
      </c>
    </row>
    <row r="22" spans="1:7" x14ac:dyDescent="0.25">
      <c r="A22" t="s">
        <v>101</v>
      </c>
      <c r="B22" t="s">
        <v>6197</v>
      </c>
      <c r="C22" t="s">
        <v>6202</v>
      </c>
      <c r="D22">
        <v>0.2</v>
      </c>
      <c r="E22">
        <v>2.6849999999999996</v>
      </c>
      <c r="F22">
        <v>1.3424999999999998</v>
      </c>
      <c r="G22">
        <v>0.16109999999999997</v>
      </c>
    </row>
    <row r="23" spans="1:7" x14ac:dyDescent="0.25">
      <c r="A23" t="s">
        <v>146</v>
      </c>
      <c r="B23" t="s">
        <v>6197</v>
      </c>
      <c r="C23" t="s">
        <v>6202</v>
      </c>
      <c r="D23">
        <v>0.5</v>
      </c>
      <c r="E23">
        <v>5.3699999999999992</v>
      </c>
      <c r="F23">
        <v>1.0739999999999998</v>
      </c>
      <c r="G23">
        <v>0.32219999999999993</v>
      </c>
    </row>
    <row r="24" spans="1:7" x14ac:dyDescent="0.25">
      <c r="A24" t="s">
        <v>179</v>
      </c>
      <c r="B24" t="s">
        <v>6197</v>
      </c>
      <c r="C24" t="s">
        <v>6202</v>
      </c>
      <c r="D24">
        <v>1</v>
      </c>
      <c r="E24">
        <v>8.9499999999999993</v>
      </c>
      <c r="F24">
        <v>0.89499999999999991</v>
      </c>
      <c r="G24">
        <v>0.53699999999999992</v>
      </c>
    </row>
    <row r="25" spans="1:7" x14ac:dyDescent="0.25">
      <c r="A25" t="s">
        <v>35</v>
      </c>
      <c r="B25" t="s">
        <v>6197</v>
      </c>
      <c r="C25" t="s">
        <v>6202</v>
      </c>
      <c r="D25">
        <v>2.5</v>
      </c>
      <c r="E25">
        <v>20.584999999999997</v>
      </c>
      <c r="F25">
        <v>0.82339999999999991</v>
      </c>
      <c r="G25">
        <v>1.2350999999999999</v>
      </c>
    </row>
    <row r="26" spans="1:7" x14ac:dyDescent="0.25">
      <c r="A26" t="s">
        <v>19</v>
      </c>
      <c r="B26" t="s">
        <v>6198</v>
      </c>
      <c r="C26" t="s">
        <v>6200</v>
      </c>
      <c r="D26">
        <v>0.2</v>
      </c>
      <c r="E26">
        <v>4.7549999999999999</v>
      </c>
      <c r="F26">
        <v>2.3774999999999999</v>
      </c>
      <c r="G26">
        <v>0.61814999999999998</v>
      </c>
    </row>
    <row r="27" spans="1:7" x14ac:dyDescent="0.25">
      <c r="A27" t="s">
        <v>83</v>
      </c>
      <c r="B27" t="s">
        <v>6198</v>
      </c>
      <c r="C27" t="s">
        <v>6200</v>
      </c>
      <c r="D27">
        <v>0.5</v>
      </c>
      <c r="E27">
        <v>9.51</v>
      </c>
      <c r="F27">
        <v>1.9019999999999999</v>
      </c>
      <c r="G27">
        <v>1.2363</v>
      </c>
    </row>
    <row r="28" spans="1:7" x14ac:dyDescent="0.25">
      <c r="A28" t="s">
        <v>132</v>
      </c>
      <c r="B28" t="s">
        <v>6198</v>
      </c>
      <c r="C28" t="s">
        <v>6200</v>
      </c>
      <c r="D28">
        <v>1</v>
      </c>
      <c r="E28">
        <v>15.85</v>
      </c>
      <c r="F28">
        <v>1.585</v>
      </c>
      <c r="G28">
        <v>2.0605000000000002</v>
      </c>
    </row>
    <row r="29" spans="1:7" x14ac:dyDescent="0.25">
      <c r="A29" t="s">
        <v>104</v>
      </c>
      <c r="B29" t="s">
        <v>6198</v>
      </c>
      <c r="C29" t="s">
        <v>6200</v>
      </c>
      <c r="D29">
        <v>2.5</v>
      </c>
      <c r="E29">
        <v>36.454999999999998</v>
      </c>
      <c r="F29">
        <v>1.4581999999999999</v>
      </c>
      <c r="G29">
        <v>4.7391499999999995</v>
      </c>
    </row>
    <row r="30" spans="1:7" x14ac:dyDescent="0.25">
      <c r="A30" t="s">
        <v>77</v>
      </c>
      <c r="B30" t="s">
        <v>6198</v>
      </c>
      <c r="C30" t="s">
        <v>6201</v>
      </c>
      <c r="D30">
        <v>0.2</v>
      </c>
      <c r="E30">
        <v>4.3650000000000002</v>
      </c>
      <c r="F30">
        <v>2.1825000000000001</v>
      </c>
      <c r="G30">
        <v>0.56745000000000001</v>
      </c>
    </row>
    <row r="31" spans="1:7" x14ac:dyDescent="0.25">
      <c r="A31" t="s">
        <v>78</v>
      </c>
      <c r="B31" t="s">
        <v>6198</v>
      </c>
      <c r="C31" t="s">
        <v>6201</v>
      </c>
      <c r="D31">
        <v>0.5</v>
      </c>
      <c r="E31">
        <v>8.73</v>
      </c>
      <c r="F31">
        <v>1.746</v>
      </c>
      <c r="G31">
        <v>1.1349</v>
      </c>
    </row>
    <row r="32" spans="1:7" x14ac:dyDescent="0.25">
      <c r="A32" t="s">
        <v>96</v>
      </c>
      <c r="B32" t="s">
        <v>6198</v>
      </c>
      <c r="C32" t="s">
        <v>6201</v>
      </c>
      <c r="D32">
        <v>1</v>
      </c>
      <c r="E32">
        <v>14.55</v>
      </c>
      <c r="F32">
        <v>1.4550000000000001</v>
      </c>
      <c r="G32">
        <v>1.8915000000000002</v>
      </c>
    </row>
    <row r="33" spans="1:7" x14ac:dyDescent="0.25">
      <c r="A33" t="s">
        <v>197</v>
      </c>
      <c r="B33" t="s">
        <v>6198</v>
      </c>
      <c r="C33" t="s">
        <v>6201</v>
      </c>
      <c r="D33">
        <v>2.5</v>
      </c>
      <c r="E33">
        <v>33.464999999999996</v>
      </c>
      <c r="F33">
        <v>1.3385999999999998</v>
      </c>
      <c r="G33">
        <v>4.3504499999999995</v>
      </c>
    </row>
    <row r="34" spans="1:7" x14ac:dyDescent="0.25">
      <c r="A34" t="s">
        <v>38</v>
      </c>
      <c r="B34" t="s">
        <v>6198</v>
      </c>
      <c r="C34" t="s">
        <v>6202</v>
      </c>
      <c r="D34">
        <v>0.2</v>
      </c>
      <c r="E34">
        <v>3.8849999999999998</v>
      </c>
      <c r="F34">
        <v>1.9424999999999999</v>
      </c>
      <c r="G34">
        <v>0.50505</v>
      </c>
    </row>
    <row r="35" spans="1:7" x14ac:dyDescent="0.25">
      <c r="A35" t="s">
        <v>123</v>
      </c>
      <c r="B35" t="s">
        <v>6198</v>
      </c>
      <c r="C35" t="s">
        <v>6202</v>
      </c>
      <c r="D35">
        <v>0.5</v>
      </c>
      <c r="E35">
        <v>7.77</v>
      </c>
      <c r="F35">
        <v>1.5539999999999998</v>
      </c>
      <c r="G35">
        <v>1.0101</v>
      </c>
    </row>
    <row r="36" spans="1:7" x14ac:dyDescent="0.25">
      <c r="A36" t="s">
        <v>13</v>
      </c>
      <c r="B36" t="s">
        <v>6198</v>
      </c>
      <c r="C36" t="s">
        <v>6202</v>
      </c>
      <c r="D36">
        <v>1</v>
      </c>
      <c r="E36">
        <v>12.95</v>
      </c>
      <c r="F36">
        <v>1.2949999999999999</v>
      </c>
      <c r="G36">
        <v>1.6835</v>
      </c>
    </row>
    <row r="37" spans="1:7" x14ac:dyDescent="0.25">
      <c r="A37" t="s">
        <v>109</v>
      </c>
      <c r="B37" t="s">
        <v>6198</v>
      </c>
      <c r="C37" t="s">
        <v>6202</v>
      </c>
      <c r="D37">
        <v>2.5</v>
      </c>
      <c r="E37">
        <v>29.784999999999997</v>
      </c>
      <c r="F37">
        <v>1.1913999999999998</v>
      </c>
      <c r="G37">
        <v>3.8720499999999998</v>
      </c>
    </row>
    <row r="38" spans="1:7" x14ac:dyDescent="0.25">
      <c r="A38" t="s">
        <v>254</v>
      </c>
      <c r="B38" t="s">
        <v>6199</v>
      </c>
      <c r="C38" t="s">
        <v>6200</v>
      </c>
      <c r="D38">
        <v>0.2</v>
      </c>
      <c r="E38">
        <v>4.4550000000000001</v>
      </c>
      <c r="F38">
        <v>2.2275</v>
      </c>
      <c r="G38">
        <v>0.49004999999999999</v>
      </c>
    </row>
    <row r="39" spans="1:7" x14ac:dyDescent="0.25">
      <c r="A39" t="s">
        <v>176</v>
      </c>
      <c r="B39" t="s">
        <v>6199</v>
      </c>
      <c r="C39" t="s">
        <v>6200</v>
      </c>
      <c r="D39">
        <v>0.5</v>
      </c>
      <c r="E39">
        <v>8.91</v>
      </c>
      <c r="F39">
        <v>1.782</v>
      </c>
      <c r="G39">
        <v>0.98009999999999997</v>
      </c>
    </row>
    <row r="40" spans="1:7" x14ac:dyDescent="0.25">
      <c r="A40" t="s">
        <v>137</v>
      </c>
      <c r="B40" t="s">
        <v>6199</v>
      </c>
      <c r="C40" t="s">
        <v>6200</v>
      </c>
      <c r="D40">
        <v>1</v>
      </c>
      <c r="E40">
        <v>14.85</v>
      </c>
      <c r="F40">
        <v>1.4849999999999999</v>
      </c>
      <c r="G40">
        <v>1.6335</v>
      </c>
    </row>
    <row r="41" spans="1:7" x14ac:dyDescent="0.25">
      <c r="A41" t="s">
        <v>30</v>
      </c>
      <c r="B41" t="s">
        <v>6199</v>
      </c>
      <c r="C41" t="s">
        <v>6200</v>
      </c>
      <c r="D41">
        <v>2.5</v>
      </c>
      <c r="E41">
        <v>34.154999999999994</v>
      </c>
      <c r="F41">
        <v>1.3661999999999999</v>
      </c>
      <c r="G41">
        <v>3.7570499999999996</v>
      </c>
    </row>
    <row r="42" spans="1:7" x14ac:dyDescent="0.25">
      <c r="A42" t="s">
        <v>64</v>
      </c>
      <c r="B42" t="s">
        <v>6199</v>
      </c>
      <c r="C42" t="s">
        <v>6201</v>
      </c>
      <c r="D42">
        <v>0.2</v>
      </c>
      <c r="E42">
        <v>4.125</v>
      </c>
      <c r="F42">
        <v>2.0625</v>
      </c>
      <c r="G42">
        <v>0.45374999999999999</v>
      </c>
    </row>
    <row r="43" spans="1:7" x14ac:dyDescent="0.25">
      <c r="A43" t="s">
        <v>3</v>
      </c>
      <c r="B43" t="s">
        <v>6199</v>
      </c>
      <c r="C43" t="s">
        <v>6201</v>
      </c>
      <c r="D43">
        <v>0.5</v>
      </c>
      <c r="E43">
        <v>8.25</v>
      </c>
      <c r="F43">
        <v>1.65</v>
      </c>
      <c r="G43">
        <v>0.90749999999999997</v>
      </c>
    </row>
    <row r="44" spans="1:7" x14ac:dyDescent="0.25">
      <c r="A44" t="s">
        <v>9</v>
      </c>
      <c r="B44" t="s">
        <v>6199</v>
      </c>
      <c r="C44" t="s">
        <v>6201</v>
      </c>
      <c r="D44">
        <v>1</v>
      </c>
      <c r="E44">
        <v>13.75</v>
      </c>
      <c r="F44">
        <v>1.375</v>
      </c>
      <c r="G44">
        <v>1.5125</v>
      </c>
    </row>
    <row r="45" spans="1:7" x14ac:dyDescent="0.25">
      <c r="A45" t="s">
        <v>112</v>
      </c>
      <c r="B45" t="s">
        <v>6199</v>
      </c>
      <c r="C45" t="s">
        <v>6201</v>
      </c>
      <c r="D45">
        <v>2.5</v>
      </c>
      <c r="E45">
        <v>31.624999999999996</v>
      </c>
      <c r="F45">
        <v>1.2649999999999999</v>
      </c>
      <c r="G45">
        <v>3.4787499999999998</v>
      </c>
    </row>
    <row r="46" spans="1:7" x14ac:dyDescent="0.25">
      <c r="A46" t="s">
        <v>51</v>
      </c>
      <c r="B46" t="s">
        <v>6199</v>
      </c>
      <c r="C46" t="s">
        <v>6202</v>
      </c>
      <c r="D46">
        <v>0.2</v>
      </c>
      <c r="E46">
        <v>3.645</v>
      </c>
      <c r="F46">
        <v>1.8225</v>
      </c>
      <c r="G46">
        <v>0.40095000000000003</v>
      </c>
    </row>
    <row r="47" spans="1:7" x14ac:dyDescent="0.25">
      <c r="A47" t="s">
        <v>16</v>
      </c>
      <c r="B47" t="s">
        <v>6199</v>
      </c>
      <c r="C47" t="s">
        <v>6202</v>
      </c>
      <c r="D47">
        <v>0.5</v>
      </c>
      <c r="E47">
        <v>7.29</v>
      </c>
      <c r="F47">
        <v>1.458</v>
      </c>
      <c r="G47">
        <v>0.80190000000000006</v>
      </c>
    </row>
    <row r="48" spans="1:7" x14ac:dyDescent="0.25">
      <c r="A48" t="s">
        <v>245</v>
      </c>
      <c r="B48" t="s">
        <v>6199</v>
      </c>
      <c r="C48" t="s">
        <v>6202</v>
      </c>
      <c r="D48">
        <v>1</v>
      </c>
      <c r="E48">
        <v>12.15</v>
      </c>
      <c r="F48">
        <v>1.2150000000000001</v>
      </c>
      <c r="G48">
        <v>1.3365</v>
      </c>
    </row>
    <row r="49" spans="1:7" x14ac:dyDescent="0.25">
      <c r="A49" t="s">
        <v>530</v>
      </c>
      <c r="B49" t="s">
        <v>6199</v>
      </c>
      <c r="C49" t="s">
        <v>6202</v>
      </c>
      <c r="D49">
        <v>2.5</v>
      </c>
      <c r="E49">
        <v>27.945</v>
      </c>
      <c r="F49">
        <v>1.1177999999999999</v>
      </c>
      <c r="G49">
        <v>3.07395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9"/>
  <sheetViews>
    <sheetView workbookViewId="0">
      <selection sqref="A1:G1"/>
    </sheetView>
  </sheetViews>
  <sheetFormatPr defaultRowHeight="15" x14ac:dyDescent="0.25"/>
  <cols>
    <col min="2" max="2" width="10.7109375" bestFit="1" customWidth="1"/>
    <col min="3" max="3" width="9.85546875" bestFit="1" customWidth="1"/>
  </cols>
  <sheetData>
    <row r="1" spans="1:7" x14ac:dyDescent="0.25">
      <c r="A1" t="s">
        <v>1921</v>
      </c>
      <c r="B1" t="s">
        <v>1926</v>
      </c>
      <c r="C1" t="s">
        <v>1927</v>
      </c>
      <c r="D1" t="s">
        <v>1928</v>
      </c>
      <c r="E1" t="s">
        <v>1929</v>
      </c>
      <c r="F1" t="s">
        <v>6187</v>
      </c>
      <c r="G1" t="s">
        <v>6188</v>
      </c>
    </row>
    <row r="2" spans="1:7" x14ac:dyDescent="0.25">
      <c r="A2" t="s">
        <v>115</v>
      </c>
      <c r="B2" t="s">
        <v>6189</v>
      </c>
      <c r="C2" t="s">
        <v>6190</v>
      </c>
      <c r="D2">
        <v>0.2</v>
      </c>
      <c r="E2">
        <v>3.8849999999999998</v>
      </c>
      <c r="F2">
        <v>1.9424999999999999</v>
      </c>
      <c r="G2">
        <v>0.34964999999999996</v>
      </c>
    </row>
    <row r="3" spans="1:7" x14ac:dyDescent="0.25">
      <c r="A3" t="s">
        <v>192</v>
      </c>
      <c r="B3" t="s">
        <v>6189</v>
      </c>
      <c r="C3" t="s">
        <v>6190</v>
      </c>
      <c r="D3">
        <v>0.5</v>
      </c>
      <c r="E3">
        <v>7.77</v>
      </c>
      <c r="F3">
        <v>1.5539999999999998</v>
      </c>
      <c r="G3">
        <v>0.69929999999999992</v>
      </c>
    </row>
    <row r="4" spans="1:7" x14ac:dyDescent="0.25">
      <c r="A4" t="s">
        <v>6</v>
      </c>
      <c r="B4" t="s">
        <v>6189</v>
      </c>
      <c r="C4" t="s">
        <v>6190</v>
      </c>
      <c r="D4">
        <v>1</v>
      </c>
      <c r="E4">
        <v>12.95</v>
      </c>
      <c r="F4">
        <v>1.2949999999999999</v>
      </c>
      <c r="G4">
        <v>1.1655</v>
      </c>
    </row>
    <row r="5" spans="1:7" x14ac:dyDescent="0.25">
      <c r="A5" t="s">
        <v>204</v>
      </c>
      <c r="B5" t="s">
        <v>6189</v>
      </c>
      <c r="C5" t="s">
        <v>6190</v>
      </c>
      <c r="D5">
        <v>2.5</v>
      </c>
      <c r="E5">
        <v>29.784999999999997</v>
      </c>
      <c r="F5">
        <v>1.1913999999999998</v>
      </c>
      <c r="G5">
        <v>2.6806499999999995</v>
      </c>
    </row>
    <row r="6" spans="1:7" x14ac:dyDescent="0.25">
      <c r="A6" t="s">
        <v>44</v>
      </c>
      <c r="B6" t="s">
        <v>6189</v>
      </c>
      <c r="C6" t="s">
        <v>6191</v>
      </c>
      <c r="D6">
        <v>0.2</v>
      </c>
      <c r="E6">
        <v>3.375</v>
      </c>
      <c r="F6">
        <v>1.6875</v>
      </c>
      <c r="G6">
        <v>0.30374999999999996</v>
      </c>
    </row>
    <row r="7" spans="1:7" x14ac:dyDescent="0.25">
      <c r="A7" t="s">
        <v>67</v>
      </c>
      <c r="B7" t="s">
        <v>6189</v>
      </c>
      <c r="C7" t="s">
        <v>6191</v>
      </c>
      <c r="D7">
        <v>0.5</v>
      </c>
      <c r="E7">
        <v>6.75</v>
      </c>
      <c r="F7">
        <v>1.35</v>
      </c>
      <c r="G7">
        <v>0.60749999999999993</v>
      </c>
    </row>
    <row r="8" spans="1:7" x14ac:dyDescent="0.25">
      <c r="A8" t="s">
        <v>61</v>
      </c>
      <c r="B8" t="s">
        <v>6189</v>
      </c>
      <c r="C8" t="s">
        <v>6191</v>
      </c>
      <c r="D8">
        <v>1</v>
      </c>
      <c r="E8">
        <v>11.25</v>
      </c>
      <c r="F8">
        <v>1.125</v>
      </c>
      <c r="G8">
        <v>1.0125</v>
      </c>
    </row>
    <row r="9" spans="1:7" x14ac:dyDescent="0.25">
      <c r="A9" t="s">
        <v>171</v>
      </c>
      <c r="B9" t="s">
        <v>6189</v>
      </c>
      <c r="C9" t="s">
        <v>6191</v>
      </c>
      <c r="D9">
        <v>2.5</v>
      </c>
      <c r="E9">
        <v>25.874999999999996</v>
      </c>
      <c r="F9">
        <v>1.0349999999999999</v>
      </c>
      <c r="G9">
        <v>2.3287499999999994</v>
      </c>
    </row>
    <row r="10" spans="1:7" x14ac:dyDescent="0.25">
      <c r="A10" t="s">
        <v>54</v>
      </c>
      <c r="B10" t="s">
        <v>6189</v>
      </c>
      <c r="C10" t="s">
        <v>6192</v>
      </c>
      <c r="D10">
        <v>0.2</v>
      </c>
      <c r="E10">
        <v>2.9849999999999999</v>
      </c>
      <c r="F10">
        <v>1.4924999999999999</v>
      </c>
      <c r="G10">
        <v>0.26865</v>
      </c>
    </row>
    <row r="11" spans="1:7" x14ac:dyDescent="0.25">
      <c r="A11" t="s">
        <v>72</v>
      </c>
      <c r="B11" t="s">
        <v>6189</v>
      </c>
      <c r="C11" t="s">
        <v>6192</v>
      </c>
      <c r="D11">
        <v>0.5</v>
      </c>
      <c r="E11">
        <v>5.97</v>
      </c>
      <c r="F11">
        <v>1.194</v>
      </c>
      <c r="G11">
        <v>0.5373</v>
      </c>
    </row>
    <row r="12" spans="1:7" x14ac:dyDescent="0.25">
      <c r="A12" t="s">
        <v>27</v>
      </c>
      <c r="B12" t="s">
        <v>6189</v>
      </c>
      <c r="C12" t="s">
        <v>6192</v>
      </c>
      <c r="D12">
        <v>1</v>
      </c>
      <c r="E12">
        <v>9.9499999999999993</v>
      </c>
      <c r="F12">
        <v>0.99499999999999988</v>
      </c>
      <c r="G12">
        <v>0.89549999999999985</v>
      </c>
    </row>
    <row r="13" spans="1:7" x14ac:dyDescent="0.25">
      <c r="A13" t="s">
        <v>118</v>
      </c>
      <c r="B13" t="s">
        <v>6189</v>
      </c>
      <c r="C13" t="s">
        <v>6192</v>
      </c>
      <c r="D13">
        <v>2.5</v>
      </c>
      <c r="E13">
        <v>22.884999999999998</v>
      </c>
      <c r="F13">
        <v>0.91539999999999988</v>
      </c>
      <c r="G13">
        <v>2.0596499999999995</v>
      </c>
    </row>
    <row r="14" spans="1:7" x14ac:dyDescent="0.25">
      <c r="A14" t="s">
        <v>182</v>
      </c>
      <c r="B14" t="s">
        <v>6193</v>
      </c>
      <c r="C14" t="s">
        <v>6190</v>
      </c>
      <c r="D14">
        <v>0.2</v>
      </c>
      <c r="E14">
        <v>3.5849999999999995</v>
      </c>
      <c r="F14">
        <v>1.7924999999999998</v>
      </c>
      <c r="G14">
        <v>0.21509999999999996</v>
      </c>
    </row>
    <row r="15" spans="1:7" x14ac:dyDescent="0.25">
      <c r="A15" t="s">
        <v>157</v>
      </c>
      <c r="B15" t="s">
        <v>6193</v>
      </c>
      <c r="C15" t="s">
        <v>6190</v>
      </c>
      <c r="D15">
        <v>0.5</v>
      </c>
      <c r="E15">
        <v>7.169999999999999</v>
      </c>
      <c r="F15">
        <v>1.4339999999999997</v>
      </c>
      <c r="G15">
        <v>0.43019999999999992</v>
      </c>
    </row>
    <row r="16" spans="1:7" x14ac:dyDescent="0.25">
      <c r="A16" t="s">
        <v>189</v>
      </c>
      <c r="B16" t="s">
        <v>6193</v>
      </c>
      <c r="C16" t="s">
        <v>6190</v>
      </c>
      <c r="D16">
        <v>1</v>
      </c>
      <c r="E16">
        <v>11.95</v>
      </c>
      <c r="F16">
        <v>1.1949999999999998</v>
      </c>
      <c r="G16">
        <v>0.71699999999999997</v>
      </c>
    </row>
    <row r="17" spans="1:7" x14ac:dyDescent="0.25">
      <c r="A17" t="s">
        <v>10</v>
      </c>
      <c r="B17" t="s">
        <v>6193</v>
      </c>
      <c r="C17" t="s">
        <v>6190</v>
      </c>
      <c r="D17">
        <v>2.5</v>
      </c>
      <c r="E17">
        <v>27.484999999999996</v>
      </c>
      <c r="F17">
        <v>1.0993999999999999</v>
      </c>
      <c r="G17">
        <v>1.6490999999999998</v>
      </c>
    </row>
    <row r="18" spans="1:7" x14ac:dyDescent="0.25">
      <c r="A18" t="s">
        <v>162</v>
      </c>
      <c r="B18" t="s">
        <v>6193</v>
      </c>
      <c r="C18" t="s">
        <v>6191</v>
      </c>
      <c r="D18">
        <v>0.2</v>
      </c>
      <c r="E18">
        <v>2.9849999999999999</v>
      </c>
      <c r="F18">
        <v>1.4924999999999999</v>
      </c>
      <c r="G18">
        <v>0.17909999999999998</v>
      </c>
    </row>
    <row r="19" spans="1:7" x14ac:dyDescent="0.25">
      <c r="A19" t="s">
        <v>22</v>
      </c>
      <c r="B19" t="s">
        <v>6193</v>
      </c>
      <c r="C19" t="s">
        <v>6191</v>
      </c>
      <c r="D19">
        <v>0.5</v>
      </c>
      <c r="E19">
        <v>5.97</v>
      </c>
      <c r="F19">
        <v>1.194</v>
      </c>
      <c r="G19">
        <v>0.35819999999999996</v>
      </c>
    </row>
    <row r="20" spans="1:7" x14ac:dyDescent="0.25">
      <c r="A20" t="s">
        <v>2</v>
      </c>
      <c r="B20" t="s">
        <v>6193</v>
      </c>
      <c r="C20" t="s">
        <v>6191</v>
      </c>
      <c r="D20">
        <v>1</v>
      </c>
      <c r="E20">
        <v>9.9499999999999993</v>
      </c>
      <c r="F20">
        <v>0.99499999999999988</v>
      </c>
      <c r="G20">
        <v>0.59699999999999998</v>
      </c>
    </row>
    <row r="21" spans="1:7" x14ac:dyDescent="0.25">
      <c r="A21" t="s">
        <v>41</v>
      </c>
      <c r="B21" t="s">
        <v>6193</v>
      </c>
      <c r="C21" t="s">
        <v>6191</v>
      </c>
      <c r="D21">
        <v>2.5</v>
      </c>
      <c r="E21">
        <v>22.884999999999998</v>
      </c>
      <c r="F21">
        <v>0.91539999999999988</v>
      </c>
      <c r="G21">
        <v>1.3730999999999998</v>
      </c>
    </row>
    <row r="22" spans="1:7" x14ac:dyDescent="0.25">
      <c r="A22" t="s">
        <v>101</v>
      </c>
      <c r="B22" t="s">
        <v>6193</v>
      </c>
      <c r="C22" t="s">
        <v>6192</v>
      </c>
      <c r="D22">
        <v>0.2</v>
      </c>
      <c r="E22">
        <v>2.6849999999999996</v>
      </c>
      <c r="F22">
        <v>1.3424999999999998</v>
      </c>
      <c r="G22">
        <v>0.16109999999999997</v>
      </c>
    </row>
    <row r="23" spans="1:7" x14ac:dyDescent="0.25">
      <c r="A23" t="s">
        <v>146</v>
      </c>
      <c r="B23" t="s">
        <v>6193</v>
      </c>
      <c r="C23" t="s">
        <v>6192</v>
      </c>
      <c r="D23">
        <v>0.5</v>
      </c>
      <c r="E23">
        <v>5.3699999999999992</v>
      </c>
      <c r="F23">
        <v>1.0739999999999998</v>
      </c>
      <c r="G23">
        <v>0.32219999999999993</v>
      </c>
    </row>
    <row r="24" spans="1:7" x14ac:dyDescent="0.25">
      <c r="A24" t="s">
        <v>179</v>
      </c>
      <c r="B24" t="s">
        <v>6193</v>
      </c>
      <c r="C24" t="s">
        <v>6192</v>
      </c>
      <c r="D24">
        <v>1</v>
      </c>
      <c r="E24">
        <v>8.9499999999999993</v>
      </c>
      <c r="F24">
        <v>0.89499999999999991</v>
      </c>
      <c r="G24">
        <v>0.53699999999999992</v>
      </c>
    </row>
    <row r="25" spans="1:7" x14ac:dyDescent="0.25">
      <c r="A25" t="s">
        <v>35</v>
      </c>
      <c r="B25" t="s">
        <v>6193</v>
      </c>
      <c r="C25" t="s">
        <v>6192</v>
      </c>
      <c r="D25">
        <v>2.5</v>
      </c>
      <c r="E25">
        <v>20.584999999999997</v>
      </c>
      <c r="F25">
        <v>0.82339999999999991</v>
      </c>
      <c r="G25">
        <v>1.2350999999999999</v>
      </c>
    </row>
    <row r="26" spans="1:7" x14ac:dyDescent="0.25">
      <c r="A26" t="s">
        <v>19</v>
      </c>
      <c r="B26" t="s">
        <v>6194</v>
      </c>
      <c r="C26" t="s">
        <v>6190</v>
      </c>
      <c r="D26">
        <v>0.2</v>
      </c>
      <c r="E26">
        <v>4.7549999999999999</v>
      </c>
      <c r="F26">
        <v>2.3774999999999999</v>
      </c>
      <c r="G26">
        <v>0.61814999999999998</v>
      </c>
    </row>
    <row r="27" spans="1:7" x14ac:dyDescent="0.25">
      <c r="A27" t="s">
        <v>83</v>
      </c>
      <c r="B27" t="s">
        <v>6194</v>
      </c>
      <c r="C27" t="s">
        <v>6190</v>
      </c>
      <c r="D27">
        <v>0.5</v>
      </c>
      <c r="E27">
        <v>9.51</v>
      </c>
      <c r="F27">
        <v>1.9019999999999999</v>
      </c>
      <c r="G27">
        <v>1.2363</v>
      </c>
    </row>
    <row r="28" spans="1:7" x14ac:dyDescent="0.25">
      <c r="A28" t="s">
        <v>132</v>
      </c>
      <c r="B28" t="s">
        <v>6194</v>
      </c>
      <c r="C28" t="s">
        <v>6190</v>
      </c>
      <c r="D28">
        <v>1</v>
      </c>
      <c r="E28">
        <v>15.85</v>
      </c>
      <c r="F28">
        <v>1.585</v>
      </c>
      <c r="G28">
        <v>2.0605000000000002</v>
      </c>
    </row>
    <row r="29" spans="1:7" x14ac:dyDescent="0.25">
      <c r="A29" t="s">
        <v>104</v>
      </c>
      <c r="B29" t="s">
        <v>6194</v>
      </c>
      <c r="C29" t="s">
        <v>6190</v>
      </c>
      <c r="D29">
        <v>2.5</v>
      </c>
      <c r="E29">
        <v>36.454999999999998</v>
      </c>
      <c r="F29">
        <v>1.4581999999999999</v>
      </c>
      <c r="G29">
        <v>4.7391499999999995</v>
      </c>
    </row>
    <row r="30" spans="1:7" x14ac:dyDescent="0.25">
      <c r="A30" t="s">
        <v>77</v>
      </c>
      <c r="B30" t="s">
        <v>6194</v>
      </c>
      <c r="C30" t="s">
        <v>6191</v>
      </c>
      <c r="D30">
        <v>0.2</v>
      </c>
      <c r="E30">
        <v>4.3650000000000002</v>
      </c>
      <c r="F30">
        <v>2.1825000000000001</v>
      </c>
      <c r="G30">
        <v>0.56745000000000001</v>
      </c>
    </row>
    <row r="31" spans="1:7" x14ac:dyDescent="0.25">
      <c r="A31" t="s">
        <v>78</v>
      </c>
      <c r="B31" t="s">
        <v>6194</v>
      </c>
      <c r="C31" t="s">
        <v>6191</v>
      </c>
      <c r="D31">
        <v>0.5</v>
      </c>
      <c r="E31">
        <v>8.73</v>
      </c>
      <c r="F31">
        <v>1.746</v>
      </c>
      <c r="G31">
        <v>1.1349</v>
      </c>
    </row>
    <row r="32" spans="1:7" x14ac:dyDescent="0.25">
      <c r="A32" t="s">
        <v>96</v>
      </c>
      <c r="B32" t="s">
        <v>6194</v>
      </c>
      <c r="C32" t="s">
        <v>6191</v>
      </c>
      <c r="D32">
        <v>1</v>
      </c>
      <c r="E32">
        <v>14.55</v>
      </c>
      <c r="F32">
        <v>1.4550000000000001</v>
      </c>
      <c r="G32">
        <v>1.8915000000000002</v>
      </c>
    </row>
    <row r="33" spans="1:7" x14ac:dyDescent="0.25">
      <c r="A33" t="s">
        <v>197</v>
      </c>
      <c r="B33" t="s">
        <v>6194</v>
      </c>
      <c r="C33" t="s">
        <v>6191</v>
      </c>
      <c r="D33">
        <v>2.5</v>
      </c>
      <c r="E33">
        <v>33.464999999999996</v>
      </c>
      <c r="F33">
        <v>1.3385999999999998</v>
      </c>
      <c r="G33">
        <v>4.3504499999999995</v>
      </c>
    </row>
    <row r="34" spans="1:7" x14ac:dyDescent="0.25">
      <c r="A34" t="s">
        <v>38</v>
      </c>
      <c r="B34" t="s">
        <v>6194</v>
      </c>
      <c r="C34" t="s">
        <v>6192</v>
      </c>
      <c r="D34">
        <v>0.2</v>
      </c>
      <c r="E34">
        <v>3.8849999999999998</v>
      </c>
      <c r="F34">
        <v>1.9424999999999999</v>
      </c>
      <c r="G34">
        <v>0.50505</v>
      </c>
    </row>
    <row r="35" spans="1:7" x14ac:dyDescent="0.25">
      <c r="A35" t="s">
        <v>123</v>
      </c>
      <c r="B35" t="s">
        <v>6194</v>
      </c>
      <c r="C35" t="s">
        <v>6192</v>
      </c>
      <c r="D35">
        <v>0.5</v>
      </c>
      <c r="E35">
        <v>7.77</v>
      </c>
      <c r="F35">
        <v>1.5539999999999998</v>
      </c>
      <c r="G35">
        <v>1.0101</v>
      </c>
    </row>
    <row r="36" spans="1:7" x14ac:dyDescent="0.25">
      <c r="A36" t="s">
        <v>13</v>
      </c>
      <c r="B36" t="s">
        <v>6194</v>
      </c>
      <c r="C36" t="s">
        <v>6192</v>
      </c>
      <c r="D36">
        <v>1</v>
      </c>
      <c r="E36">
        <v>12.95</v>
      </c>
      <c r="F36">
        <v>1.2949999999999999</v>
      </c>
      <c r="G36">
        <v>1.6835</v>
      </c>
    </row>
    <row r="37" spans="1:7" x14ac:dyDescent="0.25">
      <c r="A37" t="s">
        <v>109</v>
      </c>
      <c r="B37" t="s">
        <v>6194</v>
      </c>
      <c r="C37" t="s">
        <v>6192</v>
      </c>
      <c r="D37">
        <v>2.5</v>
      </c>
      <c r="E37">
        <v>29.784999999999997</v>
      </c>
      <c r="F37">
        <v>1.1913999999999998</v>
      </c>
      <c r="G37">
        <v>3.8720499999999998</v>
      </c>
    </row>
    <row r="38" spans="1:7" x14ac:dyDescent="0.25">
      <c r="A38" t="s">
        <v>254</v>
      </c>
      <c r="B38" t="s">
        <v>6195</v>
      </c>
      <c r="C38" t="s">
        <v>6190</v>
      </c>
      <c r="D38">
        <v>0.2</v>
      </c>
      <c r="E38">
        <v>4.4550000000000001</v>
      </c>
      <c r="F38">
        <v>2.2275</v>
      </c>
      <c r="G38">
        <v>0.49004999999999999</v>
      </c>
    </row>
    <row r="39" spans="1:7" x14ac:dyDescent="0.25">
      <c r="A39" t="s">
        <v>176</v>
      </c>
      <c r="B39" t="s">
        <v>6195</v>
      </c>
      <c r="C39" t="s">
        <v>6190</v>
      </c>
      <c r="D39">
        <v>0.5</v>
      </c>
      <c r="E39">
        <v>8.91</v>
      </c>
      <c r="F39">
        <v>1.782</v>
      </c>
      <c r="G39">
        <v>0.98009999999999997</v>
      </c>
    </row>
    <row r="40" spans="1:7" x14ac:dyDescent="0.25">
      <c r="A40" t="s">
        <v>137</v>
      </c>
      <c r="B40" t="s">
        <v>6195</v>
      </c>
      <c r="C40" t="s">
        <v>6190</v>
      </c>
      <c r="D40">
        <v>1</v>
      </c>
      <c r="E40">
        <v>14.85</v>
      </c>
      <c r="F40">
        <v>1.4849999999999999</v>
      </c>
      <c r="G40">
        <v>1.6335</v>
      </c>
    </row>
    <row r="41" spans="1:7" x14ac:dyDescent="0.25">
      <c r="A41" t="s">
        <v>30</v>
      </c>
      <c r="B41" t="s">
        <v>6195</v>
      </c>
      <c r="C41" t="s">
        <v>6190</v>
      </c>
      <c r="D41">
        <v>2.5</v>
      </c>
      <c r="E41">
        <v>34.154999999999994</v>
      </c>
      <c r="F41">
        <v>1.3661999999999999</v>
      </c>
      <c r="G41">
        <v>3.7570499999999996</v>
      </c>
    </row>
    <row r="42" spans="1:7" x14ac:dyDescent="0.25">
      <c r="A42" t="s">
        <v>64</v>
      </c>
      <c r="B42" t="s">
        <v>6195</v>
      </c>
      <c r="C42" t="s">
        <v>6191</v>
      </c>
      <c r="D42">
        <v>0.2</v>
      </c>
      <c r="E42">
        <v>4.125</v>
      </c>
      <c r="F42">
        <v>2.0625</v>
      </c>
      <c r="G42">
        <v>0.45374999999999999</v>
      </c>
    </row>
    <row r="43" spans="1:7" x14ac:dyDescent="0.25">
      <c r="A43" t="s">
        <v>3</v>
      </c>
      <c r="B43" t="s">
        <v>6195</v>
      </c>
      <c r="C43" t="s">
        <v>6191</v>
      </c>
      <c r="D43">
        <v>0.5</v>
      </c>
      <c r="E43">
        <v>8.25</v>
      </c>
      <c r="F43">
        <v>1.65</v>
      </c>
      <c r="G43">
        <v>0.90749999999999997</v>
      </c>
    </row>
    <row r="44" spans="1:7" x14ac:dyDescent="0.25">
      <c r="A44" t="s">
        <v>9</v>
      </c>
      <c r="B44" t="s">
        <v>6195</v>
      </c>
      <c r="C44" t="s">
        <v>6191</v>
      </c>
      <c r="D44">
        <v>1</v>
      </c>
      <c r="E44">
        <v>13.75</v>
      </c>
      <c r="F44">
        <v>1.375</v>
      </c>
      <c r="G44">
        <v>1.5125</v>
      </c>
    </row>
    <row r="45" spans="1:7" x14ac:dyDescent="0.25">
      <c r="A45" t="s">
        <v>112</v>
      </c>
      <c r="B45" t="s">
        <v>6195</v>
      </c>
      <c r="C45" t="s">
        <v>6191</v>
      </c>
      <c r="D45">
        <v>2.5</v>
      </c>
      <c r="E45">
        <v>31.624999999999996</v>
      </c>
      <c r="F45">
        <v>1.2649999999999999</v>
      </c>
      <c r="G45">
        <v>3.4787499999999998</v>
      </c>
    </row>
    <row r="46" spans="1:7" x14ac:dyDescent="0.25">
      <c r="A46" t="s">
        <v>51</v>
      </c>
      <c r="B46" t="s">
        <v>6195</v>
      </c>
      <c r="C46" t="s">
        <v>6192</v>
      </c>
      <c r="D46">
        <v>0.2</v>
      </c>
      <c r="E46">
        <v>3.645</v>
      </c>
      <c r="F46">
        <v>1.8225</v>
      </c>
      <c r="G46">
        <v>0.40095000000000003</v>
      </c>
    </row>
    <row r="47" spans="1:7" x14ac:dyDescent="0.25">
      <c r="A47" t="s">
        <v>16</v>
      </c>
      <c r="B47" t="s">
        <v>6195</v>
      </c>
      <c r="C47" t="s">
        <v>6192</v>
      </c>
      <c r="D47">
        <v>0.5</v>
      </c>
      <c r="E47">
        <v>7.29</v>
      </c>
      <c r="F47">
        <v>1.458</v>
      </c>
      <c r="G47">
        <v>0.80190000000000006</v>
      </c>
    </row>
    <row r="48" spans="1:7" x14ac:dyDescent="0.25">
      <c r="A48" t="s">
        <v>245</v>
      </c>
      <c r="B48" t="s">
        <v>6195</v>
      </c>
      <c r="C48" t="s">
        <v>6192</v>
      </c>
      <c r="D48">
        <v>1</v>
      </c>
      <c r="E48">
        <v>12.15</v>
      </c>
      <c r="F48">
        <v>1.2150000000000001</v>
      </c>
      <c r="G48">
        <v>1.3365</v>
      </c>
    </row>
    <row r="49" spans="1:7" x14ac:dyDescent="0.25">
      <c r="A49" t="s">
        <v>530</v>
      </c>
      <c r="B49" t="s">
        <v>6195</v>
      </c>
      <c r="C49" t="s">
        <v>6192</v>
      </c>
      <c r="D49">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pivot table</vt:lpstr>
      <vt:lpstr>dash board</vt:lpstr>
      <vt:lpstr>worksheet1</vt:lpstr>
      <vt:lpstr>Orders (2)</vt:lpstr>
      <vt:lpstr>Orders</vt:lpstr>
      <vt:lpstr>Customers (2)</vt:lpstr>
      <vt:lpstr>Customers</vt:lpstr>
      <vt:lpstr>Products (2)</vt:lpstr>
      <vt:lpstr>Products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beat</cp:lastModifiedBy>
  <dcterms:created xsi:type="dcterms:W3CDTF">2024-09-20T19:02:15Z</dcterms:created>
  <dcterms:modified xsi:type="dcterms:W3CDTF">2025-12-09T06:14:02Z</dcterms:modified>
</cp:coreProperties>
</file>